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queryTables/queryTable1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5" activeTab="9"/>
  </bookViews>
  <sheets>
    <sheet name="A_09_45_33_A" sheetId="1" r:id="rId1"/>
    <sheet name="A_09_29_58_B" sheetId="2" r:id="rId2"/>
    <sheet name="A_09_16_04_B" sheetId="3" r:id="rId3"/>
    <sheet name="A_08_52_36_83_正" sheetId="4" r:id="rId4"/>
    <sheet name="A_10_14_37_3-0.4" sheetId="5" r:id="rId5"/>
    <sheet name="B_10_24_39_3-0.4" sheetId="6" r:id="rId6"/>
    <sheet name="A_11_34_05_转90" sheetId="7" r:id="rId7"/>
    <sheet name="B_11_42_37_转180" sheetId="8" r:id="rId8"/>
    <sheet name="B_12_04_32_20KPa" sheetId="9" r:id="rId9"/>
    <sheet name="A_13_58_43_Pro_20KPa" sheetId="10" r:id="rId10"/>
  </sheets>
  <externalReferences>
    <externalReference r:id="rId12"/>
  </externalReferences>
  <definedNames>
    <definedName name="ExternalData_1" localSheetId="0">A_09_45_33_A!$A$1:$B$933</definedName>
    <definedName name="ExternalData_2" localSheetId="0">A_09_45_33_A!$C$1:$D$934</definedName>
    <definedName name="ExternalData_1" localSheetId="1">A_09_29_58_B!$A$1:$B$891</definedName>
    <definedName name="ExternalData_2" localSheetId="1">A_09_29_58_B!$C$1:$D$891</definedName>
    <definedName name="ExternalData_1" localSheetId="2">A_09_16_04_B!$A$1:$B$1080</definedName>
    <definedName name="ExternalData_2" localSheetId="2">A_09_16_04_B!$C$1:$D$1080</definedName>
    <definedName name="ExternalData_1" localSheetId="3">A_08_52_36_83_正!$A$1:$B$884</definedName>
    <definedName name="ExternalData_2" localSheetId="3">A_08_52_36_83_正!$C$1:$D$884</definedName>
    <definedName name="ExternalData_1" localSheetId="4">'A_10_14_37_3-0.4'!$A$1:$B$333</definedName>
    <definedName name="ExternalData_2" localSheetId="4">'A_10_14_37_3-0.4'!$C$1:$D$333</definedName>
    <definedName name="ExternalData_1" localSheetId="5">'B_10_24_39_3-0.4'!$A$1:$B$400</definedName>
    <definedName name="ExternalData_2" localSheetId="5">'B_10_24_39_3-0.4'!$C$1:$D$400</definedName>
    <definedName name="ExternalData_1" localSheetId="6">A_11_34_05_转90!$A$1:$B$360</definedName>
    <definedName name="ExternalData_2" localSheetId="6">A_11_34_05_转90!$C$1:$D$360</definedName>
    <definedName name="ExternalData_1" localSheetId="7">B_11_42_37_转180!$A$1:$B$383</definedName>
    <definedName name="ExternalData_2" localSheetId="7">B_11_42_37_转180!$C$1:$D$383</definedName>
    <definedName name="ExternalData_1" localSheetId="8">B_12_04_32_20KPa!$A$1:$B$344</definedName>
    <definedName name="ExternalData_2" localSheetId="8">B_12_04_32_20KPa!$C$1:$D$344</definedName>
    <definedName name="ExternalData_1" localSheetId="9">A_13_58_43_Pro_20KPa!$A$1:$B$529</definedName>
    <definedName name="ExternalData_2" localSheetId="9">A_13_58_43_Pro_20KPa!$C$1:$D$529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供电" type="6" background="1" refreshedVersion="2" saveData="1">
    <textPr sourceFile="F:\温差力矩实验\26-4-27\供电.txt">
      <textFields>
        <textField/>
      </textFields>
    </textPr>
  </connection>
  <connection id="2" name="供电1" type="6" background="1" refreshedVersion="2" saveData="1">
    <textPr sourceFile="F:\温差力矩实验\26-4-27\供电.txt">
      <textFields>
        <textField/>
      </textFields>
    </textPr>
  </connection>
  <connection id="3" name="供电2" type="6" background="1" refreshedVersion="2" saveData="1">
    <textPr sourceFile="F:\温差力矩实验\26-4-27\供电.txt">
      <textFields>
        <textField/>
      </textFields>
    </textPr>
  </connection>
  <connection id="4" name="供电3" type="6" background="1" refreshedVersion="2" saveData="1">
    <textPr sourceFile="F:\温差力矩实验\26-4-27\供电.txt">
      <textFields>
        <textField/>
      </textFields>
    </textPr>
  </connection>
  <connection id="5" name="供电4" type="6" background="1" refreshedVersion="2" saveData="1">
    <textPr sourceFile="F:\温差力矩实验\26-4-27\供电.txt">
      <textFields>
        <textField/>
      </textFields>
    </textPr>
  </connection>
  <connection id="6" name="供电5" type="6" background="1" refreshedVersion="2" saveData="1">
    <textPr sourceFile="F:\温差力矩实验\26-4-27\供电.txt">
      <textFields>
        <textField/>
      </textFields>
    </textPr>
  </connection>
  <connection id="7" name="供电6" type="6" background="1" refreshedVersion="2" saveData="1">
    <textPr sourceFile="F:\温差力矩实验\26-4-27\供电.txt">
      <textFields>
        <textField/>
      </textFields>
    </textPr>
  </connection>
  <connection id="8" name="供电7" type="6" background="1" refreshedVersion="2" saveData="1">
    <textPr sourceFile="F:\温差力矩实验\26-4-27\供电.txt">
      <textFields>
        <textField/>
      </textFields>
    </textPr>
  </connection>
  <connection id="9" name="供电8" type="6" background="1" refreshedVersion="2" saveData="1">
    <textPr sourceFile="F:\温差力矩实验\26-4-27\供电.txt">
      <textFields>
        <textField/>
      </textFields>
    </textPr>
  </connection>
  <connection id="10" name="供电9" type="6" background="1" refreshedVersion="2" saveData="1">
    <textPr sourceFile="F:\温差力矩实验\26-4-27\供电.txt">
      <textFields>
        <textField/>
      </textFields>
    </textPr>
  </connection>
  <connection id="11" name="质量" type="6" background="1" refreshedVersion="2" saveData="1">
    <textPr sourceFile="F:\温差力矩实验\26-4-27\质量.txt">
      <textFields>
        <textField/>
      </textFields>
    </textPr>
  </connection>
  <connection id="12" name="质量1" type="6" background="1" refreshedVersion="2" saveData="1">
    <textPr sourceFile="F:\温差力矩实验\26-4-27\质量.txt">
      <textFields>
        <textField/>
      </textFields>
    </textPr>
  </connection>
  <connection id="13" name="质量2" type="6" background="1" refreshedVersion="2" saveData="1">
    <textPr sourceFile="F:\温差力矩实验\26-4-27\质量.txt">
      <textFields>
        <textField/>
      </textFields>
    </textPr>
  </connection>
  <connection id="14" name="质量3" type="6" background="1" refreshedVersion="2" saveData="1">
    <textPr sourceFile="F:\温差力矩实验\26-4-27\质量.txt">
      <textFields>
        <textField/>
      </textFields>
    </textPr>
  </connection>
  <connection id="15" name="质量4" type="6" background="1" refreshedVersion="2" saveData="1">
    <textPr sourceFile="F:\温差力矩实验\26-4-27\质量.txt">
      <textFields>
        <textField/>
      </textFields>
    </textPr>
  </connection>
  <connection id="16" name="质量5" type="6" background="1" refreshedVersion="2" saveData="1">
    <textPr sourceFile="F:\温差力矩实验\26-4-27\质量.txt">
      <textFields>
        <textField/>
      </textFields>
    </textPr>
  </connection>
  <connection id="17" name="质量6" type="6" background="1" refreshedVersion="2" saveData="1">
    <textPr sourceFile="F:\温差力矩实验\26-4-27\质量.txt">
      <textFields>
        <textField/>
      </textFields>
    </textPr>
  </connection>
  <connection id="18" name="质量7" type="6" background="1" refreshedVersion="2" saveData="1">
    <textPr sourceFile="F:\温差力矩实验\26-4-27\质量.txt">
      <textFields>
        <textField/>
      </textFields>
    </textPr>
  </connection>
  <connection id="19" name="质量8" type="6" background="1" refreshedVersion="2" saveData="1">
    <textPr sourceFile="F:\温差力矩实验\26-4-27\质量.txt">
      <textFields>
        <textField/>
      </textFields>
    </textPr>
  </connection>
  <connection id="20" name="质量9" type="6" background="1" refreshedVersion="2" saveData="1">
    <textPr sourceFile="F:\温差力矩实验\26-4-27\质量.txt">
      <textFields>
        <textField/>
      </textFields>
    </textPr>
  </connection>
</connections>
</file>

<file path=xl/sharedStrings.xml><?xml version="1.0" encoding="utf-8"?>
<sst xmlns="http://schemas.openxmlformats.org/spreadsheetml/2006/main" count="6287" uniqueCount="879">
  <si>
    <t>质量 A</t>
  </si>
  <si>
    <t>区域 A</t>
  </si>
  <si>
    <t>原始数据</t>
  </si>
  <si>
    <t>优化数据</t>
  </si>
  <si>
    <t>t</t>
  </si>
  <si>
    <t>x</t>
  </si>
  <si>
    <t>luma</t>
  </si>
  <si>
    <t>运动数据</t>
  </si>
  <si>
    <t>供电数据</t>
  </si>
  <si>
    <t>3.433E-2</t>
  </si>
  <si>
    <t>3.434E-2</t>
  </si>
  <si>
    <t>3.432E-2</t>
  </si>
  <si>
    <t>3.435E-2</t>
  </si>
  <si>
    <t>3.431E-2</t>
  </si>
  <si>
    <t>3.429E-2</t>
  </si>
  <si>
    <t>3.427E-2</t>
  </si>
  <si>
    <t>3.426E-2</t>
  </si>
  <si>
    <t>3.423E-2</t>
  </si>
  <si>
    <t>3.424E-2</t>
  </si>
  <si>
    <t>3.428E-2</t>
  </si>
  <si>
    <t>3.430E-2</t>
  </si>
  <si>
    <t>3.437E-2</t>
  </si>
  <si>
    <t>3.439E-2</t>
  </si>
  <si>
    <t>3.442E-2</t>
  </si>
  <si>
    <t>3.445E-2</t>
  </si>
  <si>
    <t>3.447E-2</t>
  </si>
  <si>
    <t>3.451E-2</t>
  </si>
  <si>
    <t>3.463E-2</t>
  </si>
  <si>
    <t>3.470E-2</t>
  </si>
  <si>
    <t>3.478E-2</t>
  </si>
  <si>
    <t>3.484E-2</t>
  </si>
  <si>
    <t>3.494E-2</t>
  </si>
  <si>
    <t>3.501E-2</t>
  </si>
  <si>
    <t>3.504E-2</t>
  </si>
  <si>
    <t>3.502E-2</t>
  </si>
  <si>
    <t>3.500E-2</t>
  </si>
  <si>
    <t>3.498E-2</t>
  </si>
  <si>
    <t>3.496E-2</t>
  </si>
  <si>
    <t>3.492E-2</t>
  </si>
  <si>
    <t>3.489E-2</t>
  </si>
  <si>
    <t>3.466E-2</t>
  </si>
  <si>
    <t>3.456E-2</t>
  </si>
  <si>
    <t>3.450E-2</t>
  </si>
  <si>
    <t>3.441E-2</t>
  </si>
  <si>
    <t>3.422E-2</t>
  </si>
  <si>
    <t>3.415E-2</t>
  </si>
  <si>
    <t>3.401E-2</t>
  </si>
  <si>
    <t>3.394E-2</t>
  </si>
  <si>
    <t>3.390E-2</t>
  </si>
  <si>
    <t>3.386E-2</t>
  </si>
  <si>
    <t>3.377E-2</t>
  </si>
  <si>
    <t>3.373E-2</t>
  </si>
  <si>
    <t>3.372E-2</t>
  </si>
  <si>
    <t>3.375E-2</t>
  </si>
  <si>
    <t>3.378E-2</t>
  </si>
  <si>
    <t>3.383E-2</t>
  </si>
  <si>
    <t>3.402E-2</t>
  </si>
  <si>
    <t>3.413E-2</t>
  </si>
  <si>
    <t>3.440E-2</t>
  </si>
  <si>
    <t>3.452E-2</t>
  </si>
  <si>
    <t>3.483E-2</t>
  </si>
  <si>
    <t>3.509E-2</t>
  </si>
  <si>
    <t>3.527E-2</t>
  </si>
  <si>
    <t>3.542E-2</t>
  </si>
  <si>
    <t>3.557E-2</t>
  </si>
  <si>
    <t>3.567E-2</t>
  </si>
  <si>
    <t>3.575E-2</t>
  </si>
  <si>
    <t>3.587E-2</t>
  </si>
  <si>
    <t>3.591E-2</t>
  </si>
  <si>
    <t>3.592E-2</t>
  </si>
  <si>
    <t>3.589E-2</t>
  </si>
  <si>
    <t>3.583E-2</t>
  </si>
  <si>
    <t>3.577E-2</t>
  </si>
  <si>
    <t>3.571E-2</t>
  </si>
  <si>
    <t>3.563E-2</t>
  </si>
  <si>
    <t>3.548E-2</t>
  </si>
  <si>
    <t>3.533E-2</t>
  </si>
  <si>
    <t>3.517E-2</t>
  </si>
  <si>
    <t>3.503E-2</t>
  </si>
  <si>
    <t>3.486E-2</t>
  </si>
  <si>
    <t>3.472E-2</t>
  </si>
  <si>
    <t>3.425E-2</t>
  </si>
  <si>
    <t>3.414E-2</t>
  </si>
  <si>
    <t>3.400E-2</t>
  </si>
  <si>
    <t>3.393E-2</t>
  </si>
  <si>
    <t>3.388E-2</t>
  </si>
  <si>
    <t>3.379E-2</t>
  </si>
  <si>
    <t>3.376E-2</t>
  </si>
  <si>
    <t>3.403E-2</t>
  </si>
  <si>
    <t>3.462E-2</t>
  </si>
  <si>
    <t>3.519E-2</t>
  </si>
  <si>
    <t>3.539E-2</t>
  </si>
  <si>
    <t>3.554E-2</t>
  </si>
  <si>
    <t>3.573E-2</t>
  </si>
  <si>
    <t>3.590E-2</t>
  </si>
  <si>
    <t>3.605E-2</t>
  </si>
  <si>
    <t>3.618E-2</t>
  </si>
  <si>
    <t>3.629E-2</t>
  </si>
  <si>
    <t>3.633E-2</t>
  </si>
  <si>
    <t>3.642E-2</t>
  </si>
  <si>
    <t>3.645E-2</t>
  </si>
  <si>
    <t>3.644E-2</t>
  </si>
  <si>
    <t>3.639E-2</t>
  </si>
  <si>
    <t>3.623E-2</t>
  </si>
  <si>
    <t>3.608E-2</t>
  </si>
  <si>
    <t>3.559E-2</t>
  </si>
  <si>
    <t>3.537E-2</t>
  </si>
  <si>
    <t>3.515E-2</t>
  </si>
  <si>
    <t>3.497E-2</t>
  </si>
  <si>
    <t>3.476E-2</t>
  </si>
  <si>
    <t>3.457E-2</t>
  </si>
  <si>
    <t>3.395E-2</t>
  </si>
  <si>
    <t>3.391E-2</t>
  </si>
  <si>
    <t>3.389E-2</t>
  </si>
  <si>
    <t>3.392E-2</t>
  </si>
  <si>
    <t>3.396E-2</t>
  </si>
  <si>
    <t>3.406E-2</t>
  </si>
  <si>
    <t>3.412E-2</t>
  </si>
  <si>
    <t>3.419E-2</t>
  </si>
  <si>
    <t>3.471E-2</t>
  </si>
  <si>
    <t>3.510E-2</t>
  </si>
  <si>
    <t>3.530E-2</t>
  </si>
  <si>
    <t>3.549E-2</t>
  </si>
  <si>
    <t>3.622E-2</t>
  </si>
  <si>
    <t>3.631E-2</t>
  </si>
  <si>
    <t>3.647E-2</t>
  </si>
  <si>
    <t>3.654E-2</t>
  </si>
  <si>
    <t>3.657E-2</t>
  </si>
  <si>
    <t>3.656E-2</t>
  </si>
  <si>
    <t>3.655E-2</t>
  </si>
  <si>
    <t>3.652E-2</t>
  </si>
  <si>
    <t>3.637E-2</t>
  </si>
  <si>
    <t>3.626E-2</t>
  </si>
  <si>
    <t>3.610E-2</t>
  </si>
  <si>
    <t>3.595E-2</t>
  </si>
  <si>
    <t>3.560E-2</t>
  </si>
  <si>
    <t>3.540E-2</t>
  </si>
  <si>
    <t>3.524E-2</t>
  </si>
  <si>
    <t>3.508E-2</t>
  </si>
  <si>
    <t>3.485E-2</t>
  </si>
  <si>
    <t>3.454E-2</t>
  </si>
  <si>
    <t>3.444E-2</t>
  </si>
  <si>
    <t>3.418E-2</t>
  </si>
  <si>
    <t>3.436E-2</t>
  </si>
  <si>
    <t>3.449E-2</t>
  </si>
  <si>
    <t>3.479E-2</t>
  </si>
  <si>
    <t>3.514E-2</t>
  </si>
  <si>
    <t>3.531E-2</t>
  </si>
  <si>
    <t>3.547E-2</t>
  </si>
  <si>
    <t>3.564E-2</t>
  </si>
  <si>
    <t>3.579E-2</t>
  </si>
  <si>
    <t>3.594E-2</t>
  </si>
  <si>
    <t>3.603E-2</t>
  </si>
  <si>
    <t>3.619E-2</t>
  </si>
  <si>
    <t>3.625E-2</t>
  </si>
  <si>
    <t>3.630E-2</t>
  </si>
  <si>
    <t>3.641E-2</t>
  </si>
  <si>
    <t>3.646E-2</t>
  </si>
  <si>
    <t>3.643E-2</t>
  </si>
  <si>
    <t>3.640E-2</t>
  </si>
  <si>
    <t>3.636E-2</t>
  </si>
  <si>
    <t>3.621E-2</t>
  </si>
  <si>
    <t>3.580E-2</t>
  </si>
  <si>
    <t>3.565E-2</t>
  </si>
  <si>
    <t>3.532E-2</t>
  </si>
  <si>
    <t>3.505E-2</t>
  </si>
  <si>
    <t>3.465E-2</t>
  </si>
  <si>
    <t>3.453E-2</t>
  </si>
  <si>
    <t>3.459E-2</t>
  </si>
  <si>
    <t>3.461E-2</t>
  </si>
  <si>
    <t>3.469E-2</t>
  </si>
  <si>
    <t>3.474E-2</t>
  </si>
  <si>
    <t>3.477E-2</t>
  </si>
  <si>
    <t>3.506E-2</t>
  </si>
  <si>
    <t>3.528E-2</t>
  </si>
  <si>
    <t>3.545E-2</t>
  </si>
  <si>
    <t>3.572E-2</t>
  </si>
  <si>
    <t>3.582E-2</t>
  </si>
  <si>
    <t>3.588E-2</t>
  </si>
  <si>
    <t>3.586E-2</t>
  </si>
  <si>
    <t>3.584E-2</t>
  </si>
  <si>
    <t>3.581E-2</t>
  </si>
  <si>
    <t>3.578E-2</t>
  </si>
  <si>
    <t>3.576E-2</t>
  </si>
  <si>
    <t>3.553E-2</t>
  </si>
  <si>
    <t>3.543E-2</t>
  </si>
  <si>
    <t>3.536E-2</t>
  </si>
  <si>
    <t>3.518E-2</t>
  </si>
  <si>
    <t>3.513E-2</t>
  </si>
  <si>
    <t>3.493E-2</t>
  </si>
  <si>
    <t>3.499E-2</t>
  </si>
  <si>
    <t>3.507E-2</t>
  </si>
  <si>
    <t>3.495E-2</t>
  </si>
  <si>
    <t>3.491E-2</t>
  </si>
  <si>
    <t>3.490E-2</t>
  </si>
  <si>
    <t>3.488E-2</t>
  </si>
  <si>
    <t>3.511E-2</t>
  </si>
  <si>
    <t>3.520E-2</t>
  </si>
  <si>
    <t>3.525E-2</t>
  </si>
  <si>
    <t>3.529E-2</t>
  </si>
  <si>
    <t>3.526E-2</t>
  </si>
  <si>
    <t>3.521E-2</t>
  </si>
  <si>
    <t>3.475E-2</t>
  </si>
  <si>
    <t>3.460E-2</t>
  </si>
  <si>
    <t>3.468E-2</t>
  </si>
  <si>
    <t>3.481E-2</t>
  </si>
  <si>
    <t>3.534E-2</t>
  </si>
  <si>
    <t>3.541E-2</t>
  </si>
  <si>
    <t>3.555E-2</t>
  </si>
  <si>
    <t>3.561E-2</t>
  </si>
  <si>
    <t>3.566E-2</t>
  </si>
  <si>
    <t>3.568E-2</t>
  </si>
  <si>
    <t>3.562E-2</t>
  </si>
  <si>
    <t>3.552E-2</t>
  </si>
  <si>
    <t>3.544E-2</t>
  </si>
  <si>
    <t>3.522E-2</t>
  </si>
  <si>
    <t>3.446E-2</t>
  </si>
  <si>
    <t>3.467E-2</t>
  </si>
  <si>
    <t>3.516E-2</t>
  </si>
  <si>
    <t>3.574E-2</t>
  </si>
  <si>
    <t>3.458E-2</t>
  </si>
  <si>
    <t>3.448E-2</t>
  </si>
  <si>
    <t>3.443E-2</t>
  </si>
  <si>
    <t>3.455E-2</t>
  </si>
  <si>
    <t>3.535E-2</t>
  </si>
  <si>
    <t>3.550E-2</t>
  </si>
  <si>
    <t>3.551E-2</t>
  </si>
  <si>
    <t>3.538E-2</t>
  </si>
  <si>
    <t>3.407E-2</t>
  </si>
  <si>
    <t>3.405E-2</t>
  </si>
  <si>
    <t>3.409E-2</t>
  </si>
  <si>
    <t>3.487E-2</t>
  </si>
  <si>
    <t>3.512E-2</t>
  </si>
  <si>
    <t>3.399E-2</t>
  </si>
  <si>
    <t>3.404E-2</t>
  </si>
  <si>
    <t>3.420E-2</t>
  </si>
  <si>
    <t>3.438E-2</t>
  </si>
  <si>
    <t>3.464E-2</t>
  </si>
  <si>
    <t>3.416E-2</t>
  </si>
  <si>
    <t>3.387E-2</t>
  </si>
  <si>
    <t>3.370E-2</t>
  </si>
  <si>
    <t>3.369E-2</t>
  </si>
  <si>
    <t>3.421E-2</t>
  </si>
  <si>
    <t>3.480E-2</t>
  </si>
  <si>
    <t>3.411E-2</t>
  </si>
  <si>
    <t>3.398E-2</t>
  </si>
  <si>
    <t>3.374E-2</t>
  </si>
  <si>
    <t>3.371E-2</t>
  </si>
  <si>
    <t>3.381E-2</t>
  </si>
  <si>
    <t>3.417E-2</t>
  </si>
  <si>
    <t>3.473E-2</t>
  </si>
  <si>
    <t>3.380E-2</t>
  </si>
  <si>
    <t>3.384E-2</t>
  </si>
  <si>
    <t>3.385E-2</t>
  </si>
  <si>
    <t>3.382E-2</t>
  </si>
  <si>
    <t>3.366E-2</t>
  </si>
  <si>
    <t>3.367E-2</t>
  </si>
  <si>
    <t>3.368E-2</t>
  </si>
  <si>
    <t>3.336E-2</t>
  </si>
  <si>
    <t>3.335E-2</t>
  </si>
  <si>
    <t>3.337E-2</t>
  </si>
  <si>
    <t>3.338E-2</t>
  </si>
  <si>
    <t>3.334E-2</t>
  </si>
  <si>
    <t>3.339E-2</t>
  </si>
  <si>
    <t>3.342E-2</t>
  </si>
  <si>
    <t>3.344E-2</t>
  </si>
  <si>
    <t>3.349E-2</t>
  </si>
  <si>
    <t>3.353E-2</t>
  </si>
  <si>
    <t>3.364E-2</t>
  </si>
  <si>
    <t>3.410E-2</t>
  </si>
  <si>
    <t>3.360E-2</t>
  </si>
  <si>
    <t>3.355E-2</t>
  </si>
  <si>
    <t>3.350E-2</t>
  </si>
  <si>
    <t>3.341E-2</t>
  </si>
  <si>
    <t>3.332E-2</t>
  </si>
  <si>
    <t>3.333E-2</t>
  </si>
  <si>
    <t>3.348E-2</t>
  </si>
  <si>
    <t>3.408E-2</t>
  </si>
  <si>
    <t>3.363E-2</t>
  </si>
  <si>
    <t>3.362E-2</t>
  </si>
  <si>
    <t>3.593E-2</t>
  </si>
  <si>
    <t>3.604E-2</t>
  </si>
  <si>
    <t>3.611E-2</t>
  </si>
  <si>
    <t>3.613E-2</t>
  </si>
  <si>
    <t>3.612E-2</t>
  </si>
  <si>
    <t>3.600E-2</t>
  </si>
  <si>
    <t>3.570E-2</t>
  </si>
  <si>
    <t>3.601E-2</t>
  </si>
  <si>
    <t>3.634E-2</t>
  </si>
  <si>
    <t>3.638E-2</t>
  </si>
  <si>
    <t>3.632E-2</t>
  </si>
  <si>
    <t>3.628E-2</t>
  </si>
  <si>
    <t>3.597E-2</t>
  </si>
  <si>
    <t>3.624E-2</t>
  </si>
  <si>
    <t>3.606E-2</t>
  </si>
  <si>
    <t>3.596E-2</t>
  </si>
  <si>
    <t>3.556E-2</t>
  </si>
  <si>
    <t>3.607E-2</t>
  </si>
  <si>
    <t>3.609E-2</t>
  </si>
  <si>
    <t>3.546E-2</t>
  </si>
  <si>
    <t>3.523E-2</t>
  </si>
  <si>
    <t>3.585E-2</t>
  </si>
  <si>
    <t>3.569E-2</t>
  </si>
  <si>
    <t>3.614E-2</t>
  </si>
  <si>
    <t>3.598E-2</t>
  </si>
  <si>
    <t>3.482E-2</t>
  </si>
  <si>
    <t>3.558E-2</t>
  </si>
  <si>
    <t>3.365E-2</t>
  </si>
  <si>
    <t>3.356E-2</t>
  </si>
  <si>
    <t>3.358E-2</t>
  </si>
  <si>
    <t>3.357E-2</t>
  </si>
  <si>
    <t>3.352E-2</t>
  </si>
  <si>
    <t>3.354E-2</t>
  </si>
  <si>
    <t>3.359E-2</t>
  </si>
  <si>
    <t>3.361E-2</t>
  </si>
  <si>
    <t>3.351E-2</t>
  </si>
  <si>
    <t>3.602E-2</t>
  </si>
  <si>
    <t>3.615E-2</t>
  </si>
  <si>
    <t>3.599E-2</t>
  </si>
  <si>
    <t>3.620E-2</t>
  </si>
  <si>
    <t>3.627E-2</t>
  </si>
  <si>
    <t>3.617E-2</t>
  </si>
  <si>
    <t>3.704E-2</t>
  </si>
  <si>
    <t>3.706E-2</t>
  </si>
  <si>
    <t>3.705E-2</t>
  </si>
  <si>
    <t>3.703E-2</t>
  </si>
  <si>
    <t>3.701E-2</t>
  </si>
  <si>
    <t>3.700E-2</t>
  </si>
  <si>
    <t>3.699E-2</t>
  </si>
  <si>
    <t>3.698E-2</t>
  </si>
  <si>
    <t>3.697E-2</t>
  </si>
  <si>
    <t>3.702E-2</t>
  </si>
  <si>
    <t>3.707E-2</t>
  </si>
  <si>
    <t>3.708E-2</t>
  </si>
  <si>
    <t>3.709E-2</t>
  </si>
  <si>
    <t>3.711E-2</t>
  </si>
  <si>
    <t>3.713E-2</t>
  </si>
  <si>
    <t>3.716E-2</t>
  </si>
  <si>
    <t>3.717E-2</t>
  </si>
  <si>
    <t>3.719E-2</t>
  </si>
  <si>
    <t>3.721E-2</t>
  </si>
  <si>
    <t>3.731E-2</t>
  </si>
  <si>
    <t>3.735E-2</t>
  </si>
  <si>
    <t>3.739E-2</t>
  </si>
  <si>
    <t>3.740E-2</t>
  </si>
  <si>
    <t>3.741E-2</t>
  </si>
  <si>
    <t>3.738E-2</t>
  </si>
  <si>
    <t>3.737E-2</t>
  </si>
  <si>
    <t>3.736E-2</t>
  </si>
  <si>
    <t>3.733E-2</t>
  </si>
  <si>
    <t>3.732E-2</t>
  </si>
  <si>
    <t>3.727E-2</t>
  </si>
  <si>
    <t>3.726E-2</t>
  </si>
  <si>
    <t>3.722E-2</t>
  </si>
  <si>
    <t>3.694E-2</t>
  </si>
  <si>
    <t>3.692E-2</t>
  </si>
  <si>
    <t>3.691E-2</t>
  </si>
  <si>
    <t>3.689E-2</t>
  </si>
  <si>
    <t>3.690E-2</t>
  </si>
  <si>
    <t>3.714E-2</t>
  </si>
  <si>
    <t>3.718E-2</t>
  </si>
  <si>
    <t>3.724E-2</t>
  </si>
  <si>
    <t>3.744E-2</t>
  </si>
  <si>
    <t>3.751E-2</t>
  </si>
  <si>
    <t>3.764E-2</t>
  </si>
  <si>
    <t>3.773E-2</t>
  </si>
  <si>
    <t>3.783E-2</t>
  </si>
  <si>
    <t>3.799E-2</t>
  </si>
  <si>
    <t>3.808E-2</t>
  </si>
  <si>
    <t>3.812E-2</t>
  </si>
  <si>
    <t>3.825E-2</t>
  </si>
  <si>
    <t>3.834E-2</t>
  </si>
  <si>
    <t>3.839E-2</t>
  </si>
  <si>
    <t>3.836E-2</t>
  </si>
  <si>
    <t>3.832E-2</t>
  </si>
  <si>
    <t>3.828E-2</t>
  </si>
  <si>
    <t>3.823E-2</t>
  </si>
  <si>
    <t>3.819E-2</t>
  </si>
  <si>
    <t>3.814E-2</t>
  </si>
  <si>
    <t>3.810E-2</t>
  </si>
  <si>
    <t>3.794E-2</t>
  </si>
  <si>
    <t>3.784E-2</t>
  </si>
  <si>
    <t>3.771E-2</t>
  </si>
  <si>
    <t>3.755E-2</t>
  </si>
  <si>
    <t>3.745E-2</t>
  </si>
  <si>
    <t>3.730E-2</t>
  </si>
  <si>
    <t>3.683E-2</t>
  </si>
  <si>
    <t>3.675E-2</t>
  </si>
  <si>
    <t>3.671E-2</t>
  </si>
  <si>
    <t>3.669E-2</t>
  </si>
  <si>
    <t>3.673E-2</t>
  </si>
  <si>
    <t>3.677E-2</t>
  </si>
  <si>
    <t>3.681E-2</t>
  </si>
  <si>
    <t>3.685E-2</t>
  </si>
  <si>
    <t>3.742E-2</t>
  </si>
  <si>
    <t>3.774E-2</t>
  </si>
  <si>
    <t>3.787E-2</t>
  </si>
  <si>
    <t>3.802E-2</t>
  </si>
  <si>
    <t>3.842E-2</t>
  </si>
  <si>
    <t>3.849E-2</t>
  </si>
  <si>
    <t>3.857E-2</t>
  </si>
  <si>
    <t>3.863E-2</t>
  </si>
  <si>
    <t>3.865E-2</t>
  </si>
  <si>
    <t>3.864E-2</t>
  </si>
  <si>
    <t>3.861E-2</t>
  </si>
  <si>
    <t>3.858E-2</t>
  </si>
  <si>
    <t>3.855E-2</t>
  </si>
  <si>
    <t>3.852E-2</t>
  </si>
  <si>
    <t>3.846E-2</t>
  </si>
  <si>
    <t>3.841E-2</t>
  </si>
  <si>
    <t>3.824E-2</t>
  </si>
  <si>
    <t>3.806E-2</t>
  </si>
  <si>
    <t>3.791E-2</t>
  </si>
  <si>
    <t>3.779E-2</t>
  </si>
  <si>
    <t>3.760E-2</t>
  </si>
  <si>
    <t>3.749E-2</t>
  </si>
  <si>
    <t>3.725E-2</t>
  </si>
  <si>
    <t>3.748E-2</t>
  </si>
  <si>
    <t>3.756E-2</t>
  </si>
  <si>
    <t>3.770E-2</t>
  </si>
  <si>
    <t>3.788E-2</t>
  </si>
  <si>
    <t>3.800E-2</t>
  </si>
  <si>
    <t>3.807E-2</t>
  </si>
  <si>
    <t>3.827E-2</t>
  </si>
  <si>
    <t>3.837E-2</t>
  </si>
  <si>
    <t>3.835E-2</t>
  </si>
  <si>
    <t>3.833E-2</t>
  </si>
  <si>
    <t>3.831E-2</t>
  </si>
  <si>
    <t>3.829E-2</t>
  </si>
  <si>
    <t>3.821E-2</t>
  </si>
  <si>
    <t>3.818E-2</t>
  </si>
  <si>
    <t>3.815E-2</t>
  </si>
  <si>
    <t>3.795E-2</t>
  </si>
  <si>
    <t>3.785E-2</t>
  </si>
  <si>
    <t>3.778E-2</t>
  </si>
  <si>
    <t>3.767E-2</t>
  </si>
  <si>
    <t>3.761E-2</t>
  </si>
  <si>
    <t>3.758E-2</t>
  </si>
  <si>
    <t>3.754E-2</t>
  </si>
  <si>
    <t>3.759E-2</t>
  </si>
  <si>
    <t>3.762E-2</t>
  </si>
  <si>
    <t>3.776E-2</t>
  </si>
  <si>
    <t>3.777E-2</t>
  </si>
  <si>
    <t>3.775E-2</t>
  </si>
  <si>
    <t>3.769E-2</t>
  </si>
  <si>
    <t>3.766E-2</t>
  </si>
  <si>
    <t>3.765E-2</t>
  </si>
  <si>
    <t>3.763E-2</t>
  </si>
  <si>
    <t>3.772E-2</t>
  </si>
  <si>
    <t>3.780E-2</t>
  </si>
  <si>
    <t>3.803E-2</t>
  </si>
  <si>
    <t>3.805E-2</t>
  </si>
  <si>
    <t>3.809E-2</t>
  </si>
  <si>
    <t>3.797E-2</t>
  </si>
  <si>
    <t>3.793E-2</t>
  </si>
  <si>
    <t>3.782E-2</t>
  </si>
  <si>
    <t>3.752E-2</t>
  </si>
  <si>
    <t>3.729E-2</t>
  </si>
  <si>
    <t>3.728E-2</t>
  </si>
  <si>
    <t>3.743E-2</t>
  </si>
  <si>
    <t>3.746E-2</t>
  </si>
  <si>
    <t>3.750E-2</t>
  </si>
  <si>
    <t>3.768E-2</t>
  </si>
  <si>
    <t>3.813E-2</t>
  </si>
  <si>
    <t>3.826E-2</t>
  </si>
  <si>
    <t>3.838E-2</t>
  </si>
  <si>
    <t>3.830E-2</t>
  </si>
  <si>
    <t>3.820E-2</t>
  </si>
  <si>
    <t>3.811E-2</t>
  </si>
  <si>
    <t>3.747E-2</t>
  </si>
  <si>
    <t>3.796E-2</t>
  </si>
  <si>
    <t>3.804E-2</t>
  </si>
  <si>
    <t>3.817E-2</t>
  </si>
  <si>
    <t>3.792E-2</t>
  </si>
  <si>
    <t>3.753E-2</t>
  </si>
  <si>
    <t>3.734E-2</t>
  </si>
  <si>
    <t>3.757E-2</t>
  </si>
  <si>
    <t>3.723E-2</t>
  </si>
  <si>
    <t>3.710E-2</t>
  </si>
  <si>
    <t>3.712E-2</t>
  </si>
  <si>
    <t>3.715E-2</t>
  </si>
  <si>
    <t>3.696E-2</t>
  </si>
  <si>
    <t>3.695E-2</t>
  </si>
  <si>
    <t>3.720E-2</t>
  </si>
  <si>
    <t>3.397E-2</t>
  </si>
  <si>
    <t>2.992E-2</t>
  </si>
  <si>
    <t>2.991E-2</t>
  </si>
  <si>
    <t>2.993E-2</t>
  </si>
  <si>
    <t>2.995E-2</t>
  </si>
  <si>
    <t>2.997E-2</t>
  </si>
  <si>
    <t>2.998E-2</t>
  </si>
  <si>
    <t>2.999E-2</t>
  </si>
  <si>
    <t>3.000E-2</t>
  </si>
  <si>
    <t>2.996E-2</t>
  </si>
  <si>
    <t>2.990E-2</t>
  </si>
  <si>
    <t>2.987E-2</t>
  </si>
  <si>
    <t>2.985E-2</t>
  </si>
  <si>
    <t>2.982E-2</t>
  </si>
  <si>
    <t>2.980E-2</t>
  </si>
  <si>
    <t>2.978E-2</t>
  </si>
  <si>
    <t>2.984E-2</t>
  </si>
  <si>
    <t>2.986E-2</t>
  </si>
  <si>
    <t>2.988E-2</t>
  </si>
  <si>
    <t>2.994E-2</t>
  </si>
  <si>
    <t>3.002E-2</t>
  </si>
  <si>
    <t>3.001E-2</t>
  </si>
  <si>
    <t>2.983E-2</t>
  </si>
  <si>
    <t>2.979E-2</t>
  </si>
  <si>
    <t>2.977E-2</t>
  </si>
  <si>
    <t>2.964E-2</t>
  </si>
  <si>
    <t>2.958E-2</t>
  </si>
  <si>
    <t>2.953E-2</t>
  </si>
  <si>
    <t>2.951E-2</t>
  </si>
  <si>
    <t>2.950E-2</t>
  </si>
  <si>
    <t>2.948E-2</t>
  </si>
  <si>
    <t>2.954E-2</t>
  </si>
  <si>
    <t>2.955E-2</t>
  </si>
  <si>
    <t>2.956E-2</t>
  </si>
  <si>
    <t>2.959E-2</t>
  </si>
  <si>
    <t>2.960E-2</t>
  </si>
  <si>
    <t>2.962E-2</t>
  </si>
  <si>
    <t>2.966E-2</t>
  </si>
  <si>
    <t>2.967E-2</t>
  </si>
  <si>
    <t>2.968E-2</t>
  </si>
  <si>
    <t>2.969E-2</t>
  </si>
  <si>
    <t>2.971E-2</t>
  </si>
  <si>
    <t>2.970E-2</t>
  </si>
  <si>
    <t>2.965E-2</t>
  </si>
  <si>
    <t>2.963E-2</t>
  </si>
  <si>
    <t>2.949E-2</t>
  </si>
  <si>
    <t>2.947E-2</t>
  </si>
  <si>
    <t>2.946E-2</t>
  </si>
  <si>
    <t>2.952E-2</t>
  </si>
  <si>
    <t>2.957E-2</t>
  </si>
  <si>
    <t>2.961E-2</t>
  </si>
  <si>
    <t>2.972E-2</t>
  </si>
  <si>
    <t>2.974E-2</t>
  </si>
  <si>
    <t>2.973E-2</t>
  </si>
  <si>
    <t>2.975E-2</t>
  </si>
  <si>
    <t>2.976E-2</t>
  </si>
  <si>
    <t>3.025E-2</t>
  </si>
  <si>
    <t>3.026E-2</t>
  </si>
  <si>
    <t>3.027E-2</t>
  </si>
  <si>
    <t>3.028E-2</t>
  </si>
  <si>
    <t>3.024E-2</t>
  </si>
  <si>
    <t>3.023E-2</t>
  </si>
  <si>
    <t>3.022E-2</t>
  </si>
  <si>
    <t>3.030E-2</t>
  </si>
  <si>
    <t>3.032E-2</t>
  </si>
  <si>
    <t>3.034E-2</t>
  </si>
  <si>
    <t>3.035E-2</t>
  </si>
  <si>
    <t>3.036E-2</t>
  </si>
  <si>
    <t>3.038E-2</t>
  </si>
  <si>
    <t>3.037E-2</t>
  </si>
  <si>
    <t>3.033E-2</t>
  </si>
  <si>
    <t>3.029E-2</t>
  </si>
  <si>
    <t>3.020E-2</t>
  </si>
  <si>
    <t>3.017E-2</t>
  </si>
  <si>
    <t>3.013E-2</t>
  </si>
  <si>
    <t>3.011E-2</t>
  </si>
  <si>
    <t>3.006E-2</t>
  </si>
  <si>
    <t>3.009E-2</t>
  </si>
  <si>
    <t>3.021E-2</t>
  </si>
  <si>
    <t>3.019E-2</t>
  </si>
  <si>
    <t>3.018E-2</t>
  </si>
  <si>
    <t>3.016E-2</t>
  </si>
  <si>
    <t>2.981E-2</t>
  </si>
  <si>
    <t>3.003E-2</t>
  </si>
  <si>
    <t>3.008E-2</t>
  </si>
  <si>
    <t>3.010E-2</t>
  </si>
  <si>
    <t>3.014E-2</t>
  </si>
  <si>
    <t>3.007E-2</t>
  </si>
  <si>
    <t>2.989E-2</t>
  </si>
  <si>
    <t>3.031E-2</t>
  </si>
  <si>
    <t>3.004E-2</t>
  </si>
  <si>
    <t>3.015E-2</t>
  </si>
  <si>
    <t>3.005E-2</t>
  </si>
  <si>
    <t>3.012E-2</t>
  </si>
  <si>
    <t>3.252E-2</t>
  </si>
  <si>
    <t>3.251E-2</t>
  </si>
  <si>
    <t>3.250E-2</t>
  </si>
  <si>
    <t>3.249E-2</t>
  </si>
  <si>
    <t>3.248E-2</t>
  </si>
  <si>
    <t>3.247E-2</t>
  </si>
  <si>
    <t>3.246E-2</t>
  </si>
  <si>
    <t>3.245E-2</t>
  </si>
  <si>
    <t>3.254E-2</t>
  </si>
  <si>
    <t>3.255E-2</t>
  </si>
  <si>
    <t>3.256E-2</t>
  </si>
  <si>
    <t>3.253E-2</t>
  </si>
  <si>
    <t>3.258E-2</t>
  </si>
  <si>
    <t>3.257E-2</t>
  </si>
  <si>
    <t>3.242E-2</t>
  </si>
  <si>
    <t>3.238E-2</t>
  </si>
  <si>
    <t>3.233E-2</t>
  </si>
  <si>
    <t>3.220E-2</t>
  </si>
  <si>
    <t>3.212E-2</t>
  </si>
  <si>
    <t>3.208E-2</t>
  </si>
  <si>
    <t>3.204E-2</t>
  </si>
  <si>
    <t>3.194E-2</t>
  </si>
  <si>
    <t>3.189E-2</t>
  </si>
  <si>
    <t>3.186E-2</t>
  </si>
  <si>
    <t>3.185E-2</t>
  </si>
  <si>
    <t>3.187E-2</t>
  </si>
  <si>
    <t>3.191E-2</t>
  </si>
  <si>
    <t>3.198E-2</t>
  </si>
  <si>
    <t>3.203E-2</t>
  </si>
  <si>
    <t>3.213E-2</t>
  </si>
  <si>
    <t>3.226E-2</t>
  </si>
  <si>
    <t>3.240E-2</t>
  </si>
  <si>
    <t>3.263E-2</t>
  </si>
  <si>
    <t>3.269E-2</t>
  </si>
  <si>
    <t>3.283E-2</t>
  </si>
  <si>
    <t>3.291E-2</t>
  </si>
  <si>
    <t>3.297E-2</t>
  </si>
  <si>
    <t>3.298E-2</t>
  </si>
  <si>
    <t>3.309E-2</t>
  </si>
  <si>
    <t>3.311E-2</t>
  </si>
  <si>
    <t>3.312E-2</t>
  </si>
  <si>
    <t>3.310E-2</t>
  </si>
  <si>
    <t>3.306E-2</t>
  </si>
  <si>
    <t>3.302E-2</t>
  </si>
  <si>
    <t>3.294E-2</t>
  </si>
  <si>
    <t>3.279E-2</t>
  </si>
  <si>
    <t>3.265E-2</t>
  </si>
  <si>
    <t>3.227E-2</t>
  </si>
  <si>
    <t>3.206E-2</t>
  </si>
  <si>
    <t>3.182E-2</t>
  </si>
  <si>
    <t>3.168E-2</t>
  </si>
  <si>
    <t>3.146E-2</t>
  </si>
  <si>
    <t>3.134E-2</t>
  </si>
  <si>
    <t>3.117E-2</t>
  </si>
  <si>
    <t>3.109E-2</t>
  </si>
  <si>
    <t>3.096E-2</t>
  </si>
  <si>
    <t>3.092E-2</t>
  </si>
  <si>
    <t>3.091E-2</t>
  </si>
  <si>
    <t>3.094E-2</t>
  </si>
  <si>
    <t>3.100E-2</t>
  </si>
  <si>
    <t>3.106E-2</t>
  </si>
  <si>
    <t>3.113E-2</t>
  </si>
  <si>
    <t>3.125E-2</t>
  </si>
  <si>
    <t>3.144E-2</t>
  </si>
  <si>
    <t>3.165E-2</t>
  </si>
  <si>
    <t>3.210E-2</t>
  </si>
  <si>
    <t>3.236E-2</t>
  </si>
  <si>
    <t>3.304E-2</t>
  </si>
  <si>
    <t>3.324E-2</t>
  </si>
  <si>
    <t>3.318E-2</t>
  </si>
  <si>
    <t>3.273E-2</t>
  </si>
  <si>
    <t>3.197E-2</t>
  </si>
  <si>
    <t>3.138E-2</t>
  </si>
  <si>
    <t>3.110E-2</t>
  </si>
  <si>
    <t>3.085E-2</t>
  </si>
  <si>
    <t>3.069E-2</t>
  </si>
  <si>
    <t>3.048E-2</t>
  </si>
  <si>
    <t>3.066E-2</t>
  </si>
  <si>
    <t>3.121E-2</t>
  </si>
  <si>
    <t>3.152E-2</t>
  </si>
  <si>
    <t>3.180E-2</t>
  </si>
  <si>
    <t>3.314E-2</t>
  </si>
  <si>
    <t>3.343E-2</t>
  </si>
  <si>
    <t>3.317E-2</t>
  </si>
  <si>
    <t>3.292E-2</t>
  </si>
  <si>
    <t>3.266E-2</t>
  </si>
  <si>
    <t>3.214E-2</t>
  </si>
  <si>
    <t>3.188E-2</t>
  </si>
  <si>
    <t>3.161E-2</t>
  </si>
  <si>
    <t>3.133E-2</t>
  </si>
  <si>
    <t>3.086E-2</t>
  </si>
  <si>
    <t>3.073E-2</t>
  </si>
  <si>
    <t>3.060E-2</t>
  </si>
  <si>
    <t>3.051E-2</t>
  </si>
  <si>
    <t>3.042E-2</t>
  </si>
  <si>
    <t>3.039E-2</t>
  </si>
  <si>
    <t>3.040E-2</t>
  </si>
  <si>
    <t>3.045E-2</t>
  </si>
  <si>
    <t>3.062E-2</t>
  </si>
  <si>
    <t>3.081E-2</t>
  </si>
  <si>
    <t>3.099E-2</t>
  </si>
  <si>
    <t>3.157E-2</t>
  </si>
  <si>
    <t>3.184E-2</t>
  </si>
  <si>
    <t>3.271E-2</t>
  </si>
  <si>
    <t>3.315E-2</t>
  </si>
  <si>
    <t>3.340E-2</t>
  </si>
  <si>
    <t>3.330E-2</t>
  </si>
  <si>
    <t>3.286E-2</t>
  </si>
  <si>
    <t>3.260E-2</t>
  </si>
  <si>
    <t>3.235E-2</t>
  </si>
  <si>
    <t>3.172E-2</t>
  </si>
  <si>
    <t>3.120E-2</t>
  </si>
  <si>
    <t>3.082E-2</t>
  </si>
  <si>
    <t>3.058E-2</t>
  </si>
  <si>
    <t>3.055E-2</t>
  </si>
  <si>
    <t>3.056E-2</t>
  </si>
  <si>
    <t>3.115E-2</t>
  </si>
  <si>
    <t>3.166E-2</t>
  </si>
  <si>
    <t>3.218E-2</t>
  </si>
  <si>
    <t>3.274E-2</t>
  </si>
  <si>
    <t>3.347E-2</t>
  </si>
  <si>
    <t>3.346E-2</t>
  </si>
  <si>
    <t>3.319E-2</t>
  </si>
  <si>
    <t>3.295E-2</t>
  </si>
  <si>
    <t>3.268E-2</t>
  </si>
  <si>
    <t>3.223E-2</t>
  </si>
  <si>
    <t>3.195E-2</t>
  </si>
  <si>
    <t>3.170E-2</t>
  </si>
  <si>
    <t>3.104E-2</t>
  </si>
  <si>
    <t>3.083E-2</t>
  </si>
  <si>
    <t>3.072E-2</t>
  </si>
  <si>
    <t>3.067E-2</t>
  </si>
  <si>
    <t>3.068E-2</t>
  </si>
  <si>
    <t>3.076E-2</t>
  </si>
  <si>
    <t>3.135E-2</t>
  </si>
  <si>
    <t>3.159E-2</t>
  </si>
  <si>
    <t>3.244E-2</t>
  </si>
  <si>
    <t>3.296E-2</t>
  </si>
  <si>
    <t>3.316E-2</t>
  </si>
  <si>
    <t>3.328E-2</t>
  </si>
  <si>
    <t>3.299E-2</t>
  </si>
  <si>
    <t>3.202E-2</t>
  </si>
  <si>
    <t>3.178E-2</t>
  </si>
  <si>
    <t>3.158E-2</t>
  </si>
  <si>
    <t>3.136E-2</t>
  </si>
  <si>
    <t>3.101E-2</t>
  </si>
  <si>
    <t>3.098E-2</t>
  </si>
  <si>
    <t>3.097E-2</t>
  </si>
  <si>
    <t>3.095E-2</t>
  </si>
  <si>
    <t>3.102E-2</t>
  </si>
  <si>
    <t>3.105E-2</t>
  </si>
  <si>
    <t>3.103E-2</t>
  </si>
  <si>
    <t>3.093E-2</t>
  </si>
  <si>
    <t>3.107E-2</t>
  </si>
  <si>
    <t>3.108E-2</t>
  </si>
  <si>
    <t>3.090E-2</t>
  </si>
  <si>
    <t>3.057E-2</t>
  </si>
  <si>
    <t>3.047E-2</t>
  </si>
  <si>
    <t>3.065E-2</t>
  </si>
  <si>
    <t>3.084E-2</t>
  </si>
  <si>
    <t>3.129E-2</t>
  </si>
  <si>
    <t>3.130E-2</t>
  </si>
  <si>
    <t>3.128E-2</t>
  </si>
  <si>
    <t>3.122E-2</t>
  </si>
  <si>
    <t>2.928E-2</t>
  </si>
  <si>
    <t>2.907E-2</t>
  </si>
  <si>
    <t>2.894E-2</t>
  </si>
  <si>
    <t>2.880E-2</t>
  </si>
  <si>
    <t>2.876E-2</t>
  </si>
  <si>
    <t>2.873E-2</t>
  </si>
  <si>
    <t>2.875E-2</t>
  </si>
  <si>
    <t>2.878E-2</t>
  </si>
  <si>
    <t>2.883E-2</t>
  </si>
  <si>
    <t>2.886E-2</t>
  </si>
  <si>
    <t>2.892E-2</t>
  </si>
  <si>
    <t>2.903E-2</t>
  </si>
  <si>
    <t>2.917E-2</t>
  </si>
  <si>
    <t>2.936E-2</t>
  </si>
  <si>
    <t>3.050E-2</t>
  </si>
  <si>
    <t>3.071E-2</t>
  </si>
  <si>
    <t>3.119E-2</t>
  </si>
  <si>
    <t>3.140E-2</t>
  </si>
  <si>
    <t>3.139E-2</t>
  </si>
  <si>
    <t>3.127E-2</t>
  </si>
  <si>
    <t>3.089E-2</t>
  </si>
  <si>
    <t>2.921E-2</t>
  </si>
  <si>
    <t>2.869E-2</t>
  </si>
  <si>
    <t>2.847E-2</t>
  </si>
  <si>
    <t>2.827E-2</t>
  </si>
  <si>
    <t>2.812E-2</t>
  </si>
  <si>
    <t>2.804E-2</t>
  </si>
  <si>
    <t>2.794E-2</t>
  </si>
  <si>
    <t>2.792E-2</t>
  </si>
  <si>
    <t>2.796E-2</t>
  </si>
  <si>
    <t>2.798E-2</t>
  </si>
  <si>
    <t>2.806E-2</t>
  </si>
  <si>
    <t>2.815E-2</t>
  </si>
  <si>
    <t>2.838E-2</t>
  </si>
  <si>
    <t>2.858E-2</t>
  </si>
  <si>
    <t>2.879E-2</t>
  </si>
  <si>
    <t>2.910E-2</t>
  </si>
  <si>
    <t>2.939E-2</t>
  </si>
  <si>
    <t>3.063E-2</t>
  </si>
  <si>
    <t>3.151E-2</t>
  </si>
  <si>
    <t>3.171E-2</t>
  </si>
  <si>
    <t>3.167E-2</t>
  </si>
  <si>
    <t>3.154E-2</t>
  </si>
  <si>
    <t>3.077E-2</t>
  </si>
  <si>
    <t>2.925E-2</t>
  </si>
  <si>
    <t>2.900E-2</t>
  </si>
  <si>
    <t>2.842E-2</t>
  </si>
  <si>
    <t>2.824E-2</t>
  </si>
  <si>
    <t>2.816E-2</t>
  </si>
  <si>
    <t>2.817E-2</t>
  </si>
  <si>
    <t>2.822E-2</t>
  </si>
  <si>
    <t>2.828E-2</t>
  </si>
  <si>
    <t>2.837E-2</t>
  </si>
  <si>
    <t>2.852E-2</t>
  </si>
  <si>
    <t>2.871E-2</t>
  </si>
  <si>
    <t>2.888E-2</t>
  </si>
  <si>
    <t>2.945E-2</t>
  </si>
  <si>
    <t>3.118E-2</t>
  </si>
  <si>
    <t>3.155E-2</t>
  </si>
  <si>
    <t>3.177E-2</t>
  </si>
  <si>
    <t>3.181E-2</t>
  </si>
  <si>
    <t>3.150E-2</t>
  </si>
  <si>
    <t>3.132E-2</t>
  </si>
  <si>
    <t>3.046E-2</t>
  </si>
  <si>
    <t>2.932E-2</t>
  </si>
  <si>
    <t>2.889E-2</t>
  </si>
  <si>
    <t>2.872E-2</t>
  </si>
  <si>
    <t>2.855E-2</t>
  </si>
  <si>
    <t>2.848E-2</t>
  </si>
  <si>
    <t>2.846E-2</t>
  </si>
  <si>
    <t>2.851E-2</t>
  </si>
  <si>
    <t>2.857E-2</t>
  </si>
  <si>
    <t>2.865E-2</t>
  </si>
  <si>
    <t>2.896E-2</t>
  </si>
  <si>
    <t>2.915E-2</t>
  </si>
  <si>
    <t>2.942E-2</t>
  </si>
  <si>
    <t>3.116E-2</t>
  </si>
  <si>
    <t>3.153E-2</t>
  </si>
  <si>
    <t>3.199E-2</t>
  </si>
  <si>
    <t>3.196E-2</t>
  </si>
  <si>
    <t>3.190E-2</t>
  </si>
  <si>
    <t>3.183E-2</t>
  </si>
  <si>
    <t>3.169E-2</t>
  </si>
  <si>
    <t>3.074E-2</t>
  </si>
  <si>
    <t>3.044E-2</t>
  </si>
  <si>
    <t>2.933E-2</t>
  </si>
  <si>
    <t>2.909E-2</t>
  </si>
  <si>
    <t>2.863E-2</t>
  </si>
  <si>
    <t>2.866E-2</t>
  </si>
  <si>
    <t>2.899E-2</t>
  </si>
  <si>
    <t>2.918E-2</t>
  </si>
  <si>
    <t>2.943E-2</t>
  </si>
  <si>
    <t>3.141E-2</t>
  </si>
  <si>
    <t>3.160E-2</t>
  </si>
  <si>
    <t>3.193E-2</t>
  </si>
  <si>
    <t>3.201E-2</t>
  </si>
  <si>
    <t>3.192E-2</t>
  </si>
  <si>
    <t>3.111E-2</t>
  </si>
  <si>
    <t>3.087E-2</t>
  </si>
  <si>
    <t>3.059E-2</t>
  </si>
  <si>
    <t>2.934E-2</t>
  </si>
  <si>
    <t>2.895E-2</t>
  </si>
  <si>
    <t>2.884E-2</t>
  </si>
  <si>
    <t>2.937E-2</t>
  </si>
  <si>
    <t>3.205E-2</t>
  </si>
  <si>
    <t>2.935E-2</t>
  </si>
  <si>
    <t>2.923E-2</t>
  </si>
  <si>
    <t>2.908E-2</t>
  </si>
  <si>
    <t>2.885E-2</t>
  </si>
  <si>
    <t>2.887E-2</t>
  </si>
  <si>
    <t>2.890E-2</t>
  </si>
  <si>
    <t>2.924E-2</t>
  </si>
  <si>
    <t>3.079E-2</t>
  </si>
  <si>
    <t>3.148E-2</t>
  </si>
  <si>
    <t>3.207E-2</t>
  </si>
  <si>
    <t>3.217E-2</t>
  </si>
  <si>
    <t>3.163E-2</t>
  </si>
  <si>
    <t>3.137E-2</t>
  </si>
  <si>
    <t>2.941E-2</t>
  </si>
  <si>
    <t>2.931E-2</t>
  </si>
  <si>
    <t>2.930E-2</t>
  </si>
  <si>
    <t>2.940E-2</t>
  </si>
  <si>
    <t>3.221E-2</t>
  </si>
  <si>
    <t>3.222E-2</t>
  </si>
  <si>
    <t>3.211E-2</t>
  </si>
  <si>
    <t>2.914E-2</t>
  </si>
  <si>
    <t>3.175E-2</t>
  </si>
  <si>
    <t>3.200E-2</t>
  </si>
  <si>
    <t>3.215E-2</t>
  </si>
  <si>
    <t>3.216E-2</t>
  </si>
  <si>
    <t>3.209E-2</t>
  </si>
  <si>
    <t>3.164E-2</t>
  </si>
  <si>
    <t>3.145E-2</t>
  </si>
  <si>
    <t>3.070E-2</t>
  </si>
  <si>
    <t>3.043E-2</t>
  </si>
  <si>
    <t>2.916E-2</t>
  </si>
  <si>
    <t>2.920E-2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</si>
</sst>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00000_);[Red]\(0.0000000\)"/>
    <numFmt numFmtId="178" formatCode="0.00_);[Red]\(0.00\)"/>
    <numFmt numFmtId="179" formatCode="0.000000_);[Red]\(0.000000\)"/>
    <numFmt numFmtId="180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179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1" fontId="0" fillId="0" borderId="0" xfId="0" applyNumberFormat="1" applyFill="1" applyAlignment="1">
      <alignment vertical="center"/>
    </xf>
    <xf numFmtId="180" fontId="0" fillId="0" borderId="0" xfId="0" applyNumberFormat="1" applyFill="1" applyAlignment="1">
      <alignment vertical="center"/>
    </xf>
    <xf numFmtId="177" fontId="0" fillId="0" borderId="0" xfId="0" applyNumberFormat="1" applyFill="1" applyAlignment="1" quotePrefix="1">
      <alignment vertical="center"/>
    </xf>
    <xf numFmtId="176" fontId="0" fillId="0" borderId="0" xfId="0" applyNumberForma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A_09_45_33_A!$K$3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A_09_45_33_A!$J$4:$J$934</c:f>
              <c:numCache>
                <c:formatCode>0.00_);[Red]\(0.00\)</c:formatCode>
                <c:ptCount val="931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0.267</c:v>
                </c:pt>
                <c:pt idx="8" c:formatCode="0.00_);[Red]\(0.00\)">
                  <c:v>0.301</c:v>
                </c:pt>
                <c:pt idx="9" c:formatCode="0.00_);[Red]\(0.00\)">
                  <c:v>0.334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0.435</c:v>
                </c:pt>
                <c:pt idx="13" c:formatCode="0.00_);[Red]\(0.00\)">
                  <c:v>0.468</c:v>
                </c:pt>
                <c:pt idx="14" c:formatCode="0.00_);[Red]\(0.00\)">
                  <c:v>0.501</c:v>
                </c:pt>
                <c:pt idx="15" c:formatCode="0.00_);[Red]\(0.00\)">
                  <c:v>0.535</c:v>
                </c:pt>
                <c:pt idx="16" c:formatCode="0.00_);[Red]\(0.00\)">
                  <c:v>0.568</c:v>
                </c:pt>
                <c:pt idx="17" c:formatCode="0.00_);[Red]\(0.00\)">
                  <c:v>0.602</c:v>
                </c:pt>
                <c:pt idx="18" c:formatCode="0.00_);[Red]\(0.00\)">
                  <c:v>0.635</c:v>
                </c:pt>
                <c:pt idx="19" c:formatCode="0.00_);[Red]\(0.00\)">
                  <c:v>0.669</c:v>
                </c:pt>
                <c:pt idx="20" c:formatCode="0.00_);[Red]\(0.00\)">
                  <c:v>0.702</c:v>
                </c:pt>
                <c:pt idx="21" c:formatCode="0.00_);[Red]\(0.00\)">
                  <c:v>0.735</c:v>
                </c:pt>
                <c:pt idx="22" c:formatCode="0.00_);[Red]\(0.00\)">
                  <c:v>0.769</c:v>
                </c:pt>
                <c:pt idx="23" c:formatCode="0.00_);[Red]\(0.00\)">
                  <c:v>0.802</c:v>
                </c:pt>
                <c:pt idx="24" c:formatCode="0.00_);[Red]\(0.00\)">
                  <c:v>0.836</c:v>
                </c:pt>
                <c:pt idx="25" c:formatCode="0.00_);[Red]\(0.00\)">
                  <c:v>0.869</c:v>
                </c:pt>
                <c:pt idx="26" c:formatCode="0.00_);[Red]\(0.00\)">
                  <c:v>0.903</c:v>
                </c:pt>
                <c:pt idx="27" c:formatCode="0.00_);[Red]\(0.00\)">
                  <c:v>0.936</c:v>
                </c:pt>
                <c:pt idx="28" c:formatCode="0.00_);[Red]\(0.00\)">
                  <c:v>0.969</c:v>
                </c:pt>
                <c:pt idx="29" c:formatCode="0.00_);[Red]\(0.00\)">
                  <c:v>1.003</c:v>
                </c:pt>
                <c:pt idx="30" c:formatCode="0.00_);[Red]\(0.00\)">
                  <c:v>1.036</c:v>
                </c:pt>
                <c:pt idx="31" c:formatCode="0.00_);[Red]\(0.00\)">
                  <c:v>1.07</c:v>
                </c:pt>
                <c:pt idx="32" c:formatCode="0.00_);[Red]\(0.00\)">
                  <c:v>1.103</c:v>
                </c:pt>
                <c:pt idx="33" c:formatCode="0.00_);[Red]\(0.00\)">
                  <c:v>1.137</c:v>
                </c:pt>
                <c:pt idx="34" c:formatCode="0.00_);[Red]\(0.00\)">
                  <c:v>1.17</c:v>
                </c:pt>
                <c:pt idx="35" c:formatCode="0.00_);[Red]\(0.00\)">
                  <c:v>1.203</c:v>
                </c:pt>
                <c:pt idx="36" c:formatCode="0.00_);[Red]\(0.00\)">
                  <c:v>1.237</c:v>
                </c:pt>
                <c:pt idx="37" c:formatCode="0.00_);[Red]\(0.00\)">
                  <c:v>1.27</c:v>
                </c:pt>
                <c:pt idx="38" c:formatCode="0.00_);[Red]\(0.00\)">
                  <c:v>1.304</c:v>
                </c:pt>
                <c:pt idx="39" c:formatCode="0.00_);[Red]\(0.00\)">
                  <c:v>1.337</c:v>
                </c:pt>
                <c:pt idx="40" c:formatCode="0.00_);[Red]\(0.00\)">
                  <c:v>1.37</c:v>
                </c:pt>
                <c:pt idx="41" c:formatCode="0.00_);[Red]\(0.00\)">
                  <c:v>1.404</c:v>
                </c:pt>
                <c:pt idx="42" c:formatCode="0.00_);[Red]\(0.00\)">
                  <c:v>1.437</c:v>
                </c:pt>
                <c:pt idx="43" c:formatCode="0.00_);[Red]\(0.00\)">
                  <c:v>1.471</c:v>
                </c:pt>
                <c:pt idx="44" c:formatCode="0.00_);[Red]\(0.00\)">
                  <c:v>1.504</c:v>
                </c:pt>
                <c:pt idx="45" c:formatCode="0.00_);[Red]\(0.00\)">
                  <c:v>1.538</c:v>
                </c:pt>
                <c:pt idx="46" c:formatCode="0.00_);[Red]\(0.00\)">
                  <c:v>1.571</c:v>
                </c:pt>
                <c:pt idx="47" c:formatCode="0.00_);[Red]\(0.00\)">
                  <c:v>1.604</c:v>
                </c:pt>
                <c:pt idx="48" c:formatCode="0.00_);[Red]\(0.00\)">
                  <c:v>1.638</c:v>
                </c:pt>
                <c:pt idx="49" c:formatCode="0.00_);[Red]\(0.00\)">
                  <c:v>1.671</c:v>
                </c:pt>
                <c:pt idx="50" c:formatCode="0.00_);[Red]\(0.00\)">
                  <c:v>1.705</c:v>
                </c:pt>
                <c:pt idx="51" c:formatCode="0.00_);[Red]\(0.00\)">
                  <c:v>1.738</c:v>
                </c:pt>
                <c:pt idx="52" c:formatCode="0.00_);[Red]\(0.00\)">
                  <c:v>1.772</c:v>
                </c:pt>
                <c:pt idx="53" c:formatCode="0.00_);[Red]\(0.00\)">
                  <c:v>1.805</c:v>
                </c:pt>
                <c:pt idx="54" c:formatCode="0.00_);[Red]\(0.00\)">
                  <c:v>1.838</c:v>
                </c:pt>
                <c:pt idx="55" c:formatCode="0.00_);[Red]\(0.00\)">
                  <c:v>1.872</c:v>
                </c:pt>
                <c:pt idx="56" c:formatCode="0.00_);[Red]\(0.00\)">
                  <c:v>1.905</c:v>
                </c:pt>
                <c:pt idx="57" c:formatCode="0.00_);[Red]\(0.00\)">
                  <c:v>1.939</c:v>
                </c:pt>
                <c:pt idx="58" c:formatCode="0.00_);[Red]\(0.00\)">
                  <c:v>1.972</c:v>
                </c:pt>
                <c:pt idx="59" c:formatCode="0.00_);[Red]\(0.00\)">
                  <c:v>2.006</c:v>
                </c:pt>
                <c:pt idx="60" c:formatCode="0.00_);[Red]\(0.00\)">
                  <c:v>2.039</c:v>
                </c:pt>
                <c:pt idx="61" c:formatCode="0.00_);[Red]\(0.00\)">
                  <c:v>2.072</c:v>
                </c:pt>
                <c:pt idx="62" c:formatCode="0.00_);[Red]\(0.00\)">
                  <c:v>2.106</c:v>
                </c:pt>
                <c:pt idx="63" c:formatCode="0.00_);[Red]\(0.00\)">
                  <c:v>2.139</c:v>
                </c:pt>
                <c:pt idx="64" c:formatCode="0.00_);[Red]\(0.00\)">
                  <c:v>2.173</c:v>
                </c:pt>
                <c:pt idx="65" c:formatCode="0.00_);[Red]\(0.00\)">
                  <c:v>2.206</c:v>
                </c:pt>
                <c:pt idx="66" c:formatCode="0.00_);[Red]\(0.00\)">
                  <c:v>2.24</c:v>
                </c:pt>
                <c:pt idx="67" c:formatCode="0.00_);[Red]\(0.00\)">
                  <c:v>2.273</c:v>
                </c:pt>
                <c:pt idx="68" c:formatCode="0.00_);[Red]\(0.00\)">
                  <c:v>2.306</c:v>
                </c:pt>
                <c:pt idx="69" c:formatCode="0.00_);[Red]\(0.00\)">
                  <c:v>2.34</c:v>
                </c:pt>
                <c:pt idx="70" c:formatCode="0.00_);[Red]\(0.00\)">
                  <c:v>2.373</c:v>
                </c:pt>
                <c:pt idx="71" c:formatCode="0.00_);[Red]\(0.00\)">
                  <c:v>2.407</c:v>
                </c:pt>
                <c:pt idx="72" c:formatCode="0.00_);[Red]\(0.00\)">
                  <c:v>2.44</c:v>
                </c:pt>
                <c:pt idx="73" c:formatCode="0.00_);[Red]\(0.00\)">
                  <c:v>2.474</c:v>
                </c:pt>
                <c:pt idx="74" c:formatCode="0.00_);[Red]\(0.00\)">
                  <c:v>2.507</c:v>
                </c:pt>
                <c:pt idx="75" c:formatCode="0.00_);[Red]\(0.00\)">
                  <c:v>2.54</c:v>
                </c:pt>
                <c:pt idx="76" c:formatCode="0.00_);[Red]\(0.00\)">
                  <c:v>2.574</c:v>
                </c:pt>
                <c:pt idx="77" c:formatCode="0.00_);[Red]\(0.00\)">
                  <c:v>2.607</c:v>
                </c:pt>
                <c:pt idx="78" c:formatCode="0.00_);[Red]\(0.00\)">
                  <c:v>2.641</c:v>
                </c:pt>
                <c:pt idx="79" c:formatCode="0.00_);[Red]\(0.00\)">
                  <c:v>2.674</c:v>
                </c:pt>
                <c:pt idx="80" c:formatCode="0.00_);[Red]\(0.00\)">
                  <c:v>2.708</c:v>
                </c:pt>
                <c:pt idx="81" c:formatCode="0.00_);[Red]\(0.00\)">
                  <c:v>2.741</c:v>
                </c:pt>
                <c:pt idx="82" c:formatCode="0.00_);[Red]\(0.00\)">
                  <c:v>2.774</c:v>
                </c:pt>
                <c:pt idx="83" c:formatCode="0.00_);[Red]\(0.00\)">
                  <c:v>2.808</c:v>
                </c:pt>
                <c:pt idx="84" c:formatCode="0.00_);[Red]\(0.00\)">
                  <c:v>2.841</c:v>
                </c:pt>
                <c:pt idx="85" c:formatCode="0.00_);[Red]\(0.00\)">
                  <c:v>2.875</c:v>
                </c:pt>
                <c:pt idx="86" c:formatCode="0.00_);[Red]\(0.00\)">
                  <c:v>2.908</c:v>
                </c:pt>
                <c:pt idx="87" c:formatCode="0.00_);[Red]\(0.00\)">
                  <c:v>2.942</c:v>
                </c:pt>
                <c:pt idx="88" c:formatCode="0.00_);[Red]\(0.00\)">
                  <c:v>2.975</c:v>
                </c:pt>
                <c:pt idx="89" c:formatCode="0.00_);[Red]\(0.00\)">
                  <c:v>3.008</c:v>
                </c:pt>
                <c:pt idx="90" c:formatCode="0.00_);[Red]\(0.00\)">
                  <c:v>3.042</c:v>
                </c:pt>
                <c:pt idx="91" c:formatCode="0.00_);[Red]\(0.00\)">
                  <c:v>3.075</c:v>
                </c:pt>
                <c:pt idx="92" c:formatCode="0.00_);[Red]\(0.00\)">
                  <c:v>3.109</c:v>
                </c:pt>
                <c:pt idx="93" c:formatCode="0.00_);[Red]\(0.00\)">
                  <c:v>3.142</c:v>
                </c:pt>
                <c:pt idx="94" c:formatCode="0.00_);[Red]\(0.00\)">
                  <c:v>3.176</c:v>
                </c:pt>
                <c:pt idx="95" c:formatCode="0.00_);[Red]\(0.00\)">
                  <c:v>3.209</c:v>
                </c:pt>
                <c:pt idx="96" c:formatCode="0.00_);[Red]\(0.00\)">
                  <c:v>3.242</c:v>
                </c:pt>
                <c:pt idx="97" c:formatCode="0.00_);[Red]\(0.00\)">
                  <c:v>3.276</c:v>
                </c:pt>
                <c:pt idx="98" c:formatCode="0.00_);[Red]\(0.00\)">
                  <c:v>3.309</c:v>
                </c:pt>
                <c:pt idx="99" c:formatCode="0.00_);[Red]\(0.00\)">
                  <c:v>3.343</c:v>
                </c:pt>
                <c:pt idx="100" c:formatCode="0.00_);[Red]\(0.00\)">
                  <c:v>3.376</c:v>
                </c:pt>
                <c:pt idx="101" c:formatCode="0.00_);[Red]\(0.00\)">
                  <c:v>3.41</c:v>
                </c:pt>
                <c:pt idx="102" c:formatCode="0.00_);[Red]\(0.00\)">
                  <c:v>3.443</c:v>
                </c:pt>
                <c:pt idx="103" c:formatCode="0.00_);[Red]\(0.00\)">
                  <c:v>3.476</c:v>
                </c:pt>
                <c:pt idx="104" c:formatCode="0.00_);[Red]\(0.00\)">
                  <c:v>3.51</c:v>
                </c:pt>
                <c:pt idx="105" c:formatCode="0.00_);[Red]\(0.00\)">
                  <c:v>3.543</c:v>
                </c:pt>
                <c:pt idx="106" c:formatCode="0.00_);[Red]\(0.00\)">
                  <c:v>3.577</c:v>
                </c:pt>
                <c:pt idx="107" c:formatCode="0.00_);[Red]\(0.00\)">
                  <c:v>3.61</c:v>
                </c:pt>
                <c:pt idx="108" c:formatCode="0.00_);[Red]\(0.00\)">
                  <c:v>3.643</c:v>
                </c:pt>
                <c:pt idx="109" c:formatCode="0.00_);[Red]\(0.00\)">
                  <c:v>3.677</c:v>
                </c:pt>
                <c:pt idx="110" c:formatCode="0.00_);[Red]\(0.00\)">
                  <c:v>3.71</c:v>
                </c:pt>
                <c:pt idx="111" c:formatCode="0.00_);[Red]\(0.00\)">
                  <c:v>3.744</c:v>
                </c:pt>
                <c:pt idx="112" c:formatCode="0.00_);[Red]\(0.00\)">
                  <c:v>3.777</c:v>
                </c:pt>
                <c:pt idx="113" c:formatCode="0.00_);[Red]\(0.00\)">
                  <c:v>3.811</c:v>
                </c:pt>
                <c:pt idx="114" c:formatCode="0.00_);[Red]\(0.00\)">
                  <c:v>3.844</c:v>
                </c:pt>
                <c:pt idx="115" c:formatCode="0.00_);[Red]\(0.00\)">
                  <c:v>3.877</c:v>
                </c:pt>
                <c:pt idx="116" c:formatCode="0.00_);[Red]\(0.00\)">
                  <c:v>3.911</c:v>
                </c:pt>
                <c:pt idx="117" c:formatCode="0.00_);[Red]\(0.00\)">
                  <c:v>3.944</c:v>
                </c:pt>
                <c:pt idx="118" c:formatCode="0.00_);[Red]\(0.00\)">
                  <c:v>3.978</c:v>
                </c:pt>
                <c:pt idx="119" c:formatCode="0.00_);[Red]\(0.00\)">
                  <c:v>4.011</c:v>
                </c:pt>
                <c:pt idx="120" c:formatCode="0.00_);[Red]\(0.00\)">
                  <c:v>4.045</c:v>
                </c:pt>
                <c:pt idx="121" c:formatCode="0.00_);[Red]\(0.00\)">
                  <c:v>4.078</c:v>
                </c:pt>
                <c:pt idx="122" c:formatCode="0.00_);[Red]\(0.00\)">
                  <c:v>4.111</c:v>
                </c:pt>
                <c:pt idx="123" c:formatCode="0.00_);[Red]\(0.00\)">
                  <c:v>4.145</c:v>
                </c:pt>
                <c:pt idx="124" c:formatCode="0.00_);[Red]\(0.00\)">
                  <c:v>4.178</c:v>
                </c:pt>
                <c:pt idx="125" c:formatCode="0.00_);[Red]\(0.00\)">
                  <c:v>4.212</c:v>
                </c:pt>
                <c:pt idx="126" c:formatCode="0.00_);[Red]\(0.00\)">
                  <c:v>4.245</c:v>
                </c:pt>
                <c:pt idx="127" c:formatCode="0.00_);[Red]\(0.00\)">
                  <c:v>4.279</c:v>
                </c:pt>
                <c:pt idx="128" c:formatCode="0.00_);[Red]\(0.00\)">
                  <c:v>4.312</c:v>
                </c:pt>
                <c:pt idx="129" c:formatCode="0.00_);[Red]\(0.00\)">
                  <c:v>4.345</c:v>
                </c:pt>
                <c:pt idx="130" c:formatCode="0.00_);[Red]\(0.00\)">
                  <c:v>4.379</c:v>
                </c:pt>
                <c:pt idx="131" c:formatCode="0.00_);[Red]\(0.00\)">
                  <c:v>4.412</c:v>
                </c:pt>
                <c:pt idx="132" c:formatCode="0.00_);[Red]\(0.00\)">
                  <c:v>4.446</c:v>
                </c:pt>
                <c:pt idx="133" c:formatCode="0.00_);[Red]\(0.00\)">
                  <c:v>4.479</c:v>
                </c:pt>
                <c:pt idx="134" c:formatCode="0.00_);[Red]\(0.00\)">
                  <c:v>4.513</c:v>
                </c:pt>
                <c:pt idx="135" c:formatCode="0.00_);[Red]\(0.00\)">
                  <c:v>4.546</c:v>
                </c:pt>
                <c:pt idx="136" c:formatCode="0.00_);[Red]\(0.00\)">
                  <c:v>4.579</c:v>
                </c:pt>
                <c:pt idx="137" c:formatCode="0.00_);[Red]\(0.00\)">
                  <c:v>4.613</c:v>
                </c:pt>
                <c:pt idx="138" c:formatCode="0.00_);[Red]\(0.00\)">
                  <c:v>4.646</c:v>
                </c:pt>
                <c:pt idx="139" c:formatCode="0.00_);[Red]\(0.00\)">
                  <c:v>4.68</c:v>
                </c:pt>
                <c:pt idx="140" c:formatCode="0.00_);[Red]\(0.00\)">
                  <c:v>4.713</c:v>
                </c:pt>
                <c:pt idx="141" c:formatCode="0.00_);[Red]\(0.00\)">
                  <c:v>4.747</c:v>
                </c:pt>
                <c:pt idx="142" c:formatCode="0.00_);[Red]\(0.00\)">
                  <c:v>4.78</c:v>
                </c:pt>
                <c:pt idx="143" c:formatCode="0.00_);[Red]\(0.00\)">
                  <c:v>4.813</c:v>
                </c:pt>
                <c:pt idx="144" c:formatCode="0.00_);[Red]\(0.00\)">
                  <c:v>4.847</c:v>
                </c:pt>
                <c:pt idx="145" c:formatCode="0.00_);[Red]\(0.00\)">
                  <c:v>4.88</c:v>
                </c:pt>
                <c:pt idx="146" c:formatCode="0.00_);[Red]\(0.00\)">
                  <c:v>4.914</c:v>
                </c:pt>
                <c:pt idx="147" c:formatCode="0.00_);[Red]\(0.00\)">
                  <c:v>4.947</c:v>
                </c:pt>
                <c:pt idx="148" c:formatCode="0.00_);[Red]\(0.00\)">
                  <c:v>4.981</c:v>
                </c:pt>
                <c:pt idx="149" c:formatCode="0.00_);[Red]\(0.00\)">
                  <c:v>5.014</c:v>
                </c:pt>
                <c:pt idx="150" c:formatCode="0.00_);[Red]\(0.00\)">
                  <c:v>5.047</c:v>
                </c:pt>
                <c:pt idx="151" c:formatCode="0.00_);[Red]\(0.00\)">
                  <c:v>5.081</c:v>
                </c:pt>
                <c:pt idx="152" c:formatCode="0.00_);[Red]\(0.00\)">
                  <c:v>5.114</c:v>
                </c:pt>
                <c:pt idx="153" c:formatCode="0.00_);[Red]\(0.00\)">
                  <c:v>5.148</c:v>
                </c:pt>
                <c:pt idx="154" c:formatCode="0.00_);[Red]\(0.00\)">
                  <c:v>5.181</c:v>
                </c:pt>
                <c:pt idx="155" c:formatCode="0.00_);[Red]\(0.00\)">
                  <c:v>5.215</c:v>
                </c:pt>
                <c:pt idx="156" c:formatCode="0.00_);[Red]\(0.00\)">
                  <c:v>5.248</c:v>
                </c:pt>
                <c:pt idx="157" c:formatCode="0.00_);[Red]\(0.00\)">
                  <c:v>5.281</c:v>
                </c:pt>
                <c:pt idx="158" c:formatCode="0.00_);[Red]\(0.00\)">
                  <c:v>5.315</c:v>
                </c:pt>
                <c:pt idx="159" c:formatCode="0.00_);[Red]\(0.00\)">
                  <c:v>5.348</c:v>
                </c:pt>
                <c:pt idx="160" c:formatCode="0.00_);[Red]\(0.00\)">
                  <c:v>5.382</c:v>
                </c:pt>
                <c:pt idx="161" c:formatCode="0.00_);[Red]\(0.00\)">
                  <c:v>5.415</c:v>
                </c:pt>
                <c:pt idx="162" c:formatCode="0.00_);[Red]\(0.00\)">
                  <c:v>5.449</c:v>
                </c:pt>
                <c:pt idx="163" c:formatCode="0.00_);[Red]\(0.00\)">
                  <c:v>5.482</c:v>
                </c:pt>
                <c:pt idx="164" c:formatCode="0.00_);[Red]\(0.00\)">
                  <c:v>5.515</c:v>
                </c:pt>
                <c:pt idx="165" c:formatCode="0.00_);[Red]\(0.00\)">
                  <c:v>5.549</c:v>
                </c:pt>
                <c:pt idx="166" c:formatCode="0.00_);[Red]\(0.00\)">
                  <c:v>5.582</c:v>
                </c:pt>
                <c:pt idx="167" c:formatCode="0.00_);[Red]\(0.00\)">
                  <c:v>5.616</c:v>
                </c:pt>
                <c:pt idx="168" c:formatCode="0.00_);[Red]\(0.00\)">
                  <c:v>5.649</c:v>
                </c:pt>
                <c:pt idx="169" c:formatCode="0.00_);[Red]\(0.00\)">
                  <c:v>5.683</c:v>
                </c:pt>
                <c:pt idx="170" c:formatCode="0.00_);[Red]\(0.00\)">
                  <c:v>5.716</c:v>
                </c:pt>
                <c:pt idx="171" c:formatCode="0.00_);[Red]\(0.00\)">
                  <c:v>5.749</c:v>
                </c:pt>
                <c:pt idx="172" c:formatCode="0.00_);[Red]\(0.00\)">
                  <c:v>5.783</c:v>
                </c:pt>
                <c:pt idx="173" c:formatCode="0.00_);[Red]\(0.00\)">
                  <c:v>5.816</c:v>
                </c:pt>
                <c:pt idx="174" c:formatCode="0.00_);[Red]\(0.00\)">
                  <c:v>5.85</c:v>
                </c:pt>
                <c:pt idx="175" c:formatCode="0.00_);[Red]\(0.00\)">
                  <c:v>5.883</c:v>
                </c:pt>
                <c:pt idx="176" c:formatCode="0.00_);[Red]\(0.00\)">
                  <c:v>5.917</c:v>
                </c:pt>
                <c:pt idx="177" c:formatCode="0.00_);[Red]\(0.00\)">
                  <c:v>5.95</c:v>
                </c:pt>
                <c:pt idx="178" c:formatCode="0.00_);[Red]\(0.00\)">
                  <c:v>5.983</c:v>
                </c:pt>
                <c:pt idx="179" c:formatCode="0.00_);[Red]\(0.00\)">
                  <c:v>6.017</c:v>
                </c:pt>
                <c:pt idx="180" c:formatCode="0.00_);[Red]\(0.00\)">
                  <c:v>6.05</c:v>
                </c:pt>
                <c:pt idx="181" c:formatCode="0.00_);[Red]\(0.00\)">
                  <c:v>6.084</c:v>
                </c:pt>
                <c:pt idx="182" c:formatCode="0.00_);[Red]\(0.00\)">
                  <c:v>6.117</c:v>
                </c:pt>
                <c:pt idx="183" c:formatCode="0.00_);[Red]\(0.00\)">
                  <c:v>6.15</c:v>
                </c:pt>
                <c:pt idx="184" c:formatCode="0.00_);[Red]\(0.00\)">
                  <c:v>6.184</c:v>
                </c:pt>
                <c:pt idx="185" c:formatCode="0.00_);[Red]\(0.00\)">
                  <c:v>6.217</c:v>
                </c:pt>
                <c:pt idx="186" c:formatCode="0.00_);[Red]\(0.00\)">
                  <c:v>6.251</c:v>
                </c:pt>
                <c:pt idx="187" c:formatCode="0.00_);[Red]\(0.00\)">
                  <c:v>6.284</c:v>
                </c:pt>
                <c:pt idx="188" c:formatCode="0.00_);[Red]\(0.00\)">
                  <c:v>6.318</c:v>
                </c:pt>
                <c:pt idx="189" c:formatCode="0.00_);[Red]\(0.00\)">
                  <c:v>6.351</c:v>
                </c:pt>
                <c:pt idx="190" c:formatCode="0.00_);[Red]\(0.00\)">
                  <c:v>6.384</c:v>
                </c:pt>
                <c:pt idx="191" c:formatCode="0.00_);[Red]\(0.00\)">
                  <c:v>6.418</c:v>
                </c:pt>
                <c:pt idx="192" c:formatCode="0.00_);[Red]\(0.00\)">
                  <c:v>6.451</c:v>
                </c:pt>
                <c:pt idx="193" c:formatCode="0.00_);[Red]\(0.00\)">
                  <c:v>6.485</c:v>
                </c:pt>
                <c:pt idx="194" c:formatCode="0.00_);[Red]\(0.00\)">
                  <c:v>6.518</c:v>
                </c:pt>
                <c:pt idx="195" c:formatCode="0.00_);[Red]\(0.00\)">
                  <c:v>6.552</c:v>
                </c:pt>
                <c:pt idx="196" c:formatCode="0.00_);[Red]\(0.00\)">
                  <c:v>6.585</c:v>
                </c:pt>
                <c:pt idx="197" c:formatCode="0.00_);[Red]\(0.00\)">
                  <c:v>6.618</c:v>
                </c:pt>
                <c:pt idx="198" c:formatCode="0.00_);[Red]\(0.00\)">
                  <c:v>6.652</c:v>
                </c:pt>
                <c:pt idx="199" c:formatCode="0.00_);[Red]\(0.00\)">
                  <c:v>6.685</c:v>
                </c:pt>
                <c:pt idx="200" c:formatCode="0.00_);[Red]\(0.00\)">
                  <c:v>6.719</c:v>
                </c:pt>
                <c:pt idx="201" c:formatCode="0.00_);[Red]\(0.00\)">
                  <c:v>6.752</c:v>
                </c:pt>
                <c:pt idx="202" c:formatCode="0.00_);[Red]\(0.00\)">
                  <c:v>6.786</c:v>
                </c:pt>
                <c:pt idx="203" c:formatCode="0.00_);[Red]\(0.00\)">
                  <c:v>6.819</c:v>
                </c:pt>
                <c:pt idx="204" c:formatCode="0.00_);[Red]\(0.00\)">
                  <c:v>6.852</c:v>
                </c:pt>
                <c:pt idx="205" c:formatCode="0.00_);[Red]\(0.00\)">
                  <c:v>6.886</c:v>
                </c:pt>
                <c:pt idx="206" c:formatCode="0.00_);[Red]\(0.00\)">
                  <c:v>6.919</c:v>
                </c:pt>
                <c:pt idx="207" c:formatCode="0.00_);[Red]\(0.00\)">
                  <c:v>6.953</c:v>
                </c:pt>
                <c:pt idx="208" c:formatCode="0.00_);[Red]\(0.00\)">
                  <c:v>6.986</c:v>
                </c:pt>
                <c:pt idx="209" c:formatCode="0.00_);[Red]\(0.00\)">
                  <c:v>7.02</c:v>
                </c:pt>
                <c:pt idx="210" c:formatCode="0.00_);[Red]\(0.00\)">
                  <c:v>7.053</c:v>
                </c:pt>
                <c:pt idx="211" c:formatCode="0.00_);[Red]\(0.00\)">
                  <c:v>7.086</c:v>
                </c:pt>
                <c:pt idx="212" c:formatCode="0.00_);[Red]\(0.00\)">
                  <c:v>7.12</c:v>
                </c:pt>
                <c:pt idx="213" c:formatCode="0.00_);[Red]\(0.00\)">
                  <c:v>7.153</c:v>
                </c:pt>
                <c:pt idx="214" c:formatCode="0.00_);[Red]\(0.00\)">
                  <c:v>7.187</c:v>
                </c:pt>
                <c:pt idx="215" c:formatCode="0.00_);[Red]\(0.00\)">
                  <c:v>7.22</c:v>
                </c:pt>
                <c:pt idx="216" c:formatCode="0.00_);[Red]\(0.00\)">
                  <c:v>7.254</c:v>
                </c:pt>
                <c:pt idx="217" c:formatCode="0.00_);[Red]\(0.00\)">
                  <c:v>7.287</c:v>
                </c:pt>
                <c:pt idx="218" c:formatCode="0.00_);[Red]\(0.00\)">
                  <c:v>7.32</c:v>
                </c:pt>
                <c:pt idx="219" c:formatCode="0.00_);[Red]\(0.00\)">
                  <c:v>7.354</c:v>
                </c:pt>
                <c:pt idx="220" c:formatCode="0.00_);[Red]\(0.00\)">
                  <c:v>7.387</c:v>
                </c:pt>
                <c:pt idx="221" c:formatCode="0.00_);[Red]\(0.00\)">
                  <c:v>7.421</c:v>
                </c:pt>
                <c:pt idx="222" c:formatCode="0.00_);[Red]\(0.00\)">
                  <c:v>7.454</c:v>
                </c:pt>
                <c:pt idx="223" c:formatCode="0.00_);[Red]\(0.00\)">
                  <c:v>7.488</c:v>
                </c:pt>
                <c:pt idx="224" c:formatCode="0.00_);[Red]\(0.00\)">
                  <c:v>7.521</c:v>
                </c:pt>
                <c:pt idx="225" c:formatCode="0.00_);[Red]\(0.00\)">
                  <c:v>7.554</c:v>
                </c:pt>
                <c:pt idx="226" c:formatCode="0.00_);[Red]\(0.00\)">
                  <c:v>7.588</c:v>
                </c:pt>
                <c:pt idx="227" c:formatCode="0.00_);[Red]\(0.00\)">
                  <c:v>7.621</c:v>
                </c:pt>
                <c:pt idx="228" c:formatCode="0.00_);[Red]\(0.00\)">
                  <c:v>7.655</c:v>
                </c:pt>
                <c:pt idx="229" c:formatCode="0.00_);[Red]\(0.00\)">
                  <c:v>7.688</c:v>
                </c:pt>
                <c:pt idx="230" c:formatCode="0.00_);[Red]\(0.00\)">
                  <c:v>7.722</c:v>
                </c:pt>
                <c:pt idx="231" c:formatCode="0.00_);[Red]\(0.00\)">
                  <c:v>7.755</c:v>
                </c:pt>
                <c:pt idx="232" c:formatCode="0.00_);[Red]\(0.00\)">
                  <c:v>7.788</c:v>
                </c:pt>
                <c:pt idx="233" c:formatCode="0.00_);[Red]\(0.00\)">
                  <c:v>7.822</c:v>
                </c:pt>
                <c:pt idx="234" c:formatCode="0.00_);[Red]\(0.00\)">
                  <c:v>7.855</c:v>
                </c:pt>
                <c:pt idx="235" c:formatCode="0.00_);[Red]\(0.00\)">
                  <c:v>7.889</c:v>
                </c:pt>
                <c:pt idx="236" c:formatCode="0.00_);[Red]\(0.00\)">
                  <c:v>7.922</c:v>
                </c:pt>
                <c:pt idx="237" c:formatCode="0.00_);[Red]\(0.00\)">
                  <c:v>7.956</c:v>
                </c:pt>
                <c:pt idx="238" c:formatCode="0.00_);[Red]\(0.00\)">
                  <c:v>7.989</c:v>
                </c:pt>
                <c:pt idx="239" c:formatCode="0.00_);[Red]\(0.00\)">
                  <c:v>8.022</c:v>
                </c:pt>
                <c:pt idx="240" c:formatCode="0.00_);[Red]\(0.00\)">
                  <c:v>8.056</c:v>
                </c:pt>
                <c:pt idx="241" c:formatCode="0.00_);[Red]\(0.00\)">
                  <c:v>8.089</c:v>
                </c:pt>
                <c:pt idx="242" c:formatCode="0.00_);[Red]\(0.00\)">
                  <c:v>8.123</c:v>
                </c:pt>
                <c:pt idx="243" c:formatCode="0.00_);[Red]\(0.00\)">
                  <c:v>8.156</c:v>
                </c:pt>
                <c:pt idx="244" c:formatCode="0.00_);[Red]\(0.00\)">
                  <c:v>8.19</c:v>
                </c:pt>
                <c:pt idx="245" c:formatCode="0.00_);[Red]\(0.00\)">
                  <c:v>8.223</c:v>
                </c:pt>
                <c:pt idx="246" c:formatCode="0.00_);[Red]\(0.00\)">
                  <c:v>8.256</c:v>
                </c:pt>
                <c:pt idx="247" c:formatCode="0.00_);[Red]\(0.00\)">
                  <c:v>8.29</c:v>
                </c:pt>
                <c:pt idx="248" c:formatCode="0.00_);[Red]\(0.00\)">
                  <c:v>8.323</c:v>
                </c:pt>
                <c:pt idx="249" c:formatCode="0.00_);[Red]\(0.00\)">
                  <c:v>8.357</c:v>
                </c:pt>
                <c:pt idx="250" c:formatCode="0.00_);[Red]\(0.00\)">
                  <c:v>8.39</c:v>
                </c:pt>
                <c:pt idx="251" c:formatCode="0.00_);[Red]\(0.00\)">
                  <c:v>8.424</c:v>
                </c:pt>
                <c:pt idx="252" c:formatCode="0.00_);[Red]\(0.00\)">
                  <c:v>8.457</c:v>
                </c:pt>
                <c:pt idx="253" c:formatCode="0.00_);[Red]\(0.00\)">
                  <c:v>8.49</c:v>
                </c:pt>
                <c:pt idx="254" c:formatCode="0.00_);[Red]\(0.00\)">
                  <c:v>8.524</c:v>
                </c:pt>
                <c:pt idx="255" c:formatCode="0.00_);[Red]\(0.00\)">
                  <c:v>8.557</c:v>
                </c:pt>
                <c:pt idx="256" c:formatCode="0.00_);[Red]\(0.00\)">
                  <c:v>8.591</c:v>
                </c:pt>
                <c:pt idx="257" c:formatCode="0.00_);[Red]\(0.00\)">
                  <c:v>8.624</c:v>
                </c:pt>
                <c:pt idx="258" c:formatCode="0.00_);[Red]\(0.00\)">
                  <c:v>8.657</c:v>
                </c:pt>
                <c:pt idx="259" c:formatCode="0.00_);[Red]\(0.00\)">
                  <c:v>8.691</c:v>
                </c:pt>
                <c:pt idx="260" c:formatCode="0.00_);[Red]\(0.00\)">
                  <c:v>8.724</c:v>
                </c:pt>
                <c:pt idx="261" c:formatCode="0.00_);[Red]\(0.00\)">
                  <c:v>8.758</c:v>
                </c:pt>
                <c:pt idx="262" c:formatCode="0.00_);[Red]\(0.00\)">
                  <c:v>8.791</c:v>
                </c:pt>
                <c:pt idx="263" c:formatCode="0.00_);[Red]\(0.00\)">
                  <c:v>8.825</c:v>
                </c:pt>
                <c:pt idx="264" c:formatCode="0.00_);[Red]\(0.00\)">
                  <c:v>8.858</c:v>
                </c:pt>
                <c:pt idx="265" c:formatCode="0.00_);[Red]\(0.00\)">
                  <c:v>8.891</c:v>
                </c:pt>
                <c:pt idx="266" c:formatCode="0.00_);[Red]\(0.00\)">
                  <c:v>8.925</c:v>
                </c:pt>
                <c:pt idx="267" c:formatCode="0.00_);[Red]\(0.00\)">
                  <c:v>8.958</c:v>
                </c:pt>
                <c:pt idx="268" c:formatCode="0.00_);[Red]\(0.00\)">
                  <c:v>8.992</c:v>
                </c:pt>
                <c:pt idx="269" c:formatCode="0.00_);[Red]\(0.00\)">
                  <c:v>9.025</c:v>
                </c:pt>
                <c:pt idx="270" c:formatCode="0.00_);[Red]\(0.00\)">
                  <c:v>9.059</c:v>
                </c:pt>
                <c:pt idx="271" c:formatCode="0.00_);[Red]\(0.00\)">
                  <c:v>9.092</c:v>
                </c:pt>
                <c:pt idx="272" c:formatCode="0.00_);[Red]\(0.00\)">
                  <c:v>9.125</c:v>
                </c:pt>
                <c:pt idx="273" c:formatCode="0.00_);[Red]\(0.00\)">
                  <c:v>9.159</c:v>
                </c:pt>
                <c:pt idx="274" c:formatCode="0.00_);[Red]\(0.00\)">
                  <c:v>9.192</c:v>
                </c:pt>
                <c:pt idx="275" c:formatCode="0.00_);[Red]\(0.00\)">
                  <c:v>9.226</c:v>
                </c:pt>
                <c:pt idx="276" c:formatCode="0.00_);[Red]\(0.00\)">
                  <c:v>9.259</c:v>
                </c:pt>
                <c:pt idx="277" c:formatCode="0.00_);[Red]\(0.00\)">
                  <c:v>9.293</c:v>
                </c:pt>
                <c:pt idx="278" c:formatCode="0.00_);[Red]\(0.00\)">
                  <c:v>9.326</c:v>
                </c:pt>
                <c:pt idx="279" c:formatCode="0.00_);[Red]\(0.00\)">
                  <c:v>9.359</c:v>
                </c:pt>
                <c:pt idx="280" c:formatCode="0.00_);[Red]\(0.00\)">
                  <c:v>9.393</c:v>
                </c:pt>
                <c:pt idx="281" c:formatCode="0.00_);[Red]\(0.00\)">
                  <c:v>9.426</c:v>
                </c:pt>
                <c:pt idx="282" c:formatCode="0.00_);[Red]\(0.00\)">
                  <c:v>9.46</c:v>
                </c:pt>
                <c:pt idx="283" c:formatCode="0.00_);[Red]\(0.00\)">
                  <c:v>9.493</c:v>
                </c:pt>
                <c:pt idx="284" c:formatCode="0.00_);[Red]\(0.00\)">
                  <c:v>9.527</c:v>
                </c:pt>
                <c:pt idx="285" c:formatCode="0.00_);[Red]\(0.00\)">
                  <c:v>9.56</c:v>
                </c:pt>
                <c:pt idx="286" c:formatCode="0.00_);[Red]\(0.00\)">
                  <c:v>9.593</c:v>
                </c:pt>
                <c:pt idx="287" c:formatCode="0.00_);[Red]\(0.00\)">
                  <c:v>9.627</c:v>
                </c:pt>
                <c:pt idx="288" c:formatCode="0.00_);[Red]\(0.00\)">
                  <c:v>9.66</c:v>
                </c:pt>
                <c:pt idx="289" c:formatCode="0.00_);[Red]\(0.00\)">
                  <c:v>9.694</c:v>
                </c:pt>
                <c:pt idx="290" c:formatCode="0.00_);[Red]\(0.00\)">
                  <c:v>9.727</c:v>
                </c:pt>
                <c:pt idx="291" c:formatCode="0.00_);[Red]\(0.00\)">
                  <c:v>9.761</c:v>
                </c:pt>
                <c:pt idx="292" c:formatCode="0.00_);[Red]\(0.00\)">
                  <c:v>9.794</c:v>
                </c:pt>
                <c:pt idx="293" c:formatCode="0.00_);[Red]\(0.00\)">
                  <c:v>9.827</c:v>
                </c:pt>
                <c:pt idx="294" c:formatCode="0.00_);[Red]\(0.00\)">
                  <c:v>9.861</c:v>
                </c:pt>
                <c:pt idx="295" c:formatCode="0.00_);[Red]\(0.00\)">
                  <c:v>9.894</c:v>
                </c:pt>
                <c:pt idx="296" c:formatCode="0.00_);[Red]\(0.00\)">
                  <c:v>9.928</c:v>
                </c:pt>
                <c:pt idx="297" c:formatCode="0.00_);[Red]\(0.00\)">
                  <c:v>9.961</c:v>
                </c:pt>
                <c:pt idx="298" c:formatCode="0.00_);[Red]\(0.00\)">
                  <c:v>9.995</c:v>
                </c:pt>
                <c:pt idx="299" c:formatCode="0.00_);[Red]\(0.00\)">
                  <c:v>10.028</c:v>
                </c:pt>
                <c:pt idx="300" c:formatCode="0.00_);[Red]\(0.00\)">
                  <c:v>10.061</c:v>
                </c:pt>
                <c:pt idx="301" c:formatCode="0.00_);[Red]\(0.00\)">
                  <c:v>10.095</c:v>
                </c:pt>
                <c:pt idx="302" c:formatCode="0.00_);[Red]\(0.00\)">
                  <c:v>10.128</c:v>
                </c:pt>
                <c:pt idx="303" c:formatCode="0.00_);[Red]\(0.00\)">
                  <c:v>10.162</c:v>
                </c:pt>
                <c:pt idx="304" c:formatCode="0.00_);[Red]\(0.00\)">
                  <c:v>10.195</c:v>
                </c:pt>
                <c:pt idx="305" c:formatCode="0.00_);[Red]\(0.00\)">
                  <c:v>10.229</c:v>
                </c:pt>
                <c:pt idx="306" c:formatCode="0.00_);[Red]\(0.00\)">
                  <c:v>10.262</c:v>
                </c:pt>
                <c:pt idx="307" c:formatCode="0.00_);[Red]\(0.00\)">
                  <c:v>10.295</c:v>
                </c:pt>
                <c:pt idx="308" c:formatCode="0.00_);[Red]\(0.00\)">
                  <c:v>10.329</c:v>
                </c:pt>
                <c:pt idx="309" c:formatCode="0.00_);[Red]\(0.00\)">
                  <c:v>10.362</c:v>
                </c:pt>
                <c:pt idx="310" c:formatCode="0.00_);[Red]\(0.00\)">
                  <c:v>10.396</c:v>
                </c:pt>
                <c:pt idx="311" c:formatCode="0.00_);[Red]\(0.00\)">
                  <c:v>10.429</c:v>
                </c:pt>
                <c:pt idx="312" c:formatCode="0.00_);[Red]\(0.00\)">
                  <c:v>10.463</c:v>
                </c:pt>
                <c:pt idx="313" c:formatCode="0.00_);[Red]\(0.00\)">
                  <c:v>10.496</c:v>
                </c:pt>
                <c:pt idx="314" c:formatCode="0.00_);[Red]\(0.00\)">
                  <c:v>10.529</c:v>
                </c:pt>
                <c:pt idx="315" c:formatCode="0.00_);[Red]\(0.00\)">
                  <c:v>10.563</c:v>
                </c:pt>
                <c:pt idx="316" c:formatCode="0.00_);[Red]\(0.00\)">
                  <c:v>10.596</c:v>
                </c:pt>
                <c:pt idx="317" c:formatCode="0.00_);[Red]\(0.00\)">
                  <c:v>10.63</c:v>
                </c:pt>
                <c:pt idx="318" c:formatCode="0.00_);[Red]\(0.00\)">
                  <c:v>10.663</c:v>
                </c:pt>
                <c:pt idx="319" c:formatCode="0.00_);[Red]\(0.00\)">
                  <c:v>10.697</c:v>
                </c:pt>
                <c:pt idx="320" c:formatCode="0.00_);[Red]\(0.00\)">
                  <c:v>10.73</c:v>
                </c:pt>
                <c:pt idx="321" c:formatCode="0.00_);[Red]\(0.00\)">
                  <c:v>10.763</c:v>
                </c:pt>
                <c:pt idx="322" c:formatCode="0.00_);[Red]\(0.00\)">
                  <c:v>10.797</c:v>
                </c:pt>
                <c:pt idx="323" c:formatCode="0.00_);[Red]\(0.00\)">
                  <c:v>10.83</c:v>
                </c:pt>
                <c:pt idx="324" c:formatCode="0.00_);[Red]\(0.00\)">
                  <c:v>10.864</c:v>
                </c:pt>
                <c:pt idx="325" c:formatCode="0.00_);[Red]\(0.00\)">
                  <c:v>10.897</c:v>
                </c:pt>
                <c:pt idx="326" c:formatCode="0.00_);[Red]\(0.00\)">
                  <c:v>10.93</c:v>
                </c:pt>
                <c:pt idx="327" c:formatCode="0.00_);[Red]\(0.00\)">
                  <c:v>10.964</c:v>
                </c:pt>
                <c:pt idx="328" c:formatCode="0.00_);[Red]\(0.00\)">
                  <c:v>10.997</c:v>
                </c:pt>
                <c:pt idx="329" c:formatCode="0.00_);[Red]\(0.00\)">
                  <c:v>11.031</c:v>
                </c:pt>
                <c:pt idx="330" c:formatCode="0.00_);[Red]\(0.00\)">
                  <c:v>11.064</c:v>
                </c:pt>
                <c:pt idx="331" c:formatCode="0.00_);[Red]\(0.00\)">
                  <c:v>11.098</c:v>
                </c:pt>
                <c:pt idx="332" c:formatCode="0.00_);[Red]\(0.00\)">
                  <c:v>11.131</c:v>
                </c:pt>
                <c:pt idx="333" c:formatCode="0.00_);[Red]\(0.00\)">
                  <c:v>11.164</c:v>
                </c:pt>
                <c:pt idx="334" c:formatCode="0.00_);[Red]\(0.00\)">
                  <c:v>11.198</c:v>
                </c:pt>
                <c:pt idx="335" c:formatCode="0.00_);[Red]\(0.00\)">
                  <c:v>11.231</c:v>
                </c:pt>
                <c:pt idx="336" c:formatCode="0.00_);[Red]\(0.00\)">
                  <c:v>11.265</c:v>
                </c:pt>
                <c:pt idx="337" c:formatCode="0.00_);[Red]\(0.00\)">
                  <c:v>11.298</c:v>
                </c:pt>
                <c:pt idx="338" c:formatCode="0.00_);[Red]\(0.00\)">
                  <c:v>11.332</c:v>
                </c:pt>
                <c:pt idx="339" c:formatCode="0.00_);[Red]\(0.00\)">
                  <c:v>11.365</c:v>
                </c:pt>
                <c:pt idx="340" c:formatCode="0.00_);[Red]\(0.00\)">
                  <c:v>11.398</c:v>
                </c:pt>
                <c:pt idx="341" c:formatCode="0.00_);[Red]\(0.00\)">
                  <c:v>11.432</c:v>
                </c:pt>
                <c:pt idx="342" c:formatCode="0.00_);[Red]\(0.00\)">
                  <c:v>11.465</c:v>
                </c:pt>
                <c:pt idx="343" c:formatCode="0.00_);[Red]\(0.00\)">
                  <c:v>11.499</c:v>
                </c:pt>
                <c:pt idx="344" c:formatCode="0.00_);[Red]\(0.00\)">
                  <c:v>11.532</c:v>
                </c:pt>
                <c:pt idx="345" c:formatCode="0.00_);[Red]\(0.00\)">
                  <c:v>11.566</c:v>
                </c:pt>
                <c:pt idx="346" c:formatCode="0.00_);[Red]\(0.00\)">
                  <c:v>11.599</c:v>
                </c:pt>
                <c:pt idx="347" c:formatCode="0.00_);[Red]\(0.00\)">
                  <c:v>11.632</c:v>
                </c:pt>
                <c:pt idx="348" c:formatCode="0.00_);[Red]\(0.00\)">
                  <c:v>11.666</c:v>
                </c:pt>
                <c:pt idx="349" c:formatCode="0.00_);[Red]\(0.00\)">
                  <c:v>11.699</c:v>
                </c:pt>
                <c:pt idx="350" c:formatCode="0.00_);[Red]\(0.00\)">
                  <c:v>11.733</c:v>
                </c:pt>
                <c:pt idx="351" c:formatCode="0.00_);[Red]\(0.00\)">
                  <c:v>11.766</c:v>
                </c:pt>
                <c:pt idx="352" c:formatCode="0.00_);[Red]\(0.00\)">
                  <c:v>11.8</c:v>
                </c:pt>
                <c:pt idx="353" c:formatCode="0.00_);[Red]\(0.00\)">
                  <c:v>11.833</c:v>
                </c:pt>
                <c:pt idx="354" c:formatCode="0.00_);[Red]\(0.00\)">
                  <c:v>11.866</c:v>
                </c:pt>
                <c:pt idx="355" c:formatCode="0.00_);[Red]\(0.00\)">
                  <c:v>11.9</c:v>
                </c:pt>
                <c:pt idx="356" c:formatCode="0.00_);[Red]\(0.00\)">
                  <c:v>11.933</c:v>
                </c:pt>
                <c:pt idx="357" c:formatCode="0.00_);[Red]\(0.00\)">
                  <c:v>11.967</c:v>
                </c:pt>
                <c:pt idx="358" c:formatCode="0.00_);[Red]\(0.00\)">
                  <c:v>12</c:v>
                </c:pt>
                <c:pt idx="359" c:formatCode="0.00_);[Red]\(0.00\)">
                  <c:v>12.034</c:v>
                </c:pt>
                <c:pt idx="360" c:formatCode="0.00_);[Red]\(0.00\)">
                  <c:v>12.067</c:v>
                </c:pt>
                <c:pt idx="361" c:formatCode="0.00_);[Red]\(0.00\)">
                  <c:v>12.1</c:v>
                </c:pt>
                <c:pt idx="362" c:formatCode="0.00_);[Red]\(0.00\)">
                  <c:v>12.134</c:v>
                </c:pt>
                <c:pt idx="363" c:formatCode="0.00_);[Red]\(0.00\)">
                  <c:v>12.167</c:v>
                </c:pt>
                <c:pt idx="364" c:formatCode="0.00_);[Red]\(0.00\)">
                  <c:v>12.201</c:v>
                </c:pt>
                <c:pt idx="365" c:formatCode="0.00_);[Red]\(0.00\)">
                  <c:v>12.234</c:v>
                </c:pt>
                <c:pt idx="366" c:formatCode="0.00_);[Red]\(0.00\)">
                  <c:v>12.268</c:v>
                </c:pt>
                <c:pt idx="367" c:formatCode="0.00_);[Red]\(0.00\)">
                  <c:v>12.301</c:v>
                </c:pt>
                <c:pt idx="368" c:formatCode="0.00_);[Red]\(0.00\)">
                  <c:v>12.334</c:v>
                </c:pt>
                <c:pt idx="369" c:formatCode="0.00_);[Red]\(0.00\)">
                  <c:v>12.368</c:v>
                </c:pt>
                <c:pt idx="370" c:formatCode="0.00_);[Red]\(0.00\)">
                  <c:v>12.401</c:v>
                </c:pt>
                <c:pt idx="371" c:formatCode="0.00_);[Red]\(0.00\)">
                  <c:v>12.435</c:v>
                </c:pt>
                <c:pt idx="372" c:formatCode="0.00_);[Red]\(0.00\)">
                  <c:v>12.468</c:v>
                </c:pt>
                <c:pt idx="373" c:formatCode="0.00_);[Red]\(0.00\)">
                  <c:v>12.502</c:v>
                </c:pt>
                <c:pt idx="374" c:formatCode="0.00_);[Red]\(0.00\)">
                  <c:v>12.535</c:v>
                </c:pt>
                <c:pt idx="375" c:formatCode="0.00_);[Red]\(0.00\)">
                  <c:v>12.568</c:v>
                </c:pt>
                <c:pt idx="376" c:formatCode="0.00_);[Red]\(0.00\)">
                  <c:v>12.602</c:v>
                </c:pt>
                <c:pt idx="377" c:formatCode="0.00_);[Red]\(0.00\)">
                  <c:v>12.635</c:v>
                </c:pt>
                <c:pt idx="378" c:formatCode="0.00_);[Red]\(0.00\)">
                  <c:v>12.669</c:v>
                </c:pt>
                <c:pt idx="379" c:formatCode="0.00_);[Red]\(0.00\)">
                  <c:v>12.702</c:v>
                </c:pt>
                <c:pt idx="380" c:formatCode="0.00_);[Red]\(0.00\)">
                  <c:v>12.736</c:v>
                </c:pt>
                <c:pt idx="381" c:formatCode="0.00_);[Red]\(0.00\)">
                  <c:v>12.769</c:v>
                </c:pt>
                <c:pt idx="382" c:formatCode="0.00_);[Red]\(0.00\)">
                  <c:v>12.802</c:v>
                </c:pt>
                <c:pt idx="383" c:formatCode="0.00_);[Red]\(0.00\)">
                  <c:v>12.836</c:v>
                </c:pt>
                <c:pt idx="384" c:formatCode="0.00_);[Red]\(0.00\)">
                  <c:v>12.869</c:v>
                </c:pt>
                <c:pt idx="385" c:formatCode="0.00_);[Red]\(0.00\)">
                  <c:v>12.903</c:v>
                </c:pt>
                <c:pt idx="386" c:formatCode="0.00_);[Red]\(0.00\)">
                  <c:v>12.936</c:v>
                </c:pt>
                <c:pt idx="387" c:formatCode="0.00_);[Red]\(0.00\)">
                  <c:v>12.97</c:v>
                </c:pt>
                <c:pt idx="388" c:formatCode="0.00_);[Red]\(0.00\)">
                  <c:v>13.003</c:v>
                </c:pt>
                <c:pt idx="389" c:formatCode="0.00_);[Red]\(0.00\)">
                  <c:v>13.036</c:v>
                </c:pt>
                <c:pt idx="390" c:formatCode="0.00_);[Red]\(0.00\)">
                  <c:v>13.07</c:v>
                </c:pt>
                <c:pt idx="391" c:formatCode="0.00_);[Red]\(0.00\)">
                  <c:v>13.103</c:v>
                </c:pt>
                <c:pt idx="392" c:formatCode="0.00_);[Red]\(0.00\)">
                  <c:v>13.137</c:v>
                </c:pt>
                <c:pt idx="393" c:formatCode="0.00_);[Red]\(0.00\)">
                  <c:v>13.17</c:v>
                </c:pt>
                <c:pt idx="394" c:formatCode="0.00_);[Red]\(0.00\)">
                  <c:v>13.204</c:v>
                </c:pt>
                <c:pt idx="395" c:formatCode="0.00_);[Red]\(0.00\)">
                  <c:v>13.237</c:v>
                </c:pt>
                <c:pt idx="396" c:formatCode="0.00_);[Red]\(0.00\)">
                  <c:v>13.27</c:v>
                </c:pt>
                <c:pt idx="397" c:formatCode="0.00_);[Red]\(0.00\)">
                  <c:v>13.304</c:v>
                </c:pt>
                <c:pt idx="398" c:formatCode="0.00_);[Red]\(0.00\)">
                  <c:v>13.337</c:v>
                </c:pt>
                <c:pt idx="399" c:formatCode="0.00_);[Red]\(0.00\)">
                  <c:v>13.371</c:v>
                </c:pt>
                <c:pt idx="400" c:formatCode="0.00_);[Red]\(0.00\)">
                  <c:v>13.404</c:v>
                </c:pt>
                <c:pt idx="401" c:formatCode="0.00_);[Red]\(0.00\)">
                  <c:v>13.437</c:v>
                </c:pt>
                <c:pt idx="402" c:formatCode="0.00_);[Red]\(0.00\)">
                  <c:v>13.471</c:v>
                </c:pt>
                <c:pt idx="403" c:formatCode="0.00_);[Red]\(0.00\)">
                  <c:v>13.504</c:v>
                </c:pt>
                <c:pt idx="404" c:formatCode="0.00_);[Red]\(0.00\)">
                  <c:v>13.538</c:v>
                </c:pt>
                <c:pt idx="405" c:formatCode="0.00_);[Red]\(0.00\)">
                  <c:v>13.571</c:v>
                </c:pt>
                <c:pt idx="406" c:formatCode="0.00_);[Red]\(0.00\)">
                  <c:v>13.605</c:v>
                </c:pt>
                <c:pt idx="407" c:formatCode="0.00_);[Red]\(0.00\)">
                  <c:v>13.638</c:v>
                </c:pt>
                <c:pt idx="408" c:formatCode="0.00_);[Red]\(0.00\)">
                  <c:v>13.671</c:v>
                </c:pt>
                <c:pt idx="409" c:formatCode="0.00_);[Red]\(0.00\)">
                  <c:v>13.705</c:v>
                </c:pt>
                <c:pt idx="410" c:formatCode="0.00_);[Red]\(0.00\)">
                  <c:v>13.738</c:v>
                </c:pt>
                <c:pt idx="411" c:formatCode="0.00_);[Red]\(0.00\)">
                  <c:v>13.772</c:v>
                </c:pt>
                <c:pt idx="412" c:formatCode="0.00_);[Red]\(0.00\)">
                  <c:v>13.805</c:v>
                </c:pt>
                <c:pt idx="413" c:formatCode="0.00_);[Red]\(0.00\)">
                  <c:v>13.839</c:v>
                </c:pt>
                <c:pt idx="414" c:formatCode="0.00_);[Red]\(0.00\)">
                  <c:v>13.872</c:v>
                </c:pt>
                <c:pt idx="415" c:formatCode="0.00_);[Red]\(0.00\)">
                  <c:v>13.905</c:v>
                </c:pt>
                <c:pt idx="416" c:formatCode="0.00_);[Red]\(0.00\)">
                  <c:v>13.939</c:v>
                </c:pt>
                <c:pt idx="417" c:formatCode="0.00_);[Red]\(0.00\)">
                  <c:v>13.972</c:v>
                </c:pt>
                <c:pt idx="418" c:formatCode="0.00_);[Red]\(0.00\)">
                  <c:v>14.006</c:v>
                </c:pt>
                <c:pt idx="419" c:formatCode="0.00_);[Red]\(0.00\)">
                  <c:v>14.039</c:v>
                </c:pt>
                <c:pt idx="420" c:formatCode="0.00_);[Red]\(0.00\)">
                  <c:v>14.073</c:v>
                </c:pt>
                <c:pt idx="421" c:formatCode="0.00_);[Red]\(0.00\)">
                  <c:v>14.106</c:v>
                </c:pt>
                <c:pt idx="422" c:formatCode="0.00_);[Red]\(0.00\)">
                  <c:v>14.139</c:v>
                </c:pt>
                <c:pt idx="423" c:formatCode="0.00_);[Red]\(0.00\)">
                  <c:v>14.173</c:v>
                </c:pt>
                <c:pt idx="424" c:formatCode="0.00_);[Red]\(0.00\)">
                  <c:v>14.206</c:v>
                </c:pt>
                <c:pt idx="425" c:formatCode="0.00_);[Red]\(0.00\)">
                  <c:v>14.24</c:v>
                </c:pt>
                <c:pt idx="426" c:formatCode="0.00_);[Red]\(0.00\)">
                  <c:v>14.273</c:v>
                </c:pt>
                <c:pt idx="427" c:formatCode="0.00_);[Red]\(0.00\)">
                  <c:v>14.307</c:v>
                </c:pt>
                <c:pt idx="428" c:formatCode="0.00_);[Red]\(0.00\)">
                  <c:v>14.34</c:v>
                </c:pt>
                <c:pt idx="429" c:formatCode="0.00_);[Red]\(0.00\)">
                  <c:v>14.373</c:v>
                </c:pt>
                <c:pt idx="430" c:formatCode="0.00_);[Red]\(0.00\)">
                  <c:v>14.407</c:v>
                </c:pt>
                <c:pt idx="431" c:formatCode="0.00_);[Red]\(0.00\)">
                  <c:v>14.44</c:v>
                </c:pt>
                <c:pt idx="432" c:formatCode="0.00_);[Red]\(0.00\)">
                  <c:v>14.474</c:v>
                </c:pt>
                <c:pt idx="433" c:formatCode="0.00_);[Red]\(0.00\)">
                  <c:v>14.507</c:v>
                </c:pt>
                <c:pt idx="434" c:formatCode="0.00_);[Red]\(0.00\)">
                  <c:v>14.541</c:v>
                </c:pt>
                <c:pt idx="435" c:formatCode="0.00_);[Red]\(0.00\)">
                  <c:v>14.574</c:v>
                </c:pt>
                <c:pt idx="436" c:formatCode="0.00_);[Red]\(0.00\)">
                  <c:v>14.607</c:v>
                </c:pt>
                <c:pt idx="437" c:formatCode="0.00_);[Red]\(0.00\)">
                  <c:v>14.641</c:v>
                </c:pt>
                <c:pt idx="438" c:formatCode="0.00_);[Red]\(0.00\)">
                  <c:v>14.674</c:v>
                </c:pt>
                <c:pt idx="439" c:formatCode="0.00_);[Red]\(0.00\)">
                  <c:v>14.708</c:v>
                </c:pt>
                <c:pt idx="440" c:formatCode="0.00_);[Red]\(0.00\)">
                  <c:v>14.741</c:v>
                </c:pt>
                <c:pt idx="441" c:formatCode="0.00_);[Red]\(0.00\)">
                  <c:v>14.775</c:v>
                </c:pt>
                <c:pt idx="442" c:formatCode="0.00_);[Red]\(0.00\)">
                  <c:v>14.808</c:v>
                </c:pt>
                <c:pt idx="443" c:formatCode="0.00_);[Red]\(0.00\)">
                  <c:v>14.841</c:v>
                </c:pt>
                <c:pt idx="444" c:formatCode="0.00_);[Red]\(0.00\)">
                  <c:v>14.875</c:v>
                </c:pt>
                <c:pt idx="445" c:formatCode="0.00_);[Red]\(0.00\)">
                  <c:v>14.908</c:v>
                </c:pt>
                <c:pt idx="446" c:formatCode="0.00_);[Red]\(0.00\)">
                  <c:v>14.942</c:v>
                </c:pt>
                <c:pt idx="447" c:formatCode="0.00_);[Red]\(0.00\)">
                  <c:v>14.975</c:v>
                </c:pt>
                <c:pt idx="448" c:formatCode="0.00_);[Red]\(0.00\)">
                  <c:v>15.009</c:v>
                </c:pt>
                <c:pt idx="449" c:formatCode="0.00_);[Red]\(0.00\)">
                  <c:v>15.042</c:v>
                </c:pt>
                <c:pt idx="450" c:formatCode="0.00_);[Red]\(0.00\)">
                  <c:v>15.075</c:v>
                </c:pt>
                <c:pt idx="451" c:formatCode="0.00_);[Red]\(0.00\)">
                  <c:v>15.109</c:v>
                </c:pt>
                <c:pt idx="452" c:formatCode="0.00_);[Red]\(0.00\)">
                  <c:v>15.142</c:v>
                </c:pt>
                <c:pt idx="453" c:formatCode="0.00_);[Red]\(0.00\)">
                  <c:v>15.176</c:v>
                </c:pt>
                <c:pt idx="454" c:formatCode="0.00_);[Red]\(0.00\)">
                  <c:v>15.209</c:v>
                </c:pt>
                <c:pt idx="455" c:formatCode="0.00_);[Red]\(0.00\)">
                  <c:v>15.243</c:v>
                </c:pt>
                <c:pt idx="456" c:formatCode="0.00_);[Red]\(0.00\)">
                  <c:v>15.276</c:v>
                </c:pt>
                <c:pt idx="457" c:formatCode="0.00_);[Red]\(0.00\)">
                  <c:v>15.309</c:v>
                </c:pt>
                <c:pt idx="458" c:formatCode="0.00_);[Red]\(0.00\)">
                  <c:v>15.343</c:v>
                </c:pt>
                <c:pt idx="459" c:formatCode="0.00_);[Red]\(0.00\)">
                  <c:v>15.376</c:v>
                </c:pt>
                <c:pt idx="460" c:formatCode="0.00_);[Red]\(0.00\)">
                  <c:v>15.41</c:v>
                </c:pt>
                <c:pt idx="461" c:formatCode="0.00_);[Red]\(0.00\)">
                  <c:v>15.443</c:v>
                </c:pt>
                <c:pt idx="462" c:formatCode="0.00_);[Red]\(0.00\)">
                  <c:v>15.477</c:v>
                </c:pt>
                <c:pt idx="463" c:formatCode="0.00_);[Red]\(0.00\)">
                  <c:v>15.51</c:v>
                </c:pt>
                <c:pt idx="464" c:formatCode="0.00_);[Red]\(0.00\)">
                  <c:v>15.543</c:v>
                </c:pt>
                <c:pt idx="465" c:formatCode="0.00_);[Red]\(0.00\)">
                  <c:v>15.577</c:v>
                </c:pt>
                <c:pt idx="466" c:formatCode="0.00_);[Red]\(0.00\)">
                  <c:v>15.61</c:v>
                </c:pt>
                <c:pt idx="467" c:formatCode="0.00_);[Red]\(0.00\)">
                  <c:v>15.644</c:v>
                </c:pt>
                <c:pt idx="468" c:formatCode="0.00_);[Red]\(0.00\)">
                  <c:v>15.677</c:v>
                </c:pt>
                <c:pt idx="469" c:formatCode="0.00_);[Red]\(0.00\)">
                  <c:v>15.711</c:v>
                </c:pt>
                <c:pt idx="470" c:formatCode="0.00_);[Red]\(0.00\)">
                  <c:v>15.744</c:v>
                </c:pt>
                <c:pt idx="471" c:formatCode="0.00_);[Red]\(0.00\)">
                  <c:v>15.777</c:v>
                </c:pt>
                <c:pt idx="472" c:formatCode="0.00_);[Red]\(0.00\)">
                  <c:v>15.811</c:v>
                </c:pt>
                <c:pt idx="473" c:formatCode="0.00_);[Red]\(0.00\)">
                  <c:v>15.844</c:v>
                </c:pt>
                <c:pt idx="474" c:formatCode="0.00_);[Red]\(0.00\)">
                  <c:v>15.878</c:v>
                </c:pt>
                <c:pt idx="475" c:formatCode="0.00_);[Red]\(0.00\)">
                  <c:v>15.911</c:v>
                </c:pt>
                <c:pt idx="476" c:formatCode="0.00_);[Red]\(0.00\)">
                  <c:v>15.944</c:v>
                </c:pt>
                <c:pt idx="477" c:formatCode="0.00_);[Red]\(0.00\)">
                  <c:v>15.978</c:v>
                </c:pt>
                <c:pt idx="478" c:formatCode="0.00_);[Red]\(0.00\)">
                  <c:v>16.011</c:v>
                </c:pt>
                <c:pt idx="479" c:formatCode="0.00_);[Red]\(0.00\)">
                  <c:v>16.045</c:v>
                </c:pt>
                <c:pt idx="480" c:formatCode="0.00_);[Red]\(0.00\)">
                  <c:v>16.078</c:v>
                </c:pt>
                <c:pt idx="481" c:formatCode="0.00_);[Red]\(0.00\)">
                  <c:v>16.112</c:v>
                </c:pt>
                <c:pt idx="482" c:formatCode="0.00_);[Red]\(0.00\)">
                  <c:v>16.145</c:v>
                </c:pt>
                <c:pt idx="483" c:formatCode="0.00_);[Red]\(0.00\)">
                  <c:v>16.178</c:v>
                </c:pt>
                <c:pt idx="484" c:formatCode="0.00_);[Red]\(0.00\)">
                  <c:v>16.212</c:v>
                </c:pt>
                <c:pt idx="485" c:formatCode="0.00_);[Red]\(0.00\)">
                  <c:v>16.245</c:v>
                </c:pt>
                <c:pt idx="486" c:formatCode="0.00_);[Red]\(0.00\)">
                  <c:v>16.279</c:v>
                </c:pt>
                <c:pt idx="487" c:formatCode="0.00_);[Red]\(0.00\)">
                  <c:v>16.312</c:v>
                </c:pt>
                <c:pt idx="488" c:formatCode="0.00_);[Red]\(0.00\)">
                  <c:v>16.346</c:v>
                </c:pt>
                <c:pt idx="489" c:formatCode="0.00_);[Red]\(0.00\)">
                  <c:v>16.379</c:v>
                </c:pt>
                <c:pt idx="490" c:formatCode="0.00_);[Red]\(0.00\)">
                  <c:v>16.412</c:v>
                </c:pt>
                <c:pt idx="491" c:formatCode="0.00_);[Red]\(0.00\)">
                  <c:v>16.446</c:v>
                </c:pt>
                <c:pt idx="492" c:formatCode="0.00_);[Red]\(0.00\)">
                  <c:v>16.479</c:v>
                </c:pt>
                <c:pt idx="493" c:formatCode="0.00_);[Red]\(0.00\)">
                  <c:v>16.513</c:v>
                </c:pt>
                <c:pt idx="494" c:formatCode="0.00_);[Red]\(0.00\)">
                  <c:v>16.546</c:v>
                </c:pt>
                <c:pt idx="495" c:formatCode="0.00_);[Red]\(0.00\)">
                  <c:v>16.58</c:v>
                </c:pt>
                <c:pt idx="496" c:formatCode="0.00_);[Red]\(0.00\)">
                  <c:v>16.613</c:v>
                </c:pt>
                <c:pt idx="497" c:formatCode="0.00_);[Red]\(0.00\)">
                  <c:v>16.646</c:v>
                </c:pt>
                <c:pt idx="498" c:formatCode="0.00_);[Red]\(0.00\)">
                  <c:v>16.68</c:v>
                </c:pt>
                <c:pt idx="499" c:formatCode="0.00_);[Red]\(0.00\)">
                  <c:v>16.713</c:v>
                </c:pt>
                <c:pt idx="500" c:formatCode="0.00_);[Red]\(0.00\)">
                  <c:v>16.747</c:v>
                </c:pt>
                <c:pt idx="501" c:formatCode="0.00_);[Red]\(0.00\)">
                  <c:v>16.78</c:v>
                </c:pt>
                <c:pt idx="502" c:formatCode="0.00_);[Red]\(0.00\)">
                  <c:v>16.814</c:v>
                </c:pt>
                <c:pt idx="503" c:formatCode="0.00_);[Red]\(0.00\)">
                  <c:v>16.847</c:v>
                </c:pt>
                <c:pt idx="504" c:formatCode="0.00_);[Red]\(0.00\)">
                  <c:v>16.88</c:v>
                </c:pt>
                <c:pt idx="505" c:formatCode="0.00_);[Red]\(0.00\)">
                  <c:v>16.914</c:v>
                </c:pt>
                <c:pt idx="506" c:formatCode="0.00_);[Red]\(0.00\)">
                  <c:v>16.947</c:v>
                </c:pt>
                <c:pt idx="507" c:formatCode="0.00_);[Red]\(0.00\)">
                  <c:v>16.981</c:v>
                </c:pt>
                <c:pt idx="508" c:formatCode="0.00_);[Red]\(0.00\)">
                  <c:v>17.014</c:v>
                </c:pt>
                <c:pt idx="509" c:formatCode="0.00_);[Red]\(0.00\)">
                  <c:v>17.048</c:v>
                </c:pt>
                <c:pt idx="510" c:formatCode="0.00_);[Red]\(0.00\)">
                  <c:v>17.081</c:v>
                </c:pt>
                <c:pt idx="511" c:formatCode="0.00_);[Red]\(0.00\)">
                  <c:v>17.114</c:v>
                </c:pt>
                <c:pt idx="512" c:formatCode="0.00_);[Red]\(0.00\)">
                  <c:v>17.148</c:v>
                </c:pt>
                <c:pt idx="513" c:formatCode="0.00_);[Red]\(0.00\)">
                  <c:v>17.181</c:v>
                </c:pt>
                <c:pt idx="514" c:formatCode="0.00_);[Red]\(0.00\)">
                  <c:v>17.215</c:v>
                </c:pt>
                <c:pt idx="515" c:formatCode="0.00_);[Red]\(0.00\)">
                  <c:v>17.248</c:v>
                </c:pt>
                <c:pt idx="516" c:formatCode="0.00_);[Red]\(0.00\)">
                  <c:v>17.282</c:v>
                </c:pt>
                <c:pt idx="517" c:formatCode="0.00_);[Red]\(0.00\)">
                  <c:v>17.315</c:v>
                </c:pt>
                <c:pt idx="518" c:formatCode="0.00_);[Red]\(0.00\)">
                  <c:v>17.348</c:v>
                </c:pt>
                <c:pt idx="519" c:formatCode="0.00_);[Red]\(0.00\)">
                  <c:v>17.382</c:v>
                </c:pt>
                <c:pt idx="520" c:formatCode="0.00_);[Red]\(0.00\)">
                  <c:v>17.415</c:v>
                </c:pt>
                <c:pt idx="521" c:formatCode="0.00_);[Red]\(0.00\)">
                  <c:v>17.449</c:v>
                </c:pt>
                <c:pt idx="522" c:formatCode="0.00_);[Red]\(0.00\)">
                  <c:v>17.482</c:v>
                </c:pt>
                <c:pt idx="523" c:formatCode="0.00_);[Red]\(0.00\)">
                  <c:v>17.516</c:v>
                </c:pt>
                <c:pt idx="524" c:formatCode="0.00_);[Red]\(0.00\)">
                  <c:v>17.549</c:v>
                </c:pt>
                <c:pt idx="525" c:formatCode="0.00_);[Red]\(0.00\)">
                  <c:v>17.582</c:v>
                </c:pt>
                <c:pt idx="526" c:formatCode="0.00_);[Red]\(0.00\)">
                  <c:v>17.616</c:v>
                </c:pt>
                <c:pt idx="527" c:formatCode="0.00_);[Red]\(0.00\)">
                  <c:v>17.649</c:v>
                </c:pt>
                <c:pt idx="528" c:formatCode="0.00_);[Red]\(0.00\)">
                  <c:v>17.683</c:v>
                </c:pt>
                <c:pt idx="529" c:formatCode="0.00_);[Red]\(0.00\)">
                  <c:v>17.716</c:v>
                </c:pt>
                <c:pt idx="530" c:formatCode="0.00_);[Red]\(0.00\)">
                  <c:v>17.75</c:v>
                </c:pt>
                <c:pt idx="531" c:formatCode="0.00_);[Red]\(0.00\)">
                  <c:v>17.783</c:v>
                </c:pt>
                <c:pt idx="532" c:formatCode="0.00_);[Red]\(0.00\)">
                  <c:v>17.816</c:v>
                </c:pt>
                <c:pt idx="533" c:formatCode="0.00_);[Red]\(0.00\)">
                  <c:v>17.85</c:v>
                </c:pt>
                <c:pt idx="534" c:formatCode="0.00_);[Red]\(0.00\)">
                  <c:v>17.883</c:v>
                </c:pt>
                <c:pt idx="535" c:formatCode="0.00_);[Red]\(0.00\)">
                  <c:v>17.917</c:v>
                </c:pt>
                <c:pt idx="536" c:formatCode="0.00_);[Red]\(0.00\)">
                  <c:v>17.95</c:v>
                </c:pt>
                <c:pt idx="537" c:formatCode="0.00_);[Red]\(0.00\)">
                  <c:v>17.984</c:v>
                </c:pt>
                <c:pt idx="538" c:formatCode="0.00_);[Red]\(0.00\)">
                  <c:v>18.017</c:v>
                </c:pt>
                <c:pt idx="539" c:formatCode="0.00_);[Red]\(0.00\)">
                  <c:v>18.05</c:v>
                </c:pt>
                <c:pt idx="540" c:formatCode="0.00_);[Red]\(0.00\)">
                  <c:v>18.084</c:v>
                </c:pt>
                <c:pt idx="541" c:formatCode="0.00_);[Red]\(0.00\)">
                  <c:v>18.117</c:v>
                </c:pt>
                <c:pt idx="542" c:formatCode="0.00_);[Red]\(0.00\)">
                  <c:v>18.151</c:v>
                </c:pt>
                <c:pt idx="543" c:formatCode="0.00_);[Red]\(0.00\)">
                  <c:v>18.184</c:v>
                </c:pt>
                <c:pt idx="544" c:formatCode="0.00_);[Red]\(0.00\)">
                  <c:v>18.217</c:v>
                </c:pt>
                <c:pt idx="545" c:formatCode="0.00_);[Red]\(0.00\)">
                  <c:v>18.251</c:v>
                </c:pt>
                <c:pt idx="546" c:formatCode="0.00_);[Red]\(0.00\)">
                  <c:v>18.284</c:v>
                </c:pt>
                <c:pt idx="547" c:formatCode="0.00_);[Red]\(0.00\)">
                  <c:v>18.318</c:v>
                </c:pt>
                <c:pt idx="548" c:formatCode="0.00_);[Red]\(0.00\)">
                  <c:v>18.351</c:v>
                </c:pt>
                <c:pt idx="549" c:formatCode="0.00_);[Red]\(0.00\)">
                  <c:v>18.385</c:v>
                </c:pt>
                <c:pt idx="550" c:formatCode="0.00_);[Red]\(0.00\)">
                  <c:v>18.418</c:v>
                </c:pt>
                <c:pt idx="551" c:formatCode="0.00_);[Red]\(0.00\)">
                  <c:v>18.451</c:v>
                </c:pt>
                <c:pt idx="552" c:formatCode="0.00_);[Red]\(0.00\)">
                  <c:v>18.485</c:v>
                </c:pt>
                <c:pt idx="553" c:formatCode="0.00_);[Red]\(0.00\)">
                  <c:v>18.518</c:v>
                </c:pt>
                <c:pt idx="554" c:formatCode="0.00_);[Red]\(0.00\)">
                  <c:v>18.552</c:v>
                </c:pt>
                <c:pt idx="555" c:formatCode="0.00_);[Red]\(0.00\)">
                  <c:v>18.585</c:v>
                </c:pt>
                <c:pt idx="556" c:formatCode="0.00_);[Red]\(0.00\)">
                  <c:v>18.619</c:v>
                </c:pt>
                <c:pt idx="557" c:formatCode="0.00_);[Red]\(0.00\)">
                  <c:v>18.652</c:v>
                </c:pt>
                <c:pt idx="558" c:formatCode="0.00_);[Red]\(0.00\)">
                  <c:v>18.685</c:v>
                </c:pt>
                <c:pt idx="559" c:formatCode="0.00_);[Red]\(0.00\)">
                  <c:v>18.719</c:v>
                </c:pt>
                <c:pt idx="560" c:formatCode="0.00_);[Red]\(0.00\)">
                  <c:v>18.752</c:v>
                </c:pt>
                <c:pt idx="561" c:formatCode="0.00_);[Red]\(0.00\)">
                  <c:v>18.786</c:v>
                </c:pt>
                <c:pt idx="562" c:formatCode="0.00_);[Red]\(0.00\)">
                  <c:v>18.819</c:v>
                </c:pt>
                <c:pt idx="563" c:formatCode="0.00_);[Red]\(0.00\)">
                  <c:v>18.853</c:v>
                </c:pt>
                <c:pt idx="564" c:formatCode="0.00_);[Red]\(0.00\)">
                  <c:v>18.886</c:v>
                </c:pt>
                <c:pt idx="565" c:formatCode="0.00_);[Red]\(0.00\)">
                  <c:v>18.919</c:v>
                </c:pt>
                <c:pt idx="566" c:formatCode="0.00_);[Red]\(0.00\)">
                  <c:v>18.953</c:v>
                </c:pt>
                <c:pt idx="567" c:formatCode="0.00_);[Red]\(0.00\)">
                  <c:v>18.986</c:v>
                </c:pt>
                <c:pt idx="568" c:formatCode="0.00_);[Red]\(0.00\)">
                  <c:v>19.02</c:v>
                </c:pt>
                <c:pt idx="569" c:formatCode="0.00_);[Red]\(0.00\)">
                  <c:v>19.053</c:v>
                </c:pt>
                <c:pt idx="570" c:formatCode="0.00_);[Red]\(0.00\)">
                  <c:v>19.087</c:v>
                </c:pt>
                <c:pt idx="571" c:formatCode="0.00_);[Red]\(0.00\)">
                  <c:v>19.12</c:v>
                </c:pt>
                <c:pt idx="572" c:formatCode="0.00_);[Red]\(0.00\)">
                  <c:v>19.153</c:v>
                </c:pt>
                <c:pt idx="573" c:formatCode="0.00_);[Red]\(0.00\)">
                  <c:v>19.187</c:v>
                </c:pt>
                <c:pt idx="574" c:formatCode="0.00_);[Red]\(0.00\)">
                  <c:v>19.22</c:v>
                </c:pt>
                <c:pt idx="575" c:formatCode="0.00_);[Red]\(0.00\)">
                  <c:v>19.254</c:v>
                </c:pt>
                <c:pt idx="576" c:formatCode="0.00_);[Red]\(0.00\)">
                  <c:v>19.287</c:v>
                </c:pt>
                <c:pt idx="577" c:formatCode="0.00_);[Red]\(0.00\)">
                  <c:v>19.321</c:v>
                </c:pt>
                <c:pt idx="578" c:formatCode="0.00_);[Red]\(0.00\)">
                  <c:v>19.354</c:v>
                </c:pt>
                <c:pt idx="579" c:formatCode="0.00_);[Red]\(0.00\)">
                  <c:v>19.387</c:v>
                </c:pt>
                <c:pt idx="580" c:formatCode="0.00_);[Red]\(0.00\)">
                  <c:v>19.421</c:v>
                </c:pt>
                <c:pt idx="581" c:formatCode="0.00_);[Red]\(0.00\)">
                  <c:v>19.454</c:v>
                </c:pt>
                <c:pt idx="582" c:formatCode="0.00_);[Red]\(0.00\)">
                  <c:v>19.488</c:v>
                </c:pt>
                <c:pt idx="583" c:formatCode="0.00_);[Red]\(0.00\)">
                  <c:v>19.521</c:v>
                </c:pt>
                <c:pt idx="584" c:formatCode="0.00_);[Red]\(0.00\)">
                  <c:v>19.555</c:v>
                </c:pt>
                <c:pt idx="585" c:formatCode="0.00_);[Red]\(0.00\)">
                  <c:v>19.588</c:v>
                </c:pt>
                <c:pt idx="586" c:formatCode="0.00_);[Red]\(0.00\)">
                  <c:v>19.621</c:v>
                </c:pt>
                <c:pt idx="587" c:formatCode="0.00_);[Red]\(0.00\)">
                  <c:v>19.655</c:v>
                </c:pt>
                <c:pt idx="588" c:formatCode="0.00_);[Red]\(0.00\)">
                  <c:v>19.688</c:v>
                </c:pt>
                <c:pt idx="589" c:formatCode="0.00_);[Red]\(0.00\)">
                  <c:v>19.722</c:v>
                </c:pt>
                <c:pt idx="590" c:formatCode="0.00_);[Red]\(0.00\)">
                  <c:v>19.755</c:v>
                </c:pt>
                <c:pt idx="591" c:formatCode="0.00_);[Red]\(0.00\)">
                  <c:v>19.789</c:v>
                </c:pt>
                <c:pt idx="592" c:formatCode="0.00_);[Red]\(0.00\)">
                  <c:v>19.822</c:v>
                </c:pt>
                <c:pt idx="593" c:formatCode="0.00_);[Red]\(0.00\)">
                  <c:v>19.855</c:v>
                </c:pt>
                <c:pt idx="594" c:formatCode="0.00_);[Red]\(0.00\)">
                  <c:v>19.889</c:v>
                </c:pt>
                <c:pt idx="595" c:formatCode="0.00_);[Red]\(0.00\)">
                  <c:v>19.922</c:v>
                </c:pt>
                <c:pt idx="596" c:formatCode="0.00_);[Red]\(0.00\)">
                  <c:v>19.956</c:v>
                </c:pt>
                <c:pt idx="597" c:formatCode="0.00_);[Red]\(0.00\)">
                  <c:v>19.989</c:v>
                </c:pt>
                <c:pt idx="598" c:formatCode="0.00_);[Red]\(0.00\)">
                  <c:v>20.023</c:v>
                </c:pt>
                <c:pt idx="599" c:formatCode="0.00_);[Red]\(0.00\)">
                  <c:v>20.056</c:v>
                </c:pt>
                <c:pt idx="600" c:formatCode="0.00_);[Red]\(0.00\)">
                  <c:v>20.089</c:v>
                </c:pt>
                <c:pt idx="601" c:formatCode="0.00_);[Red]\(0.00\)">
                  <c:v>20.123</c:v>
                </c:pt>
                <c:pt idx="602" c:formatCode="0.00_);[Red]\(0.00\)">
                  <c:v>20.156</c:v>
                </c:pt>
                <c:pt idx="603" c:formatCode="0.00_);[Red]\(0.00\)">
                  <c:v>20.19</c:v>
                </c:pt>
                <c:pt idx="604" c:formatCode="0.00_);[Red]\(0.00\)">
                  <c:v>20.223</c:v>
                </c:pt>
                <c:pt idx="605" c:formatCode="0.00_);[Red]\(0.00\)">
                  <c:v>20.257</c:v>
                </c:pt>
                <c:pt idx="606" c:formatCode="0.00_);[Red]\(0.00\)">
                  <c:v>20.29</c:v>
                </c:pt>
                <c:pt idx="607" c:formatCode="0.00_);[Red]\(0.00\)">
                  <c:v>20.323</c:v>
                </c:pt>
                <c:pt idx="608" c:formatCode="0.00_);[Red]\(0.00\)">
                  <c:v>20.357</c:v>
                </c:pt>
                <c:pt idx="609" c:formatCode="0.00_);[Red]\(0.00\)">
                  <c:v>20.39</c:v>
                </c:pt>
                <c:pt idx="610" c:formatCode="0.00_);[Red]\(0.00\)">
                  <c:v>20.424</c:v>
                </c:pt>
                <c:pt idx="611" c:formatCode="0.00_);[Red]\(0.00\)">
                  <c:v>20.457</c:v>
                </c:pt>
                <c:pt idx="612" c:formatCode="0.00_);[Red]\(0.00\)">
                  <c:v>20.491</c:v>
                </c:pt>
                <c:pt idx="613" c:formatCode="0.00_);[Red]\(0.00\)">
                  <c:v>20.524</c:v>
                </c:pt>
                <c:pt idx="614" c:formatCode="0.00_);[Red]\(0.00\)">
                  <c:v>20.557</c:v>
                </c:pt>
                <c:pt idx="615" c:formatCode="0.00_);[Red]\(0.00\)">
                  <c:v>20.591</c:v>
                </c:pt>
                <c:pt idx="616" c:formatCode="0.00_);[Red]\(0.00\)">
                  <c:v>20.624</c:v>
                </c:pt>
                <c:pt idx="617" c:formatCode="0.00_);[Red]\(0.00\)">
                  <c:v>20.658</c:v>
                </c:pt>
                <c:pt idx="618" c:formatCode="0.00_);[Red]\(0.00\)">
                  <c:v>20.691</c:v>
                </c:pt>
                <c:pt idx="619" c:formatCode="0.00_);[Red]\(0.00\)">
                  <c:v>20.724</c:v>
                </c:pt>
                <c:pt idx="620" c:formatCode="0.00_);[Red]\(0.00\)">
                  <c:v>20.758</c:v>
                </c:pt>
                <c:pt idx="621" c:formatCode="0.00_);[Red]\(0.00\)">
                  <c:v>20.791</c:v>
                </c:pt>
                <c:pt idx="622" c:formatCode="0.00_);[Red]\(0.00\)">
                  <c:v>20.825</c:v>
                </c:pt>
                <c:pt idx="623" c:formatCode="0.00_);[Red]\(0.00\)">
                  <c:v>20.858</c:v>
                </c:pt>
                <c:pt idx="624" c:formatCode="0.00_);[Red]\(0.00\)">
                  <c:v>20.892</c:v>
                </c:pt>
                <c:pt idx="625" c:formatCode="0.00_);[Red]\(0.00\)">
                  <c:v>20.925</c:v>
                </c:pt>
                <c:pt idx="626" c:formatCode="0.00_);[Red]\(0.00\)">
                  <c:v>20.958</c:v>
                </c:pt>
                <c:pt idx="627" c:formatCode="0.00_);[Red]\(0.00\)">
                  <c:v>20.992</c:v>
                </c:pt>
                <c:pt idx="628" c:formatCode="0.00_);[Red]\(0.00\)">
                  <c:v>21.025</c:v>
                </c:pt>
                <c:pt idx="629" c:formatCode="0.00_);[Red]\(0.00\)">
                  <c:v>21.059</c:v>
                </c:pt>
                <c:pt idx="630" c:formatCode="0.00_);[Red]\(0.00\)">
                  <c:v>21.092</c:v>
                </c:pt>
                <c:pt idx="631" c:formatCode="0.00_);[Red]\(0.00\)">
                  <c:v>21.126</c:v>
                </c:pt>
                <c:pt idx="632" c:formatCode="0.00_);[Red]\(0.00\)">
                  <c:v>21.159</c:v>
                </c:pt>
                <c:pt idx="633" c:formatCode="0.00_);[Red]\(0.00\)">
                  <c:v>21.192</c:v>
                </c:pt>
                <c:pt idx="634" c:formatCode="0.00_);[Red]\(0.00\)">
                  <c:v>21.226</c:v>
                </c:pt>
                <c:pt idx="635" c:formatCode="0.00_);[Red]\(0.00\)">
                  <c:v>21.259</c:v>
                </c:pt>
                <c:pt idx="636" c:formatCode="0.00_);[Red]\(0.00\)">
                  <c:v>21.293</c:v>
                </c:pt>
                <c:pt idx="637" c:formatCode="0.00_);[Red]\(0.00\)">
                  <c:v>21.326</c:v>
                </c:pt>
                <c:pt idx="638" c:formatCode="0.00_);[Red]\(0.00\)">
                  <c:v>21.36</c:v>
                </c:pt>
                <c:pt idx="639" c:formatCode="0.00_);[Red]\(0.00\)">
                  <c:v>21.393</c:v>
                </c:pt>
                <c:pt idx="640" c:formatCode="0.00_);[Red]\(0.00\)">
                  <c:v>21.426</c:v>
                </c:pt>
                <c:pt idx="641" c:formatCode="0.00_);[Red]\(0.00\)">
                  <c:v>21.46</c:v>
                </c:pt>
                <c:pt idx="642" c:formatCode="0.00_);[Red]\(0.00\)">
                  <c:v>21.493</c:v>
                </c:pt>
                <c:pt idx="643" c:formatCode="0.00_);[Red]\(0.00\)">
                  <c:v>21.527</c:v>
                </c:pt>
                <c:pt idx="644" c:formatCode="0.00_);[Red]\(0.00\)">
                  <c:v>21.56</c:v>
                </c:pt>
                <c:pt idx="645" c:formatCode="0.00_);[Red]\(0.00\)">
                  <c:v>21.594</c:v>
                </c:pt>
                <c:pt idx="646" c:formatCode="0.00_);[Red]\(0.00\)">
                  <c:v>21.627</c:v>
                </c:pt>
                <c:pt idx="647" c:formatCode="0.00_);[Red]\(0.00\)">
                  <c:v>21.66</c:v>
                </c:pt>
                <c:pt idx="648" c:formatCode="0.00_);[Red]\(0.00\)">
                  <c:v>21.694</c:v>
                </c:pt>
                <c:pt idx="649" c:formatCode="0.00_);[Red]\(0.00\)">
                  <c:v>21.727</c:v>
                </c:pt>
                <c:pt idx="650" c:formatCode="0.00_);[Red]\(0.00\)">
                  <c:v>21.761</c:v>
                </c:pt>
                <c:pt idx="651" c:formatCode="0.00_);[Red]\(0.00\)">
                  <c:v>21.794</c:v>
                </c:pt>
                <c:pt idx="652" c:formatCode="0.00_);[Red]\(0.00\)">
                  <c:v>21.828</c:v>
                </c:pt>
                <c:pt idx="653" c:formatCode="0.00_);[Red]\(0.00\)">
                  <c:v>21.861</c:v>
                </c:pt>
                <c:pt idx="654" c:formatCode="0.00_);[Red]\(0.00\)">
                  <c:v>21.894</c:v>
                </c:pt>
                <c:pt idx="655" c:formatCode="0.00_);[Red]\(0.00\)">
                  <c:v>21.928</c:v>
                </c:pt>
                <c:pt idx="656" c:formatCode="0.00_);[Red]\(0.00\)">
                  <c:v>21.961</c:v>
                </c:pt>
                <c:pt idx="657" c:formatCode="0.00_);[Red]\(0.00\)">
                  <c:v>21.995</c:v>
                </c:pt>
                <c:pt idx="658" c:formatCode="0.00_);[Red]\(0.00\)">
                  <c:v>22.028</c:v>
                </c:pt>
                <c:pt idx="659" c:formatCode="0.00_);[Red]\(0.00\)">
                  <c:v>22.062</c:v>
                </c:pt>
                <c:pt idx="660" c:formatCode="0.00_);[Red]\(0.00\)">
                  <c:v>22.095</c:v>
                </c:pt>
                <c:pt idx="661" c:formatCode="0.00_);[Red]\(0.00\)">
                  <c:v>22.128</c:v>
                </c:pt>
                <c:pt idx="662" c:formatCode="0.00_);[Red]\(0.00\)">
                  <c:v>22.162</c:v>
                </c:pt>
                <c:pt idx="663" c:formatCode="0.00_);[Red]\(0.00\)">
                  <c:v>22.195</c:v>
                </c:pt>
                <c:pt idx="664" c:formatCode="0.00_);[Red]\(0.00\)">
                  <c:v>22.229</c:v>
                </c:pt>
                <c:pt idx="665" c:formatCode="0.00_);[Red]\(0.00\)">
                  <c:v>22.262</c:v>
                </c:pt>
                <c:pt idx="666" c:formatCode="0.00_);[Red]\(0.00\)">
                  <c:v>22.296</c:v>
                </c:pt>
                <c:pt idx="667" c:formatCode="0.00_);[Red]\(0.00\)">
                  <c:v>22.329</c:v>
                </c:pt>
                <c:pt idx="668" c:formatCode="0.00_);[Red]\(0.00\)">
                  <c:v>22.362</c:v>
                </c:pt>
                <c:pt idx="669" c:formatCode="0.00_);[Red]\(0.00\)">
                  <c:v>22.396</c:v>
                </c:pt>
                <c:pt idx="670" c:formatCode="0.00_);[Red]\(0.00\)">
                  <c:v>22.429</c:v>
                </c:pt>
                <c:pt idx="671" c:formatCode="0.00_);[Red]\(0.00\)">
                  <c:v>22.463</c:v>
                </c:pt>
                <c:pt idx="672" c:formatCode="0.00_);[Red]\(0.00\)">
                  <c:v>22.496</c:v>
                </c:pt>
                <c:pt idx="673" c:formatCode="0.00_);[Red]\(0.00\)">
                  <c:v>22.53</c:v>
                </c:pt>
                <c:pt idx="674" c:formatCode="0.00_);[Red]\(0.00\)">
                  <c:v>22.563</c:v>
                </c:pt>
                <c:pt idx="675" c:formatCode="0.00_);[Red]\(0.00\)">
                  <c:v>22.596</c:v>
                </c:pt>
                <c:pt idx="676" c:formatCode="0.00_);[Red]\(0.00\)">
                  <c:v>22.63</c:v>
                </c:pt>
                <c:pt idx="677" c:formatCode="0.00_);[Red]\(0.00\)">
                  <c:v>22.663</c:v>
                </c:pt>
                <c:pt idx="678" c:formatCode="0.00_);[Red]\(0.00\)">
                  <c:v>22.697</c:v>
                </c:pt>
                <c:pt idx="679" c:formatCode="0.00_);[Red]\(0.00\)">
                  <c:v>22.73</c:v>
                </c:pt>
                <c:pt idx="680" c:formatCode="0.00_);[Red]\(0.00\)">
                  <c:v>22.764</c:v>
                </c:pt>
                <c:pt idx="681" c:formatCode="0.00_);[Red]\(0.00\)">
                  <c:v>22.797</c:v>
                </c:pt>
                <c:pt idx="682" c:formatCode="0.00_);[Red]\(0.00\)">
                  <c:v>22.83</c:v>
                </c:pt>
                <c:pt idx="683" c:formatCode="0.00_);[Red]\(0.00\)">
                  <c:v>22.864</c:v>
                </c:pt>
                <c:pt idx="684" c:formatCode="0.00_);[Red]\(0.00\)">
                  <c:v>22.897</c:v>
                </c:pt>
                <c:pt idx="685" c:formatCode="0.00_);[Red]\(0.00\)">
                  <c:v>22.931</c:v>
                </c:pt>
                <c:pt idx="686" c:formatCode="0.00_);[Red]\(0.00\)">
                  <c:v>22.964</c:v>
                </c:pt>
                <c:pt idx="687" c:formatCode="0.00_);[Red]\(0.00\)">
                  <c:v>22.998</c:v>
                </c:pt>
                <c:pt idx="688" c:formatCode="0.00_);[Red]\(0.00\)">
                  <c:v>23.031</c:v>
                </c:pt>
                <c:pt idx="689" c:formatCode="0.00_);[Red]\(0.00\)">
                  <c:v>23.064</c:v>
                </c:pt>
                <c:pt idx="690" c:formatCode="0.00_);[Red]\(0.00\)">
                  <c:v>23.098</c:v>
                </c:pt>
                <c:pt idx="691" c:formatCode="0.00_);[Red]\(0.00\)">
                  <c:v>23.131</c:v>
                </c:pt>
                <c:pt idx="692" c:formatCode="0.00_);[Red]\(0.00\)">
                  <c:v>23.165</c:v>
                </c:pt>
                <c:pt idx="693" c:formatCode="0.00_);[Red]\(0.00\)">
                  <c:v>23.198</c:v>
                </c:pt>
                <c:pt idx="694" c:formatCode="0.00_);[Red]\(0.00\)">
                  <c:v>23.231</c:v>
                </c:pt>
                <c:pt idx="695" c:formatCode="0.00_);[Red]\(0.00\)">
                  <c:v>23.265</c:v>
                </c:pt>
                <c:pt idx="696" c:formatCode="0.00_);[Red]\(0.00\)">
                  <c:v>23.298</c:v>
                </c:pt>
                <c:pt idx="697" c:formatCode="0.00_);[Red]\(0.00\)">
                  <c:v>23.332</c:v>
                </c:pt>
                <c:pt idx="698" c:formatCode="0.00_);[Red]\(0.00\)">
                  <c:v>23.365</c:v>
                </c:pt>
                <c:pt idx="699" c:formatCode="0.00_);[Red]\(0.00\)">
                  <c:v>23.399</c:v>
                </c:pt>
                <c:pt idx="700" c:formatCode="0.00_);[Red]\(0.00\)">
                  <c:v>23.432</c:v>
                </c:pt>
                <c:pt idx="701" c:formatCode="0.00_);[Red]\(0.00\)">
                  <c:v>23.465</c:v>
                </c:pt>
                <c:pt idx="702" c:formatCode="0.00_);[Red]\(0.00\)">
                  <c:v>23.499</c:v>
                </c:pt>
                <c:pt idx="703" c:formatCode="0.00_);[Red]\(0.00\)">
                  <c:v>23.532</c:v>
                </c:pt>
                <c:pt idx="704" c:formatCode="0.00_);[Red]\(0.00\)">
                  <c:v>23.566</c:v>
                </c:pt>
                <c:pt idx="705" c:formatCode="0.00_);[Red]\(0.00\)">
                  <c:v>23.599</c:v>
                </c:pt>
                <c:pt idx="706" c:formatCode="0.00_);[Red]\(0.00\)">
                  <c:v>23.633</c:v>
                </c:pt>
                <c:pt idx="707" c:formatCode="0.00_);[Red]\(0.00\)">
                  <c:v>23.666</c:v>
                </c:pt>
                <c:pt idx="708" c:formatCode="0.00_);[Red]\(0.00\)">
                  <c:v>23.699</c:v>
                </c:pt>
                <c:pt idx="709" c:formatCode="0.00_);[Red]\(0.00\)">
                  <c:v>23.733</c:v>
                </c:pt>
                <c:pt idx="710" c:formatCode="0.00_);[Red]\(0.00\)">
                  <c:v>23.766</c:v>
                </c:pt>
                <c:pt idx="711" c:formatCode="0.00_);[Red]\(0.00\)">
                  <c:v>23.8</c:v>
                </c:pt>
                <c:pt idx="712" c:formatCode="0.00_);[Red]\(0.00\)">
                  <c:v>23.833</c:v>
                </c:pt>
                <c:pt idx="713" c:formatCode="0.00_);[Red]\(0.00\)">
                  <c:v>23.867</c:v>
                </c:pt>
                <c:pt idx="714" c:formatCode="0.00_);[Red]\(0.00\)">
                  <c:v>23.9</c:v>
                </c:pt>
                <c:pt idx="715" c:formatCode="0.00_);[Red]\(0.00\)">
                  <c:v>23.933</c:v>
                </c:pt>
                <c:pt idx="716" c:formatCode="0.00_);[Red]\(0.00\)">
                  <c:v>23.967</c:v>
                </c:pt>
                <c:pt idx="717" c:formatCode="0.00_);[Red]\(0.00\)">
                  <c:v>24</c:v>
                </c:pt>
                <c:pt idx="718" c:formatCode="0.00_);[Red]\(0.00\)">
                  <c:v>24.034</c:v>
                </c:pt>
                <c:pt idx="719" c:formatCode="0.00_);[Red]\(0.00\)">
                  <c:v>24.067</c:v>
                </c:pt>
                <c:pt idx="720" c:formatCode="0.00_);[Red]\(0.00\)">
                  <c:v>24.101</c:v>
                </c:pt>
                <c:pt idx="721" c:formatCode="0.00_);[Red]\(0.00\)">
                  <c:v>24.134</c:v>
                </c:pt>
                <c:pt idx="722" c:formatCode="0.00_);[Red]\(0.00\)">
                  <c:v>24.167</c:v>
                </c:pt>
                <c:pt idx="723" c:formatCode="0.00_);[Red]\(0.00\)">
                  <c:v>24.201</c:v>
                </c:pt>
                <c:pt idx="724" c:formatCode="0.00_);[Red]\(0.00\)">
                  <c:v>24.234</c:v>
                </c:pt>
                <c:pt idx="725" c:formatCode="0.00_);[Red]\(0.00\)">
                  <c:v>24.268</c:v>
                </c:pt>
                <c:pt idx="726" c:formatCode="0.00_);[Red]\(0.00\)">
                  <c:v>24.301</c:v>
                </c:pt>
                <c:pt idx="727" c:formatCode="0.00_);[Red]\(0.00\)">
                  <c:v>24.335</c:v>
                </c:pt>
                <c:pt idx="728" c:formatCode="0.00_);[Red]\(0.00\)">
                  <c:v>24.368</c:v>
                </c:pt>
                <c:pt idx="729" c:formatCode="0.00_);[Red]\(0.00\)">
                  <c:v>24.401</c:v>
                </c:pt>
                <c:pt idx="730" c:formatCode="0.00_);[Red]\(0.00\)">
                  <c:v>24.435</c:v>
                </c:pt>
                <c:pt idx="731" c:formatCode="0.00_);[Red]\(0.00\)">
                  <c:v>24.468</c:v>
                </c:pt>
                <c:pt idx="732" c:formatCode="0.00_);[Red]\(0.00\)">
                  <c:v>24.502</c:v>
                </c:pt>
                <c:pt idx="733" c:formatCode="0.00_);[Red]\(0.00\)">
                  <c:v>24.535</c:v>
                </c:pt>
                <c:pt idx="734" c:formatCode="0.00_);[Red]\(0.00\)">
                  <c:v>24.569</c:v>
                </c:pt>
                <c:pt idx="735" c:formatCode="0.00_);[Red]\(0.00\)">
                  <c:v>24.602</c:v>
                </c:pt>
                <c:pt idx="736" c:formatCode="0.00_);[Red]\(0.00\)">
                  <c:v>24.635</c:v>
                </c:pt>
                <c:pt idx="737" c:formatCode="0.00_);[Red]\(0.00\)">
                  <c:v>24.669</c:v>
                </c:pt>
                <c:pt idx="738" c:formatCode="0.00_);[Red]\(0.00\)">
                  <c:v>24.702</c:v>
                </c:pt>
                <c:pt idx="739" c:formatCode="0.00_);[Red]\(0.00\)">
                  <c:v>24.736</c:v>
                </c:pt>
                <c:pt idx="740" c:formatCode="0.00_);[Red]\(0.00\)">
                  <c:v>24.769</c:v>
                </c:pt>
                <c:pt idx="741" c:formatCode="0.00_);[Red]\(0.00\)">
                  <c:v>24.803</c:v>
                </c:pt>
                <c:pt idx="742" c:formatCode="0.00_);[Red]\(0.00\)">
                  <c:v>24.836</c:v>
                </c:pt>
                <c:pt idx="743" c:formatCode="0.00_);[Red]\(0.00\)">
                  <c:v>24.869</c:v>
                </c:pt>
                <c:pt idx="744" c:formatCode="0.00_);[Red]\(0.00\)">
                  <c:v>24.903</c:v>
                </c:pt>
                <c:pt idx="745" c:formatCode="0.00_);[Red]\(0.00\)">
                  <c:v>24.936</c:v>
                </c:pt>
                <c:pt idx="746" c:formatCode="0.00_);[Red]\(0.00\)">
                  <c:v>24.97</c:v>
                </c:pt>
                <c:pt idx="747" c:formatCode="0.00_);[Red]\(0.00\)">
                  <c:v>25.003</c:v>
                </c:pt>
                <c:pt idx="748" c:formatCode="0.00_);[Red]\(0.00\)">
                  <c:v>25.037</c:v>
                </c:pt>
                <c:pt idx="749" c:formatCode="0.00_);[Red]\(0.00\)">
                  <c:v>25.07</c:v>
                </c:pt>
                <c:pt idx="750" c:formatCode="0.00_);[Red]\(0.00\)">
                  <c:v>25.103</c:v>
                </c:pt>
                <c:pt idx="751" c:formatCode="0.00_);[Red]\(0.00\)">
                  <c:v>25.137</c:v>
                </c:pt>
                <c:pt idx="752" c:formatCode="0.00_);[Red]\(0.00\)">
                  <c:v>25.17</c:v>
                </c:pt>
                <c:pt idx="753" c:formatCode="0.00_);[Red]\(0.00\)">
                  <c:v>25.204</c:v>
                </c:pt>
                <c:pt idx="754" c:formatCode="0.00_);[Red]\(0.00\)">
                  <c:v>25.237</c:v>
                </c:pt>
                <c:pt idx="755" c:formatCode="0.00_);[Red]\(0.00\)">
                  <c:v>25.271</c:v>
                </c:pt>
                <c:pt idx="756" c:formatCode="0.00_);[Red]\(0.00\)">
                  <c:v>25.304</c:v>
                </c:pt>
                <c:pt idx="757" c:formatCode="0.00_);[Red]\(0.00\)">
                  <c:v>25.337</c:v>
                </c:pt>
                <c:pt idx="758" c:formatCode="0.00_);[Red]\(0.00\)">
                  <c:v>25.371</c:v>
                </c:pt>
                <c:pt idx="759" c:formatCode="0.00_);[Red]\(0.00\)">
                  <c:v>25.404</c:v>
                </c:pt>
                <c:pt idx="760" c:formatCode="0.00_);[Red]\(0.00\)">
                  <c:v>25.438</c:v>
                </c:pt>
                <c:pt idx="761" c:formatCode="0.00_);[Red]\(0.00\)">
                  <c:v>25.471</c:v>
                </c:pt>
                <c:pt idx="762" c:formatCode="0.00_);[Red]\(0.00\)">
                  <c:v>25.504</c:v>
                </c:pt>
                <c:pt idx="763" c:formatCode="0.00_);[Red]\(0.00\)">
                  <c:v>25.538</c:v>
                </c:pt>
                <c:pt idx="764" c:formatCode="0.00_);[Red]\(0.00\)">
                  <c:v>25.571</c:v>
                </c:pt>
                <c:pt idx="765" c:formatCode="0.00_);[Red]\(0.00\)">
                  <c:v>25.605</c:v>
                </c:pt>
                <c:pt idx="766" c:formatCode="0.00_);[Red]\(0.00\)">
                  <c:v>25.638</c:v>
                </c:pt>
                <c:pt idx="767" c:formatCode="0.00_);[Red]\(0.00\)">
                  <c:v>25.672</c:v>
                </c:pt>
                <c:pt idx="768" c:formatCode="0.00_);[Red]\(0.00\)">
                  <c:v>25.705</c:v>
                </c:pt>
                <c:pt idx="769" c:formatCode="0.00_);[Red]\(0.00\)">
                  <c:v>25.738</c:v>
                </c:pt>
                <c:pt idx="770" c:formatCode="0.00_);[Red]\(0.00\)">
                  <c:v>25.772</c:v>
                </c:pt>
                <c:pt idx="771" c:formatCode="0.00_);[Red]\(0.00\)">
                  <c:v>25.805</c:v>
                </c:pt>
                <c:pt idx="772" c:formatCode="0.00_);[Red]\(0.00\)">
                  <c:v>25.839</c:v>
                </c:pt>
                <c:pt idx="773" c:formatCode="0.00_);[Red]\(0.00\)">
                  <c:v>25.872</c:v>
                </c:pt>
                <c:pt idx="774" c:formatCode="0.00_);[Red]\(0.00\)">
                  <c:v>25.906</c:v>
                </c:pt>
                <c:pt idx="775" c:formatCode="0.00_);[Red]\(0.00\)">
                  <c:v>25.939</c:v>
                </c:pt>
                <c:pt idx="776" c:formatCode="0.00_);[Red]\(0.00\)">
                  <c:v>25.972</c:v>
                </c:pt>
                <c:pt idx="777" c:formatCode="0.00_);[Red]\(0.00\)">
                  <c:v>26.006</c:v>
                </c:pt>
                <c:pt idx="778" c:formatCode="0.00_);[Red]\(0.00\)">
                  <c:v>26.039</c:v>
                </c:pt>
                <c:pt idx="779" c:formatCode="0.00_);[Red]\(0.00\)">
                  <c:v>26.073</c:v>
                </c:pt>
                <c:pt idx="780" c:formatCode="0.00_);[Red]\(0.00\)">
                  <c:v>26.106</c:v>
                </c:pt>
                <c:pt idx="781" c:formatCode="0.00_);[Red]\(0.00\)">
                  <c:v>26.14</c:v>
                </c:pt>
                <c:pt idx="782" c:formatCode="0.00_);[Red]\(0.00\)">
                  <c:v>26.173</c:v>
                </c:pt>
                <c:pt idx="783" c:formatCode="0.00_);[Red]\(0.00\)">
                  <c:v>26.206</c:v>
                </c:pt>
                <c:pt idx="784" c:formatCode="0.00_);[Red]\(0.00\)">
                  <c:v>26.24</c:v>
                </c:pt>
                <c:pt idx="785" c:formatCode="0.00_);[Red]\(0.00\)">
                  <c:v>26.273</c:v>
                </c:pt>
                <c:pt idx="786" c:formatCode="0.00_);[Red]\(0.00\)">
                  <c:v>26.307</c:v>
                </c:pt>
                <c:pt idx="787" c:formatCode="0.00_);[Red]\(0.00\)">
                  <c:v>26.34</c:v>
                </c:pt>
                <c:pt idx="788" c:formatCode="0.00_);[Red]\(0.00\)">
                  <c:v>26.374</c:v>
                </c:pt>
                <c:pt idx="789" c:formatCode="0.00_);[Red]\(0.00\)">
                  <c:v>26.407</c:v>
                </c:pt>
                <c:pt idx="790" c:formatCode="0.00_);[Red]\(0.00\)">
                  <c:v>26.44</c:v>
                </c:pt>
                <c:pt idx="791" c:formatCode="0.00_);[Red]\(0.00\)">
                  <c:v>26.474</c:v>
                </c:pt>
                <c:pt idx="792" c:formatCode="0.00_);[Red]\(0.00\)">
                  <c:v>26.507</c:v>
                </c:pt>
                <c:pt idx="793" c:formatCode="0.00_);[Red]\(0.00\)">
                  <c:v>26.541</c:v>
                </c:pt>
                <c:pt idx="794" c:formatCode="0.00_);[Red]\(0.00\)">
                  <c:v>26.574</c:v>
                </c:pt>
                <c:pt idx="795" c:formatCode="0.00_);[Red]\(0.00\)">
                  <c:v>26.608</c:v>
                </c:pt>
                <c:pt idx="796" c:formatCode="0.00_);[Red]\(0.00\)">
                  <c:v>26.641</c:v>
                </c:pt>
                <c:pt idx="797" c:formatCode="0.00_);[Red]\(0.00\)">
                  <c:v>26.674</c:v>
                </c:pt>
                <c:pt idx="798" c:formatCode="0.00_);[Red]\(0.00\)">
                  <c:v>26.708</c:v>
                </c:pt>
                <c:pt idx="799" c:formatCode="0.00_);[Red]\(0.00\)">
                  <c:v>26.741</c:v>
                </c:pt>
                <c:pt idx="800" c:formatCode="0.00_);[Red]\(0.00\)">
                  <c:v>26.775</c:v>
                </c:pt>
                <c:pt idx="801" c:formatCode="0.00_);[Red]\(0.00\)">
                  <c:v>26.808</c:v>
                </c:pt>
                <c:pt idx="802" c:formatCode="0.00_);[Red]\(0.00\)">
                  <c:v>26.842</c:v>
                </c:pt>
                <c:pt idx="803" c:formatCode="0.00_);[Red]\(0.00\)">
                  <c:v>26.875</c:v>
                </c:pt>
                <c:pt idx="804" c:formatCode="0.00_);[Red]\(0.00\)">
                  <c:v>26.908</c:v>
                </c:pt>
                <c:pt idx="805" c:formatCode="0.00_);[Red]\(0.00\)">
                  <c:v>26.942</c:v>
                </c:pt>
                <c:pt idx="806" c:formatCode="0.00_);[Red]\(0.00\)">
                  <c:v>26.975</c:v>
                </c:pt>
                <c:pt idx="807" c:formatCode="0.00_);[Red]\(0.00\)">
                  <c:v>27.009</c:v>
                </c:pt>
                <c:pt idx="808" c:formatCode="0.00_);[Red]\(0.00\)">
                  <c:v>27.042</c:v>
                </c:pt>
                <c:pt idx="809" c:formatCode="0.00_);[Red]\(0.00\)">
                  <c:v>27.076</c:v>
                </c:pt>
                <c:pt idx="810" c:formatCode="0.00_);[Red]\(0.00\)">
                  <c:v>27.109</c:v>
                </c:pt>
                <c:pt idx="811" c:formatCode="0.00_);[Red]\(0.00\)">
                  <c:v>27.142</c:v>
                </c:pt>
                <c:pt idx="812" c:formatCode="0.00_);[Red]\(0.00\)">
                  <c:v>27.176</c:v>
                </c:pt>
                <c:pt idx="813" c:formatCode="0.00_);[Red]\(0.00\)">
                  <c:v>27.209</c:v>
                </c:pt>
                <c:pt idx="814" c:formatCode="0.00_);[Red]\(0.00\)">
                  <c:v>27.243</c:v>
                </c:pt>
                <c:pt idx="815" c:formatCode="0.00_);[Red]\(0.00\)">
                  <c:v>27.276</c:v>
                </c:pt>
                <c:pt idx="816" c:formatCode="0.00_);[Red]\(0.00\)">
                  <c:v>27.31</c:v>
                </c:pt>
                <c:pt idx="817" c:formatCode="0.00_);[Red]\(0.00\)">
                  <c:v>27.343</c:v>
                </c:pt>
                <c:pt idx="818" c:formatCode="0.00_);[Red]\(0.00\)">
                  <c:v>27.376</c:v>
                </c:pt>
                <c:pt idx="819" c:formatCode="0.00_);[Red]\(0.00\)">
                  <c:v>27.41</c:v>
                </c:pt>
                <c:pt idx="820" c:formatCode="0.00_);[Red]\(0.00\)">
                  <c:v>27.443</c:v>
                </c:pt>
                <c:pt idx="821" c:formatCode="0.00_);[Red]\(0.00\)">
                  <c:v>27.477</c:v>
                </c:pt>
                <c:pt idx="822" c:formatCode="0.00_);[Red]\(0.00\)">
                  <c:v>27.51</c:v>
                </c:pt>
                <c:pt idx="823" c:formatCode="0.00_);[Red]\(0.00\)">
                  <c:v>27.544</c:v>
                </c:pt>
                <c:pt idx="824" c:formatCode="0.00_);[Red]\(0.00\)">
                  <c:v>27.577</c:v>
                </c:pt>
                <c:pt idx="825" c:formatCode="0.00_);[Red]\(0.00\)">
                  <c:v>27.61</c:v>
                </c:pt>
                <c:pt idx="826" c:formatCode="0.00_);[Red]\(0.00\)">
                  <c:v>27.644</c:v>
                </c:pt>
                <c:pt idx="827" c:formatCode="0.00_);[Red]\(0.00\)">
                  <c:v>27.677</c:v>
                </c:pt>
                <c:pt idx="828" c:formatCode="0.00_);[Red]\(0.00\)">
                  <c:v>27.711</c:v>
                </c:pt>
                <c:pt idx="829" c:formatCode="0.00_);[Red]\(0.00\)">
                  <c:v>27.744</c:v>
                </c:pt>
                <c:pt idx="830" c:formatCode="0.00_);[Red]\(0.00\)">
                  <c:v>27.778</c:v>
                </c:pt>
                <c:pt idx="831" c:formatCode="0.00_);[Red]\(0.00\)">
                  <c:v>27.811</c:v>
                </c:pt>
                <c:pt idx="832" c:formatCode="0.00_);[Red]\(0.00\)">
                  <c:v>27.844</c:v>
                </c:pt>
                <c:pt idx="833" c:formatCode="0.00_);[Red]\(0.00\)">
                  <c:v>27.878</c:v>
                </c:pt>
                <c:pt idx="834" c:formatCode="0.00_);[Red]\(0.00\)">
                  <c:v>27.911</c:v>
                </c:pt>
                <c:pt idx="835" c:formatCode="0.00_);[Red]\(0.00\)">
                  <c:v>27.945</c:v>
                </c:pt>
                <c:pt idx="836" c:formatCode="0.00_);[Red]\(0.00\)">
                  <c:v>27.978</c:v>
                </c:pt>
                <c:pt idx="837" c:formatCode="0.00_);[Red]\(0.00\)">
                  <c:v>28.011</c:v>
                </c:pt>
                <c:pt idx="838" c:formatCode="0.00_);[Red]\(0.00\)">
                  <c:v>28.045</c:v>
                </c:pt>
                <c:pt idx="839" c:formatCode="0.00_);[Red]\(0.00\)">
                  <c:v>28.078</c:v>
                </c:pt>
                <c:pt idx="840" c:formatCode="0.00_);[Red]\(0.00\)">
                  <c:v>28.112</c:v>
                </c:pt>
                <c:pt idx="841" c:formatCode="0.00_);[Red]\(0.00\)">
                  <c:v>28.145</c:v>
                </c:pt>
                <c:pt idx="842" c:formatCode="0.00_);[Red]\(0.00\)">
                  <c:v>28.179</c:v>
                </c:pt>
                <c:pt idx="843" c:formatCode="0.00_);[Red]\(0.00\)">
                  <c:v>28.212</c:v>
                </c:pt>
                <c:pt idx="844" c:formatCode="0.00_);[Red]\(0.00\)">
                  <c:v>28.245</c:v>
                </c:pt>
                <c:pt idx="845" c:formatCode="0.00_);[Red]\(0.00\)">
                  <c:v>28.279</c:v>
                </c:pt>
                <c:pt idx="846" c:formatCode="0.00_);[Red]\(0.00\)">
                  <c:v>28.312</c:v>
                </c:pt>
                <c:pt idx="847" c:formatCode="0.00_);[Red]\(0.00\)">
                  <c:v>28.346</c:v>
                </c:pt>
                <c:pt idx="848" c:formatCode="0.00_);[Red]\(0.00\)">
                  <c:v>28.379</c:v>
                </c:pt>
                <c:pt idx="849" c:formatCode="0.00_);[Red]\(0.00\)">
                  <c:v>28.413</c:v>
                </c:pt>
                <c:pt idx="850" c:formatCode="0.00_);[Red]\(0.00\)">
                  <c:v>28.446</c:v>
                </c:pt>
                <c:pt idx="851" c:formatCode="0.00_);[Red]\(0.00\)">
                  <c:v>28.479</c:v>
                </c:pt>
                <c:pt idx="852" c:formatCode="0.00_);[Red]\(0.00\)">
                  <c:v>28.513</c:v>
                </c:pt>
                <c:pt idx="853" c:formatCode="0.00_);[Red]\(0.00\)">
                  <c:v>28.546</c:v>
                </c:pt>
                <c:pt idx="854" c:formatCode="0.00_);[Red]\(0.00\)">
                  <c:v>28.58</c:v>
                </c:pt>
                <c:pt idx="855" c:formatCode="0.00_);[Red]\(0.00\)">
                  <c:v>28.613</c:v>
                </c:pt>
                <c:pt idx="856" c:formatCode="0.00_);[Red]\(0.00\)">
                  <c:v>28.647</c:v>
                </c:pt>
                <c:pt idx="857" c:formatCode="0.00_);[Red]\(0.00\)">
                  <c:v>28.68</c:v>
                </c:pt>
                <c:pt idx="858" c:formatCode="0.00_);[Red]\(0.00\)">
                  <c:v>28.713</c:v>
                </c:pt>
                <c:pt idx="859" c:formatCode="0.00_);[Red]\(0.00\)">
                  <c:v>28.747</c:v>
                </c:pt>
                <c:pt idx="860" c:formatCode="0.00_);[Red]\(0.00\)">
                  <c:v>28.78</c:v>
                </c:pt>
                <c:pt idx="861" c:formatCode="0.00_);[Red]\(0.00\)">
                  <c:v>28.814</c:v>
                </c:pt>
                <c:pt idx="862" c:formatCode="0.00_);[Red]\(0.00\)">
                  <c:v>28.847</c:v>
                </c:pt>
                <c:pt idx="863" c:formatCode="0.00_);[Red]\(0.00\)">
                  <c:v>28.881</c:v>
                </c:pt>
                <c:pt idx="864" c:formatCode="0.00_);[Red]\(0.00\)">
                  <c:v>28.914</c:v>
                </c:pt>
                <c:pt idx="865" c:formatCode="0.00_);[Red]\(0.00\)">
                  <c:v>28.947</c:v>
                </c:pt>
                <c:pt idx="866" c:formatCode="0.00_);[Red]\(0.00\)">
                  <c:v>28.981</c:v>
                </c:pt>
                <c:pt idx="867" c:formatCode="0.00_);[Red]\(0.00\)">
                  <c:v>29.014</c:v>
                </c:pt>
                <c:pt idx="868" c:formatCode="0.00_);[Red]\(0.00\)">
                  <c:v>29.048</c:v>
                </c:pt>
                <c:pt idx="869" c:formatCode="0.00_);[Red]\(0.00\)">
                  <c:v>29.081</c:v>
                </c:pt>
                <c:pt idx="870" c:formatCode="0.00_);[Red]\(0.00\)">
                  <c:v>29.115</c:v>
                </c:pt>
                <c:pt idx="871" c:formatCode="0.00_);[Red]\(0.00\)">
                  <c:v>29.148</c:v>
                </c:pt>
                <c:pt idx="872" c:formatCode="0.00_);[Red]\(0.00\)">
                  <c:v>29.181</c:v>
                </c:pt>
                <c:pt idx="873" c:formatCode="0.00_);[Red]\(0.00\)">
                  <c:v>29.215</c:v>
                </c:pt>
                <c:pt idx="874" c:formatCode="0.00_);[Red]\(0.00\)">
                  <c:v>29.248</c:v>
                </c:pt>
                <c:pt idx="875" c:formatCode="0.00_);[Red]\(0.00\)">
                  <c:v>29.282</c:v>
                </c:pt>
                <c:pt idx="876" c:formatCode="0.00_);[Red]\(0.00\)">
                  <c:v>29.315</c:v>
                </c:pt>
                <c:pt idx="877" c:formatCode="0.00_);[Red]\(0.00\)">
                  <c:v>29.349</c:v>
                </c:pt>
                <c:pt idx="878" c:formatCode="0.00_);[Red]\(0.00\)">
                  <c:v>29.382</c:v>
                </c:pt>
                <c:pt idx="879" c:formatCode="0.00_);[Red]\(0.00\)">
                  <c:v>29.415</c:v>
                </c:pt>
                <c:pt idx="880" c:formatCode="0.00_);[Red]\(0.00\)">
                  <c:v>29.449</c:v>
                </c:pt>
                <c:pt idx="881" c:formatCode="0.00_);[Red]\(0.00\)">
                  <c:v>29.482</c:v>
                </c:pt>
                <c:pt idx="882" c:formatCode="0.00_);[Red]\(0.00\)">
                  <c:v>29.516</c:v>
                </c:pt>
                <c:pt idx="883" c:formatCode="0.00_);[Red]\(0.00\)">
                  <c:v>29.549</c:v>
                </c:pt>
                <c:pt idx="884" c:formatCode="0.00_);[Red]\(0.00\)">
                  <c:v>29.583</c:v>
                </c:pt>
                <c:pt idx="885" c:formatCode="0.00_);[Red]\(0.00\)">
                  <c:v>29.616</c:v>
                </c:pt>
                <c:pt idx="886" c:formatCode="0.00_);[Red]\(0.00\)">
                  <c:v>29.649</c:v>
                </c:pt>
                <c:pt idx="887" c:formatCode="0.00_);[Red]\(0.00\)">
                  <c:v>29.683</c:v>
                </c:pt>
                <c:pt idx="888" c:formatCode="0.00_);[Red]\(0.00\)">
                  <c:v>29.716</c:v>
                </c:pt>
                <c:pt idx="889" c:formatCode="0.00_);[Red]\(0.00\)">
                  <c:v>29.75</c:v>
                </c:pt>
                <c:pt idx="890" c:formatCode="0.00_);[Red]\(0.00\)">
                  <c:v>29.783</c:v>
                </c:pt>
                <c:pt idx="891" c:formatCode="0.00_);[Red]\(0.00\)">
                  <c:v>29.817</c:v>
                </c:pt>
                <c:pt idx="892" c:formatCode="0.00_);[Red]\(0.00\)">
                  <c:v>29.85</c:v>
                </c:pt>
                <c:pt idx="893" c:formatCode="0.00_);[Red]\(0.00\)">
                  <c:v>29.883</c:v>
                </c:pt>
                <c:pt idx="894" c:formatCode="0.00_);[Red]\(0.00\)">
                  <c:v>29.917</c:v>
                </c:pt>
                <c:pt idx="895" c:formatCode="0.00_);[Red]\(0.00\)">
                  <c:v>29.95</c:v>
                </c:pt>
                <c:pt idx="896" c:formatCode="0.00_);[Red]\(0.00\)">
                  <c:v>29.984</c:v>
                </c:pt>
                <c:pt idx="897" c:formatCode="0.00_);[Red]\(0.00\)">
                  <c:v>30.017</c:v>
                </c:pt>
                <c:pt idx="898" c:formatCode="0.00_);[Red]\(0.00\)">
                  <c:v>30.051</c:v>
                </c:pt>
                <c:pt idx="899" c:formatCode="0.00_);[Red]\(0.00\)">
                  <c:v>30.084</c:v>
                </c:pt>
                <c:pt idx="900" c:formatCode="0.00_);[Red]\(0.00\)">
                  <c:v>30.117</c:v>
                </c:pt>
                <c:pt idx="901" c:formatCode="0.00_);[Red]\(0.00\)">
                  <c:v>30.151</c:v>
                </c:pt>
                <c:pt idx="902" c:formatCode="0.00_);[Red]\(0.00\)">
                  <c:v>30.184</c:v>
                </c:pt>
                <c:pt idx="903" c:formatCode="0.00_);[Red]\(0.00\)">
                  <c:v>30.218</c:v>
                </c:pt>
                <c:pt idx="904" c:formatCode="0.00_);[Red]\(0.00\)">
                  <c:v>30.251</c:v>
                </c:pt>
                <c:pt idx="905" c:formatCode="0.00_);[Red]\(0.00\)">
                  <c:v>30.285</c:v>
                </c:pt>
                <c:pt idx="906" c:formatCode="0.00_);[Red]\(0.00\)">
                  <c:v>30.318</c:v>
                </c:pt>
                <c:pt idx="907" c:formatCode="0.00_);[Red]\(0.00\)">
                  <c:v>30.351</c:v>
                </c:pt>
                <c:pt idx="908" c:formatCode="0.00_);[Red]\(0.00\)">
                  <c:v>30.385</c:v>
                </c:pt>
                <c:pt idx="909" c:formatCode="0.00_);[Red]\(0.00\)">
                  <c:v>30.418</c:v>
                </c:pt>
                <c:pt idx="910" c:formatCode="0.00_);[Red]\(0.00\)">
                  <c:v>30.452</c:v>
                </c:pt>
                <c:pt idx="911" c:formatCode="0.00_);[Red]\(0.00\)">
                  <c:v>30.485</c:v>
                </c:pt>
                <c:pt idx="912" c:formatCode="0.00_);[Red]\(0.00\)">
                  <c:v>30.518</c:v>
                </c:pt>
                <c:pt idx="913" c:formatCode="0.00_);[Red]\(0.00\)">
                  <c:v>30.552</c:v>
                </c:pt>
                <c:pt idx="914" c:formatCode="0.00_);[Red]\(0.00\)">
                  <c:v>30.585</c:v>
                </c:pt>
                <c:pt idx="915" c:formatCode="0.00_);[Red]\(0.00\)">
                  <c:v>30.619</c:v>
                </c:pt>
                <c:pt idx="916" c:formatCode="0.00_);[Red]\(0.00\)">
                  <c:v>30.652</c:v>
                </c:pt>
                <c:pt idx="917" c:formatCode="0.00_);[Red]\(0.00\)">
                  <c:v>30.686</c:v>
                </c:pt>
                <c:pt idx="918" c:formatCode="0.00_);[Red]\(0.00\)">
                  <c:v>30.719</c:v>
                </c:pt>
                <c:pt idx="919" c:formatCode="0.00_);[Red]\(0.00\)">
                  <c:v>30.752</c:v>
                </c:pt>
                <c:pt idx="920" c:formatCode="0.00_);[Red]\(0.00\)">
                  <c:v>30.786</c:v>
                </c:pt>
                <c:pt idx="921" c:formatCode="0.00_);[Red]\(0.00\)">
                  <c:v>30.819</c:v>
                </c:pt>
                <c:pt idx="922" c:formatCode="0.00_);[Red]\(0.00\)">
                  <c:v>30.853</c:v>
                </c:pt>
                <c:pt idx="923" c:formatCode="0.00_);[Red]\(0.00\)">
                  <c:v>30.886</c:v>
                </c:pt>
                <c:pt idx="924" c:formatCode="0.00_);[Red]\(0.00\)">
                  <c:v>30.92</c:v>
                </c:pt>
                <c:pt idx="925" c:formatCode="0.00_);[Red]\(0.00\)">
                  <c:v>30.953</c:v>
                </c:pt>
                <c:pt idx="926" c:formatCode="0.00_);[Red]\(0.00\)">
                  <c:v>30.986</c:v>
                </c:pt>
                <c:pt idx="927" c:formatCode="0.00_);[Red]\(0.00\)">
                  <c:v>31.02</c:v>
                </c:pt>
                <c:pt idx="928" c:formatCode="0.00_);[Red]\(0.00\)">
                  <c:v>31.053</c:v>
                </c:pt>
                <c:pt idx="929" c:formatCode="0.00_);[Red]\(0.00\)">
                  <c:v>31.087</c:v>
                </c:pt>
                <c:pt idx="930" c:formatCode="0.00_);[Red]\(0.00\)">
                  <c:v>31.12</c:v>
                </c:pt>
              </c:numCache>
            </c:numRef>
          </c:cat>
          <c:val>
            <c:numRef>
              <c:f>A_09_45_33_A!$K$4:$K$934</c:f>
              <c:numCache>
                <c:formatCode>0.000_ </c:formatCode>
                <c:ptCount val="931"/>
                <c:pt idx="0">
                  <c:v>0</c:v>
                </c:pt>
                <c:pt idx="1">
                  <c:v>0.100000000000031</c:v>
                </c:pt>
                <c:pt idx="2">
                  <c:v>0.100000000000031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-0.0999999999999612</c:v>
                </c:pt>
                <c:pt idx="9">
                  <c:v>-0.0999999999999612</c:v>
                </c:pt>
                <c:pt idx="10">
                  <c:v>-0.0999999999999612</c:v>
                </c:pt>
                <c:pt idx="11">
                  <c:v>-0.0999999999999612</c:v>
                </c:pt>
                <c:pt idx="12">
                  <c:v>0</c:v>
                </c:pt>
                <c:pt idx="13">
                  <c:v>-0.0999999999999612</c:v>
                </c:pt>
                <c:pt idx="14">
                  <c:v>-0.0999999999999612</c:v>
                </c:pt>
                <c:pt idx="15">
                  <c:v>0</c:v>
                </c:pt>
                <c:pt idx="16">
                  <c:v>-0.0999999999999612</c:v>
                </c:pt>
                <c:pt idx="17">
                  <c:v>-0.0999999999999612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0.100000000000031</c:v>
                </c:pt>
                <c:pt idx="22">
                  <c:v>0</c:v>
                </c:pt>
                <c:pt idx="23">
                  <c:v>0</c:v>
                </c:pt>
                <c:pt idx="24">
                  <c:v>0.100000000000031</c:v>
                </c:pt>
                <c:pt idx="25">
                  <c:v>0.100000000000031</c:v>
                </c:pt>
                <c:pt idx="26">
                  <c:v>0</c:v>
                </c:pt>
                <c:pt idx="27">
                  <c:v>0.100000000000031</c:v>
                </c:pt>
                <c:pt idx="28">
                  <c:v>0.100000000000031</c:v>
                </c:pt>
                <c:pt idx="29">
                  <c:v>0</c:v>
                </c:pt>
                <c:pt idx="30">
                  <c:v>0.100000000000031</c:v>
                </c:pt>
                <c:pt idx="31">
                  <c:v>0</c:v>
                </c:pt>
                <c:pt idx="32">
                  <c:v>0.199999999999992</c:v>
                </c:pt>
                <c:pt idx="33">
                  <c:v>0</c:v>
                </c:pt>
                <c:pt idx="34">
                  <c:v>0.100000000000031</c:v>
                </c:pt>
                <c:pt idx="35">
                  <c:v>0.100000000000031</c:v>
                </c:pt>
                <c:pt idx="36">
                  <c:v>0.100000000000031</c:v>
                </c:pt>
                <c:pt idx="37">
                  <c:v>0.100000000000031</c:v>
                </c:pt>
                <c:pt idx="38">
                  <c:v>0.100000000000031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-0.0999999999999612</c:v>
                </c:pt>
                <c:pt idx="46">
                  <c:v>-0.0999999999999612</c:v>
                </c:pt>
                <c:pt idx="47">
                  <c:v>-0.0999999999999612</c:v>
                </c:pt>
                <c:pt idx="48">
                  <c:v>-0.0999999999999612</c:v>
                </c:pt>
                <c:pt idx="49">
                  <c:v>-0.0999999999999612</c:v>
                </c:pt>
                <c:pt idx="50">
                  <c:v>-0.0999999999999612</c:v>
                </c:pt>
                <c:pt idx="51">
                  <c:v>-0.0999999999999612</c:v>
                </c:pt>
                <c:pt idx="52">
                  <c:v>-0.0999999999999612</c:v>
                </c:pt>
                <c:pt idx="53">
                  <c:v>-0.0999999999999612</c:v>
                </c:pt>
                <c:pt idx="54">
                  <c:v>-0.199999999999992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0.100000000000031</c:v>
                </c:pt>
                <c:pt idx="61">
                  <c:v>0</c:v>
                </c:pt>
                <c:pt idx="62">
                  <c:v>0</c:v>
                </c:pt>
                <c:pt idx="63">
                  <c:v>0.100000000000031</c:v>
                </c:pt>
                <c:pt idx="64">
                  <c:v>0</c:v>
                </c:pt>
                <c:pt idx="65">
                  <c:v>0.100000000000031</c:v>
                </c:pt>
                <c:pt idx="66">
                  <c:v>0.100000000000031</c:v>
                </c:pt>
                <c:pt idx="67">
                  <c:v>0.100000000000031</c:v>
                </c:pt>
                <c:pt idx="68">
                  <c:v>0.100000000000031</c:v>
                </c:pt>
                <c:pt idx="69">
                  <c:v>0.100000000000031</c:v>
                </c:pt>
                <c:pt idx="70">
                  <c:v>0.199999999999992</c:v>
                </c:pt>
                <c:pt idx="71">
                  <c:v>0.100000000000031</c:v>
                </c:pt>
                <c:pt idx="72">
                  <c:v>0.100000000000031</c:v>
                </c:pt>
                <c:pt idx="73">
                  <c:v>0.100000000000031</c:v>
                </c:pt>
                <c:pt idx="74">
                  <c:v>0.100000000000031</c:v>
                </c:pt>
                <c:pt idx="75">
                  <c:v>0.100000000000031</c:v>
                </c:pt>
                <c:pt idx="76">
                  <c:v>0</c:v>
                </c:pt>
                <c:pt idx="77">
                  <c:v>0.100000000000031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-0.0999999999999612</c:v>
                </c:pt>
                <c:pt idx="83">
                  <c:v>0</c:v>
                </c:pt>
                <c:pt idx="84">
                  <c:v>0</c:v>
                </c:pt>
                <c:pt idx="85">
                  <c:v>-0.0999999999999612</c:v>
                </c:pt>
                <c:pt idx="86">
                  <c:v>-0.0999999999999612</c:v>
                </c:pt>
                <c:pt idx="87">
                  <c:v>-0.0999999999999612</c:v>
                </c:pt>
                <c:pt idx="88">
                  <c:v>-0.0999999999999612</c:v>
                </c:pt>
                <c:pt idx="89">
                  <c:v>-0.0999999999999612</c:v>
                </c:pt>
                <c:pt idx="90">
                  <c:v>-0.0999999999999612</c:v>
                </c:pt>
                <c:pt idx="91">
                  <c:v>-0.0999999999999612</c:v>
                </c:pt>
                <c:pt idx="92">
                  <c:v>-0.0999999999999612</c:v>
                </c:pt>
                <c:pt idx="93">
                  <c:v>0.100000000000031</c:v>
                </c:pt>
                <c:pt idx="94">
                  <c:v>-0.0999999999999612</c:v>
                </c:pt>
                <c:pt idx="95">
                  <c:v>-0.199999999999992</c:v>
                </c:pt>
                <c:pt idx="96">
                  <c:v>-0.0999999999999612</c:v>
                </c:pt>
                <c:pt idx="97">
                  <c:v>-0.0999999999999612</c:v>
                </c:pt>
                <c:pt idx="98">
                  <c:v>-0.0999999999999612</c:v>
                </c:pt>
                <c:pt idx="99">
                  <c:v>0</c:v>
                </c:pt>
                <c:pt idx="100">
                  <c:v>0.100000000000031</c:v>
                </c:pt>
                <c:pt idx="101">
                  <c:v>0</c:v>
                </c:pt>
                <c:pt idx="102">
                  <c:v>0.100000000000031</c:v>
                </c:pt>
                <c:pt idx="103">
                  <c:v>0</c:v>
                </c:pt>
                <c:pt idx="104">
                  <c:v>0.100000000000031</c:v>
                </c:pt>
                <c:pt idx="105">
                  <c:v>0</c:v>
                </c:pt>
                <c:pt idx="106">
                  <c:v>0.100000000000031</c:v>
                </c:pt>
                <c:pt idx="107">
                  <c:v>0.100000000000031</c:v>
                </c:pt>
                <c:pt idx="108">
                  <c:v>0</c:v>
                </c:pt>
                <c:pt idx="109">
                  <c:v>0.199999999999992</c:v>
                </c:pt>
                <c:pt idx="110">
                  <c:v>0.100000000000031</c:v>
                </c:pt>
                <c:pt idx="111">
                  <c:v>0.100000000000031</c:v>
                </c:pt>
                <c:pt idx="112">
                  <c:v>0.100000000000031</c:v>
                </c:pt>
                <c:pt idx="113">
                  <c:v>0.100000000000031</c:v>
                </c:pt>
                <c:pt idx="114">
                  <c:v>0.100000000000031</c:v>
                </c:pt>
                <c:pt idx="115">
                  <c:v>0.100000000000031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-0.0999999999999612</c:v>
                </c:pt>
                <c:pt idx="122">
                  <c:v>-0.0999999999999612</c:v>
                </c:pt>
                <c:pt idx="123">
                  <c:v>-0.0999999999999612</c:v>
                </c:pt>
                <c:pt idx="124">
                  <c:v>-0.199999999999992</c:v>
                </c:pt>
                <c:pt idx="125">
                  <c:v>-0.399999999999984</c:v>
                </c:pt>
                <c:pt idx="126">
                  <c:v>-0.399999999999984</c:v>
                </c:pt>
                <c:pt idx="127">
                  <c:v>-0.599999999999976</c:v>
                </c:pt>
                <c:pt idx="128">
                  <c:v>-0.700000000000006</c:v>
                </c:pt>
                <c:pt idx="129">
                  <c:v>-0.700000000000006</c:v>
                </c:pt>
                <c:pt idx="130">
                  <c:v>-1.00000000000003</c:v>
                </c:pt>
                <c:pt idx="131">
                  <c:v>-1.00000000000003</c:v>
                </c:pt>
                <c:pt idx="132">
                  <c:v>-0.899999999999998</c:v>
                </c:pt>
                <c:pt idx="133">
                  <c:v>-0.899999999999998</c:v>
                </c:pt>
                <c:pt idx="134">
                  <c:v>-0.700000000000006</c:v>
                </c:pt>
                <c:pt idx="135">
                  <c:v>-0.599999999999976</c:v>
                </c:pt>
                <c:pt idx="136">
                  <c:v>-0.500000000000014</c:v>
                </c:pt>
                <c:pt idx="137">
                  <c:v>-0.300000000000022</c:v>
                </c:pt>
                <c:pt idx="138">
                  <c:v>0</c:v>
                </c:pt>
                <c:pt idx="139">
                  <c:v>0.100000000000031</c:v>
                </c:pt>
                <c:pt idx="140">
                  <c:v>0.399999999999984</c:v>
                </c:pt>
                <c:pt idx="141">
                  <c:v>0.599999999999976</c:v>
                </c:pt>
                <c:pt idx="142">
                  <c:v>0.899999999999998</c:v>
                </c:pt>
                <c:pt idx="143">
                  <c:v>1.20000000000002</c:v>
                </c:pt>
                <c:pt idx="144">
                  <c:v>1.40000000000001</c:v>
                </c:pt>
                <c:pt idx="145">
                  <c:v>1.8</c:v>
                </c:pt>
                <c:pt idx="146">
                  <c:v>3.00000000000002</c:v>
                </c:pt>
                <c:pt idx="147">
                  <c:v>3.70000000000002</c:v>
                </c:pt>
                <c:pt idx="148">
                  <c:v>4.49999999999999</c:v>
                </c:pt>
                <c:pt idx="149">
                  <c:v>5.10000000000004</c:v>
                </c:pt>
                <c:pt idx="150">
                  <c:v>6.09999999999999</c:v>
                </c:pt>
                <c:pt idx="151">
                  <c:v>6.8</c:v>
                </c:pt>
                <c:pt idx="152">
                  <c:v>7.10000000000002</c:v>
                </c:pt>
                <c:pt idx="153">
                  <c:v>7.10000000000002</c:v>
                </c:pt>
                <c:pt idx="154">
                  <c:v>7.10000000000002</c:v>
                </c:pt>
                <c:pt idx="155">
                  <c:v>7.10000000000002</c:v>
                </c:pt>
                <c:pt idx="156">
                  <c:v>6.90000000000003</c:v>
                </c:pt>
                <c:pt idx="157">
                  <c:v>6.70000000000004</c:v>
                </c:pt>
                <c:pt idx="158">
                  <c:v>6.49999999999998</c:v>
                </c:pt>
                <c:pt idx="159">
                  <c:v>6.29999999999999</c:v>
                </c:pt>
                <c:pt idx="160">
                  <c:v>5.9</c:v>
                </c:pt>
                <c:pt idx="161">
                  <c:v>5.59999999999998</c:v>
                </c:pt>
                <c:pt idx="162">
                  <c:v>5.10000000000004</c:v>
                </c:pt>
                <c:pt idx="163">
                  <c:v>4.49999999999999</c:v>
                </c:pt>
                <c:pt idx="164">
                  <c:v>3.30000000000004</c:v>
                </c:pt>
                <c:pt idx="165">
                  <c:v>2.30000000000001</c:v>
                </c:pt>
                <c:pt idx="166">
                  <c:v>1.70000000000003</c:v>
                </c:pt>
                <c:pt idx="167">
                  <c:v>0.800000000000037</c:v>
                </c:pt>
                <c:pt idx="168">
                  <c:v>-0.199999999999992</c:v>
                </c:pt>
                <c:pt idx="169">
                  <c:v>-1.09999999999999</c:v>
                </c:pt>
                <c:pt idx="170">
                  <c:v>-1.8</c:v>
                </c:pt>
                <c:pt idx="171">
                  <c:v>-3.20000000000001</c:v>
                </c:pt>
                <c:pt idx="172">
                  <c:v>-3.90000000000001</c:v>
                </c:pt>
                <c:pt idx="173">
                  <c:v>-4.3</c:v>
                </c:pt>
                <c:pt idx="174">
                  <c:v>-4.69999999999998</c:v>
                </c:pt>
                <c:pt idx="175">
                  <c:v>-5.59999999999998</c:v>
                </c:pt>
                <c:pt idx="176">
                  <c:v>-5.99999999999996</c:v>
                </c:pt>
                <c:pt idx="177">
                  <c:v>-6.09999999999999</c:v>
                </c:pt>
                <c:pt idx="178">
                  <c:v>-6.09999999999999</c:v>
                </c:pt>
                <c:pt idx="179">
                  <c:v>-5.99999999999996</c:v>
                </c:pt>
                <c:pt idx="180">
                  <c:v>-5.79999999999997</c:v>
                </c:pt>
                <c:pt idx="181">
                  <c:v>-5.50000000000002</c:v>
                </c:pt>
                <c:pt idx="182">
                  <c:v>-5</c:v>
                </c:pt>
                <c:pt idx="183">
                  <c:v>-4.3</c:v>
                </c:pt>
                <c:pt idx="184">
                  <c:v>-3.09999999999998</c:v>
                </c:pt>
                <c:pt idx="185">
                  <c:v>-1.99999999999999</c:v>
                </c:pt>
                <c:pt idx="186">
                  <c:v>-0.899999999999998</c:v>
                </c:pt>
                <c:pt idx="187">
                  <c:v>0.700000000000006</c:v>
                </c:pt>
                <c:pt idx="188">
                  <c:v>1.90000000000003</c:v>
                </c:pt>
                <c:pt idx="189">
                  <c:v>3.70000000000002</c:v>
                </c:pt>
                <c:pt idx="190">
                  <c:v>5</c:v>
                </c:pt>
                <c:pt idx="191">
                  <c:v>6.49999999999998</c:v>
                </c:pt>
                <c:pt idx="192">
                  <c:v>7.60000000000004</c:v>
                </c:pt>
                <c:pt idx="193">
                  <c:v>9.40000000000003</c:v>
                </c:pt>
                <c:pt idx="194">
                  <c:v>10.9</c:v>
                </c:pt>
                <c:pt idx="195">
                  <c:v>12.4</c:v>
                </c:pt>
                <c:pt idx="196">
                  <c:v>13.4</c:v>
                </c:pt>
                <c:pt idx="197">
                  <c:v>14.2</c:v>
                </c:pt>
                <c:pt idx="198">
                  <c:v>15.4</c:v>
                </c:pt>
                <c:pt idx="199">
                  <c:v>15.8</c:v>
                </c:pt>
                <c:pt idx="200">
                  <c:v>15.8</c:v>
                </c:pt>
                <c:pt idx="201">
                  <c:v>15.9</c:v>
                </c:pt>
                <c:pt idx="202">
                  <c:v>15.6</c:v>
                </c:pt>
                <c:pt idx="203">
                  <c:v>15.4</c:v>
                </c:pt>
                <c:pt idx="204">
                  <c:v>15</c:v>
                </c:pt>
                <c:pt idx="205">
                  <c:v>14.4</c:v>
                </c:pt>
                <c:pt idx="206">
                  <c:v>13.8</c:v>
                </c:pt>
                <c:pt idx="207">
                  <c:v>13</c:v>
                </c:pt>
                <c:pt idx="208">
                  <c:v>11.5</c:v>
                </c:pt>
                <c:pt idx="209">
                  <c:v>10</c:v>
                </c:pt>
                <c:pt idx="210">
                  <c:v>8.4</c:v>
                </c:pt>
                <c:pt idx="211">
                  <c:v>6.99999999999999</c:v>
                </c:pt>
                <c:pt idx="212">
                  <c:v>5.30000000000003</c:v>
                </c:pt>
                <c:pt idx="213">
                  <c:v>3.90000000000001</c:v>
                </c:pt>
                <c:pt idx="214">
                  <c:v>2.30000000000001</c:v>
                </c:pt>
                <c:pt idx="215">
                  <c:v>0.800000000000037</c:v>
                </c:pt>
                <c:pt idx="216">
                  <c:v>-0.799999999999967</c:v>
                </c:pt>
                <c:pt idx="217">
                  <c:v>-1.90000000000003</c:v>
                </c:pt>
                <c:pt idx="218">
                  <c:v>-3.29999999999997</c:v>
                </c:pt>
                <c:pt idx="219">
                  <c:v>-3.99999999999998</c:v>
                </c:pt>
                <c:pt idx="220">
                  <c:v>-4.49999999999999</c:v>
                </c:pt>
                <c:pt idx="221">
                  <c:v>-4.69999999999998</c:v>
                </c:pt>
                <c:pt idx="222">
                  <c:v>-5.39999999999999</c:v>
                </c:pt>
                <c:pt idx="223">
                  <c:v>-5.59999999999998</c:v>
                </c:pt>
                <c:pt idx="224">
                  <c:v>-5.70000000000001</c:v>
                </c:pt>
                <c:pt idx="225">
                  <c:v>-5.39999999999999</c:v>
                </c:pt>
                <c:pt idx="226">
                  <c:v>-5</c:v>
                </c:pt>
                <c:pt idx="227">
                  <c:v>-4.3</c:v>
                </c:pt>
                <c:pt idx="228">
                  <c:v>-3.00000000000002</c:v>
                </c:pt>
                <c:pt idx="229">
                  <c:v>-1.8</c:v>
                </c:pt>
                <c:pt idx="230">
                  <c:v>-0.500000000000014</c:v>
                </c:pt>
                <c:pt idx="231">
                  <c:v>1.40000000000001</c:v>
                </c:pt>
                <c:pt idx="232">
                  <c:v>2.89999999999999</c:v>
                </c:pt>
                <c:pt idx="233">
                  <c:v>5</c:v>
                </c:pt>
                <c:pt idx="234">
                  <c:v>7.10000000000002</c:v>
                </c:pt>
                <c:pt idx="235">
                  <c:v>8.6</c:v>
                </c:pt>
                <c:pt idx="236">
                  <c:v>10.6</c:v>
                </c:pt>
                <c:pt idx="237">
                  <c:v>12.1</c:v>
                </c:pt>
                <c:pt idx="238">
                  <c:v>14</c:v>
                </c:pt>
                <c:pt idx="239">
                  <c:v>15.7</c:v>
                </c:pt>
                <c:pt idx="240">
                  <c:v>17.2</c:v>
                </c:pt>
                <c:pt idx="241">
                  <c:v>18.5</c:v>
                </c:pt>
                <c:pt idx="242">
                  <c:v>19.6</c:v>
                </c:pt>
                <c:pt idx="243">
                  <c:v>20</c:v>
                </c:pt>
                <c:pt idx="244">
                  <c:v>20.9</c:v>
                </c:pt>
                <c:pt idx="245">
                  <c:v>21.2</c:v>
                </c:pt>
                <c:pt idx="246">
                  <c:v>21.2</c:v>
                </c:pt>
                <c:pt idx="247">
                  <c:v>21.1</c:v>
                </c:pt>
                <c:pt idx="248">
                  <c:v>20.6</c:v>
                </c:pt>
                <c:pt idx="249">
                  <c:v>20</c:v>
                </c:pt>
                <c:pt idx="250">
                  <c:v>19</c:v>
                </c:pt>
                <c:pt idx="251">
                  <c:v>17.5</c:v>
                </c:pt>
                <c:pt idx="252">
                  <c:v>15.9</c:v>
                </c:pt>
                <c:pt idx="253">
                  <c:v>14.2</c:v>
                </c:pt>
                <c:pt idx="254">
                  <c:v>12.6</c:v>
                </c:pt>
                <c:pt idx="255">
                  <c:v>10.4</c:v>
                </c:pt>
                <c:pt idx="256">
                  <c:v>8.20000000000001</c:v>
                </c:pt>
                <c:pt idx="257">
                  <c:v>6.40000000000002</c:v>
                </c:pt>
                <c:pt idx="258">
                  <c:v>4.3</c:v>
                </c:pt>
                <c:pt idx="259">
                  <c:v>2.39999999999997</c:v>
                </c:pt>
                <c:pt idx="260">
                  <c:v>0.899999999999998</c:v>
                </c:pt>
                <c:pt idx="261">
                  <c:v>-0.599999999999976</c:v>
                </c:pt>
                <c:pt idx="262">
                  <c:v>-1.8</c:v>
                </c:pt>
                <c:pt idx="263">
                  <c:v>-3.29999999999997</c:v>
                </c:pt>
                <c:pt idx="264">
                  <c:v>-3.79999999999998</c:v>
                </c:pt>
                <c:pt idx="265">
                  <c:v>-4.19999999999997</c:v>
                </c:pt>
                <c:pt idx="266">
                  <c:v>-4.39999999999996</c:v>
                </c:pt>
                <c:pt idx="267">
                  <c:v>-4.10000000000001</c:v>
                </c:pt>
                <c:pt idx="268">
                  <c:v>-3.70000000000002</c:v>
                </c:pt>
                <c:pt idx="269">
                  <c:v>-3.20000000000001</c:v>
                </c:pt>
                <c:pt idx="270">
                  <c:v>-2.69999999999999</c:v>
                </c:pt>
                <c:pt idx="271">
                  <c:v>-2.10000000000002</c:v>
                </c:pt>
                <c:pt idx="272">
                  <c:v>-1.40000000000001</c:v>
                </c:pt>
                <c:pt idx="273">
                  <c:v>0.399999999999984</c:v>
                </c:pt>
                <c:pt idx="274">
                  <c:v>1.8</c:v>
                </c:pt>
                <c:pt idx="275">
                  <c:v>3.79999999999998</c:v>
                </c:pt>
                <c:pt idx="276">
                  <c:v>5.59999999999998</c:v>
                </c:pt>
                <c:pt idx="277">
                  <c:v>7.7</c:v>
                </c:pt>
                <c:pt idx="278">
                  <c:v>9.69999999999999</c:v>
                </c:pt>
                <c:pt idx="279">
                  <c:v>11.6</c:v>
                </c:pt>
                <c:pt idx="280">
                  <c:v>13.8</c:v>
                </c:pt>
                <c:pt idx="281">
                  <c:v>15.8</c:v>
                </c:pt>
                <c:pt idx="282">
                  <c:v>17.2</c:v>
                </c:pt>
                <c:pt idx="283">
                  <c:v>18.9</c:v>
                </c:pt>
                <c:pt idx="284">
                  <c:v>19.8</c:v>
                </c:pt>
                <c:pt idx="285">
                  <c:v>21.4</c:v>
                </c:pt>
                <c:pt idx="286">
                  <c:v>22.1</c:v>
                </c:pt>
                <c:pt idx="287">
                  <c:v>22.4</c:v>
                </c:pt>
                <c:pt idx="288">
                  <c:v>22.3</c:v>
                </c:pt>
                <c:pt idx="289">
                  <c:v>22.2</c:v>
                </c:pt>
                <c:pt idx="290">
                  <c:v>21.9</c:v>
                </c:pt>
                <c:pt idx="291">
                  <c:v>21.4</c:v>
                </c:pt>
                <c:pt idx="292">
                  <c:v>21.1</c:v>
                </c:pt>
                <c:pt idx="293">
                  <c:v>20.4</c:v>
                </c:pt>
                <c:pt idx="294">
                  <c:v>19.3</c:v>
                </c:pt>
                <c:pt idx="295">
                  <c:v>17.7</c:v>
                </c:pt>
                <c:pt idx="296">
                  <c:v>16.2</c:v>
                </c:pt>
                <c:pt idx="297">
                  <c:v>14.4</c:v>
                </c:pt>
                <c:pt idx="298">
                  <c:v>12.7</c:v>
                </c:pt>
                <c:pt idx="299">
                  <c:v>10.7</c:v>
                </c:pt>
                <c:pt idx="300">
                  <c:v>9.10000000000001</c:v>
                </c:pt>
                <c:pt idx="301">
                  <c:v>7.50000000000001</c:v>
                </c:pt>
                <c:pt idx="302">
                  <c:v>5.2</c:v>
                </c:pt>
                <c:pt idx="303">
                  <c:v>3.70000000000002</c:v>
                </c:pt>
                <c:pt idx="304">
                  <c:v>2.10000000000002</c:v>
                </c:pt>
                <c:pt idx="305">
                  <c:v>1.09999999999999</c:v>
                </c:pt>
                <c:pt idx="306">
                  <c:v>-0.300000000000022</c:v>
                </c:pt>
                <c:pt idx="307">
                  <c:v>-1.00000000000003</c:v>
                </c:pt>
                <c:pt idx="308">
                  <c:v>-1.49999999999997</c:v>
                </c:pt>
                <c:pt idx="309">
                  <c:v>-1.40000000000001</c:v>
                </c:pt>
                <c:pt idx="310">
                  <c:v>-1.09999999999999</c:v>
                </c:pt>
                <c:pt idx="311">
                  <c:v>-1.00000000000003</c:v>
                </c:pt>
                <c:pt idx="312">
                  <c:v>-0.599999999999976</c:v>
                </c:pt>
                <c:pt idx="313">
                  <c:v>-0.0999999999999612</c:v>
                </c:pt>
                <c:pt idx="314">
                  <c:v>0.300000000000022</c:v>
                </c:pt>
                <c:pt idx="315">
                  <c:v>0.899999999999998</c:v>
                </c:pt>
                <c:pt idx="316">
                  <c:v>1.6</c:v>
                </c:pt>
                <c:pt idx="317">
                  <c:v>3.30000000000004</c:v>
                </c:pt>
                <c:pt idx="318">
                  <c:v>4.60000000000002</c:v>
                </c:pt>
                <c:pt idx="319">
                  <c:v>6.49999999999998</c:v>
                </c:pt>
                <c:pt idx="320">
                  <c:v>8.09999999999998</c:v>
                </c:pt>
                <c:pt idx="321">
                  <c:v>9.80000000000002</c:v>
                </c:pt>
                <c:pt idx="322">
                  <c:v>11.4</c:v>
                </c:pt>
                <c:pt idx="323">
                  <c:v>13.1</c:v>
                </c:pt>
                <c:pt idx="324">
                  <c:v>14.6</c:v>
                </c:pt>
                <c:pt idx="325">
                  <c:v>16.1</c:v>
                </c:pt>
                <c:pt idx="326">
                  <c:v>17</c:v>
                </c:pt>
                <c:pt idx="327">
                  <c:v>18.6</c:v>
                </c:pt>
                <c:pt idx="328">
                  <c:v>19.2</c:v>
                </c:pt>
                <c:pt idx="329">
                  <c:v>19.7</c:v>
                </c:pt>
                <c:pt idx="330">
                  <c:v>20.8</c:v>
                </c:pt>
                <c:pt idx="331">
                  <c:v>21.1</c:v>
                </c:pt>
                <c:pt idx="332">
                  <c:v>21.3</c:v>
                </c:pt>
                <c:pt idx="333">
                  <c:v>21.3</c:v>
                </c:pt>
                <c:pt idx="334">
                  <c:v>21</c:v>
                </c:pt>
                <c:pt idx="335">
                  <c:v>20.7</c:v>
                </c:pt>
                <c:pt idx="336">
                  <c:v>20.3</c:v>
                </c:pt>
                <c:pt idx="337">
                  <c:v>19.8</c:v>
                </c:pt>
                <c:pt idx="338">
                  <c:v>18.8</c:v>
                </c:pt>
                <c:pt idx="339">
                  <c:v>17.5</c:v>
                </c:pt>
                <c:pt idx="340">
                  <c:v>16.2</c:v>
                </c:pt>
                <c:pt idx="341">
                  <c:v>14.7</c:v>
                </c:pt>
                <c:pt idx="342">
                  <c:v>13.2</c:v>
                </c:pt>
                <c:pt idx="343">
                  <c:v>11.5</c:v>
                </c:pt>
                <c:pt idx="344">
                  <c:v>9.89999999999998</c:v>
                </c:pt>
                <c:pt idx="345">
                  <c:v>8.4</c:v>
                </c:pt>
                <c:pt idx="346">
                  <c:v>7.19999999999998</c:v>
                </c:pt>
                <c:pt idx="347">
                  <c:v>5.59999999999998</c:v>
                </c:pt>
                <c:pt idx="348">
                  <c:v>4.49999999999999</c:v>
                </c:pt>
                <c:pt idx="349">
                  <c:v>3.20000000000001</c:v>
                </c:pt>
                <c:pt idx="350">
                  <c:v>2.39999999999997</c:v>
                </c:pt>
                <c:pt idx="351">
                  <c:v>2.10000000000002</c:v>
                </c:pt>
                <c:pt idx="352">
                  <c:v>1.99999999999999</c:v>
                </c:pt>
                <c:pt idx="353">
                  <c:v>2.10000000000002</c:v>
                </c:pt>
                <c:pt idx="354">
                  <c:v>2.30000000000001</c:v>
                </c:pt>
                <c:pt idx="355">
                  <c:v>2.60000000000003</c:v>
                </c:pt>
                <c:pt idx="356">
                  <c:v>2.80000000000002</c:v>
                </c:pt>
                <c:pt idx="357">
                  <c:v>3.20000000000001</c:v>
                </c:pt>
                <c:pt idx="358">
                  <c:v>3.59999999999999</c:v>
                </c:pt>
                <c:pt idx="359">
                  <c:v>4.10000000000001</c:v>
                </c:pt>
                <c:pt idx="360">
                  <c:v>4.40000000000003</c:v>
                </c:pt>
                <c:pt idx="361">
                  <c:v>5</c:v>
                </c:pt>
                <c:pt idx="362">
                  <c:v>6.40000000000002</c:v>
                </c:pt>
                <c:pt idx="363">
                  <c:v>7.30000000000001</c:v>
                </c:pt>
                <c:pt idx="364">
                  <c:v>8.09999999999998</c:v>
                </c:pt>
                <c:pt idx="365">
                  <c:v>9.49999999999999</c:v>
                </c:pt>
                <c:pt idx="366">
                  <c:v>10.4</c:v>
                </c:pt>
                <c:pt idx="367">
                  <c:v>11.2</c:v>
                </c:pt>
                <c:pt idx="368">
                  <c:v>12.6</c:v>
                </c:pt>
                <c:pt idx="369">
                  <c:v>13.2</c:v>
                </c:pt>
                <c:pt idx="370">
                  <c:v>13.9</c:v>
                </c:pt>
                <c:pt idx="371">
                  <c:v>14.9</c:v>
                </c:pt>
                <c:pt idx="372">
                  <c:v>15.5</c:v>
                </c:pt>
                <c:pt idx="373">
                  <c:v>15.6</c:v>
                </c:pt>
                <c:pt idx="374">
                  <c:v>15.7</c:v>
                </c:pt>
                <c:pt idx="375">
                  <c:v>15.6</c:v>
                </c:pt>
                <c:pt idx="376">
                  <c:v>15.6</c:v>
                </c:pt>
                <c:pt idx="377">
                  <c:v>15.3</c:v>
                </c:pt>
                <c:pt idx="378">
                  <c:v>15.1</c:v>
                </c:pt>
                <c:pt idx="379">
                  <c:v>14.8</c:v>
                </c:pt>
                <c:pt idx="380">
                  <c:v>14.5</c:v>
                </c:pt>
                <c:pt idx="381">
                  <c:v>14.3</c:v>
                </c:pt>
                <c:pt idx="382">
                  <c:v>13.8</c:v>
                </c:pt>
                <c:pt idx="383">
                  <c:v>13.4</c:v>
                </c:pt>
                <c:pt idx="384">
                  <c:v>12</c:v>
                </c:pt>
                <c:pt idx="385">
                  <c:v>11.4</c:v>
                </c:pt>
                <c:pt idx="386">
                  <c:v>11</c:v>
                </c:pt>
                <c:pt idx="387">
                  <c:v>10.3</c:v>
                </c:pt>
                <c:pt idx="388">
                  <c:v>9.10000000000001</c:v>
                </c:pt>
                <c:pt idx="389">
                  <c:v>8.50000000000004</c:v>
                </c:pt>
                <c:pt idx="390">
                  <c:v>8.00000000000002</c:v>
                </c:pt>
                <c:pt idx="391">
                  <c:v>7.60000000000004</c:v>
                </c:pt>
                <c:pt idx="392">
                  <c:v>7.60000000000004</c:v>
                </c:pt>
                <c:pt idx="393">
                  <c:v>7.19999999999998</c:v>
                </c:pt>
                <c:pt idx="394">
                  <c:v>6.49999999999998</c:v>
                </c:pt>
                <c:pt idx="395">
                  <c:v>6.29999999999999</c:v>
                </c:pt>
                <c:pt idx="396">
                  <c:v>6.09999999999999</c:v>
                </c:pt>
                <c:pt idx="397">
                  <c:v>6.00000000000003</c:v>
                </c:pt>
                <c:pt idx="398">
                  <c:v>6.00000000000003</c:v>
                </c:pt>
                <c:pt idx="399">
                  <c:v>6.00000000000003</c:v>
                </c:pt>
                <c:pt idx="400">
                  <c:v>6.29999999999999</c:v>
                </c:pt>
                <c:pt idx="401">
                  <c:v>6.49999999999998</c:v>
                </c:pt>
                <c:pt idx="402">
                  <c:v>6.60000000000001</c:v>
                </c:pt>
                <c:pt idx="403">
                  <c:v>6.8</c:v>
                </c:pt>
                <c:pt idx="404">
                  <c:v>6.99999999999999</c:v>
                </c:pt>
                <c:pt idx="405">
                  <c:v>7.19999999999998</c:v>
                </c:pt>
                <c:pt idx="406">
                  <c:v>7.10000000000002</c:v>
                </c:pt>
                <c:pt idx="407">
                  <c:v>7.19999999999998</c:v>
                </c:pt>
                <c:pt idx="408">
                  <c:v>7.39999999999998</c:v>
                </c:pt>
                <c:pt idx="409">
                  <c:v>7.50000000000001</c:v>
                </c:pt>
                <c:pt idx="410">
                  <c:v>7.50000000000001</c:v>
                </c:pt>
                <c:pt idx="411">
                  <c:v>7.50000000000001</c:v>
                </c:pt>
                <c:pt idx="412">
                  <c:v>7.50000000000001</c:v>
                </c:pt>
                <c:pt idx="413">
                  <c:v>7.30000000000001</c:v>
                </c:pt>
                <c:pt idx="414">
                  <c:v>7.30000000000001</c:v>
                </c:pt>
                <c:pt idx="415">
                  <c:v>7.10000000000002</c:v>
                </c:pt>
                <c:pt idx="416">
                  <c:v>6.99999999999999</c:v>
                </c:pt>
                <c:pt idx="417">
                  <c:v>6.90000000000003</c:v>
                </c:pt>
                <c:pt idx="418">
                  <c:v>6.8</c:v>
                </c:pt>
                <c:pt idx="419">
                  <c:v>6.70000000000004</c:v>
                </c:pt>
                <c:pt idx="420">
                  <c:v>6.60000000000001</c:v>
                </c:pt>
                <c:pt idx="421">
                  <c:v>6.40000000000002</c:v>
                </c:pt>
                <c:pt idx="422">
                  <c:v>6.29999999999999</c:v>
                </c:pt>
                <c:pt idx="423">
                  <c:v>6.20000000000003</c:v>
                </c:pt>
                <c:pt idx="424">
                  <c:v>6.09999999999999</c:v>
                </c:pt>
                <c:pt idx="425">
                  <c:v>6.00000000000003</c:v>
                </c:pt>
                <c:pt idx="426">
                  <c:v>6.00000000000003</c:v>
                </c:pt>
                <c:pt idx="427">
                  <c:v>6.09999999999999</c:v>
                </c:pt>
                <c:pt idx="428">
                  <c:v>6.00000000000003</c:v>
                </c:pt>
                <c:pt idx="429">
                  <c:v>6.00000000000003</c:v>
                </c:pt>
                <c:pt idx="430">
                  <c:v>6.00000000000003</c:v>
                </c:pt>
                <c:pt idx="431">
                  <c:v>6.00000000000003</c:v>
                </c:pt>
                <c:pt idx="432">
                  <c:v>6.00000000000003</c:v>
                </c:pt>
                <c:pt idx="433">
                  <c:v>6.09999999999999</c:v>
                </c:pt>
                <c:pt idx="434">
                  <c:v>6.09999999999999</c:v>
                </c:pt>
                <c:pt idx="435">
                  <c:v>6.09999999999999</c:v>
                </c:pt>
                <c:pt idx="436">
                  <c:v>6.09999999999999</c:v>
                </c:pt>
                <c:pt idx="437">
                  <c:v>6.20000000000003</c:v>
                </c:pt>
                <c:pt idx="438">
                  <c:v>6.20000000000003</c:v>
                </c:pt>
                <c:pt idx="439">
                  <c:v>6.29999999999999</c:v>
                </c:pt>
                <c:pt idx="440">
                  <c:v>6.29999999999999</c:v>
                </c:pt>
                <c:pt idx="441">
                  <c:v>6.29999999999999</c:v>
                </c:pt>
                <c:pt idx="442">
                  <c:v>6.29999999999999</c:v>
                </c:pt>
                <c:pt idx="443">
                  <c:v>6.29999999999999</c:v>
                </c:pt>
                <c:pt idx="444">
                  <c:v>6.29999999999999</c:v>
                </c:pt>
                <c:pt idx="445">
                  <c:v>6.40000000000002</c:v>
                </c:pt>
                <c:pt idx="446">
                  <c:v>6.20000000000003</c:v>
                </c:pt>
                <c:pt idx="447">
                  <c:v>6.20000000000003</c:v>
                </c:pt>
                <c:pt idx="448">
                  <c:v>6.20000000000003</c:v>
                </c:pt>
                <c:pt idx="449">
                  <c:v>6.09999999999999</c:v>
                </c:pt>
                <c:pt idx="450">
                  <c:v>6.00000000000003</c:v>
                </c:pt>
                <c:pt idx="451">
                  <c:v>5.9</c:v>
                </c:pt>
                <c:pt idx="452">
                  <c:v>5.79999999999997</c:v>
                </c:pt>
                <c:pt idx="453">
                  <c:v>5.79999999999997</c:v>
                </c:pt>
                <c:pt idx="454">
                  <c:v>5.70000000000001</c:v>
                </c:pt>
                <c:pt idx="455">
                  <c:v>5.59999999999998</c:v>
                </c:pt>
                <c:pt idx="456">
                  <c:v>5.59999999999998</c:v>
                </c:pt>
                <c:pt idx="457">
                  <c:v>5.50000000000002</c:v>
                </c:pt>
                <c:pt idx="458">
                  <c:v>5.59999999999998</c:v>
                </c:pt>
                <c:pt idx="459">
                  <c:v>5.59999999999998</c:v>
                </c:pt>
                <c:pt idx="460">
                  <c:v>5.59999999999998</c:v>
                </c:pt>
                <c:pt idx="461">
                  <c:v>5.70000000000001</c:v>
                </c:pt>
                <c:pt idx="462">
                  <c:v>5.79999999999997</c:v>
                </c:pt>
                <c:pt idx="463">
                  <c:v>5.79999999999997</c:v>
                </c:pt>
                <c:pt idx="464">
                  <c:v>6.00000000000003</c:v>
                </c:pt>
                <c:pt idx="465">
                  <c:v>6.00000000000003</c:v>
                </c:pt>
                <c:pt idx="466">
                  <c:v>6.20000000000003</c:v>
                </c:pt>
                <c:pt idx="467">
                  <c:v>6.29999999999999</c:v>
                </c:pt>
                <c:pt idx="468">
                  <c:v>6.49999999999998</c:v>
                </c:pt>
                <c:pt idx="469">
                  <c:v>6.70000000000004</c:v>
                </c:pt>
                <c:pt idx="470">
                  <c:v>6.70000000000004</c:v>
                </c:pt>
                <c:pt idx="471">
                  <c:v>6.8</c:v>
                </c:pt>
                <c:pt idx="472">
                  <c:v>7.19999999999998</c:v>
                </c:pt>
                <c:pt idx="473">
                  <c:v>7.39999999999998</c:v>
                </c:pt>
                <c:pt idx="474">
                  <c:v>7.50000000000001</c:v>
                </c:pt>
                <c:pt idx="475">
                  <c:v>7.80000000000003</c:v>
                </c:pt>
                <c:pt idx="476">
                  <c:v>8.70000000000003</c:v>
                </c:pt>
                <c:pt idx="477">
                  <c:v>9.19999999999997</c:v>
                </c:pt>
                <c:pt idx="478">
                  <c:v>9.60000000000002</c:v>
                </c:pt>
                <c:pt idx="479">
                  <c:v>9.89999999999998</c:v>
                </c:pt>
                <c:pt idx="480">
                  <c:v>10</c:v>
                </c:pt>
                <c:pt idx="481">
                  <c:v>10</c:v>
                </c:pt>
                <c:pt idx="482">
                  <c:v>9.89999999999998</c:v>
                </c:pt>
                <c:pt idx="483">
                  <c:v>9.89999999999998</c:v>
                </c:pt>
                <c:pt idx="484">
                  <c:v>9.60000000000002</c:v>
                </c:pt>
                <c:pt idx="485">
                  <c:v>9.40000000000003</c:v>
                </c:pt>
                <c:pt idx="486">
                  <c:v>9.3</c:v>
                </c:pt>
                <c:pt idx="487">
                  <c:v>9.10000000000001</c:v>
                </c:pt>
                <c:pt idx="488">
                  <c:v>8.79999999999999</c:v>
                </c:pt>
                <c:pt idx="489">
                  <c:v>8.6</c:v>
                </c:pt>
                <c:pt idx="490">
                  <c:v>8.4</c:v>
                </c:pt>
                <c:pt idx="491">
                  <c:v>8.00000000000002</c:v>
                </c:pt>
                <c:pt idx="492">
                  <c:v>7.7</c:v>
                </c:pt>
                <c:pt idx="493">
                  <c:v>7.30000000000001</c:v>
                </c:pt>
                <c:pt idx="494">
                  <c:v>6.29999999999999</c:v>
                </c:pt>
                <c:pt idx="495">
                  <c:v>5.59999999999998</c:v>
                </c:pt>
                <c:pt idx="496">
                  <c:v>5.10000000000004</c:v>
                </c:pt>
                <c:pt idx="497">
                  <c:v>4.60000000000002</c:v>
                </c:pt>
                <c:pt idx="498">
                  <c:v>4.20000000000004</c:v>
                </c:pt>
                <c:pt idx="499">
                  <c:v>3.20000000000001</c:v>
                </c:pt>
                <c:pt idx="500">
                  <c:v>2.69999999999999</c:v>
                </c:pt>
                <c:pt idx="501">
                  <c:v>2.39999999999997</c:v>
                </c:pt>
                <c:pt idx="502">
                  <c:v>2.30000000000001</c:v>
                </c:pt>
                <c:pt idx="503">
                  <c:v>2.10000000000002</c:v>
                </c:pt>
                <c:pt idx="504">
                  <c:v>2.30000000000001</c:v>
                </c:pt>
                <c:pt idx="505">
                  <c:v>2.39999999999997</c:v>
                </c:pt>
                <c:pt idx="506">
                  <c:v>2.69999999999999</c:v>
                </c:pt>
                <c:pt idx="507">
                  <c:v>2.89999999999999</c:v>
                </c:pt>
                <c:pt idx="508">
                  <c:v>3.20000000000001</c:v>
                </c:pt>
                <c:pt idx="509">
                  <c:v>3.50000000000003</c:v>
                </c:pt>
                <c:pt idx="510">
                  <c:v>3.79999999999998</c:v>
                </c:pt>
                <c:pt idx="511">
                  <c:v>4.20000000000004</c:v>
                </c:pt>
                <c:pt idx="512">
                  <c:v>4.80000000000001</c:v>
                </c:pt>
                <c:pt idx="513">
                  <c:v>6.09999999999999</c:v>
                </c:pt>
                <c:pt idx="514">
                  <c:v>6.8</c:v>
                </c:pt>
                <c:pt idx="515">
                  <c:v>7.30000000000001</c:v>
                </c:pt>
                <c:pt idx="516">
                  <c:v>8.00000000000002</c:v>
                </c:pt>
                <c:pt idx="517">
                  <c:v>9.19999999999997</c:v>
                </c:pt>
                <c:pt idx="518">
                  <c:v>10.1</c:v>
                </c:pt>
                <c:pt idx="519">
                  <c:v>10.8</c:v>
                </c:pt>
                <c:pt idx="520">
                  <c:v>12.2</c:v>
                </c:pt>
                <c:pt idx="521">
                  <c:v>12.8</c:v>
                </c:pt>
                <c:pt idx="522">
                  <c:v>13.3</c:v>
                </c:pt>
                <c:pt idx="523">
                  <c:v>13.4</c:v>
                </c:pt>
                <c:pt idx="524">
                  <c:v>13.5</c:v>
                </c:pt>
                <c:pt idx="525">
                  <c:v>13.4</c:v>
                </c:pt>
                <c:pt idx="526">
                  <c:v>13.2</c:v>
                </c:pt>
                <c:pt idx="527">
                  <c:v>12.9</c:v>
                </c:pt>
                <c:pt idx="528">
                  <c:v>12.6</c:v>
                </c:pt>
                <c:pt idx="529">
                  <c:v>12.2</c:v>
                </c:pt>
                <c:pt idx="530">
                  <c:v>11.9</c:v>
                </c:pt>
                <c:pt idx="531">
                  <c:v>11.5</c:v>
                </c:pt>
                <c:pt idx="532">
                  <c:v>11.1</c:v>
                </c:pt>
                <c:pt idx="533">
                  <c:v>10.3</c:v>
                </c:pt>
                <c:pt idx="534">
                  <c:v>8.90000000000002</c:v>
                </c:pt>
                <c:pt idx="535">
                  <c:v>8.00000000000002</c:v>
                </c:pt>
                <c:pt idx="536">
                  <c:v>6.8</c:v>
                </c:pt>
                <c:pt idx="537">
                  <c:v>5.9</c:v>
                </c:pt>
                <c:pt idx="538">
                  <c:v>5</c:v>
                </c:pt>
                <c:pt idx="539">
                  <c:v>4.10000000000001</c:v>
                </c:pt>
                <c:pt idx="540">
                  <c:v>2.69999999999999</c:v>
                </c:pt>
                <c:pt idx="541">
                  <c:v>1.90000000000003</c:v>
                </c:pt>
                <c:pt idx="542">
                  <c:v>1.29999999999998</c:v>
                </c:pt>
                <c:pt idx="543">
                  <c:v>0.100000000000031</c:v>
                </c:pt>
                <c:pt idx="544">
                  <c:v>-0.500000000000014</c:v>
                </c:pt>
                <c:pt idx="545">
                  <c:v>-0.700000000000006</c:v>
                </c:pt>
                <c:pt idx="546">
                  <c:v>-0.799999999999967</c:v>
                </c:pt>
                <c:pt idx="547">
                  <c:v>-0.799999999999967</c:v>
                </c:pt>
                <c:pt idx="548">
                  <c:v>-0.500000000000014</c:v>
                </c:pt>
                <c:pt idx="549">
                  <c:v>-0.300000000000022</c:v>
                </c:pt>
                <c:pt idx="550">
                  <c:v>0</c:v>
                </c:pt>
                <c:pt idx="551">
                  <c:v>0.399999999999984</c:v>
                </c:pt>
                <c:pt idx="552">
                  <c:v>0.899999999999998</c:v>
                </c:pt>
                <c:pt idx="553">
                  <c:v>1.40000000000001</c:v>
                </c:pt>
                <c:pt idx="554">
                  <c:v>2.10000000000002</c:v>
                </c:pt>
                <c:pt idx="555">
                  <c:v>3.4</c:v>
                </c:pt>
                <c:pt idx="556">
                  <c:v>4.60000000000002</c:v>
                </c:pt>
                <c:pt idx="557">
                  <c:v>6.20000000000003</c:v>
                </c:pt>
                <c:pt idx="558">
                  <c:v>7.10000000000002</c:v>
                </c:pt>
                <c:pt idx="559">
                  <c:v>8.29999999999997</c:v>
                </c:pt>
                <c:pt idx="560">
                  <c:v>9.60000000000002</c:v>
                </c:pt>
                <c:pt idx="561">
                  <c:v>10.6</c:v>
                </c:pt>
                <c:pt idx="562">
                  <c:v>11.5</c:v>
                </c:pt>
                <c:pt idx="563">
                  <c:v>12.6</c:v>
                </c:pt>
                <c:pt idx="564">
                  <c:v>13.3</c:v>
                </c:pt>
                <c:pt idx="565">
                  <c:v>13.8</c:v>
                </c:pt>
                <c:pt idx="566">
                  <c:v>15</c:v>
                </c:pt>
                <c:pt idx="567">
                  <c:v>15.4</c:v>
                </c:pt>
                <c:pt idx="568">
                  <c:v>15.5</c:v>
                </c:pt>
                <c:pt idx="569">
                  <c:v>15.5</c:v>
                </c:pt>
                <c:pt idx="570">
                  <c:v>15.3</c:v>
                </c:pt>
                <c:pt idx="571">
                  <c:v>15.1</c:v>
                </c:pt>
                <c:pt idx="572">
                  <c:v>14.7</c:v>
                </c:pt>
                <c:pt idx="573">
                  <c:v>14.1</c:v>
                </c:pt>
                <c:pt idx="574">
                  <c:v>13.8</c:v>
                </c:pt>
                <c:pt idx="575">
                  <c:v>12.9</c:v>
                </c:pt>
                <c:pt idx="576">
                  <c:v>11.6</c:v>
                </c:pt>
                <c:pt idx="577">
                  <c:v>10.6</c:v>
                </c:pt>
                <c:pt idx="578">
                  <c:v>8.79999999999999</c:v>
                </c:pt>
                <c:pt idx="579">
                  <c:v>7.50000000000001</c:v>
                </c:pt>
                <c:pt idx="580">
                  <c:v>5.9</c:v>
                </c:pt>
                <c:pt idx="581">
                  <c:v>4.80000000000001</c:v>
                </c:pt>
                <c:pt idx="582">
                  <c:v>3.59999999999999</c:v>
                </c:pt>
                <c:pt idx="583">
                  <c:v>2.5</c:v>
                </c:pt>
                <c:pt idx="584">
                  <c:v>1.49999999999997</c:v>
                </c:pt>
                <c:pt idx="585">
                  <c:v>1.00000000000003</c:v>
                </c:pt>
                <c:pt idx="586">
                  <c:v>0.100000000000031</c:v>
                </c:pt>
                <c:pt idx="587">
                  <c:v>-0.399999999999984</c:v>
                </c:pt>
                <c:pt idx="588">
                  <c:v>-0.700000000000006</c:v>
                </c:pt>
                <c:pt idx="589">
                  <c:v>-0.599999999999976</c:v>
                </c:pt>
                <c:pt idx="590">
                  <c:v>-0.500000000000014</c:v>
                </c:pt>
                <c:pt idx="591">
                  <c:v>-0.300000000000022</c:v>
                </c:pt>
                <c:pt idx="592">
                  <c:v>0.100000000000031</c:v>
                </c:pt>
                <c:pt idx="593">
                  <c:v>0.399999999999984</c:v>
                </c:pt>
                <c:pt idx="594">
                  <c:v>0.800000000000037</c:v>
                </c:pt>
                <c:pt idx="595">
                  <c:v>1.40000000000001</c:v>
                </c:pt>
                <c:pt idx="596">
                  <c:v>2.19999999999998</c:v>
                </c:pt>
                <c:pt idx="597">
                  <c:v>3.20000000000001</c:v>
                </c:pt>
                <c:pt idx="598">
                  <c:v>4.49999999999999</c:v>
                </c:pt>
                <c:pt idx="599">
                  <c:v>5.2</c:v>
                </c:pt>
                <c:pt idx="600">
                  <c:v>6.60000000000001</c:v>
                </c:pt>
                <c:pt idx="601">
                  <c:v>7.50000000000001</c:v>
                </c:pt>
                <c:pt idx="602">
                  <c:v>8.20000000000001</c:v>
                </c:pt>
                <c:pt idx="603">
                  <c:v>9.40000000000003</c:v>
                </c:pt>
                <c:pt idx="604">
                  <c:v>10.2</c:v>
                </c:pt>
                <c:pt idx="605">
                  <c:v>10.6</c:v>
                </c:pt>
                <c:pt idx="606">
                  <c:v>11</c:v>
                </c:pt>
                <c:pt idx="607">
                  <c:v>11.7</c:v>
                </c:pt>
                <c:pt idx="608">
                  <c:v>11.9</c:v>
                </c:pt>
                <c:pt idx="609">
                  <c:v>12.1</c:v>
                </c:pt>
                <c:pt idx="610">
                  <c:v>12.1</c:v>
                </c:pt>
                <c:pt idx="611">
                  <c:v>11.8</c:v>
                </c:pt>
                <c:pt idx="612">
                  <c:v>11.5</c:v>
                </c:pt>
                <c:pt idx="613">
                  <c:v>10.9</c:v>
                </c:pt>
                <c:pt idx="614">
                  <c:v>10.5</c:v>
                </c:pt>
                <c:pt idx="615">
                  <c:v>9.10000000000001</c:v>
                </c:pt>
                <c:pt idx="616">
                  <c:v>8.00000000000002</c:v>
                </c:pt>
                <c:pt idx="617">
                  <c:v>6.99999999999999</c:v>
                </c:pt>
                <c:pt idx="618">
                  <c:v>5.70000000000001</c:v>
                </c:pt>
                <c:pt idx="619">
                  <c:v>4.49999999999999</c:v>
                </c:pt>
                <c:pt idx="620">
                  <c:v>2.69999999999999</c:v>
                </c:pt>
                <c:pt idx="621">
                  <c:v>1.6</c:v>
                </c:pt>
                <c:pt idx="622">
                  <c:v>0.899999999999998</c:v>
                </c:pt>
                <c:pt idx="623">
                  <c:v>-0.199999999999992</c:v>
                </c:pt>
                <c:pt idx="624">
                  <c:v>-1.00000000000003</c:v>
                </c:pt>
                <c:pt idx="625">
                  <c:v>-1.49999999999997</c:v>
                </c:pt>
                <c:pt idx="626">
                  <c:v>-2.59999999999996</c:v>
                </c:pt>
                <c:pt idx="627">
                  <c:v>-3.09999999999998</c:v>
                </c:pt>
                <c:pt idx="628">
                  <c:v>-3.29999999999997</c:v>
                </c:pt>
                <c:pt idx="629">
                  <c:v>-3.29999999999997</c:v>
                </c:pt>
                <c:pt idx="630">
                  <c:v>-3.09999999999998</c:v>
                </c:pt>
                <c:pt idx="631">
                  <c:v>-2.80000000000002</c:v>
                </c:pt>
                <c:pt idx="632">
                  <c:v>-2.39999999999997</c:v>
                </c:pt>
                <c:pt idx="633">
                  <c:v>-1.99999999999999</c:v>
                </c:pt>
                <c:pt idx="634">
                  <c:v>-1.49999999999997</c:v>
                </c:pt>
                <c:pt idx="635">
                  <c:v>-0.899999999999998</c:v>
                </c:pt>
                <c:pt idx="636">
                  <c:v>0.199999999999992</c:v>
                </c:pt>
                <c:pt idx="637">
                  <c:v>1.20000000000002</c:v>
                </c:pt>
                <c:pt idx="638">
                  <c:v>2.19999999999998</c:v>
                </c:pt>
                <c:pt idx="639">
                  <c:v>3.50000000000003</c:v>
                </c:pt>
                <c:pt idx="640">
                  <c:v>4.49999999999999</c:v>
                </c:pt>
                <c:pt idx="641">
                  <c:v>5.39999999999999</c:v>
                </c:pt>
                <c:pt idx="642">
                  <c:v>6.29999999999999</c:v>
                </c:pt>
                <c:pt idx="643">
                  <c:v>6.99999999999999</c:v>
                </c:pt>
                <c:pt idx="644">
                  <c:v>7.60000000000004</c:v>
                </c:pt>
                <c:pt idx="645">
                  <c:v>8.70000000000003</c:v>
                </c:pt>
                <c:pt idx="646">
                  <c:v>9.3</c:v>
                </c:pt>
                <c:pt idx="647">
                  <c:v>9.40000000000003</c:v>
                </c:pt>
                <c:pt idx="648">
                  <c:v>9.49999999999999</c:v>
                </c:pt>
                <c:pt idx="649">
                  <c:v>9.3</c:v>
                </c:pt>
                <c:pt idx="650">
                  <c:v>9.10000000000001</c:v>
                </c:pt>
                <c:pt idx="651">
                  <c:v>8.79999999999999</c:v>
                </c:pt>
                <c:pt idx="652">
                  <c:v>8.4</c:v>
                </c:pt>
                <c:pt idx="653">
                  <c:v>7.89999999999999</c:v>
                </c:pt>
                <c:pt idx="654">
                  <c:v>7.39999999999998</c:v>
                </c:pt>
                <c:pt idx="655">
                  <c:v>6.09999999999999</c:v>
                </c:pt>
                <c:pt idx="656">
                  <c:v>5.10000000000004</c:v>
                </c:pt>
                <c:pt idx="657">
                  <c:v>4.20000000000004</c:v>
                </c:pt>
                <c:pt idx="658">
                  <c:v>2.60000000000003</c:v>
                </c:pt>
                <c:pt idx="659">
                  <c:v>1.6</c:v>
                </c:pt>
                <c:pt idx="660">
                  <c:v>0.599999999999976</c:v>
                </c:pt>
                <c:pt idx="661">
                  <c:v>-0.399999999999984</c:v>
                </c:pt>
                <c:pt idx="662">
                  <c:v>-1.09999999999999</c:v>
                </c:pt>
                <c:pt idx="663">
                  <c:v>-2.10000000000002</c:v>
                </c:pt>
                <c:pt idx="664">
                  <c:v>-3.29999999999997</c:v>
                </c:pt>
                <c:pt idx="665">
                  <c:v>-3.70000000000002</c:v>
                </c:pt>
                <c:pt idx="666">
                  <c:v>-3.99999999999998</c:v>
                </c:pt>
                <c:pt idx="667">
                  <c:v>-3.99999999999998</c:v>
                </c:pt>
                <c:pt idx="668">
                  <c:v>-3.99999999999998</c:v>
                </c:pt>
                <c:pt idx="669">
                  <c:v>-3.70000000000002</c:v>
                </c:pt>
                <c:pt idx="670">
                  <c:v>-3.4</c:v>
                </c:pt>
                <c:pt idx="671">
                  <c:v>-2.89999999999999</c:v>
                </c:pt>
                <c:pt idx="672">
                  <c:v>-2.59999999999996</c:v>
                </c:pt>
                <c:pt idx="673">
                  <c:v>-1.99999999999999</c:v>
                </c:pt>
                <c:pt idx="674">
                  <c:v>-1.29999999999998</c:v>
                </c:pt>
                <c:pt idx="675">
                  <c:v>0</c:v>
                </c:pt>
                <c:pt idx="676">
                  <c:v>0.500000000000014</c:v>
                </c:pt>
                <c:pt idx="677">
                  <c:v>1.49999999999997</c:v>
                </c:pt>
                <c:pt idx="678">
                  <c:v>2.19999999999998</c:v>
                </c:pt>
                <c:pt idx="679">
                  <c:v>3.59999999999999</c:v>
                </c:pt>
                <c:pt idx="680">
                  <c:v>4.40000000000003</c:v>
                </c:pt>
                <c:pt idx="681">
                  <c:v>5.2</c:v>
                </c:pt>
                <c:pt idx="682">
                  <c:v>6.29999999999999</c:v>
                </c:pt>
                <c:pt idx="683">
                  <c:v>6.90000000000003</c:v>
                </c:pt>
                <c:pt idx="684">
                  <c:v>7.10000000000002</c:v>
                </c:pt>
                <c:pt idx="685">
                  <c:v>7.19999999999998</c:v>
                </c:pt>
                <c:pt idx="686">
                  <c:v>7.19999999999998</c:v>
                </c:pt>
                <c:pt idx="687">
                  <c:v>7.19999999999998</c:v>
                </c:pt>
                <c:pt idx="688">
                  <c:v>6.90000000000003</c:v>
                </c:pt>
                <c:pt idx="689">
                  <c:v>6.60000000000001</c:v>
                </c:pt>
                <c:pt idx="690">
                  <c:v>6.29999999999999</c:v>
                </c:pt>
                <c:pt idx="691">
                  <c:v>6.00000000000003</c:v>
                </c:pt>
                <c:pt idx="692">
                  <c:v>5.59999999999998</c:v>
                </c:pt>
                <c:pt idx="693">
                  <c:v>5.2</c:v>
                </c:pt>
                <c:pt idx="694">
                  <c:v>4.40000000000003</c:v>
                </c:pt>
                <c:pt idx="695">
                  <c:v>3.09999999999998</c:v>
                </c:pt>
                <c:pt idx="696">
                  <c:v>2.10000000000002</c:v>
                </c:pt>
                <c:pt idx="697">
                  <c:v>1.29999999999998</c:v>
                </c:pt>
                <c:pt idx="698">
                  <c:v>-0.199999999999992</c:v>
                </c:pt>
                <c:pt idx="699">
                  <c:v>-1.00000000000003</c:v>
                </c:pt>
                <c:pt idx="700">
                  <c:v>-1.69999999999997</c:v>
                </c:pt>
                <c:pt idx="701">
                  <c:v>-3.29999999999997</c:v>
                </c:pt>
                <c:pt idx="702">
                  <c:v>-4.19999999999997</c:v>
                </c:pt>
                <c:pt idx="703">
                  <c:v>-4.60000000000002</c:v>
                </c:pt>
                <c:pt idx="704">
                  <c:v>-5.59999999999998</c:v>
                </c:pt>
                <c:pt idx="705">
                  <c:v>-6.09999999999999</c:v>
                </c:pt>
                <c:pt idx="706">
                  <c:v>-6.29999999999999</c:v>
                </c:pt>
                <c:pt idx="707">
                  <c:v>-6.40000000000002</c:v>
                </c:pt>
                <c:pt idx="708">
                  <c:v>-6.29999999999999</c:v>
                </c:pt>
                <c:pt idx="709">
                  <c:v>-5.99999999999996</c:v>
                </c:pt>
                <c:pt idx="710">
                  <c:v>-5.79999999999997</c:v>
                </c:pt>
                <c:pt idx="711">
                  <c:v>-5.39999999999999</c:v>
                </c:pt>
                <c:pt idx="712">
                  <c:v>-5</c:v>
                </c:pt>
                <c:pt idx="713">
                  <c:v>-4.39999999999996</c:v>
                </c:pt>
                <c:pt idx="714">
                  <c:v>-2.89999999999999</c:v>
                </c:pt>
                <c:pt idx="715">
                  <c:v>-1.8</c:v>
                </c:pt>
                <c:pt idx="716">
                  <c:v>-1.20000000000002</c:v>
                </c:pt>
                <c:pt idx="717">
                  <c:v>0.199999999999992</c:v>
                </c:pt>
                <c:pt idx="718">
                  <c:v>1.09999999999999</c:v>
                </c:pt>
                <c:pt idx="719">
                  <c:v>2.10000000000002</c:v>
                </c:pt>
                <c:pt idx="720">
                  <c:v>3.4</c:v>
                </c:pt>
                <c:pt idx="721">
                  <c:v>4.10000000000001</c:v>
                </c:pt>
                <c:pt idx="722">
                  <c:v>4.60000000000002</c:v>
                </c:pt>
                <c:pt idx="723">
                  <c:v>5.9</c:v>
                </c:pt>
                <c:pt idx="724">
                  <c:v>6.20000000000003</c:v>
                </c:pt>
                <c:pt idx="725">
                  <c:v>6.49999999999998</c:v>
                </c:pt>
                <c:pt idx="726">
                  <c:v>6.49999999999998</c:v>
                </c:pt>
                <c:pt idx="727">
                  <c:v>6.40000000000002</c:v>
                </c:pt>
                <c:pt idx="728">
                  <c:v>6.40000000000002</c:v>
                </c:pt>
                <c:pt idx="729">
                  <c:v>6.09999999999999</c:v>
                </c:pt>
                <c:pt idx="730">
                  <c:v>5.9</c:v>
                </c:pt>
                <c:pt idx="731">
                  <c:v>5.59999999999998</c:v>
                </c:pt>
                <c:pt idx="732">
                  <c:v>5</c:v>
                </c:pt>
                <c:pt idx="733">
                  <c:v>4.69999999999998</c:v>
                </c:pt>
                <c:pt idx="734">
                  <c:v>3.90000000000001</c:v>
                </c:pt>
                <c:pt idx="735">
                  <c:v>2.5</c:v>
                </c:pt>
                <c:pt idx="736">
                  <c:v>1.70000000000003</c:v>
                </c:pt>
                <c:pt idx="737">
                  <c:v>0.800000000000037</c:v>
                </c:pt>
                <c:pt idx="738">
                  <c:v>-0.300000000000022</c:v>
                </c:pt>
                <c:pt idx="739">
                  <c:v>-1.20000000000002</c:v>
                </c:pt>
                <c:pt idx="740">
                  <c:v>-2.19999999999998</c:v>
                </c:pt>
                <c:pt idx="741">
                  <c:v>-3.49999999999996</c:v>
                </c:pt>
                <c:pt idx="742">
                  <c:v>-4.19999999999997</c:v>
                </c:pt>
                <c:pt idx="743">
                  <c:v>-4.60000000000002</c:v>
                </c:pt>
                <c:pt idx="744">
                  <c:v>-5.50000000000002</c:v>
                </c:pt>
                <c:pt idx="745">
                  <c:v>-5.9</c:v>
                </c:pt>
                <c:pt idx="746">
                  <c:v>-5.99999999999996</c:v>
                </c:pt>
                <c:pt idx="747">
                  <c:v>-6.20000000000003</c:v>
                </c:pt>
                <c:pt idx="748">
                  <c:v>-5.9</c:v>
                </c:pt>
                <c:pt idx="749">
                  <c:v>-5.79999999999997</c:v>
                </c:pt>
                <c:pt idx="750">
                  <c:v>-5.59999999999998</c:v>
                </c:pt>
                <c:pt idx="751">
                  <c:v>-5.2</c:v>
                </c:pt>
                <c:pt idx="752">
                  <c:v>-4.60000000000002</c:v>
                </c:pt>
                <c:pt idx="753">
                  <c:v>-3.99999999999998</c:v>
                </c:pt>
                <c:pt idx="754">
                  <c:v>-2.59999999999996</c:v>
                </c:pt>
                <c:pt idx="755">
                  <c:v>-1.6</c:v>
                </c:pt>
                <c:pt idx="756">
                  <c:v>-1.00000000000003</c:v>
                </c:pt>
                <c:pt idx="757">
                  <c:v>0.300000000000022</c:v>
                </c:pt>
                <c:pt idx="758">
                  <c:v>1.20000000000002</c:v>
                </c:pt>
                <c:pt idx="759">
                  <c:v>1.99999999999999</c:v>
                </c:pt>
                <c:pt idx="760">
                  <c:v>3.30000000000004</c:v>
                </c:pt>
                <c:pt idx="761">
                  <c:v>4.10000000000001</c:v>
                </c:pt>
                <c:pt idx="762">
                  <c:v>4.69999999999998</c:v>
                </c:pt>
                <c:pt idx="763">
                  <c:v>5.70000000000001</c:v>
                </c:pt>
                <c:pt idx="764">
                  <c:v>6.09999999999999</c:v>
                </c:pt>
                <c:pt idx="765">
                  <c:v>6.29999999999999</c:v>
                </c:pt>
                <c:pt idx="766">
                  <c:v>6.40000000000002</c:v>
                </c:pt>
                <c:pt idx="767">
                  <c:v>6.20000000000003</c:v>
                </c:pt>
                <c:pt idx="768">
                  <c:v>6.09999999999999</c:v>
                </c:pt>
                <c:pt idx="769">
                  <c:v>5.9</c:v>
                </c:pt>
                <c:pt idx="770">
                  <c:v>5.59999999999998</c:v>
                </c:pt>
                <c:pt idx="771">
                  <c:v>5.2</c:v>
                </c:pt>
                <c:pt idx="772">
                  <c:v>4.60000000000002</c:v>
                </c:pt>
                <c:pt idx="773">
                  <c:v>3.99999999999998</c:v>
                </c:pt>
                <c:pt idx="774">
                  <c:v>2.80000000000002</c:v>
                </c:pt>
                <c:pt idx="775">
                  <c:v>1.8</c:v>
                </c:pt>
                <c:pt idx="776">
                  <c:v>0.800000000000037</c:v>
                </c:pt>
                <c:pt idx="777">
                  <c:v>-0.399999999999984</c:v>
                </c:pt>
                <c:pt idx="778">
                  <c:v>-1.09999999999999</c:v>
                </c:pt>
                <c:pt idx="779">
                  <c:v>-2.10000000000002</c:v>
                </c:pt>
                <c:pt idx="780">
                  <c:v>-3.29999999999997</c:v>
                </c:pt>
                <c:pt idx="781">
                  <c:v>-4.10000000000001</c:v>
                </c:pt>
                <c:pt idx="782">
                  <c:v>-4.49999999999999</c:v>
                </c:pt>
                <c:pt idx="783">
                  <c:v>-5.50000000000002</c:v>
                </c:pt>
                <c:pt idx="784">
                  <c:v>-5.99999999999996</c:v>
                </c:pt>
                <c:pt idx="785">
                  <c:v>-6.09999999999999</c:v>
                </c:pt>
                <c:pt idx="786">
                  <c:v>-6.29999999999999</c:v>
                </c:pt>
                <c:pt idx="787">
                  <c:v>-6.09999999999999</c:v>
                </c:pt>
                <c:pt idx="788">
                  <c:v>-5.99999999999996</c:v>
                </c:pt>
                <c:pt idx="789">
                  <c:v>-5.70000000000001</c:v>
                </c:pt>
                <c:pt idx="790">
                  <c:v>-5.30000000000003</c:v>
                </c:pt>
                <c:pt idx="791">
                  <c:v>-4.89999999999997</c:v>
                </c:pt>
                <c:pt idx="792">
                  <c:v>-4.3</c:v>
                </c:pt>
                <c:pt idx="793">
                  <c:v>-2.80000000000002</c:v>
                </c:pt>
                <c:pt idx="794">
                  <c:v>-1.90000000000003</c:v>
                </c:pt>
                <c:pt idx="795">
                  <c:v>-1.09999999999999</c:v>
                </c:pt>
                <c:pt idx="796">
                  <c:v>0</c:v>
                </c:pt>
                <c:pt idx="797">
                  <c:v>1.00000000000003</c:v>
                </c:pt>
                <c:pt idx="798">
                  <c:v>1.90000000000003</c:v>
                </c:pt>
                <c:pt idx="799">
                  <c:v>3.09999999999998</c:v>
                </c:pt>
                <c:pt idx="800">
                  <c:v>3.90000000000001</c:v>
                </c:pt>
                <c:pt idx="801">
                  <c:v>4.49999999999999</c:v>
                </c:pt>
                <c:pt idx="802">
                  <c:v>4.80000000000001</c:v>
                </c:pt>
                <c:pt idx="803">
                  <c:v>5.59999999999998</c:v>
                </c:pt>
                <c:pt idx="804">
                  <c:v>6.20000000000003</c:v>
                </c:pt>
                <c:pt idx="805">
                  <c:v>6.29999999999999</c:v>
                </c:pt>
                <c:pt idx="806">
                  <c:v>6.20000000000003</c:v>
                </c:pt>
                <c:pt idx="807">
                  <c:v>6.09999999999999</c:v>
                </c:pt>
                <c:pt idx="808">
                  <c:v>5.9</c:v>
                </c:pt>
                <c:pt idx="809">
                  <c:v>5.50000000000002</c:v>
                </c:pt>
                <c:pt idx="810">
                  <c:v>5.10000000000004</c:v>
                </c:pt>
                <c:pt idx="811">
                  <c:v>4.69999999999998</c:v>
                </c:pt>
                <c:pt idx="812">
                  <c:v>3.90000000000001</c:v>
                </c:pt>
                <c:pt idx="813">
                  <c:v>2.69999999999999</c:v>
                </c:pt>
                <c:pt idx="814">
                  <c:v>1.8</c:v>
                </c:pt>
                <c:pt idx="815">
                  <c:v>0.899999999999998</c:v>
                </c:pt>
                <c:pt idx="816">
                  <c:v>-0.300000000000022</c:v>
                </c:pt>
                <c:pt idx="817">
                  <c:v>-1.09999999999999</c:v>
                </c:pt>
                <c:pt idx="818">
                  <c:v>-1.90000000000003</c:v>
                </c:pt>
                <c:pt idx="819">
                  <c:v>-3.20000000000001</c:v>
                </c:pt>
                <c:pt idx="820">
                  <c:v>-3.90000000000001</c:v>
                </c:pt>
                <c:pt idx="821">
                  <c:v>-4.39999999999996</c:v>
                </c:pt>
                <c:pt idx="822">
                  <c:v>-4.60000000000002</c:v>
                </c:pt>
                <c:pt idx="823">
                  <c:v>-5.50000000000002</c:v>
                </c:pt>
                <c:pt idx="824">
                  <c:v>-5.99999999999996</c:v>
                </c:pt>
                <c:pt idx="825">
                  <c:v>-6.09999999999999</c:v>
                </c:pt>
                <c:pt idx="826">
                  <c:v>-6.09999999999999</c:v>
                </c:pt>
                <c:pt idx="827">
                  <c:v>-5.9</c:v>
                </c:pt>
                <c:pt idx="828">
                  <c:v>-5.59999999999998</c:v>
                </c:pt>
                <c:pt idx="829">
                  <c:v>-5.39999999999999</c:v>
                </c:pt>
                <c:pt idx="830">
                  <c:v>-5</c:v>
                </c:pt>
                <c:pt idx="831">
                  <c:v>-4.3</c:v>
                </c:pt>
                <c:pt idx="832">
                  <c:v>-3.09999999999998</c:v>
                </c:pt>
                <c:pt idx="833">
                  <c:v>-2.19999999999998</c:v>
                </c:pt>
                <c:pt idx="834">
                  <c:v>-1.20000000000002</c:v>
                </c:pt>
                <c:pt idx="835">
                  <c:v>-0.199999999999992</c:v>
                </c:pt>
                <c:pt idx="836">
                  <c:v>0.800000000000037</c:v>
                </c:pt>
                <c:pt idx="837">
                  <c:v>1.6</c:v>
                </c:pt>
                <c:pt idx="838">
                  <c:v>3.00000000000002</c:v>
                </c:pt>
                <c:pt idx="839">
                  <c:v>3.79999999999998</c:v>
                </c:pt>
                <c:pt idx="840">
                  <c:v>4.40000000000003</c:v>
                </c:pt>
                <c:pt idx="841">
                  <c:v>4.69999999999998</c:v>
                </c:pt>
                <c:pt idx="842">
                  <c:v>5.70000000000001</c:v>
                </c:pt>
                <c:pt idx="843">
                  <c:v>6.09999999999999</c:v>
                </c:pt>
                <c:pt idx="844">
                  <c:v>6.29999999999999</c:v>
                </c:pt>
                <c:pt idx="845">
                  <c:v>6.20000000000003</c:v>
                </c:pt>
                <c:pt idx="846">
                  <c:v>6.09999999999999</c:v>
                </c:pt>
                <c:pt idx="847">
                  <c:v>5.9</c:v>
                </c:pt>
                <c:pt idx="848">
                  <c:v>5.59999999999998</c:v>
                </c:pt>
                <c:pt idx="849">
                  <c:v>5.30000000000003</c:v>
                </c:pt>
                <c:pt idx="850">
                  <c:v>4.80000000000001</c:v>
                </c:pt>
                <c:pt idx="851">
                  <c:v>4.20000000000004</c:v>
                </c:pt>
                <c:pt idx="852">
                  <c:v>2.89999999999999</c:v>
                </c:pt>
                <c:pt idx="853">
                  <c:v>1.90000000000003</c:v>
                </c:pt>
                <c:pt idx="854">
                  <c:v>0.899999999999998</c:v>
                </c:pt>
                <c:pt idx="855">
                  <c:v>-0.0999999999999612</c:v>
                </c:pt>
                <c:pt idx="856">
                  <c:v>-1.00000000000003</c:v>
                </c:pt>
                <c:pt idx="857">
                  <c:v>-1.8</c:v>
                </c:pt>
                <c:pt idx="858">
                  <c:v>-3.09999999999998</c:v>
                </c:pt>
                <c:pt idx="859">
                  <c:v>-3.90000000000001</c:v>
                </c:pt>
                <c:pt idx="860">
                  <c:v>-4.49999999999999</c:v>
                </c:pt>
                <c:pt idx="861">
                  <c:v>-4.80000000000001</c:v>
                </c:pt>
                <c:pt idx="862">
                  <c:v>-5.59999999999998</c:v>
                </c:pt>
                <c:pt idx="863">
                  <c:v>-5.9</c:v>
                </c:pt>
                <c:pt idx="864">
                  <c:v>-6.09999999999999</c:v>
                </c:pt>
                <c:pt idx="865">
                  <c:v>-6.09999999999999</c:v>
                </c:pt>
                <c:pt idx="866">
                  <c:v>-5.99999999999996</c:v>
                </c:pt>
                <c:pt idx="867">
                  <c:v>-5.70000000000001</c:v>
                </c:pt>
                <c:pt idx="868">
                  <c:v>-5.39999999999999</c:v>
                </c:pt>
                <c:pt idx="869">
                  <c:v>-5.09999999999997</c:v>
                </c:pt>
                <c:pt idx="870">
                  <c:v>-4.60000000000002</c:v>
                </c:pt>
                <c:pt idx="871">
                  <c:v>-4.10000000000001</c:v>
                </c:pt>
                <c:pt idx="872">
                  <c:v>-2.59999999999996</c:v>
                </c:pt>
                <c:pt idx="873">
                  <c:v>-1.8</c:v>
                </c:pt>
                <c:pt idx="874">
                  <c:v>-1.09999999999999</c:v>
                </c:pt>
                <c:pt idx="875">
                  <c:v>0.100000000000031</c:v>
                </c:pt>
                <c:pt idx="876">
                  <c:v>1.00000000000003</c:v>
                </c:pt>
                <c:pt idx="877">
                  <c:v>1.70000000000003</c:v>
                </c:pt>
                <c:pt idx="878">
                  <c:v>3.09999999999998</c:v>
                </c:pt>
                <c:pt idx="879">
                  <c:v>3.79999999999998</c:v>
                </c:pt>
                <c:pt idx="880">
                  <c:v>4.20000000000004</c:v>
                </c:pt>
                <c:pt idx="881">
                  <c:v>4.20000000000004</c:v>
                </c:pt>
                <c:pt idx="882">
                  <c:v>4.49999999999999</c:v>
                </c:pt>
                <c:pt idx="883">
                  <c:v>4.3</c:v>
                </c:pt>
                <c:pt idx="884">
                  <c:v>4.10000000000001</c:v>
                </c:pt>
                <c:pt idx="885">
                  <c:v>3.79999999999998</c:v>
                </c:pt>
                <c:pt idx="886">
                  <c:v>3.4</c:v>
                </c:pt>
                <c:pt idx="887">
                  <c:v>3.30000000000004</c:v>
                </c:pt>
                <c:pt idx="888">
                  <c:v>2.80000000000002</c:v>
                </c:pt>
                <c:pt idx="889">
                  <c:v>2.5</c:v>
                </c:pt>
                <c:pt idx="890">
                  <c:v>1.99999999999999</c:v>
                </c:pt>
                <c:pt idx="891">
                  <c:v>1.29999999999998</c:v>
                </c:pt>
                <c:pt idx="892">
                  <c:v>0.300000000000022</c:v>
                </c:pt>
                <c:pt idx="893">
                  <c:v>-0.799999999999967</c:v>
                </c:pt>
                <c:pt idx="894">
                  <c:v>-1.29999999999998</c:v>
                </c:pt>
                <c:pt idx="895">
                  <c:v>-1.90000000000003</c:v>
                </c:pt>
                <c:pt idx="896">
                  <c:v>-3.09999999999998</c:v>
                </c:pt>
                <c:pt idx="897">
                  <c:v>-4.10000000000001</c:v>
                </c:pt>
                <c:pt idx="898">
                  <c:v>-4.69999999999998</c:v>
                </c:pt>
                <c:pt idx="899">
                  <c:v>-5.79999999999997</c:v>
                </c:pt>
                <c:pt idx="900">
                  <c:v>-6.40000000000002</c:v>
                </c:pt>
                <c:pt idx="901">
                  <c:v>-6.69999999999997</c:v>
                </c:pt>
                <c:pt idx="902">
                  <c:v>-6.60000000000001</c:v>
                </c:pt>
                <c:pt idx="903">
                  <c:v>-6.69999999999997</c:v>
                </c:pt>
                <c:pt idx="904">
                  <c:v>-6.49999999999998</c:v>
                </c:pt>
                <c:pt idx="905">
                  <c:v>-6.40000000000002</c:v>
                </c:pt>
                <c:pt idx="906">
                  <c:v>-6.09999999999999</c:v>
                </c:pt>
                <c:pt idx="907">
                  <c:v>-5.79999999999997</c:v>
                </c:pt>
                <c:pt idx="908">
                  <c:v>-5.39999999999999</c:v>
                </c:pt>
                <c:pt idx="909">
                  <c:v>-5</c:v>
                </c:pt>
                <c:pt idx="910">
                  <c:v>-4.39999999999996</c:v>
                </c:pt>
                <c:pt idx="911">
                  <c:v>-2.89999999999999</c:v>
                </c:pt>
                <c:pt idx="912">
                  <c:v>-1.99999999999999</c:v>
                </c:pt>
                <c:pt idx="913">
                  <c:v>-1.29999999999998</c:v>
                </c:pt>
                <c:pt idx="914">
                  <c:v>0</c:v>
                </c:pt>
                <c:pt idx="915">
                  <c:v>0.899999999999998</c:v>
                </c:pt>
                <c:pt idx="916">
                  <c:v>1.49999999999997</c:v>
                </c:pt>
                <c:pt idx="917">
                  <c:v>2.89999999999999</c:v>
                </c:pt>
                <c:pt idx="918">
                  <c:v>3.70000000000002</c:v>
                </c:pt>
                <c:pt idx="919">
                  <c:v>3.99999999999998</c:v>
                </c:pt>
                <c:pt idx="920">
                  <c:v>4.20000000000004</c:v>
                </c:pt>
                <c:pt idx="921">
                  <c:v>4.20000000000004</c:v>
                </c:pt>
                <c:pt idx="922">
                  <c:v>4.3</c:v>
                </c:pt>
                <c:pt idx="923">
                  <c:v>3.99999999999998</c:v>
                </c:pt>
                <c:pt idx="924">
                  <c:v>3.79999999999998</c:v>
                </c:pt>
                <c:pt idx="925">
                  <c:v>3.50000000000003</c:v>
                </c:pt>
                <c:pt idx="926">
                  <c:v>3.20000000000001</c:v>
                </c:pt>
                <c:pt idx="927">
                  <c:v>2.89999999999999</c:v>
                </c:pt>
                <c:pt idx="928">
                  <c:v>2.60000000000003</c:v>
                </c:pt>
                <c:pt idx="929">
                  <c:v>2.19999999999998</c:v>
                </c:pt>
                <c:pt idx="930">
                  <c:v>1.8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A_09_45_33_A!$L$3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A_09_45_33_A!$J$4:$J$934</c:f>
              <c:numCache>
                <c:formatCode>0.00_);[Red]\(0.00\)</c:formatCode>
                <c:ptCount val="931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0.267</c:v>
                </c:pt>
                <c:pt idx="8" c:formatCode="0.00_);[Red]\(0.00\)">
                  <c:v>0.301</c:v>
                </c:pt>
                <c:pt idx="9" c:formatCode="0.00_);[Red]\(0.00\)">
                  <c:v>0.334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0.435</c:v>
                </c:pt>
                <c:pt idx="13" c:formatCode="0.00_);[Red]\(0.00\)">
                  <c:v>0.468</c:v>
                </c:pt>
                <c:pt idx="14" c:formatCode="0.00_);[Red]\(0.00\)">
                  <c:v>0.501</c:v>
                </c:pt>
                <c:pt idx="15" c:formatCode="0.00_);[Red]\(0.00\)">
                  <c:v>0.535</c:v>
                </c:pt>
                <c:pt idx="16" c:formatCode="0.00_);[Red]\(0.00\)">
                  <c:v>0.568</c:v>
                </c:pt>
                <c:pt idx="17" c:formatCode="0.00_);[Red]\(0.00\)">
                  <c:v>0.602</c:v>
                </c:pt>
                <c:pt idx="18" c:formatCode="0.00_);[Red]\(0.00\)">
                  <c:v>0.635</c:v>
                </c:pt>
                <c:pt idx="19" c:formatCode="0.00_);[Red]\(0.00\)">
                  <c:v>0.669</c:v>
                </c:pt>
                <c:pt idx="20" c:formatCode="0.00_);[Red]\(0.00\)">
                  <c:v>0.702</c:v>
                </c:pt>
                <c:pt idx="21" c:formatCode="0.00_);[Red]\(0.00\)">
                  <c:v>0.735</c:v>
                </c:pt>
                <c:pt idx="22" c:formatCode="0.00_);[Red]\(0.00\)">
                  <c:v>0.769</c:v>
                </c:pt>
                <c:pt idx="23" c:formatCode="0.00_);[Red]\(0.00\)">
                  <c:v>0.802</c:v>
                </c:pt>
                <c:pt idx="24" c:formatCode="0.00_);[Red]\(0.00\)">
                  <c:v>0.836</c:v>
                </c:pt>
                <c:pt idx="25" c:formatCode="0.00_);[Red]\(0.00\)">
                  <c:v>0.869</c:v>
                </c:pt>
                <c:pt idx="26" c:formatCode="0.00_);[Red]\(0.00\)">
                  <c:v>0.903</c:v>
                </c:pt>
                <c:pt idx="27" c:formatCode="0.00_);[Red]\(0.00\)">
                  <c:v>0.936</c:v>
                </c:pt>
                <c:pt idx="28" c:formatCode="0.00_);[Red]\(0.00\)">
                  <c:v>0.969</c:v>
                </c:pt>
                <c:pt idx="29" c:formatCode="0.00_);[Red]\(0.00\)">
                  <c:v>1.003</c:v>
                </c:pt>
                <c:pt idx="30" c:formatCode="0.00_);[Red]\(0.00\)">
                  <c:v>1.036</c:v>
                </c:pt>
                <c:pt idx="31" c:formatCode="0.00_);[Red]\(0.00\)">
                  <c:v>1.07</c:v>
                </c:pt>
                <c:pt idx="32" c:formatCode="0.00_);[Red]\(0.00\)">
                  <c:v>1.103</c:v>
                </c:pt>
                <c:pt idx="33" c:formatCode="0.00_);[Red]\(0.00\)">
                  <c:v>1.137</c:v>
                </c:pt>
                <c:pt idx="34" c:formatCode="0.00_);[Red]\(0.00\)">
                  <c:v>1.17</c:v>
                </c:pt>
                <c:pt idx="35" c:formatCode="0.00_);[Red]\(0.00\)">
                  <c:v>1.203</c:v>
                </c:pt>
                <c:pt idx="36" c:formatCode="0.00_);[Red]\(0.00\)">
                  <c:v>1.237</c:v>
                </c:pt>
                <c:pt idx="37" c:formatCode="0.00_);[Red]\(0.00\)">
                  <c:v>1.27</c:v>
                </c:pt>
                <c:pt idx="38" c:formatCode="0.00_);[Red]\(0.00\)">
                  <c:v>1.304</c:v>
                </c:pt>
                <c:pt idx="39" c:formatCode="0.00_);[Red]\(0.00\)">
                  <c:v>1.337</c:v>
                </c:pt>
                <c:pt idx="40" c:formatCode="0.00_);[Red]\(0.00\)">
                  <c:v>1.37</c:v>
                </c:pt>
                <c:pt idx="41" c:formatCode="0.00_);[Red]\(0.00\)">
                  <c:v>1.404</c:v>
                </c:pt>
                <c:pt idx="42" c:formatCode="0.00_);[Red]\(0.00\)">
                  <c:v>1.437</c:v>
                </c:pt>
                <c:pt idx="43" c:formatCode="0.00_);[Red]\(0.00\)">
                  <c:v>1.471</c:v>
                </c:pt>
                <c:pt idx="44" c:formatCode="0.00_);[Red]\(0.00\)">
                  <c:v>1.504</c:v>
                </c:pt>
                <c:pt idx="45" c:formatCode="0.00_);[Red]\(0.00\)">
                  <c:v>1.538</c:v>
                </c:pt>
                <c:pt idx="46" c:formatCode="0.00_);[Red]\(0.00\)">
                  <c:v>1.571</c:v>
                </c:pt>
                <c:pt idx="47" c:formatCode="0.00_);[Red]\(0.00\)">
                  <c:v>1.604</c:v>
                </c:pt>
                <c:pt idx="48" c:formatCode="0.00_);[Red]\(0.00\)">
                  <c:v>1.638</c:v>
                </c:pt>
                <c:pt idx="49" c:formatCode="0.00_);[Red]\(0.00\)">
                  <c:v>1.671</c:v>
                </c:pt>
                <c:pt idx="50" c:formatCode="0.00_);[Red]\(0.00\)">
                  <c:v>1.705</c:v>
                </c:pt>
                <c:pt idx="51" c:formatCode="0.00_);[Red]\(0.00\)">
                  <c:v>1.738</c:v>
                </c:pt>
                <c:pt idx="52" c:formatCode="0.00_);[Red]\(0.00\)">
                  <c:v>1.772</c:v>
                </c:pt>
                <c:pt idx="53" c:formatCode="0.00_);[Red]\(0.00\)">
                  <c:v>1.805</c:v>
                </c:pt>
                <c:pt idx="54" c:formatCode="0.00_);[Red]\(0.00\)">
                  <c:v>1.838</c:v>
                </c:pt>
                <c:pt idx="55" c:formatCode="0.00_);[Red]\(0.00\)">
                  <c:v>1.872</c:v>
                </c:pt>
                <c:pt idx="56" c:formatCode="0.00_);[Red]\(0.00\)">
                  <c:v>1.905</c:v>
                </c:pt>
                <c:pt idx="57" c:formatCode="0.00_);[Red]\(0.00\)">
                  <c:v>1.939</c:v>
                </c:pt>
                <c:pt idx="58" c:formatCode="0.00_);[Red]\(0.00\)">
                  <c:v>1.972</c:v>
                </c:pt>
                <c:pt idx="59" c:formatCode="0.00_);[Red]\(0.00\)">
                  <c:v>2.006</c:v>
                </c:pt>
                <c:pt idx="60" c:formatCode="0.00_);[Red]\(0.00\)">
                  <c:v>2.039</c:v>
                </c:pt>
                <c:pt idx="61" c:formatCode="0.00_);[Red]\(0.00\)">
                  <c:v>2.072</c:v>
                </c:pt>
                <c:pt idx="62" c:formatCode="0.00_);[Red]\(0.00\)">
                  <c:v>2.106</c:v>
                </c:pt>
                <c:pt idx="63" c:formatCode="0.00_);[Red]\(0.00\)">
                  <c:v>2.139</c:v>
                </c:pt>
                <c:pt idx="64" c:formatCode="0.00_);[Red]\(0.00\)">
                  <c:v>2.173</c:v>
                </c:pt>
                <c:pt idx="65" c:formatCode="0.00_);[Red]\(0.00\)">
                  <c:v>2.206</c:v>
                </c:pt>
                <c:pt idx="66" c:formatCode="0.00_);[Red]\(0.00\)">
                  <c:v>2.24</c:v>
                </c:pt>
                <c:pt idx="67" c:formatCode="0.00_);[Red]\(0.00\)">
                  <c:v>2.273</c:v>
                </c:pt>
                <c:pt idx="68" c:formatCode="0.00_);[Red]\(0.00\)">
                  <c:v>2.306</c:v>
                </c:pt>
                <c:pt idx="69" c:formatCode="0.00_);[Red]\(0.00\)">
                  <c:v>2.34</c:v>
                </c:pt>
                <c:pt idx="70" c:formatCode="0.00_);[Red]\(0.00\)">
                  <c:v>2.373</c:v>
                </c:pt>
                <c:pt idx="71" c:formatCode="0.00_);[Red]\(0.00\)">
                  <c:v>2.407</c:v>
                </c:pt>
                <c:pt idx="72" c:formatCode="0.00_);[Red]\(0.00\)">
                  <c:v>2.44</c:v>
                </c:pt>
                <c:pt idx="73" c:formatCode="0.00_);[Red]\(0.00\)">
                  <c:v>2.474</c:v>
                </c:pt>
                <c:pt idx="74" c:formatCode="0.00_);[Red]\(0.00\)">
                  <c:v>2.507</c:v>
                </c:pt>
                <c:pt idx="75" c:formatCode="0.00_);[Red]\(0.00\)">
                  <c:v>2.54</c:v>
                </c:pt>
                <c:pt idx="76" c:formatCode="0.00_);[Red]\(0.00\)">
                  <c:v>2.574</c:v>
                </c:pt>
                <c:pt idx="77" c:formatCode="0.00_);[Red]\(0.00\)">
                  <c:v>2.607</c:v>
                </c:pt>
                <c:pt idx="78" c:formatCode="0.00_);[Red]\(0.00\)">
                  <c:v>2.641</c:v>
                </c:pt>
                <c:pt idx="79" c:formatCode="0.00_);[Red]\(0.00\)">
                  <c:v>2.674</c:v>
                </c:pt>
                <c:pt idx="80" c:formatCode="0.00_);[Red]\(0.00\)">
                  <c:v>2.708</c:v>
                </c:pt>
                <c:pt idx="81" c:formatCode="0.00_);[Red]\(0.00\)">
                  <c:v>2.741</c:v>
                </c:pt>
                <c:pt idx="82" c:formatCode="0.00_);[Red]\(0.00\)">
                  <c:v>2.774</c:v>
                </c:pt>
                <c:pt idx="83" c:formatCode="0.00_);[Red]\(0.00\)">
                  <c:v>2.808</c:v>
                </c:pt>
                <c:pt idx="84" c:formatCode="0.00_);[Red]\(0.00\)">
                  <c:v>2.841</c:v>
                </c:pt>
                <c:pt idx="85" c:formatCode="0.00_);[Red]\(0.00\)">
                  <c:v>2.875</c:v>
                </c:pt>
                <c:pt idx="86" c:formatCode="0.00_);[Red]\(0.00\)">
                  <c:v>2.908</c:v>
                </c:pt>
                <c:pt idx="87" c:formatCode="0.00_);[Red]\(0.00\)">
                  <c:v>2.942</c:v>
                </c:pt>
                <c:pt idx="88" c:formatCode="0.00_);[Red]\(0.00\)">
                  <c:v>2.975</c:v>
                </c:pt>
                <c:pt idx="89" c:formatCode="0.00_);[Red]\(0.00\)">
                  <c:v>3.008</c:v>
                </c:pt>
                <c:pt idx="90" c:formatCode="0.00_);[Red]\(0.00\)">
                  <c:v>3.042</c:v>
                </c:pt>
                <c:pt idx="91" c:formatCode="0.00_);[Red]\(0.00\)">
                  <c:v>3.075</c:v>
                </c:pt>
                <c:pt idx="92" c:formatCode="0.00_);[Red]\(0.00\)">
                  <c:v>3.109</c:v>
                </c:pt>
                <c:pt idx="93" c:formatCode="0.00_);[Red]\(0.00\)">
                  <c:v>3.142</c:v>
                </c:pt>
                <c:pt idx="94" c:formatCode="0.00_);[Red]\(0.00\)">
                  <c:v>3.176</c:v>
                </c:pt>
                <c:pt idx="95" c:formatCode="0.00_);[Red]\(0.00\)">
                  <c:v>3.209</c:v>
                </c:pt>
                <c:pt idx="96" c:formatCode="0.00_);[Red]\(0.00\)">
                  <c:v>3.242</c:v>
                </c:pt>
                <c:pt idx="97" c:formatCode="0.00_);[Red]\(0.00\)">
                  <c:v>3.276</c:v>
                </c:pt>
                <c:pt idx="98" c:formatCode="0.00_);[Red]\(0.00\)">
                  <c:v>3.309</c:v>
                </c:pt>
                <c:pt idx="99" c:formatCode="0.00_);[Red]\(0.00\)">
                  <c:v>3.343</c:v>
                </c:pt>
                <c:pt idx="100" c:formatCode="0.00_);[Red]\(0.00\)">
                  <c:v>3.376</c:v>
                </c:pt>
                <c:pt idx="101" c:formatCode="0.00_);[Red]\(0.00\)">
                  <c:v>3.41</c:v>
                </c:pt>
                <c:pt idx="102" c:formatCode="0.00_);[Red]\(0.00\)">
                  <c:v>3.443</c:v>
                </c:pt>
                <c:pt idx="103" c:formatCode="0.00_);[Red]\(0.00\)">
                  <c:v>3.476</c:v>
                </c:pt>
                <c:pt idx="104" c:formatCode="0.00_);[Red]\(0.00\)">
                  <c:v>3.51</c:v>
                </c:pt>
                <c:pt idx="105" c:formatCode="0.00_);[Red]\(0.00\)">
                  <c:v>3.543</c:v>
                </c:pt>
                <c:pt idx="106" c:formatCode="0.00_);[Red]\(0.00\)">
                  <c:v>3.577</c:v>
                </c:pt>
                <c:pt idx="107" c:formatCode="0.00_);[Red]\(0.00\)">
                  <c:v>3.61</c:v>
                </c:pt>
                <c:pt idx="108" c:formatCode="0.00_);[Red]\(0.00\)">
                  <c:v>3.643</c:v>
                </c:pt>
                <c:pt idx="109" c:formatCode="0.00_);[Red]\(0.00\)">
                  <c:v>3.677</c:v>
                </c:pt>
                <c:pt idx="110" c:formatCode="0.00_);[Red]\(0.00\)">
                  <c:v>3.71</c:v>
                </c:pt>
                <c:pt idx="111" c:formatCode="0.00_);[Red]\(0.00\)">
                  <c:v>3.744</c:v>
                </c:pt>
                <c:pt idx="112" c:formatCode="0.00_);[Red]\(0.00\)">
                  <c:v>3.777</c:v>
                </c:pt>
                <c:pt idx="113" c:formatCode="0.00_);[Red]\(0.00\)">
                  <c:v>3.811</c:v>
                </c:pt>
                <c:pt idx="114" c:formatCode="0.00_);[Red]\(0.00\)">
                  <c:v>3.844</c:v>
                </c:pt>
                <c:pt idx="115" c:formatCode="0.00_);[Red]\(0.00\)">
                  <c:v>3.877</c:v>
                </c:pt>
                <c:pt idx="116" c:formatCode="0.00_);[Red]\(0.00\)">
                  <c:v>3.911</c:v>
                </c:pt>
                <c:pt idx="117" c:formatCode="0.00_);[Red]\(0.00\)">
                  <c:v>3.944</c:v>
                </c:pt>
                <c:pt idx="118" c:formatCode="0.00_);[Red]\(0.00\)">
                  <c:v>3.978</c:v>
                </c:pt>
                <c:pt idx="119" c:formatCode="0.00_);[Red]\(0.00\)">
                  <c:v>4.011</c:v>
                </c:pt>
                <c:pt idx="120" c:formatCode="0.00_);[Red]\(0.00\)">
                  <c:v>4.045</c:v>
                </c:pt>
                <c:pt idx="121" c:formatCode="0.00_);[Red]\(0.00\)">
                  <c:v>4.078</c:v>
                </c:pt>
                <c:pt idx="122" c:formatCode="0.00_);[Red]\(0.00\)">
                  <c:v>4.111</c:v>
                </c:pt>
                <c:pt idx="123" c:formatCode="0.00_);[Red]\(0.00\)">
                  <c:v>4.145</c:v>
                </c:pt>
                <c:pt idx="124" c:formatCode="0.00_);[Red]\(0.00\)">
                  <c:v>4.178</c:v>
                </c:pt>
                <c:pt idx="125" c:formatCode="0.00_);[Red]\(0.00\)">
                  <c:v>4.212</c:v>
                </c:pt>
                <c:pt idx="126" c:formatCode="0.00_);[Red]\(0.00\)">
                  <c:v>4.245</c:v>
                </c:pt>
                <c:pt idx="127" c:formatCode="0.00_);[Red]\(0.00\)">
                  <c:v>4.279</c:v>
                </c:pt>
                <c:pt idx="128" c:formatCode="0.00_);[Red]\(0.00\)">
                  <c:v>4.312</c:v>
                </c:pt>
                <c:pt idx="129" c:formatCode="0.00_);[Red]\(0.00\)">
                  <c:v>4.345</c:v>
                </c:pt>
                <c:pt idx="130" c:formatCode="0.00_);[Red]\(0.00\)">
                  <c:v>4.379</c:v>
                </c:pt>
                <c:pt idx="131" c:formatCode="0.00_);[Red]\(0.00\)">
                  <c:v>4.412</c:v>
                </c:pt>
                <c:pt idx="132" c:formatCode="0.00_);[Red]\(0.00\)">
                  <c:v>4.446</c:v>
                </c:pt>
                <c:pt idx="133" c:formatCode="0.00_);[Red]\(0.00\)">
                  <c:v>4.479</c:v>
                </c:pt>
                <c:pt idx="134" c:formatCode="0.00_);[Red]\(0.00\)">
                  <c:v>4.513</c:v>
                </c:pt>
                <c:pt idx="135" c:formatCode="0.00_);[Red]\(0.00\)">
                  <c:v>4.546</c:v>
                </c:pt>
                <c:pt idx="136" c:formatCode="0.00_);[Red]\(0.00\)">
                  <c:v>4.579</c:v>
                </c:pt>
                <c:pt idx="137" c:formatCode="0.00_);[Red]\(0.00\)">
                  <c:v>4.613</c:v>
                </c:pt>
                <c:pt idx="138" c:formatCode="0.00_);[Red]\(0.00\)">
                  <c:v>4.646</c:v>
                </c:pt>
                <c:pt idx="139" c:formatCode="0.00_);[Red]\(0.00\)">
                  <c:v>4.68</c:v>
                </c:pt>
                <c:pt idx="140" c:formatCode="0.00_);[Red]\(0.00\)">
                  <c:v>4.713</c:v>
                </c:pt>
                <c:pt idx="141" c:formatCode="0.00_);[Red]\(0.00\)">
                  <c:v>4.747</c:v>
                </c:pt>
                <c:pt idx="142" c:formatCode="0.00_);[Red]\(0.00\)">
                  <c:v>4.78</c:v>
                </c:pt>
                <c:pt idx="143" c:formatCode="0.00_);[Red]\(0.00\)">
                  <c:v>4.813</c:v>
                </c:pt>
                <c:pt idx="144" c:formatCode="0.00_);[Red]\(0.00\)">
                  <c:v>4.847</c:v>
                </c:pt>
                <c:pt idx="145" c:formatCode="0.00_);[Red]\(0.00\)">
                  <c:v>4.88</c:v>
                </c:pt>
                <c:pt idx="146" c:formatCode="0.00_);[Red]\(0.00\)">
                  <c:v>4.914</c:v>
                </c:pt>
                <c:pt idx="147" c:formatCode="0.00_);[Red]\(0.00\)">
                  <c:v>4.947</c:v>
                </c:pt>
                <c:pt idx="148" c:formatCode="0.00_);[Red]\(0.00\)">
                  <c:v>4.981</c:v>
                </c:pt>
                <c:pt idx="149" c:formatCode="0.00_);[Red]\(0.00\)">
                  <c:v>5.014</c:v>
                </c:pt>
                <c:pt idx="150" c:formatCode="0.00_);[Red]\(0.00\)">
                  <c:v>5.047</c:v>
                </c:pt>
                <c:pt idx="151" c:formatCode="0.00_);[Red]\(0.00\)">
                  <c:v>5.081</c:v>
                </c:pt>
                <c:pt idx="152" c:formatCode="0.00_);[Red]\(0.00\)">
                  <c:v>5.114</c:v>
                </c:pt>
                <c:pt idx="153" c:formatCode="0.00_);[Red]\(0.00\)">
                  <c:v>5.148</c:v>
                </c:pt>
                <c:pt idx="154" c:formatCode="0.00_);[Red]\(0.00\)">
                  <c:v>5.181</c:v>
                </c:pt>
                <c:pt idx="155" c:formatCode="0.00_);[Red]\(0.00\)">
                  <c:v>5.215</c:v>
                </c:pt>
                <c:pt idx="156" c:formatCode="0.00_);[Red]\(0.00\)">
                  <c:v>5.248</c:v>
                </c:pt>
                <c:pt idx="157" c:formatCode="0.00_);[Red]\(0.00\)">
                  <c:v>5.281</c:v>
                </c:pt>
                <c:pt idx="158" c:formatCode="0.00_);[Red]\(0.00\)">
                  <c:v>5.315</c:v>
                </c:pt>
                <c:pt idx="159" c:formatCode="0.00_);[Red]\(0.00\)">
                  <c:v>5.348</c:v>
                </c:pt>
                <c:pt idx="160" c:formatCode="0.00_);[Red]\(0.00\)">
                  <c:v>5.382</c:v>
                </c:pt>
                <c:pt idx="161" c:formatCode="0.00_);[Red]\(0.00\)">
                  <c:v>5.415</c:v>
                </c:pt>
                <c:pt idx="162" c:formatCode="0.00_);[Red]\(0.00\)">
                  <c:v>5.449</c:v>
                </c:pt>
                <c:pt idx="163" c:formatCode="0.00_);[Red]\(0.00\)">
                  <c:v>5.482</c:v>
                </c:pt>
                <c:pt idx="164" c:formatCode="0.00_);[Red]\(0.00\)">
                  <c:v>5.515</c:v>
                </c:pt>
                <c:pt idx="165" c:formatCode="0.00_);[Red]\(0.00\)">
                  <c:v>5.549</c:v>
                </c:pt>
                <c:pt idx="166" c:formatCode="0.00_);[Red]\(0.00\)">
                  <c:v>5.582</c:v>
                </c:pt>
                <c:pt idx="167" c:formatCode="0.00_);[Red]\(0.00\)">
                  <c:v>5.616</c:v>
                </c:pt>
                <c:pt idx="168" c:formatCode="0.00_);[Red]\(0.00\)">
                  <c:v>5.649</c:v>
                </c:pt>
                <c:pt idx="169" c:formatCode="0.00_);[Red]\(0.00\)">
                  <c:v>5.683</c:v>
                </c:pt>
                <c:pt idx="170" c:formatCode="0.00_);[Red]\(0.00\)">
                  <c:v>5.716</c:v>
                </c:pt>
                <c:pt idx="171" c:formatCode="0.00_);[Red]\(0.00\)">
                  <c:v>5.749</c:v>
                </c:pt>
                <c:pt idx="172" c:formatCode="0.00_);[Red]\(0.00\)">
                  <c:v>5.783</c:v>
                </c:pt>
                <c:pt idx="173" c:formatCode="0.00_);[Red]\(0.00\)">
                  <c:v>5.816</c:v>
                </c:pt>
                <c:pt idx="174" c:formatCode="0.00_);[Red]\(0.00\)">
                  <c:v>5.85</c:v>
                </c:pt>
                <c:pt idx="175" c:formatCode="0.00_);[Red]\(0.00\)">
                  <c:v>5.883</c:v>
                </c:pt>
                <c:pt idx="176" c:formatCode="0.00_);[Red]\(0.00\)">
                  <c:v>5.917</c:v>
                </c:pt>
                <c:pt idx="177" c:formatCode="0.00_);[Red]\(0.00\)">
                  <c:v>5.95</c:v>
                </c:pt>
                <c:pt idx="178" c:formatCode="0.00_);[Red]\(0.00\)">
                  <c:v>5.983</c:v>
                </c:pt>
                <c:pt idx="179" c:formatCode="0.00_);[Red]\(0.00\)">
                  <c:v>6.017</c:v>
                </c:pt>
                <c:pt idx="180" c:formatCode="0.00_);[Red]\(0.00\)">
                  <c:v>6.05</c:v>
                </c:pt>
                <c:pt idx="181" c:formatCode="0.00_);[Red]\(0.00\)">
                  <c:v>6.084</c:v>
                </c:pt>
                <c:pt idx="182" c:formatCode="0.00_);[Red]\(0.00\)">
                  <c:v>6.117</c:v>
                </c:pt>
                <c:pt idx="183" c:formatCode="0.00_);[Red]\(0.00\)">
                  <c:v>6.15</c:v>
                </c:pt>
                <c:pt idx="184" c:formatCode="0.00_);[Red]\(0.00\)">
                  <c:v>6.184</c:v>
                </c:pt>
                <c:pt idx="185" c:formatCode="0.00_);[Red]\(0.00\)">
                  <c:v>6.217</c:v>
                </c:pt>
                <c:pt idx="186" c:formatCode="0.00_);[Red]\(0.00\)">
                  <c:v>6.251</c:v>
                </c:pt>
                <c:pt idx="187" c:formatCode="0.00_);[Red]\(0.00\)">
                  <c:v>6.284</c:v>
                </c:pt>
                <c:pt idx="188" c:formatCode="0.00_);[Red]\(0.00\)">
                  <c:v>6.318</c:v>
                </c:pt>
                <c:pt idx="189" c:formatCode="0.00_);[Red]\(0.00\)">
                  <c:v>6.351</c:v>
                </c:pt>
                <c:pt idx="190" c:formatCode="0.00_);[Red]\(0.00\)">
                  <c:v>6.384</c:v>
                </c:pt>
                <c:pt idx="191" c:formatCode="0.00_);[Red]\(0.00\)">
                  <c:v>6.418</c:v>
                </c:pt>
                <c:pt idx="192" c:formatCode="0.00_);[Red]\(0.00\)">
                  <c:v>6.451</c:v>
                </c:pt>
                <c:pt idx="193" c:formatCode="0.00_);[Red]\(0.00\)">
                  <c:v>6.485</c:v>
                </c:pt>
                <c:pt idx="194" c:formatCode="0.00_);[Red]\(0.00\)">
                  <c:v>6.518</c:v>
                </c:pt>
                <c:pt idx="195" c:formatCode="0.00_);[Red]\(0.00\)">
                  <c:v>6.552</c:v>
                </c:pt>
                <c:pt idx="196" c:formatCode="0.00_);[Red]\(0.00\)">
                  <c:v>6.585</c:v>
                </c:pt>
                <c:pt idx="197" c:formatCode="0.00_);[Red]\(0.00\)">
                  <c:v>6.618</c:v>
                </c:pt>
                <c:pt idx="198" c:formatCode="0.00_);[Red]\(0.00\)">
                  <c:v>6.652</c:v>
                </c:pt>
                <c:pt idx="199" c:formatCode="0.00_);[Red]\(0.00\)">
                  <c:v>6.685</c:v>
                </c:pt>
                <c:pt idx="200" c:formatCode="0.00_);[Red]\(0.00\)">
                  <c:v>6.719</c:v>
                </c:pt>
                <c:pt idx="201" c:formatCode="0.00_);[Red]\(0.00\)">
                  <c:v>6.752</c:v>
                </c:pt>
                <c:pt idx="202" c:formatCode="0.00_);[Red]\(0.00\)">
                  <c:v>6.786</c:v>
                </c:pt>
                <c:pt idx="203" c:formatCode="0.00_);[Red]\(0.00\)">
                  <c:v>6.819</c:v>
                </c:pt>
                <c:pt idx="204" c:formatCode="0.00_);[Red]\(0.00\)">
                  <c:v>6.852</c:v>
                </c:pt>
                <c:pt idx="205" c:formatCode="0.00_);[Red]\(0.00\)">
                  <c:v>6.886</c:v>
                </c:pt>
                <c:pt idx="206" c:formatCode="0.00_);[Red]\(0.00\)">
                  <c:v>6.919</c:v>
                </c:pt>
                <c:pt idx="207" c:formatCode="0.00_);[Red]\(0.00\)">
                  <c:v>6.953</c:v>
                </c:pt>
                <c:pt idx="208" c:formatCode="0.00_);[Red]\(0.00\)">
                  <c:v>6.986</c:v>
                </c:pt>
                <c:pt idx="209" c:formatCode="0.00_);[Red]\(0.00\)">
                  <c:v>7.02</c:v>
                </c:pt>
                <c:pt idx="210" c:formatCode="0.00_);[Red]\(0.00\)">
                  <c:v>7.053</c:v>
                </c:pt>
                <c:pt idx="211" c:formatCode="0.00_);[Red]\(0.00\)">
                  <c:v>7.086</c:v>
                </c:pt>
                <c:pt idx="212" c:formatCode="0.00_);[Red]\(0.00\)">
                  <c:v>7.12</c:v>
                </c:pt>
                <c:pt idx="213" c:formatCode="0.00_);[Red]\(0.00\)">
                  <c:v>7.153</c:v>
                </c:pt>
                <c:pt idx="214" c:formatCode="0.00_);[Red]\(0.00\)">
                  <c:v>7.187</c:v>
                </c:pt>
                <c:pt idx="215" c:formatCode="0.00_);[Red]\(0.00\)">
                  <c:v>7.22</c:v>
                </c:pt>
                <c:pt idx="216" c:formatCode="0.00_);[Red]\(0.00\)">
                  <c:v>7.254</c:v>
                </c:pt>
                <c:pt idx="217" c:formatCode="0.00_);[Red]\(0.00\)">
                  <c:v>7.287</c:v>
                </c:pt>
                <c:pt idx="218" c:formatCode="0.00_);[Red]\(0.00\)">
                  <c:v>7.32</c:v>
                </c:pt>
                <c:pt idx="219" c:formatCode="0.00_);[Red]\(0.00\)">
                  <c:v>7.354</c:v>
                </c:pt>
                <c:pt idx="220" c:formatCode="0.00_);[Red]\(0.00\)">
                  <c:v>7.387</c:v>
                </c:pt>
                <c:pt idx="221" c:formatCode="0.00_);[Red]\(0.00\)">
                  <c:v>7.421</c:v>
                </c:pt>
                <c:pt idx="222" c:formatCode="0.00_);[Red]\(0.00\)">
                  <c:v>7.454</c:v>
                </c:pt>
                <c:pt idx="223" c:formatCode="0.00_);[Red]\(0.00\)">
                  <c:v>7.488</c:v>
                </c:pt>
                <c:pt idx="224" c:formatCode="0.00_);[Red]\(0.00\)">
                  <c:v>7.521</c:v>
                </c:pt>
                <c:pt idx="225" c:formatCode="0.00_);[Red]\(0.00\)">
                  <c:v>7.554</c:v>
                </c:pt>
                <c:pt idx="226" c:formatCode="0.00_);[Red]\(0.00\)">
                  <c:v>7.588</c:v>
                </c:pt>
                <c:pt idx="227" c:formatCode="0.00_);[Red]\(0.00\)">
                  <c:v>7.621</c:v>
                </c:pt>
                <c:pt idx="228" c:formatCode="0.00_);[Red]\(0.00\)">
                  <c:v>7.655</c:v>
                </c:pt>
                <c:pt idx="229" c:formatCode="0.00_);[Red]\(0.00\)">
                  <c:v>7.688</c:v>
                </c:pt>
                <c:pt idx="230" c:formatCode="0.00_);[Red]\(0.00\)">
                  <c:v>7.722</c:v>
                </c:pt>
                <c:pt idx="231" c:formatCode="0.00_);[Red]\(0.00\)">
                  <c:v>7.755</c:v>
                </c:pt>
                <c:pt idx="232" c:formatCode="0.00_);[Red]\(0.00\)">
                  <c:v>7.788</c:v>
                </c:pt>
                <c:pt idx="233" c:formatCode="0.00_);[Red]\(0.00\)">
                  <c:v>7.822</c:v>
                </c:pt>
                <c:pt idx="234" c:formatCode="0.00_);[Red]\(0.00\)">
                  <c:v>7.855</c:v>
                </c:pt>
                <c:pt idx="235" c:formatCode="0.00_);[Red]\(0.00\)">
                  <c:v>7.889</c:v>
                </c:pt>
                <c:pt idx="236" c:formatCode="0.00_);[Red]\(0.00\)">
                  <c:v>7.922</c:v>
                </c:pt>
                <c:pt idx="237" c:formatCode="0.00_);[Red]\(0.00\)">
                  <c:v>7.956</c:v>
                </c:pt>
                <c:pt idx="238" c:formatCode="0.00_);[Red]\(0.00\)">
                  <c:v>7.989</c:v>
                </c:pt>
                <c:pt idx="239" c:formatCode="0.00_);[Red]\(0.00\)">
                  <c:v>8.022</c:v>
                </c:pt>
                <c:pt idx="240" c:formatCode="0.00_);[Red]\(0.00\)">
                  <c:v>8.056</c:v>
                </c:pt>
                <c:pt idx="241" c:formatCode="0.00_);[Red]\(0.00\)">
                  <c:v>8.089</c:v>
                </c:pt>
                <c:pt idx="242" c:formatCode="0.00_);[Red]\(0.00\)">
                  <c:v>8.123</c:v>
                </c:pt>
                <c:pt idx="243" c:formatCode="0.00_);[Red]\(0.00\)">
                  <c:v>8.156</c:v>
                </c:pt>
                <c:pt idx="244" c:formatCode="0.00_);[Red]\(0.00\)">
                  <c:v>8.19</c:v>
                </c:pt>
                <c:pt idx="245" c:formatCode="0.00_);[Red]\(0.00\)">
                  <c:v>8.223</c:v>
                </c:pt>
                <c:pt idx="246" c:formatCode="0.00_);[Red]\(0.00\)">
                  <c:v>8.256</c:v>
                </c:pt>
                <c:pt idx="247" c:formatCode="0.00_);[Red]\(0.00\)">
                  <c:v>8.29</c:v>
                </c:pt>
                <c:pt idx="248" c:formatCode="0.00_);[Red]\(0.00\)">
                  <c:v>8.323</c:v>
                </c:pt>
                <c:pt idx="249" c:formatCode="0.00_);[Red]\(0.00\)">
                  <c:v>8.357</c:v>
                </c:pt>
                <c:pt idx="250" c:formatCode="0.00_);[Red]\(0.00\)">
                  <c:v>8.39</c:v>
                </c:pt>
                <c:pt idx="251" c:formatCode="0.00_);[Red]\(0.00\)">
                  <c:v>8.424</c:v>
                </c:pt>
                <c:pt idx="252" c:formatCode="0.00_);[Red]\(0.00\)">
                  <c:v>8.457</c:v>
                </c:pt>
                <c:pt idx="253" c:formatCode="0.00_);[Red]\(0.00\)">
                  <c:v>8.49</c:v>
                </c:pt>
                <c:pt idx="254" c:formatCode="0.00_);[Red]\(0.00\)">
                  <c:v>8.524</c:v>
                </c:pt>
                <c:pt idx="255" c:formatCode="0.00_);[Red]\(0.00\)">
                  <c:v>8.557</c:v>
                </c:pt>
                <c:pt idx="256" c:formatCode="0.00_);[Red]\(0.00\)">
                  <c:v>8.591</c:v>
                </c:pt>
                <c:pt idx="257" c:formatCode="0.00_);[Red]\(0.00\)">
                  <c:v>8.624</c:v>
                </c:pt>
                <c:pt idx="258" c:formatCode="0.00_);[Red]\(0.00\)">
                  <c:v>8.657</c:v>
                </c:pt>
                <c:pt idx="259" c:formatCode="0.00_);[Red]\(0.00\)">
                  <c:v>8.691</c:v>
                </c:pt>
                <c:pt idx="260" c:formatCode="0.00_);[Red]\(0.00\)">
                  <c:v>8.724</c:v>
                </c:pt>
                <c:pt idx="261" c:formatCode="0.00_);[Red]\(0.00\)">
                  <c:v>8.758</c:v>
                </c:pt>
                <c:pt idx="262" c:formatCode="0.00_);[Red]\(0.00\)">
                  <c:v>8.791</c:v>
                </c:pt>
                <c:pt idx="263" c:formatCode="0.00_);[Red]\(0.00\)">
                  <c:v>8.825</c:v>
                </c:pt>
                <c:pt idx="264" c:formatCode="0.00_);[Red]\(0.00\)">
                  <c:v>8.858</c:v>
                </c:pt>
                <c:pt idx="265" c:formatCode="0.00_);[Red]\(0.00\)">
                  <c:v>8.891</c:v>
                </c:pt>
                <c:pt idx="266" c:formatCode="0.00_);[Red]\(0.00\)">
                  <c:v>8.925</c:v>
                </c:pt>
                <c:pt idx="267" c:formatCode="0.00_);[Red]\(0.00\)">
                  <c:v>8.958</c:v>
                </c:pt>
                <c:pt idx="268" c:formatCode="0.00_);[Red]\(0.00\)">
                  <c:v>8.992</c:v>
                </c:pt>
                <c:pt idx="269" c:formatCode="0.00_);[Red]\(0.00\)">
                  <c:v>9.025</c:v>
                </c:pt>
                <c:pt idx="270" c:formatCode="0.00_);[Red]\(0.00\)">
                  <c:v>9.059</c:v>
                </c:pt>
                <c:pt idx="271" c:formatCode="0.00_);[Red]\(0.00\)">
                  <c:v>9.092</c:v>
                </c:pt>
                <c:pt idx="272" c:formatCode="0.00_);[Red]\(0.00\)">
                  <c:v>9.125</c:v>
                </c:pt>
                <c:pt idx="273" c:formatCode="0.00_);[Red]\(0.00\)">
                  <c:v>9.159</c:v>
                </c:pt>
                <c:pt idx="274" c:formatCode="0.00_);[Red]\(0.00\)">
                  <c:v>9.192</c:v>
                </c:pt>
                <c:pt idx="275" c:formatCode="0.00_);[Red]\(0.00\)">
                  <c:v>9.226</c:v>
                </c:pt>
                <c:pt idx="276" c:formatCode="0.00_);[Red]\(0.00\)">
                  <c:v>9.259</c:v>
                </c:pt>
                <c:pt idx="277" c:formatCode="0.00_);[Red]\(0.00\)">
                  <c:v>9.293</c:v>
                </c:pt>
                <c:pt idx="278" c:formatCode="0.00_);[Red]\(0.00\)">
                  <c:v>9.326</c:v>
                </c:pt>
                <c:pt idx="279" c:formatCode="0.00_);[Red]\(0.00\)">
                  <c:v>9.359</c:v>
                </c:pt>
                <c:pt idx="280" c:formatCode="0.00_);[Red]\(0.00\)">
                  <c:v>9.393</c:v>
                </c:pt>
                <c:pt idx="281" c:formatCode="0.00_);[Red]\(0.00\)">
                  <c:v>9.426</c:v>
                </c:pt>
                <c:pt idx="282" c:formatCode="0.00_);[Red]\(0.00\)">
                  <c:v>9.46</c:v>
                </c:pt>
                <c:pt idx="283" c:formatCode="0.00_);[Red]\(0.00\)">
                  <c:v>9.493</c:v>
                </c:pt>
                <c:pt idx="284" c:formatCode="0.00_);[Red]\(0.00\)">
                  <c:v>9.527</c:v>
                </c:pt>
                <c:pt idx="285" c:formatCode="0.00_);[Red]\(0.00\)">
                  <c:v>9.56</c:v>
                </c:pt>
                <c:pt idx="286" c:formatCode="0.00_);[Red]\(0.00\)">
                  <c:v>9.593</c:v>
                </c:pt>
                <c:pt idx="287" c:formatCode="0.00_);[Red]\(0.00\)">
                  <c:v>9.627</c:v>
                </c:pt>
                <c:pt idx="288" c:formatCode="0.00_);[Red]\(0.00\)">
                  <c:v>9.66</c:v>
                </c:pt>
                <c:pt idx="289" c:formatCode="0.00_);[Red]\(0.00\)">
                  <c:v>9.694</c:v>
                </c:pt>
                <c:pt idx="290" c:formatCode="0.00_);[Red]\(0.00\)">
                  <c:v>9.727</c:v>
                </c:pt>
                <c:pt idx="291" c:formatCode="0.00_);[Red]\(0.00\)">
                  <c:v>9.761</c:v>
                </c:pt>
                <c:pt idx="292" c:formatCode="0.00_);[Red]\(0.00\)">
                  <c:v>9.794</c:v>
                </c:pt>
                <c:pt idx="293" c:formatCode="0.00_);[Red]\(0.00\)">
                  <c:v>9.827</c:v>
                </c:pt>
                <c:pt idx="294" c:formatCode="0.00_);[Red]\(0.00\)">
                  <c:v>9.861</c:v>
                </c:pt>
                <c:pt idx="295" c:formatCode="0.00_);[Red]\(0.00\)">
                  <c:v>9.894</c:v>
                </c:pt>
                <c:pt idx="296" c:formatCode="0.00_);[Red]\(0.00\)">
                  <c:v>9.928</c:v>
                </c:pt>
                <c:pt idx="297" c:formatCode="0.00_);[Red]\(0.00\)">
                  <c:v>9.961</c:v>
                </c:pt>
                <c:pt idx="298" c:formatCode="0.00_);[Red]\(0.00\)">
                  <c:v>9.995</c:v>
                </c:pt>
                <c:pt idx="299" c:formatCode="0.00_);[Red]\(0.00\)">
                  <c:v>10.028</c:v>
                </c:pt>
                <c:pt idx="300" c:formatCode="0.00_);[Red]\(0.00\)">
                  <c:v>10.061</c:v>
                </c:pt>
                <c:pt idx="301" c:formatCode="0.00_);[Red]\(0.00\)">
                  <c:v>10.095</c:v>
                </c:pt>
                <c:pt idx="302" c:formatCode="0.00_);[Red]\(0.00\)">
                  <c:v>10.128</c:v>
                </c:pt>
                <c:pt idx="303" c:formatCode="0.00_);[Red]\(0.00\)">
                  <c:v>10.162</c:v>
                </c:pt>
                <c:pt idx="304" c:formatCode="0.00_);[Red]\(0.00\)">
                  <c:v>10.195</c:v>
                </c:pt>
                <c:pt idx="305" c:formatCode="0.00_);[Red]\(0.00\)">
                  <c:v>10.229</c:v>
                </c:pt>
                <c:pt idx="306" c:formatCode="0.00_);[Red]\(0.00\)">
                  <c:v>10.262</c:v>
                </c:pt>
                <c:pt idx="307" c:formatCode="0.00_);[Red]\(0.00\)">
                  <c:v>10.295</c:v>
                </c:pt>
                <c:pt idx="308" c:formatCode="0.00_);[Red]\(0.00\)">
                  <c:v>10.329</c:v>
                </c:pt>
                <c:pt idx="309" c:formatCode="0.00_);[Red]\(0.00\)">
                  <c:v>10.362</c:v>
                </c:pt>
                <c:pt idx="310" c:formatCode="0.00_);[Red]\(0.00\)">
                  <c:v>10.396</c:v>
                </c:pt>
                <c:pt idx="311" c:formatCode="0.00_);[Red]\(0.00\)">
                  <c:v>10.429</c:v>
                </c:pt>
                <c:pt idx="312" c:formatCode="0.00_);[Red]\(0.00\)">
                  <c:v>10.463</c:v>
                </c:pt>
                <c:pt idx="313" c:formatCode="0.00_);[Red]\(0.00\)">
                  <c:v>10.496</c:v>
                </c:pt>
                <c:pt idx="314" c:formatCode="0.00_);[Red]\(0.00\)">
                  <c:v>10.529</c:v>
                </c:pt>
                <c:pt idx="315" c:formatCode="0.00_);[Red]\(0.00\)">
                  <c:v>10.563</c:v>
                </c:pt>
                <c:pt idx="316" c:formatCode="0.00_);[Red]\(0.00\)">
                  <c:v>10.596</c:v>
                </c:pt>
                <c:pt idx="317" c:formatCode="0.00_);[Red]\(0.00\)">
                  <c:v>10.63</c:v>
                </c:pt>
                <c:pt idx="318" c:formatCode="0.00_);[Red]\(0.00\)">
                  <c:v>10.663</c:v>
                </c:pt>
                <c:pt idx="319" c:formatCode="0.00_);[Red]\(0.00\)">
                  <c:v>10.697</c:v>
                </c:pt>
                <c:pt idx="320" c:formatCode="0.00_);[Red]\(0.00\)">
                  <c:v>10.73</c:v>
                </c:pt>
                <c:pt idx="321" c:formatCode="0.00_);[Red]\(0.00\)">
                  <c:v>10.763</c:v>
                </c:pt>
                <c:pt idx="322" c:formatCode="0.00_);[Red]\(0.00\)">
                  <c:v>10.797</c:v>
                </c:pt>
                <c:pt idx="323" c:formatCode="0.00_);[Red]\(0.00\)">
                  <c:v>10.83</c:v>
                </c:pt>
                <c:pt idx="324" c:formatCode="0.00_);[Red]\(0.00\)">
                  <c:v>10.864</c:v>
                </c:pt>
                <c:pt idx="325" c:formatCode="0.00_);[Red]\(0.00\)">
                  <c:v>10.897</c:v>
                </c:pt>
                <c:pt idx="326" c:formatCode="0.00_);[Red]\(0.00\)">
                  <c:v>10.93</c:v>
                </c:pt>
                <c:pt idx="327" c:formatCode="0.00_);[Red]\(0.00\)">
                  <c:v>10.964</c:v>
                </c:pt>
                <c:pt idx="328" c:formatCode="0.00_);[Red]\(0.00\)">
                  <c:v>10.997</c:v>
                </c:pt>
                <c:pt idx="329" c:formatCode="0.00_);[Red]\(0.00\)">
                  <c:v>11.031</c:v>
                </c:pt>
                <c:pt idx="330" c:formatCode="0.00_);[Red]\(0.00\)">
                  <c:v>11.064</c:v>
                </c:pt>
                <c:pt idx="331" c:formatCode="0.00_);[Red]\(0.00\)">
                  <c:v>11.098</c:v>
                </c:pt>
                <c:pt idx="332" c:formatCode="0.00_);[Red]\(0.00\)">
                  <c:v>11.131</c:v>
                </c:pt>
                <c:pt idx="333" c:formatCode="0.00_);[Red]\(0.00\)">
                  <c:v>11.164</c:v>
                </c:pt>
                <c:pt idx="334" c:formatCode="0.00_);[Red]\(0.00\)">
                  <c:v>11.198</c:v>
                </c:pt>
                <c:pt idx="335" c:formatCode="0.00_);[Red]\(0.00\)">
                  <c:v>11.231</c:v>
                </c:pt>
                <c:pt idx="336" c:formatCode="0.00_);[Red]\(0.00\)">
                  <c:v>11.265</c:v>
                </c:pt>
                <c:pt idx="337" c:formatCode="0.00_);[Red]\(0.00\)">
                  <c:v>11.298</c:v>
                </c:pt>
                <c:pt idx="338" c:formatCode="0.00_);[Red]\(0.00\)">
                  <c:v>11.332</c:v>
                </c:pt>
                <c:pt idx="339" c:formatCode="0.00_);[Red]\(0.00\)">
                  <c:v>11.365</c:v>
                </c:pt>
                <c:pt idx="340" c:formatCode="0.00_);[Red]\(0.00\)">
                  <c:v>11.398</c:v>
                </c:pt>
                <c:pt idx="341" c:formatCode="0.00_);[Red]\(0.00\)">
                  <c:v>11.432</c:v>
                </c:pt>
                <c:pt idx="342" c:formatCode="0.00_);[Red]\(0.00\)">
                  <c:v>11.465</c:v>
                </c:pt>
                <c:pt idx="343" c:formatCode="0.00_);[Red]\(0.00\)">
                  <c:v>11.499</c:v>
                </c:pt>
                <c:pt idx="344" c:formatCode="0.00_);[Red]\(0.00\)">
                  <c:v>11.532</c:v>
                </c:pt>
                <c:pt idx="345" c:formatCode="0.00_);[Red]\(0.00\)">
                  <c:v>11.566</c:v>
                </c:pt>
                <c:pt idx="346" c:formatCode="0.00_);[Red]\(0.00\)">
                  <c:v>11.599</c:v>
                </c:pt>
                <c:pt idx="347" c:formatCode="0.00_);[Red]\(0.00\)">
                  <c:v>11.632</c:v>
                </c:pt>
                <c:pt idx="348" c:formatCode="0.00_);[Red]\(0.00\)">
                  <c:v>11.666</c:v>
                </c:pt>
                <c:pt idx="349" c:formatCode="0.00_);[Red]\(0.00\)">
                  <c:v>11.699</c:v>
                </c:pt>
                <c:pt idx="350" c:formatCode="0.00_);[Red]\(0.00\)">
                  <c:v>11.733</c:v>
                </c:pt>
                <c:pt idx="351" c:formatCode="0.00_);[Red]\(0.00\)">
                  <c:v>11.766</c:v>
                </c:pt>
                <c:pt idx="352" c:formatCode="0.00_);[Red]\(0.00\)">
                  <c:v>11.8</c:v>
                </c:pt>
                <c:pt idx="353" c:formatCode="0.00_);[Red]\(0.00\)">
                  <c:v>11.833</c:v>
                </c:pt>
                <c:pt idx="354" c:formatCode="0.00_);[Red]\(0.00\)">
                  <c:v>11.866</c:v>
                </c:pt>
                <c:pt idx="355" c:formatCode="0.00_);[Red]\(0.00\)">
                  <c:v>11.9</c:v>
                </c:pt>
                <c:pt idx="356" c:formatCode="0.00_);[Red]\(0.00\)">
                  <c:v>11.933</c:v>
                </c:pt>
                <c:pt idx="357" c:formatCode="0.00_);[Red]\(0.00\)">
                  <c:v>11.967</c:v>
                </c:pt>
                <c:pt idx="358" c:formatCode="0.00_);[Red]\(0.00\)">
                  <c:v>12</c:v>
                </c:pt>
                <c:pt idx="359" c:formatCode="0.00_);[Red]\(0.00\)">
                  <c:v>12.034</c:v>
                </c:pt>
                <c:pt idx="360" c:formatCode="0.00_);[Red]\(0.00\)">
                  <c:v>12.067</c:v>
                </c:pt>
                <c:pt idx="361" c:formatCode="0.00_);[Red]\(0.00\)">
                  <c:v>12.1</c:v>
                </c:pt>
                <c:pt idx="362" c:formatCode="0.00_);[Red]\(0.00\)">
                  <c:v>12.134</c:v>
                </c:pt>
                <c:pt idx="363" c:formatCode="0.00_);[Red]\(0.00\)">
                  <c:v>12.167</c:v>
                </c:pt>
                <c:pt idx="364" c:formatCode="0.00_);[Red]\(0.00\)">
                  <c:v>12.201</c:v>
                </c:pt>
                <c:pt idx="365" c:formatCode="0.00_);[Red]\(0.00\)">
                  <c:v>12.234</c:v>
                </c:pt>
                <c:pt idx="366" c:formatCode="0.00_);[Red]\(0.00\)">
                  <c:v>12.268</c:v>
                </c:pt>
                <c:pt idx="367" c:formatCode="0.00_);[Red]\(0.00\)">
                  <c:v>12.301</c:v>
                </c:pt>
                <c:pt idx="368" c:formatCode="0.00_);[Red]\(0.00\)">
                  <c:v>12.334</c:v>
                </c:pt>
                <c:pt idx="369" c:formatCode="0.00_);[Red]\(0.00\)">
                  <c:v>12.368</c:v>
                </c:pt>
                <c:pt idx="370" c:formatCode="0.00_);[Red]\(0.00\)">
                  <c:v>12.401</c:v>
                </c:pt>
                <c:pt idx="371" c:formatCode="0.00_);[Red]\(0.00\)">
                  <c:v>12.435</c:v>
                </c:pt>
                <c:pt idx="372" c:formatCode="0.00_);[Red]\(0.00\)">
                  <c:v>12.468</c:v>
                </c:pt>
                <c:pt idx="373" c:formatCode="0.00_);[Red]\(0.00\)">
                  <c:v>12.502</c:v>
                </c:pt>
                <c:pt idx="374" c:formatCode="0.00_);[Red]\(0.00\)">
                  <c:v>12.535</c:v>
                </c:pt>
                <c:pt idx="375" c:formatCode="0.00_);[Red]\(0.00\)">
                  <c:v>12.568</c:v>
                </c:pt>
                <c:pt idx="376" c:formatCode="0.00_);[Red]\(0.00\)">
                  <c:v>12.602</c:v>
                </c:pt>
                <c:pt idx="377" c:formatCode="0.00_);[Red]\(0.00\)">
                  <c:v>12.635</c:v>
                </c:pt>
                <c:pt idx="378" c:formatCode="0.00_);[Red]\(0.00\)">
                  <c:v>12.669</c:v>
                </c:pt>
                <c:pt idx="379" c:formatCode="0.00_);[Red]\(0.00\)">
                  <c:v>12.702</c:v>
                </c:pt>
                <c:pt idx="380" c:formatCode="0.00_);[Red]\(0.00\)">
                  <c:v>12.736</c:v>
                </c:pt>
                <c:pt idx="381" c:formatCode="0.00_);[Red]\(0.00\)">
                  <c:v>12.769</c:v>
                </c:pt>
                <c:pt idx="382" c:formatCode="0.00_);[Red]\(0.00\)">
                  <c:v>12.802</c:v>
                </c:pt>
                <c:pt idx="383" c:formatCode="0.00_);[Red]\(0.00\)">
                  <c:v>12.836</c:v>
                </c:pt>
                <c:pt idx="384" c:formatCode="0.00_);[Red]\(0.00\)">
                  <c:v>12.869</c:v>
                </c:pt>
                <c:pt idx="385" c:formatCode="0.00_);[Red]\(0.00\)">
                  <c:v>12.903</c:v>
                </c:pt>
                <c:pt idx="386" c:formatCode="0.00_);[Red]\(0.00\)">
                  <c:v>12.936</c:v>
                </c:pt>
                <c:pt idx="387" c:formatCode="0.00_);[Red]\(0.00\)">
                  <c:v>12.97</c:v>
                </c:pt>
                <c:pt idx="388" c:formatCode="0.00_);[Red]\(0.00\)">
                  <c:v>13.003</c:v>
                </c:pt>
                <c:pt idx="389" c:formatCode="0.00_);[Red]\(0.00\)">
                  <c:v>13.036</c:v>
                </c:pt>
                <c:pt idx="390" c:formatCode="0.00_);[Red]\(0.00\)">
                  <c:v>13.07</c:v>
                </c:pt>
                <c:pt idx="391" c:formatCode="0.00_);[Red]\(0.00\)">
                  <c:v>13.103</c:v>
                </c:pt>
                <c:pt idx="392" c:formatCode="0.00_);[Red]\(0.00\)">
                  <c:v>13.137</c:v>
                </c:pt>
                <c:pt idx="393" c:formatCode="0.00_);[Red]\(0.00\)">
                  <c:v>13.17</c:v>
                </c:pt>
                <c:pt idx="394" c:formatCode="0.00_);[Red]\(0.00\)">
                  <c:v>13.204</c:v>
                </c:pt>
                <c:pt idx="395" c:formatCode="0.00_);[Red]\(0.00\)">
                  <c:v>13.237</c:v>
                </c:pt>
                <c:pt idx="396" c:formatCode="0.00_);[Red]\(0.00\)">
                  <c:v>13.27</c:v>
                </c:pt>
                <c:pt idx="397" c:formatCode="0.00_);[Red]\(0.00\)">
                  <c:v>13.304</c:v>
                </c:pt>
                <c:pt idx="398" c:formatCode="0.00_);[Red]\(0.00\)">
                  <c:v>13.337</c:v>
                </c:pt>
                <c:pt idx="399" c:formatCode="0.00_);[Red]\(0.00\)">
                  <c:v>13.371</c:v>
                </c:pt>
                <c:pt idx="400" c:formatCode="0.00_);[Red]\(0.00\)">
                  <c:v>13.404</c:v>
                </c:pt>
                <c:pt idx="401" c:formatCode="0.00_);[Red]\(0.00\)">
                  <c:v>13.437</c:v>
                </c:pt>
                <c:pt idx="402" c:formatCode="0.00_);[Red]\(0.00\)">
                  <c:v>13.471</c:v>
                </c:pt>
                <c:pt idx="403" c:formatCode="0.00_);[Red]\(0.00\)">
                  <c:v>13.504</c:v>
                </c:pt>
                <c:pt idx="404" c:formatCode="0.00_);[Red]\(0.00\)">
                  <c:v>13.538</c:v>
                </c:pt>
                <c:pt idx="405" c:formatCode="0.00_);[Red]\(0.00\)">
                  <c:v>13.571</c:v>
                </c:pt>
                <c:pt idx="406" c:formatCode="0.00_);[Red]\(0.00\)">
                  <c:v>13.605</c:v>
                </c:pt>
                <c:pt idx="407" c:formatCode="0.00_);[Red]\(0.00\)">
                  <c:v>13.638</c:v>
                </c:pt>
                <c:pt idx="408" c:formatCode="0.00_);[Red]\(0.00\)">
                  <c:v>13.671</c:v>
                </c:pt>
                <c:pt idx="409" c:formatCode="0.00_);[Red]\(0.00\)">
                  <c:v>13.705</c:v>
                </c:pt>
                <c:pt idx="410" c:formatCode="0.00_);[Red]\(0.00\)">
                  <c:v>13.738</c:v>
                </c:pt>
                <c:pt idx="411" c:formatCode="0.00_);[Red]\(0.00\)">
                  <c:v>13.772</c:v>
                </c:pt>
                <c:pt idx="412" c:formatCode="0.00_);[Red]\(0.00\)">
                  <c:v>13.805</c:v>
                </c:pt>
                <c:pt idx="413" c:formatCode="0.00_);[Red]\(0.00\)">
                  <c:v>13.839</c:v>
                </c:pt>
                <c:pt idx="414" c:formatCode="0.00_);[Red]\(0.00\)">
                  <c:v>13.872</c:v>
                </c:pt>
                <c:pt idx="415" c:formatCode="0.00_);[Red]\(0.00\)">
                  <c:v>13.905</c:v>
                </c:pt>
                <c:pt idx="416" c:formatCode="0.00_);[Red]\(0.00\)">
                  <c:v>13.939</c:v>
                </c:pt>
                <c:pt idx="417" c:formatCode="0.00_);[Red]\(0.00\)">
                  <c:v>13.972</c:v>
                </c:pt>
                <c:pt idx="418" c:formatCode="0.00_);[Red]\(0.00\)">
                  <c:v>14.006</c:v>
                </c:pt>
                <c:pt idx="419" c:formatCode="0.00_);[Red]\(0.00\)">
                  <c:v>14.039</c:v>
                </c:pt>
                <c:pt idx="420" c:formatCode="0.00_);[Red]\(0.00\)">
                  <c:v>14.073</c:v>
                </c:pt>
                <c:pt idx="421" c:formatCode="0.00_);[Red]\(0.00\)">
                  <c:v>14.106</c:v>
                </c:pt>
                <c:pt idx="422" c:formatCode="0.00_);[Red]\(0.00\)">
                  <c:v>14.139</c:v>
                </c:pt>
                <c:pt idx="423" c:formatCode="0.00_);[Red]\(0.00\)">
                  <c:v>14.173</c:v>
                </c:pt>
                <c:pt idx="424" c:formatCode="0.00_);[Red]\(0.00\)">
                  <c:v>14.206</c:v>
                </c:pt>
                <c:pt idx="425" c:formatCode="0.00_);[Red]\(0.00\)">
                  <c:v>14.24</c:v>
                </c:pt>
                <c:pt idx="426" c:formatCode="0.00_);[Red]\(0.00\)">
                  <c:v>14.273</c:v>
                </c:pt>
                <c:pt idx="427" c:formatCode="0.00_);[Red]\(0.00\)">
                  <c:v>14.307</c:v>
                </c:pt>
                <c:pt idx="428" c:formatCode="0.00_);[Red]\(0.00\)">
                  <c:v>14.34</c:v>
                </c:pt>
                <c:pt idx="429" c:formatCode="0.00_);[Red]\(0.00\)">
                  <c:v>14.373</c:v>
                </c:pt>
                <c:pt idx="430" c:formatCode="0.00_);[Red]\(0.00\)">
                  <c:v>14.407</c:v>
                </c:pt>
                <c:pt idx="431" c:formatCode="0.00_);[Red]\(0.00\)">
                  <c:v>14.44</c:v>
                </c:pt>
                <c:pt idx="432" c:formatCode="0.00_);[Red]\(0.00\)">
                  <c:v>14.474</c:v>
                </c:pt>
                <c:pt idx="433" c:formatCode="0.00_);[Red]\(0.00\)">
                  <c:v>14.507</c:v>
                </c:pt>
                <c:pt idx="434" c:formatCode="0.00_);[Red]\(0.00\)">
                  <c:v>14.541</c:v>
                </c:pt>
                <c:pt idx="435" c:formatCode="0.00_);[Red]\(0.00\)">
                  <c:v>14.574</c:v>
                </c:pt>
                <c:pt idx="436" c:formatCode="0.00_);[Red]\(0.00\)">
                  <c:v>14.607</c:v>
                </c:pt>
                <c:pt idx="437" c:formatCode="0.00_);[Red]\(0.00\)">
                  <c:v>14.641</c:v>
                </c:pt>
                <c:pt idx="438" c:formatCode="0.00_);[Red]\(0.00\)">
                  <c:v>14.674</c:v>
                </c:pt>
                <c:pt idx="439" c:formatCode="0.00_);[Red]\(0.00\)">
                  <c:v>14.708</c:v>
                </c:pt>
                <c:pt idx="440" c:formatCode="0.00_);[Red]\(0.00\)">
                  <c:v>14.741</c:v>
                </c:pt>
                <c:pt idx="441" c:formatCode="0.00_);[Red]\(0.00\)">
                  <c:v>14.775</c:v>
                </c:pt>
                <c:pt idx="442" c:formatCode="0.00_);[Red]\(0.00\)">
                  <c:v>14.808</c:v>
                </c:pt>
                <c:pt idx="443" c:formatCode="0.00_);[Red]\(0.00\)">
                  <c:v>14.841</c:v>
                </c:pt>
                <c:pt idx="444" c:formatCode="0.00_);[Red]\(0.00\)">
                  <c:v>14.875</c:v>
                </c:pt>
                <c:pt idx="445" c:formatCode="0.00_);[Red]\(0.00\)">
                  <c:v>14.908</c:v>
                </c:pt>
                <c:pt idx="446" c:formatCode="0.00_);[Red]\(0.00\)">
                  <c:v>14.942</c:v>
                </c:pt>
                <c:pt idx="447" c:formatCode="0.00_);[Red]\(0.00\)">
                  <c:v>14.975</c:v>
                </c:pt>
                <c:pt idx="448" c:formatCode="0.00_);[Red]\(0.00\)">
                  <c:v>15.009</c:v>
                </c:pt>
                <c:pt idx="449" c:formatCode="0.00_);[Red]\(0.00\)">
                  <c:v>15.042</c:v>
                </c:pt>
                <c:pt idx="450" c:formatCode="0.00_);[Red]\(0.00\)">
                  <c:v>15.075</c:v>
                </c:pt>
                <c:pt idx="451" c:formatCode="0.00_);[Red]\(0.00\)">
                  <c:v>15.109</c:v>
                </c:pt>
                <c:pt idx="452" c:formatCode="0.00_);[Red]\(0.00\)">
                  <c:v>15.142</c:v>
                </c:pt>
                <c:pt idx="453" c:formatCode="0.00_);[Red]\(0.00\)">
                  <c:v>15.176</c:v>
                </c:pt>
                <c:pt idx="454" c:formatCode="0.00_);[Red]\(0.00\)">
                  <c:v>15.209</c:v>
                </c:pt>
                <c:pt idx="455" c:formatCode="0.00_);[Red]\(0.00\)">
                  <c:v>15.243</c:v>
                </c:pt>
                <c:pt idx="456" c:formatCode="0.00_);[Red]\(0.00\)">
                  <c:v>15.276</c:v>
                </c:pt>
                <c:pt idx="457" c:formatCode="0.00_);[Red]\(0.00\)">
                  <c:v>15.309</c:v>
                </c:pt>
                <c:pt idx="458" c:formatCode="0.00_);[Red]\(0.00\)">
                  <c:v>15.343</c:v>
                </c:pt>
                <c:pt idx="459" c:formatCode="0.00_);[Red]\(0.00\)">
                  <c:v>15.376</c:v>
                </c:pt>
                <c:pt idx="460" c:formatCode="0.00_);[Red]\(0.00\)">
                  <c:v>15.41</c:v>
                </c:pt>
                <c:pt idx="461" c:formatCode="0.00_);[Red]\(0.00\)">
                  <c:v>15.443</c:v>
                </c:pt>
                <c:pt idx="462" c:formatCode="0.00_);[Red]\(0.00\)">
                  <c:v>15.477</c:v>
                </c:pt>
                <c:pt idx="463" c:formatCode="0.00_);[Red]\(0.00\)">
                  <c:v>15.51</c:v>
                </c:pt>
                <c:pt idx="464" c:formatCode="0.00_);[Red]\(0.00\)">
                  <c:v>15.543</c:v>
                </c:pt>
                <c:pt idx="465" c:formatCode="0.00_);[Red]\(0.00\)">
                  <c:v>15.577</c:v>
                </c:pt>
                <c:pt idx="466" c:formatCode="0.00_);[Red]\(0.00\)">
                  <c:v>15.61</c:v>
                </c:pt>
                <c:pt idx="467" c:formatCode="0.00_);[Red]\(0.00\)">
                  <c:v>15.644</c:v>
                </c:pt>
                <c:pt idx="468" c:formatCode="0.00_);[Red]\(0.00\)">
                  <c:v>15.677</c:v>
                </c:pt>
                <c:pt idx="469" c:formatCode="0.00_);[Red]\(0.00\)">
                  <c:v>15.711</c:v>
                </c:pt>
                <c:pt idx="470" c:formatCode="0.00_);[Red]\(0.00\)">
                  <c:v>15.744</c:v>
                </c:pt>
                <c:pt idx="471" c:formatCode="0.00_);[Red]\(0.00\)">
                  <c:v>15.777</c:v>
                </c:pt>
                <c:pt idx="472" c:formatCode="0.00_);[Red]\(0.00\)">
                  <c:v>15.811</c:v>
                </c:pt>
                <c:pt idx="473" c:formatCode="0.00_);[Red]\(0.00\)">
                  <c:v>15.844</c:v>
                </c:pt>
                <c:pt idx="474" c:formatCode="0.00_);[Red]\(0.00\)">
                  <c:v>15.878</c:v>
                </c:pt>
                <c:pt idx="475" c:formatCode="0.00_);[Red]\(0.00\)">
                  <c:v>15.911</c:v>
                </c:pt>
                <c:pt idx="476" c:formatCode="0.00_);[Red]\(0.00\)">
                  <c:v>15.944</c:v>
                </c:pt>
                <c:pt idx="477" c:formatCode="0.00_);[Red]\(0.00\)">
                  <c:v>15.978</c:v>
                </c:pt>
                <c:pt idx="478" c:formatCode="0.00_);[Red]\(0.00\)">
                  <c:v>16.011</c:v>
                </c:pt>
                <c:pt idx="479" c:formatCode="0.00_);[Red]\(0.00\)">
                  <c:v>16.045</c:v>
                </c:pt>
                <c:pt idx="480" c:formatCode="0.00_);[Red]\(0.00\)">
                  <c:v>16.078</c:v>
                </c:pt>
                <c:pt idx="481" c:formatCode="0.00_);[Red]\(0.00\)">
                  <c:v>16.112</c:v>
                </c:pt>
                <c:pt idx="482" c:formatCode="0.00_);[Red]\(0.00\)">
                  <c:v>16.145</c:v>
                </c:pt>
                <c:pt idx="483" c:formatCode="0.00_);[Red]\(0.00\)">
                  <c:v>16.178</c:v>
                </c:pt>
                <c:pt idx="484" c:formatCode="0.00_);[Red]\(0.00\)">
                  <c:v>16.212</c:v>
                </c:pt>
                <c:pt idx="485" c:formatCode="0.00_);[Red]\(0.00\)">
                  <c:v>16.245</c:v>
                </c:pt>
                <c:pt idx="486" c:formatCode="0.00_);[Red]\(0.00\)">
                  <c:v>16.279</c:v>
                </c:pt>
                <c:pt idx="487" c:formatCode="0.00_);[Red]\(0.00\)">
                  <c:v>16.312</c:v>
                </c:pt>
                <c:pt idx="488" c:formatCode="0.00_);[Red]\(0.00\)">
                  <c:v>16.346</c:v>
                </c:pt>
                <c:pt idx="489" c:formatCode="0.00_);[Red]\(0.00\)">
                  <c:v>16.379</c:v>
                </c:pt>
                <c:pt idx="490" c:formatCode="0.00_);[Red]\(0.00\)">
                  <c:v>16.412</c:v>
                </c:pt>
                <c:pt idx="491" c:formatCode="0.00_);[Red]\(0.00\)">
                  <c:v>16.446</c:v>
                </c:pt>
                <c:pt idx="492" c:formatCode="0.00_);[Red]\(0.00\)">
                  <c:v>16.479</c:v>
                </c:pt>
                <c:pt idx="493" c:formatCode="0.00_);[Red]\(0.00\)">
                  <c:v>16.513</c:v>
                </c:pt>
                <c:pt idx="494" c:formatCode="0.00_);[Red]\(0.00\)">
                  <c:v>16.546</c:v>
                </c:pt>
                <c:pt idx="495" c:formatCode="0.00_);[Red]\(0.00\)">
                  <c:v>16.58</c:v>
                </c:pt>
                <c:pt idx="496" c:formatCode="0.00_);[Red]\(0.00\)">
                  <c:v>16.613</c:v>
                </c:pt>
                <c:pt idx="497" c:formatCode="0.00_);[Red]\(0.00\)">
                  <c:v>16.646</c:v>
                </c:pt>
                <c:pt idx="498" c:formatCode="0.00_);[Red]\(0.00\)">
                  <c:v>16.68</c:v>
                </c:pt>
                <c:pt idx="499" c:formatCode="0.00_);[Red]\(0.00\)">
                  <c:v>16.713</c:v>
                </c:pt>
                <c:pt idx="500" c:formatCode="0.00_);[Red]\(0.00\)">
                  <c:v>16.747</c:v>
                </c:pt>
                <c:pt idx="501" c:formatCode="0.00_);[Red]\(0.00\)">
                  <c:v>16.78</c:v>
                </c:pt>
                <c:pt idx="502" c:formatCode="0.00_);[Red]\(0.00\)">
                  <c:v>16.814</c:v>
                </c:pt>
                <c:pt idx="503" c:formatCode="0.00_);[Red]\(0.00\)">
                  <c:v>16.847</c:v>
                </c:pt>
                <c:pt idx="504" c:formatCode="0.00_);[Red]\(0.00\)">
                  <c:v>16.88</c:v>
                </c:pt>
                <c:pt idx="505" c:formatCode="0.00_);[Red]\(0.00\)">
                  <c:v>16.914</c:v>
                </c:pt>
                <c:pt idx="506" c:formatCode="0.00_);[Red]\(0.00\)">
                  <c:v>16.947</c:v>
                </c:pt>
                <c:pt idx="507" c:formatCode="0.00_);[Red]\(0.00\)">
                  <c:v>16.981</c:v>
                </c:pt>
                <c:pt idx="508" c:formatCode="0.00_);[Red]\(0.00\)">
                  <c:v>17.014</c:v>
                </c:pt>
                <c:pt idx="509" c:formatCode="0.00_);[Red]\(0.00\)">
                  <c:v>17.048</c:v>
                </c:pt>
                <c:pt idx="510" c:formatCode="0.00_);[Red]\(0.00\)">
                  <c:v>17.081</c:v>
                </c:pt>
                <c:pt idx="511" c:formatCode="0.00_);[Red]\(0.00\)">
                  <c:v>17.114</c:v>
                </c:pt>
                <c:pt idx="512" c:formatCode="0.00_);[Red]\(0.00\)">
                  <c:v>17.148</c:v>
                </c:pt>
                <c:pt idx="513" c:formatCode="0.00_);[Red]\(0.00\)">
                  <c:v>17.181</c:v>
                </c:pt>
                <c:pt idx="514" c:formatCode="0.00_);[Red]\(0.00\)">
                  <c:v>17.215</c:v>
                </c:pt>
                <c:pt idx="515" c:formatCode="0.00_);[Red]\(0.00\)">
                  <c:v>17.248</c:v>
                </c:pt>
                <c:pt idx="516" c:formatCode="0.00_);[Red]\(0.00\)">
                  <c:v>17.282</c:v>
                </c:pt>
                <c:pt idx="517" c:formatCode="0.00_);[Red]\(0.00\)">
                  <c:v>17.315</c:v>
                </c:pt>
                <c:pt idx="518" c:formatCode="0.00_);[Red]\(0.00\)">
                  <c:v>17.348</c:v>
                </c:pt>
                <c:pt idx="519" c:formatCode="0.00_);[Red]\(0.00\)">
                  <c:v>17.382</c:v>
                </c:pt>
                <c:pt idx="520" c:formatCode="0.00_);[Red]\(0.00\)">
                  <c:v>17.415</c:v>
                </c:pt>
                <c:pt idx="521" c:formatCode="0.00_);[Red]\(0.00\)">
                  <c:v>17.449</c:v>
                </c:pt>
                <c:pt idx="522" c:formatCode="0.00_);[Red]\(0.00\)">
                  <c:v>17.482</c:v>
                </c:pt>
                <c:pt idx="523" c:formatCode="0.00_);[Red]\(0.00\)">
                  <c:v>17.516</c:v>
                </c:pt>
                <c:pt idx="524" c:formatCode="0.00_);[Red]\(0.00\)">
                  <c:v>17.549</c:v>
                </c:pt>
                <c:pt idx="525" c:formatCode="0.00_);[Red]\(0.00\)">
                  <c:v>17.582</c:v>
                </c:pt>
                <c:pt idx="526" c:formatCode="0.00_);[Red]\(0.00\)">
                  <c:v>17.616</c:v>
                </c:pt>
                <c:pt idx="527" c:formatCode="0.00_);[Red]\(0.00\)">
                  <c:v>17.649</c:v>
                </c:pt>
                <c:pt idx="528" c:formatCode="0.00_);[Red]\(0.00\)">
                  <c:v>17.683</c:v>
                </c:pt>
                <c:pt idx="529" c:formatCode="0.00_);[Red]\(0.00\)">
                  <c:v>17.716</c:v>
                </c:pt>
                <c:pt idx="530" c:formatCode="0.00_);[Red]\(0.00\)">
                  <c:v>17.75</c:v>
                </c:pt>
                <c:pt idx="531" c:formatCode="0.00_);[Red]\(0.00\)">
                  <c:v>17.783</c:v>
                </c:pt>
                <c:pt idx="532" c:formatCode="0.00_);[Red]\(0.00\)">
                  <c:v>17.816</c:v>
                </c:pt>
                <c:pt idx="533" c:formatCode="0.00_);[Red]\(0.00\)">
                  <c:v>17.85</c:v>
                </c:pt>
                <c:pt idx="534" c:formatCode="0.00_);[Red]\(0.00\)">
                  <c:v>17.883</c:v>
                </c:pt>
                <c:pt idx="535" c:formatCode="0.00_);[Red]\(0.00\)">
                  <c:v>17.917</c:v>
                </c:pt>
                <c:pt idx="536" c:formatCode="0.00_);[Red]\(0.00\)">
                  <c:v>17.95</c:v>
                </c:pt>
                <c:pt idx="537" c:formatCode="0.00_);[Red]\(0.00\)">
                  <c:v>17.984</c:v>
                </c:pt>
                <c:pt idx="538" c:formatCode="0.00_);[Red]\(0.00\)">
                  <c:v>18.017</c:v>
                </c:pt>
                <c:pt idx="539" c:formatCode="0.00_);[Red]\(0.00\)">
                  <c:v>18.05</c:v>
                </c:pt>
                <c:pt idx="540" c:formatCode="0.00_);[Red]\(0.00\)">
                  <c:v>18.084</c:v>
                </c:pt>
                <c:pt idx="541" c:formatCode="0.00_);[Red]\(0.00\)">
                  <c:v>18.117</c:v>
                </c:pt>
                <c:pt idx="542" c:formatCode="0.00_);[Red]\(0.00\)">
                  <c:v>18.151</c:v>
                </c:pt>
                <c:pt idx="543" c:formatCode="0.00_);[Red]\(0.00\)">
                  <c:v>18.184</c:v>
                </c:pt>
                <c:pt idx="544" c:formatCode="0.00_);[Red]\(0.00\)">
                  <c:v>18.217</c:v>
                </c:pt>
                <c:pt idx="545" c:formatCode="0.00_);[Red]\(0.00\)">
                  <c:v>18.251</c:v>
                </c:pt>
                <c:pt idx="546" c:formatCode="0.00_);[Red]\(0.00\)">
                  <c:v>18.284</c:v>
                </c:pt>
                <c:pt idx="547" c:formatCode="0.00_);[Red]\(0.00\)">
                  <c:v>18.318</c:v>
                </c:pt>
                <c:pt idx="548" c:formatCode="0.00_);[Red]\(0.00\)">
                  <c:v>18.351</c:v>
                </c:pt>
                <c:pt idx="549" c:formatCode="0.00_);[Red]\(0.00\)">
                  <c:v>18.385</c:v>
                </c:pt>
                <c:pt idx="550" c:formatCode="0.00_);[Red]\(0.00\)">
                  <c:v>18.418</c:v>
                </c:pt>
                <c:pt idx="551" c:formatCode="0.00_);[Red]\(0.00\)">
                  <c:v>18.451</c:v>
                </c:pt>
                <c:pt idx="552" c:formatCode="0.00_);[Red]\(0.00\)">
                  <c:v>18.485</c:v>
                </c:pt>
                <c:pt idx="553" c:formatCode="0.00_);[Red]\(0.00\)">
                  <c:v>18.518</c:v>
                </c:pt>
                <c:pt idx="554" c:formatCode="0.00_);[Red]\(0.00\)">
                  <c:v>18.552</c:v>
                </c:pt>
                <c:pt idx="555" c:formatCode="0.00_);[Red]\(0.00\)">
                  <c:v>18.585</c:v>
                </c:pt>
                <c:pt idx="556" c:formatCode="0.00_);[Red]\(0.00\)">
                  <c:v>18.619</c:v>
                </c:pt>
                <c:pt idx="557" c:formatCode="0.00_);[Red]\(0.00\)">
                  <c:v>18.652</c:v>
                </c:pt>
                <c:pt idx="558" c:formatCode="0.00_);[Red]\(0.00\)">
                  <c:v>18.685</c:v>
                </c:pt>
                <c:pt idx="559" c:formatCode="0.00_);[Red]\(0.00\)">
                  <c:v>18.719</c:v>
                </c:pt>
                <c:pt idx="560" c:formatCode="0.00_);[Red]\(0.00\)">
                  <c:v>18.752</c:v>
                </c:pt>
                <c:pt idx="561" c:formatCode="0.00_);[Red]\(0.00\)">
                  <c:v>18.786</c:v>
                </c:pt>
                <c:pt idx="562" c:formatCode="0.00_);[Red]\(0.00\)">
                  <c:v>18.819</c:v>
                </c:pt>
                <c:pt idx="563" c:formatCode="0.00_);[Red]\(0.00\)">
                  <c:v>18.853</c:v>
                </c:pt>
                <c:pt idx="564" c:formatCode="0.00_);[Red]\(0.00\)">
                  <c:v>18.886</c:v>
                </c:pt>
                <c:pt idx="565" c:formatCode="0.00_);[Red]\(0.00\)">
                  <c:v>18.919</c:v>
                </c:pt>
                <c:pt idx="566" c:formatCode="0.00_);[Red]\(0.00\)">
                  <c:v>18.953</c:v>
                </c:pt>
                <c:pt idx="567" c:formatCode="0.00_);[Red]\(0.00\)">
                  <c:v>18.986</c:v>
                </c:pt>
                <c:pt idx="568" c:formatCode="0.00_);[Red]\(0.00\)">
                  <c:v>19.02</c:v>
                </c:pt>
                <c:pt idx="569" c:formatCode="0.00_);[Red]\(0.00\)">
                  <c:v>19.053</c:v>
                </c:pt>
                <c:pt idx="570" c:formatCode="0.00_);[Red]\(0.00\)">
                  <c:v>19.087</c:v>
                </c:pt>
                <c:pt idx="571" c:formatCode="0.00_);[Red]\(0.00\)">
                  <c:v>19.12</c:v>
                </c:pt>
                <c:pt idx="572" c:formatCode="0.00_);[Red]\(0.00\)">
                  <c:v>19.153</c:v>
                </c:pt>
                <c:pt idx="573" c:formatCode="0.00_);[Red]\(0.00\)">
                  <c:v>19.187</c:v>
                </c:pt>
                <c:pt idx="574" c:formatCode="0.00_);[Red]\(0.00\)">
                  <c:v>19.22</c:v>
                </c:pt>
                <c:pt idx="575" c:formatCode="0.00_);[Red]\(0.00\)">
                  <c:v>19.254</c:v>
                </c:pt>
                <c:pt idx="576" c:formatCode="0.00_);[Red]\(0.00\)">
                  <c:v>19.287</c:v>
                </c:pt>
                <c:pt idx="577" c:formatCode="0.00_);[Red]\(0.00\)">
                  <c:v>19.321</c:v>
                </c:pt>
                <c:pt idx="578" c:formatCode="0.00_);[Red]\(0.00\)">
                  <c:v>19.354</c:v>
                </c:pt>
                <c:pt idx="579" c:formatCode="0.00_);[Red]\(0.00\)">
                  <c:v>19.387</c:v>
                </c:pt>
                <c:pt idx="580" c:formatCode="0.00_);[Red]\(0.00\)">
                  <c:v>19.421</c:v>
                </c:pt>
                <c:pt idx="581" c:formatCode="0.00_);[Red]\(0.00\)">
                  <c:v>19.454</c:v>
                </c:pt>
                <c:pt idx="582" c:formatCode="0.00_);[Red]\(0.00\)">
                  <c:v>19.488</c:v>
                </c:pt>
                <c:pt idx="583" c:formatCode="0.00_);[Red]\(0.00\)">
                  <c:v>19.521</c:v>
                </c:pt>
                <c:pt idx="584" c:formatCode="0.00_);[Red]\(0.00\)">
                  <c:v>19.555</c:v>
                </c:pt>
                <c:pt idx="585" c:formatCode="0.00_);[Red]\(0.00\)">
                  <c:v>19.588</c:v>
                </c:pt>
                <c:pt idx="586" c:formatCode="0.00_);[Red]\(0.00\)">
                  <c:v>19.621</c:v>
                </c:pt>
                <c:pt idx="587" c:formatCode="0.00_);[Red]\(0.00\)">
                  <c:v>19.655</c:v>
                </c:pt>
                <c:pt idx="588" c:formatCode="0.00_);[Red]\(0.00\)">
                  <c:v>19.688</c:v>
                </c:pt>
                <c:pt idx="589" c:formatCode="0.00_);[Red]\(0.00\)">
                  <c:v>19.722</c:v>
                </c:pt>
                <c:pt idx="590" c:formatCode="0.00_);[Red]\(0.00\)">
                  <c:v>19.755</c:v>
                </c:pt>
                <c:pt idx="591" c:formatCode="0.00_);[Red]\(0.00\)">
                  <c:v>19.789</c:v>
                </c:pt>
                <c:pt idx="592" c:formatCode="0.00_);[Red]\(0.00\)">
                  <c:v>19.822</c:v>
                </c:pt>
                <c:pt idx="593" c:formatCode="0.00_);[Red]\(0.00\)">
                  <c:v>19.855</c:v>
                </c:pt>
                <c:pt idx="594" c:formatCode="0.00_);[Red]\(0.00\)">
                  <c:v>19.889</c:v>
                </c:pt>
                <c:pt idx="595" c:formatCode="0.00_);[Red]\(0.00\)">
                  <c:v>19.922</c:v>
                </c:pt>
                <c:pt idx="596" c:formatCode="0.00_);[Red]\(0.00\)">
                  <c:v>19.956</c:v>
                </c:pt>
                <c:pt idx="597" c:formatCode="0.00_);[Red]\(0.00\)">
                  <c:v>19.989</c:v>
                </c:pt>
                <c:pt idx="598" c:formatCode="0.00_);[Red]\(0.00\)">
                  <c:v>20.023</c:v>
                </c:pt>
                <c:pt idx="599" c:formatCode="0.00_);[Red]\(0.00\)">
                  <c:v>20.056</c:v>
                </c:pt>
                <c:pt idx="600" c:formatCode="0.00_);[Red]\(0.00\)">
                  <c:v>20.089</c:v>
                </c:pt>
                <c:pt idx="601" c:formatCode="0.00_);[Red]\(0.00\)">
                  <c:v>20.123</c:v>
                </c:pt>
                <c:pt idx="602" c:formatCode="0.00_);[Red]\(0.00\)">
                  <c:v>20.156</c:v>
                </c:pt>
                <c:pt idx="603" c:formatCode="0.00_);[Red]\(0.00\)">
                  <c:v>20.19</c:v>
                </c:pt>
                <c:pt idx="604" c:formatCode="0.00_);[Red]\(0.00\)">
                  <c:v>20.223</c:v>
                </c:pt>
                <c:pt idx="605" c:formatCode="0.00_);[Red]\(0.00\)">
                  <c:v>20.257</c:v>
                </c:pt>
                <c:pt idx="606" c:formatCode="0.00_);[Red]\(0.00\)">
                  <c:v>20.29</c:v>
                </c:pt>
                <c:pt idx="607" c:formatCode="0.00_);[Red]\(0.00\)">
                  <c:v>20.323</c:v>
                </c:pt>
                <c:pt idx="608" c:formatCode="0.00_);[Red]\(0.00\)">
                  <c:v>20.357</c:v>
                </c:pt>
                <c:pt idx="609" c:formatCode="0.00_);[Red]\(0.00\)">
                  <c:v>20.39</c:v>
                </c:pt>
                <c:pt idx="610" c:formatCode="0.00_);[Red]\(0.00\)">
                  <c:v>20.424</c:v>
                </c:pt>
                <c:pt idx="611" c:formatCode="0.00_);[Red]\(0.00\)">
                  <c:v>20.457</c:v>
                </c:pt>
                <c:pt idx="612" c:formatCode="0.00_);[Red]\(0.00\)">
                  <c:v>20.491</c:v>
                </c:pt>
                <c:pt idx="613" c:formatCode="0.00_);[Red]\(0.00\)">
                  <c:v>20.524</c:v>
                </c:pt>
                <c:pt idx="614" c:formatCode="0.00_);[Red]\(0.00\)">
                  <c:v>20.557</c:v>
                </c:pt>
                <c:pt idx="615" c:formatCode="0.00_);[Red]\(0.00\)">
                  <c:v>20.591</c:v>
                </c:pt>
                <c:pt idx="616" c:formatCode="0.00_);[Red]\(0.00\)">
                  <c:v>20.624</c:v>
                </c:pt>
                <c:pt idx="617" c:formatCode="0.00_);[Red]\(0.00\)">
                  <c:v>20.658</c:v>
                </c:pt>
                <c:pt idx="618" c:formatCode="0.00_);[Red]\(0.00\)">
                  <c:v>20.691</c:v>
                </c:pt>
                <c:pt idx="619" c:formatCode="0.00_);[Red]\(0.00\)">
                  <c:v>20.724</c:v>
                </c:pt>
                <c:pt idx="620" c:formatCode="0.00_);[Red]\(0.00\)">
                  <c:v>20.758</c:v>
                </c:pt>
                <c:pt idx="621" c:formatCode="0.00_);[Red]\(0.00\)">
                  <c:v>20.791</c:v>
                </c:pt>
                <c:pt idx="622" c:formatCode="0.00_);[Red]\(0.00\)">
                  <c:v>20.825</c:v>
                </c:pt>
                <c:pt idx="623" c:formatCode="0.00_);[Red]\(0.00\)">
                  <c:v>20.858</c:v>
                </c:pt>
                <c:pt idx="624" c:formatCode="0.00_);[Red]\(0.00\)">
                  <c:v>20.892</c:v>
                </c:pt>
                <c:pt idx="625" c:formatCode="0.00_);[Red]\(0.00\)">
                  <c:v>20.925</c:v>
                </c:pt>
                <c:pt idx="626" c:formatCode="0.00_);[Red]\(0.00\)">
                  <c:v>20.958</c:v>
                </c:pt>
                <c:pt idx="627" c:formatCode="0.00_);[Red]\(0.00\)">
                  <c:v>20.992</c:v>
                </c:pt>
                <c:pt idx="628" c:formatCode="0.00_);[Red]\(0.00\)">
                  <c:v>21.025</c:v>
                </c:pt>
                <c:pt idx="629" c:formatCode="0.00_);[Red]\(0.00\)">
                  <c:v>21.059</c:v>
                </c:pt>
                <c:pt idx="630" c:formatCode="0.00_);[Red]\(0.00\)">
                  <c:v>21.092</c:v>
                </c:pt>
                <c:pt idx="631" c:formatCode="0.00_);[Red]\(0.00\)">
                  <c:v>21.126</c:v>
                </c:pt>
                <c:pt idx="632" c:formatCode="0.00_);[Red]\(0.00\)">
                  <c:v>21.159</c:v>
                </c:pt>
                <c:pt idx="633" c:formatCode="0.00_);[Red]\(0.00\)">
                  <c:v>21.192</c:v>
                </c:pt>
                <c:pt idx="634" c:formatCode="0.00_);[Red]\(0.00\)">
                  <c:v>21.226</c:v>
                </c:pt>
                <c:pt idx="635" c:formatCode="0.00_);[Red]\(0.00\)">
                  <c:v>21.259</c:v>
                </c:pt>
                <c:pt idx="636" c:formatCode="0.00_);[Red]\(0.00\)">
                  <c:v>21.293</c:v>
                </c:pt>
                <c:pt idx="637" c:formatCode="0.00_);[Red]\(0.00\)">
                  <c:v>21.326</c:v>
                </c:pt>
                <c:pt idx="638" c:formatCode="0.00_);[Red]\(0.00\)">
                  <c:v>21.36</c:v>
                </c:pt>
                <c:pt idx="639" c:formatCode="0.00_);[Red]\(0.00\)">
                  <c:v>21.393</c:v>
                </c:pt>
                <c:pt idx="640" c:formatCode="0.00_);[Red]\(0.00\)">
                  <c:v>21.426</c:v>
                </c:pt>
                <c:pt idx="641" c:formatCode="0.00_);[Red]\(0.00\)">
                  <c:v>21.46</c:v>
                </c:pt>
                <c:pt idx="642" c:formatCode="0.00_);[Red]\(0.00\)">
                  <c:v>21.493</c:v>
                </c:pt>
                <c:pt idx="643" c:formatCode="0.00_);[Red]\(0.00\)">
                  <c:v>21.527</c:v>
                </c:pt>
                <c:pt idx="644" c:formatCode="0.00_);[Red]\(0.00\)">
                  <c:v>21.56</c:v>
                </c:pt>
                <c:pt idx="645" c:formatCode="0.00_);[Red]\(0.00\)">
                  <c:v>21.594</c:v>
                </c:pt>
                <c:pt idx="646" c:formatCode="0.00_);[Red]\(0.00\)">
                  <c:v>21.627</c:v>
                </c:pt>
                <c:pt idx="647" c:formatCode="0.00_);[Red]\(0.00\)">
                  <c:v>21.66</c:v>
                </c:pt>
                <c:pt idx="648" c:formatCode="0.00_);[Red]\(0.00\)">
                  <c:v>21.694</c:v>
                </c:pt>
                <c:pt idx="649" c:formatCode="0.00_);[Red]\(0.00\)">
                  <c:v>21.727</c:v>
                </c:pt>
                <c:pt idx="650" c:formatCode="0.00_);[Red]\(0.00\)">
                  <c:v>21.761</c:v>
                </c:pt>
                <c:pt idx="651" c:formatCode="0.00_);[Red]\(0.00\)">
                  <c:v>21.794</c:v>
                </c:pt>
                <c:pt idx="652" c:formatCode="0.00_);[Red]\(0.00\)">
                  <c:v>21.828</c:v>
                </c:pt>
                <c:pt idx="653" c:formatCode="0.00_);[Red]\(0.00\)">
                  <c:v>21.861</c:v>
                </c:pt>
                <c:pt idx="654" c:formatCode="0.00_);[Red]\(0.00\)">
                  <c:v>21.894</c:v>
                </c:pt>
                <c:pt idx="655" c:formatCode="0.00_);[Red]\(0.00\)">
                  <c:v>21.928</c:v>
                </c:pt>
                <c:pt idx="656" c:formatCode="0.00_);[Red]\(0.00\)">
                  <c:v>21.961</c:v>
                </c:pt>
                <c:pt idx="657" c:formatCode="0.00_);[Red]\(0.00\)">
                  <c:v>21.995</c:v>
                </c:pt>
                <c:pt idx="658" c:formatCode="0.00_);[Red]\(0.00\)">
                  <c:v>22.028</c:v>
                </c:pt>
                <c:pt idx="659" c:formatCode="0.00_);[Red]\(0.00\)">
                  <c:v>22.062</c:v>
                </c:pt>
                <c:pt idx="660" c:formatCode="0.00_);[Red]\(0.00\)">
                  <c:v>22.095</c:v>
                </c:pt>
                <c:pt idx="661" c:formatCode="0.00_);[Red]\(0.00\)">
                  <c:v>22.128</c:v>
                </c:pt>
                <c:pt idx="662" c:formatCode="0.00_);[Red]\(0.00\)">
                  <c:v>22.162</c:v>
                </c:pt>
                <c:pt idx="663" c:formatCode="0.00_);[Red]\(0.00\)">
                  <c:v>22.195</c:v>
                </c:pt>
                <c:pt idx="664" c:formatCode="0.00_);[Red]\(0.00\)">
                  <c:v>22.229</c:v>
                </c:pt>
                <c:pt idx="665" c:formatCode="0.00_);[Red]\(0.00\)">
                  <c:v>22.262</c:v>
                </c:pt>
                <c:pt idx="666" c:formatCode="0.00_);[Red]\(0.00\)">
                  <c:v>22.296</c:v>
                </c:pt>
                <c:pt idx="667" c:formatCode="0.00_);[Red]\(0.00\)">
                  <c:v>22.329</c:v>
                </c:pt>
                <c:pt idx="668" c:formatCode="0.00_);[Red]\(0.00\)">
                  <c:v>22.362</c:v>
                </c:pt>
                <c:pt idx="669" c:formatCode="0.00_);[Red]\(0.00\)">
                  <c:v>22.396</c:v>
                </c:pt>
                <c:pt idx="670" c:formatCode="0.00_);[Red]\(0.00\)">
                  <c:v>22.429</c:v>
                </c:pt>
                <c:pt idx="671" c:formatCode="0.00_);[Red]\(0.00\)">
                  <c:v>22.463</c:v>
                </c:pt>
                <c:pt idx="672" c:formatCode="0.00_);[Red]\(0.00\)">
                  <c:v>22.496</c:v>
                </c:pt>
                <c:pt idx="673" c:formatCode="0.00_);[Red]\(0.00\)">
                  <c:v>22.53</c:v>
                </c:pt>
                <c:pt idx="674" c:formatCode="0.00_);[Red]\(0.00\)">
                  <c:v>22.563</c:v>
                </c:pt>
                <c:pt idx="675" c:formatCode="0.00_);[Red]\(0.00\)">
                  <c:v>22.596</c:v>
                </c:pt>
                <c:pt idx="676" c:formatCode="0.00_);[Red]\(0.00\)">
                  <c:v>22.63</c:v>
                </c:pt>
                <c:pt idx="677" c:formatCode="0.00_);[Red]\(0.00\)">
                  <c:v>22.663</c:v>
                </c:pt>
                <c:pt idx="678" c:formatCode="0.00_);[Red]\(0.00\)">
                  <c:v>22.697</c:v>
                </c:pt>
                <c:pt idx="679" c:formatCode="0.00_);[Red]\(0.00\)">
                  <c:v>22.73</c:v>
                </c:pt>
                <c:pt idx="680" c:formatCode="0.00_);[Red]\(0.00\)">
                  <c:v>22.764</c:v>
                </c:pt>
                <c:pt idx="681" c:formatCode="0.00_);[Red]\(0.00\)">
                  <c:v>22.797</c:v>
                </c:pt>
                <c:pt idx="682" c:formatCode="0.00_);[Red]\(0.00\)">
                  <c:v>22.83</c:v>
                </c:pt>
                <c:pt idx="683" c:formatCode="0.00_);[Red]\(0.00\)">
                  <c:v>22.864</c:v>
                </c:pt>
                <c:pt idx="684" c:formatCode="0.00_);[Red]\(0.00\)">
                  <c:v>22.897</c:v>
                </c:pt>
                <c:pt idx="685" c:formatCode="0.00_);[Red]\(0.00\)">
                  <c:v>22.931</c:v>
                </c:pt>
                <c:pt idx="686" c:formatCode="0.00_);[Red]\(0.00\)">
                  <c:v>22.964</c:v>
                </c:pt>
                <c:pt idx="687" c:formatCode="0.00_);[Red]\(0.00\)">
                  <c:v>22.998</c:v>
                </c:pt>
                <c:pt idx="688" c:formatCode="0.00_);[Red]\(0.00\)">
                  <c:v>23.031</c:v>
                </c:pt>
                <c:pt idx="689" c:formatCode="0.00_);[Red]\(0.00\)">
                  <c:v>23.064</c:v>
                </c:pt>
                <c:pt idx="690" c:formatCode="0.00_);[Red]\(0.00\)">
                  <c:v>23.098</c:v>
                </c:pt>
                <c:pt idx="691" c:formatCode="0.00_);[Red]\(0.00\)">
                  <c:v>23.131</c:v>
                </c:pt>
                <c:pt idx="692" c:formatCode="0.00_);[Red]\(0.00\)">
                  <c:v>23.165</c:v>
                </c:pt>
                <c:pt idx="693" c:formatCode="0.00_);[Red]\(0.00\)">
                  <c:v>23.198</c:v>
                </c:pt>
                <c:pt idx="694" c:formatCode="0.00_);[Red]\(0.00\)">
                  <c:v>23.231</c:v>
                </c:pt>
                <c:pt idx="695" c:formatCode="0.00_);[Red]\(0.00\)">
                  <c:v>23.265</c:v>
                </c:pt>
                <c:pt idx="696" c:formatCode="0.00_);[Red]\(0.00\)">
                  <c:v>23.298</c:v>
                </c:pt>
                <c:pt idx="697" c:formatCode="0.00_);[Red]\(0.00\)">
                  <c:v>23.332</c:v>
                </c:pt>
                <c:pt idx="698" c:formatCode="0.00_);[Red]\(0.00\)">
                  <c:v>23.365</c:v>
                </c:pt>
                <c:pt idx="699" c:formatCode="0.00_);[Red]\(0.00\)">
                  <c:v>23.399</c:v>
                </c:pt>
                <c:pt idx="700" c:formatCode="0.00_);[Red]\(0.00\)">
                  <c:v>23.432</c:v>
                </c:pt>
                <c:pt idx="701" c:formatCode="0.00_);[Red]\(0.00\)">
                  <c:v>23.465</c:v>
                </c:pt>
                <c:pt idx="702" c:formatCode="0.00_);[Red]\(0.00\)">
                  <c:v>23.499</c:v>
                </c:pt>
                <c:pt idx="703" c:formatCode="0.00_);[Red]\(0.00\)">
                  <c:v>23.532</c:v>
                </c:pt>
                <c:pt idx="704" c:formatCode="0.00_);[Red]\(0.00\)">
                  <c:v>23.566</c:v>
                </c:pt>
                <c:pt idx="705" c:formatCode="0.00_);[Red]\(0.00\)">
                  <c:v>23.599</c:v>
                </c:pt>
                <c:pt idx="706" c:formatCode="0.00_);[Red]\(0.00\)">
                  <c:v>23.633</c:v>
                </c:pt>
                <c:pt idx="707" c:formatCode="0.00_);[Red]\(0.00\)">
                  <c:v>23.666</c:v>
                </c:pt>
                <c:pt idx="708" c:formatCode="0.00_);[Red]\(0.00\)">
                  <c:v>23.699</c:v>
                </c:pt>
                <c:pt idx="709" c:formatCode="0.00_);[Red]\(0.00\)">
                  <c:v>23.733</c:v>
                </c:pt>
                <c:pt idx="710" c:formatCode="0.00_);[Red]\(0.00\)">
                  <c:v>23.766</c:v>
                </c:pt>
                <c:pt idx="711" c:formatCode="0.00_);[Red]\(0.00\)">
                  <c:v>23.8</c:v>
                </c:pt>
                <c:pt idx="712" c:formatCode="0.00_);[Red]\(0.00\)">
                  <c:v>23.833</c:v>
                </c:pt>
                <c:pt idx="713" c:formatCode="0.00_);[Red]\(0.00\)">
                  <c:v>23.867</c:v>
                </c:pt>
                <c:pt idx="714" c:formatCode="0.00_);[Red]\(0.00\)">
                  <c:v>23.9</c:v>
                </c:pt>
                <c:pt idx="715" c:formatCode="0.00_);[Red]\(0.00\)">
                  <c:v>23.933</c:v>
                </c:pt>
                <c:pt idx="716" c:formatCode="0.00_);[Red]\(0.00\)">
                  <c:v>23.967</c:v>
                </c:pt>
                <c:pt idx="717" c:formatCode="0.00_);[Red]\(0.00\)">
                  <c:v>24</c:v>
                </c:pt>
                <c:pt idx="718" c:formatCode="0.00_);[Red]\(0.00\)">
                  <c:v>24.034</c:v>
                </c:pt>
                <c:pt idx="719" c:formatCode="0.00_);[Red]\(0.00\)">
                  <c:v>24.067</c:v>
                </c:pt>
                <c:pt idx="720" c:formatCode="0.00_);[Red]\(0.00\)">
                  <c:v>24.101</c:v>
                </c:pt>
                <c:pt idx="721" c:formatCode="0.00_);[Red]\(0.00\)">
                  <c:v>24.134</c:v>
                </c:pt>
                <c:pt idx="722" c:formatCode="0.00_);[Red]\(0.00\)">
                  <c:v>24.167</c:v>
                </c:pt>
                <c:pt idx="723" c:formatCode="0.00_);[Red]\(0.00\)">
                  <c:v>24.201</c:v>
                </c:pt>
                <c:pt idx="724" c:formatCode="0.00_);[Red]\(0.00\)">
                  <c:v>24.234</c:v>
                </c:pt>
                <c:pt idx="725" c:formatCode="0.00_);[Red]\(0.00\)">
                  <c:v>24.268</c:v>
                </c:pt>
                <c:pt idx="726" c:formatCode="0.00_);[Red]\(0.00\)">
                  <c:v>24.301</c:v>
                </c:pt>
                <c:pt idx="727" c:formatCode="0.00_);[Red]\(0.00\)">
                  <c:v>24.335</c:v>
                </c:pt>
                <c:pt idx="728" c:formatCode="0.00_);[Red]\(0.00\)">
                  <c:v>24.368</c:v>
                </c:pt>
                <c:pt idx="729" c:formatCode="0.00_);[Red]\(0.00\)">
                  <c:v>24.401</c:v>
                </c:pt>
                <c:pt idx="730" c:formatCode="0.00_);[Red]\(0.00\)">
                  <c:v>24.435</c:v>
                </c:pt>
                <c:pt idx="731" c:formatCode="0.00_);[Red]\(0.00\)">
                  <c:v>24.468</c:v>
                </c:pt>
                <c:pt idx="732" c:formatCode="0.00_);[Red]\(0.00\)">
                  <c:v>24.502</c:v>
                </c:pt>
                <c:pt idx="733" c:formatCode="0.00_);[Red]\(0.00\)">
                  <c:v>24.535</c:v>
                </c:pt>
                <c:pt idx="734" c:formatCode="0.00_);[Red]\(0.00\)">
                  <c:v>24.569</c:v>
                </c:pt>
                <c:pt idx="735" c:formatCode="0.00_);[Red]\(0.00\)">
                  <c:v>24.602</c:v>
                </c:pt>
                <c:pt idx="736" c:formatCode="0.00_);[Red]\(0.00\)">
                  <c:v>24.635</c:v>
                </c:pt>
                <c:pt idx="737" c:formatCode="0.00_);[Red]\(0.00\)">
                  <c:v>24.669</c:v>
                </c:pt>
                <c:pt idx="738" c:formatCode="0.00_);[Red]\(0.00\)">
                  <c:v>24.702</c:v>
                </c:pt>
                <c:pt idx="739" c:formatCode="0.00_);[Red]\(0.00\)">
                  <c:v>24.736</c:v>
                </c:pt>
                <c:pt idx="740" c:formatCode="0.00_);[Red]\(0.00\)">
                  <c:v>24.769</c:v>
                </c:pt>
                <c:pt idx="741" c:formatCode="0.00_);[Red]\(0.00\)">
                  <c:v>24.803</c:v>
                </c:pt>
                <c:pt idx="742" c:formatCode="0.00_);[Red]\(0.00\)">
                  <c:v>24.836</c:v>
                </c:pt>
                <c:pt idx="743" c:formatCode="0.00_);[Red]\(0.00\)">
                  <c:v>24.869</c:v>
                </c:pt>
                <c:pt idx="744" c:formatCode="0.00_);[Red]\(0.00\)">
                  <c:v>24.903</c:v>
                </c:pt>
                <c:pt idx="745" c:formatCode="0.00_);[Red]\(0.00\)">
                  <c:v>24.936</c:v>
                </c:pt>
                <c:pt idx="746" c:formatCode="0.00_);[Red]\(0.00\)">
                  <c:v>24.97</c:v>
                </c:pt>
                <c:pt idx="747" c:formatCode="0.00_);[Red]\(0.00\)">
                  <c:v>25.003</c:v>
                </c:pt>
                <c:pt idx="748" c:formatCode="0.00_);[Red]\(0.00\)">
                  <c:v>25.037</c:v>
                </c:pt>
                <c:pt idx="749" c:formatCode="0.00_);[Red]\(0.00\)">
                  <c:v>25.07</c:v>
                </c:pt>
                <c:pt idx="750" c:formatCode="0.00_);[Red]\(0.00\)">
                  <c:v>25.103</c:v>
                </c:pt>
                <c:pt idx="751" c:formatCode="0.00_);[Red]\(0.00\)">
                  <c:v>25.137</c:v>
                </c:pt>
                <c:pt idx="752" c:formatCode="0.00_);[Red]\(0.00\)">
                  <c:v>25.17</c:v>
                </c:pt>
                <c:pt idx="753" c:formatCode="0.00_);[Red]\(0.00\)">
                  <c:v>25.204</c:v>
                </c:pt>
                <c:pt idx="754" c:formatCode="0.00_);[Red]\(0.00\)">
                  <c:v>25.237</c:v>
                </c:pt>
                <c:pt idx="755" c:formatCode="0.00_);[Red]\(0.00\)">
                  <c:v>25.271</c:v>
                </c:pt>
                <c:pt idx="756" c:formatCode="0.00_);[Red]\(0.00\)">
                  <c:v>25.304</c:v>
                </c:pt>
                <c:pt idx="757" c:formatCode="0.00_);[Red]\(0.00\)">
                  <c:v>25.337</c:v>
                </c:pt>
                <c:pt idx="758" c:formatCode="0.00_);[Red]\(0.00\)">
                  <c:v>25.371</c:v>
                </c:pt>
                <c:pt idx="759" c:formatCode="0.00_);[Red]\(0.00\)">
                  <c:v>25.404</c:v>
                </c:pt>
                <c:pt idx="760" c:formatCode="0.00_);[Red]\(0.00\)">
                  <c:v>25.438</c:v>
                </c:pt>
                <c:pt idx="761" c:formatCode="0.00_);[Red]\(0.00\)">
                  <c:v>25.471</c:v>
                </c:pt>
                <c:pt idx="762" c:formatCode="0.00_);[Red]\(0.00\)">
                  <c:v>25.504</c:v>
                </c:pt>
                <c:pt idx="763" c:formatCode="0.00_);[Red]\(0.00\)">
                  <c:v>25.538</c:v>
                </c:pt>
                <c:pt idx="764" c:formatCode="0.00_);[Red]\(0.00\)">
                  <c:v>25.571</c:v>
                </c:pt>
                <c:pt idx="765" c:formatCode="0.00_);[Red]\(0.00\)">
                  <c:v>25.605</c:v>
                </c:pt>
                <c:pt idx="766" c:formatCode="0.00_);[Red]\(0.00\)">
                  <c:v>25.638</c:v>
                </c:pt>
                <c:pt idx="767" c:formatCode="0.00_);[Red]\(0.00\)">
                  <c:v>25.672</c:v>
                </c:pt>
                <c:pt idx="768" c:formatCode="0.00_);[Red]\(0.00\)">
                  <c:v>25.705</c:v>
                </c:pt>
                <c:pt idx="769" c:formatCode="0.00_);[Red]\(0.00\)">
                  <c:v>25.738</c:v>
                </c:pt>
                <c:pt idx="770" c:formatCode="0.00_);[Red]\(0.00\)">
                  <c:v>25.772</c:v>
                </c:pt>
                <c:pt idx="771" c:formatCode="0.00_);[Red]\(0.00\)">
                  <c:v>25.805</c:v>
                </c:pt>
                <c:pt idx="772" c:formatCode="0.00_);[Red]\(0.00\)">
                  <c:v>25.839</c:v>
                </c:pt>
                <c:pt idx="773" c:formatCode="0.00_);[Red]\(0.00\)">
                  <c:v>25.872</c:v>
                </c:pt>
                <c:pt idx="774" c:formatCode="0.00_);[Red]\(0.00\)">
                  <c:v>25.906</c:v>
                </c:pt>
                <c:pt idx="775" c:formatCode="0.00_);[Red]\(0.00\)">
                  <c:v>25.939</c:v>
                </c:pt>
                <c:pt idx="776" c:formatCode="0.00_);[Red]\(0.00\)">
                  <c:v>25.972</c:v>
                </c:pt>
                <c:pt idx="777" c:formatCode="0.00_);[Red]\(0.00\)">
                  <c:v>26.006</c:v>
                </c:pt>
                <c:pt idx="778" c:formatCode="0.00_);[Red]\(0.00\)">
                  <c:v>26.039</c:v>
                </c:pt>
                <c:pt idx="779" c:formatCode="0.00_);[Red]\(0.00\)">
                  <c:v>26.073</c:v>
                </c:pt>
                <c:pt idx="780" c:formatCode="0.00_);[Red]\(0.00\)">
                  <c:v>26.106</c:v>
                </c:pt>
                <c:pt idx="781" c:formatCode="0.00_);[Red]\(0.00\)">
                  <c:v>26.14</c:v>
                </c:pt>
                <c:pt idx="782" c:formatCode="0.00_);[Red]\(0.00\)">
                  <c:v>26.173</c:v>
                </c:pt>
                <c:pt idx="783" c:formatCode="0.00_);[Red]\(0.00\)">
                  <c:v>26.206</c:v>
                </c:pt>
                <c:pt idx="784" c:formatCode="0.00_);[Red]\(0.00\)">
                  <c:v>26.24</c:v>
                </c:pt>
                <c:pt idx="785" c:formatCode="0.00_);[Red]\(0.00\)">
                  <c:v>26.273</c:v>
                </c:pt>
                <c:pt idx="786" c:formatCode="0.00_);[Red]\(0.00\)">
                  <c:v>26.307</c:v>
                </c:pt>
                <c:pt idx="787" c:formatCode="0.00_);[Red]\(0.00\)">
                  <c:v>26.34</c:v>
                </c:pt>
                <c:pt idx="788" c:formatCode="0.00_);[Red]\(0.00\)">
                  <c:v>26.374</c:v>
                </c:pt>
                <c:pt idx="789" c:formatCode="0.00_);[Red]\(0.00\)">
                  <c:v>26.407</c:v>
                </c:pt>
                <c:pt idx="790" c:formatCode="0.00_);[Red]\(0.00\)">
                  <c:v>26.44</c:v>
                </c:pt>
                <c:pt idx="791" c:formatCode="0.00_);[Red]\(0.00\)">
                  <c:v>26.474</c:v>
                </c:pt>
                <c:pt idx="792" c:formatCode="0.00_);[Red]\(0.00\)">
                  <c:v>26.507</c:v>
                </c:pt>
                <c:pt idx="793" c:formatCode="0.00_);[Red]\(0.00\)">
                  <c:v>26.541</c:v>
                </c:pt>
                <c:pt idx="794" c:formatCode="0.00_);[Red]\(0.00\)">
                  <c:v>26.574</c:v>
                </c:pt>
                <c:pt idx="795" c:formatCode="0.00_);[Red]\(0.00\)">
                  <c:v>26.608</c:v>
                </c:pt>
                <c:pt idx="796" c:formatCode="0.00_);[Red]\(0.00\)">
                  <c:v>26.641</c:v>
                </c:pt>
                <c:pt idx="797" c:formatCode="0.00_);[Red]\(0.00\)">
                  <c:v>26.674</c:v>
                </c:pt>
                <c:pt idx="798" c:formatCode="0.00_);[Red]\(0.00\)">
                  <c:v>26.708</c:v>
                </c:pt>
                <c:pt idx="799" c:formatCode="0.00_);[Red]\(0.00\)">
                  <c:v>26.741</c:v>
                </c:pt>
                <c:pt idx="800" c:formatCode="0.00_);[Red]\(0.00\)">
                  <c:v>26.775</c:v>
                </c:pt>
                <c:pt idx="801" c:formatCode="0.00_);[Red]\(0.00\)">
                  <c:v>26.808</c:v>
                </c:pt>
                <c:pt idx="802" c:formatCode="0.00_);[Red]\(0.00\)">
                  <c:v>26.842</c:v>
                </c:pt>
                <c:pt idx="803" c:formatCode="0.00_);[Red]\(0.00\)">
                  <c:v>26.875</c:v>
                </c:pt>
                <c:pt idx="804" c:formatCode="0.00_);[Red]\(0.00\)">
                  <c:v>26.908</c:v>
                </c:pt>
                <c:pt idx="805" c:formatCode="0.00_);[Red]\(0.00\)">
                  <c:v>26.942</c:v>
                </c:pt>
                <c:pt idx="806" c:formatCode="0.00_);[Red]\(0.00\)">
                  <c:v>26.975</c:v>
                </c:pt>
                <c:pt idx="807" c:formatCode="0.00_);[Red]\(0.00\)">
                  <c:v>27.009</c:v>
                </c:pt>
                <c:pt idx="808" c:formatCode="0.00_);[Red]\(0.00\)">
                  <c:v>27.042</c:v>
                </c:pt>
                <c:pt idx="809" c:formatCode="0.00_);[Red]\(0.00\)">
                  <c:v>27.076</c:v>
                </c:pt>
                <c:pt idx="810" c:formatCode="0.00_);[Red]\(0.00\)">
                  <c:v>27.109</c:v>
                </c:pt>
                <c:pt idx="811" c:formatCode="0.00_);[Red]\(0.00\)">
                  <c:v>27.142</c:v>
                </c:pt>
                <c:pt idx="812" c:formatCode="0.00_);[Red]\(0.00\)">
                  <c:v>27.176</c:v>
                </c:pt>
                <c:pt idx="813" c:formatCode="0.00_);[Red]\(0.00\)">
                  <c:v>27.209</c:v>
                </c:pt>
                <c:pt idx="814" c:formatCode="0.00_);[Red]\(0.00\)">
                  <c:v>27.243</c:v>
                </c:pt>
                <c:pt idx="815" c:formatCode="0.00_);[Red]\(0.00\)">
                  <c:v>27.276</c:v>
                </c:pt>
                <c:pt idx="816" c:formatCode="0.00_);[Red]\(0.00\)">
                  <c:v>27.31</c:v>
                </c:pt>
                <c:pt idx="817" c:formatCode="0.00_);[Red]\(0.00\)">
                  <c:v>27.343</c:v>
                </c:pt>
                <c:pt idx="818" c:formatCode="0.00_);[Red]\(0.00\)">
                  <c:v>27.376</c:v>
                </c:pt>
                <c:pt idx="819" c:formatCode="0.00_);[Red]\(0.00\)">
                  <c:v>27.41</c:v>
                </c:pt>
                <c:pt idx="820" c:formatCode="0.00_);[Red]\(0.00\)">
                  <c:v>27.443</c:v>
                </c:pt>
                <c:pt idx="821" c:formatCode="0.00_);[Red]\(0.00\)">
                  <c:v>27.477</c:v>
                </c:pt>
                <c:pt idx="822" c:formatCode="0.00_);[Red]\(0.00\)">
                  <c:v>27.51</c:v>
                </c:pt>
                <c:pt idx="823" c:formatCode="0.00_);[Red]\(0.00\)">
                  <c:v>27.544</c:v>
                </c:pt>
                <c:pt idx="824" c:formatCode="0.00_);[Red]\(0.00\)">
                  <c:v>27.577</c:v>
                </c:pt>
                <c:pt idx="825" c:formatCode="0.00_);[Red]\(0.00\)">
                  <c:v>27.61</c:v>
                </c:pt>
                <c:pt idx="826" c:formatCode="0.00_);[Red]\(0.00\)">
                  <c:v>27.644</c:v>
                </c:pt>
                <c:pt idx="827" c:formatCode="0.00_);[Red]\(0.00\)">
                  <c:v>27.677</c:v>
                </c:pt>
                <c:pt idx="828" c:formatCode="0.00_);[Red]\(0.00\)">
                  <c:v>27.711</c:v>
                </c:pt>
                <c:pt idx="829" c:formatCode="0.00_);[Red]\(0.00\)">
                  <c:v>27.744</c:v>
                </c:pt>
                <c:pt idx="830" c:formatCode="0.00_);[Red]\(0.00\)">
                  <c:v>27.778</c:v>
                </c:pt>
                <c:pt idx="831" c:formatCode="0.00_);[Red]\(0.00\)">
                  <c:v>27.811</c:v>
                </c:pt>
                <c:pt idx="832" c:formatCode="0.00_);[Red]\(0.00\)">
                  <c:v>27.844</c:v>
                </c:pt>
                <c:pt idx="833" c:formatCode="0.00_);[Red]\(0.00\)">
                  <c:v>27.878</c:v>
                </c:pt>
                <c:pt idx="834" c:formatCode="0.00_);[Red]\(0.00\)">
                  <c:v>27.911</c:v>
                </c:pt>
                <c:pt idx="835" c:formatCode="0.00_);[Red]\(0.00\)">
                  <c:v>27.945</c:v>
                </c:pt>
                <c:pt idx="836" c:formatCode="0.00_);[Red]\(0.00\)">
                  <c:v>27.978</c:v>
                </c:pt>
                <c:pt idx="837" c:formatCode="0.00_);[Red]\(0.00\)">
                  <c:v>28.011</c:v>
                </c:pt>
                <c:pt idx="838" c:formatCode="0.00_);[Red]\(0.00\)">
                  <c:v>28.045</c:v>
                </c:pt>
                <c:pt idx="839" c:formatCode="0.00_);[Red]\(0.00\)">
                  <c:v>28.078</c:v>
                </c:pt>
                <c:pt idx="840" c:formatCode="0.00_);[Red]\(0.00\)">
                  <c:v>28.112</c:v>
                </c:pt>
                <c:pt idx="841" c:formatCode="0.00_);[Red]\(0.00\)">
                  <c:v>28.145</c:v>
                </c:pt>
                <c:pt idx="842" c:formatCode="0.00_);[Red]\(0.00\)">
                  <c:v>28.179</c:v>
                </c:pt>
                <c:pt idx="843" c:formatCode="0.00_);[Red]\(0.00\)">
                  <c:v>28.212</c:v>
                </c:pt>
                <c:pt idx="844" c:formatCode="0.00_);[Red]\(0.00\)">
                  <c:v>28.245</c:v>
                </c:pt>
                <c:pt idx="845" c:formatCode="0.00_);[Red]\(0.00\)">
                  <c:v>28.279</c:v>
                </c:pt>
                <c:pt idx="846" c:formatCode="0.00_);[Red]\(0.00\)">
                  <c:v>28.312</c:v>
                </c:pt>
                <c:pt idx="847" c:formatCode="0.00_);[Red]\(0.00\)">
                  <c:v>28.346</c:v>
                </c:pt>
                <c:pt idx="848" c:formatCode="0.00_);[Red]\(0.00\)">
                  <c:v>28.379</c:v>
                </c:pt>
                <c:pt idx="849" c:formatCode="0.00_);[Red]\(0.00\)">
                  <c:v>28.413</c:v>
                </c:pt>
                <c:pt idx="850" c:formatCode="0.00_);[Red]\(0.00\)">
                  <c:v>28.446</c:v>
                </c:pt>
                <c:pt idx="851" c:formatCode="0.00_);[Red]\(0.00\)">
                  <c:v>28.479</c:v>
                </c:pt>
                <c:pt idx="852" c:formatCode="0.00_);[Red]\(0.00\)">
                  <c:v>28.513</c:v>
                </c:pt>
                <c:pt idx="853" c:formatCode="0.00_);[Red]\(0.00\)">
                  <c:v>28.546</c:v>
                </c:pt>
                <c:pt idx="854" c:formatCode="0.00_);[Red]\(0.00\)">
                  <c:v>28.58</c:v>
                </c:pt>
                <c:pt idx="855" c:formatCode="0.00_);[Red]\(0.00\)">
                  <c:v>28.613</c:v>
                </c:pt>
                <c:pt idx="856" c:formatCode="0.00_);[Red]\(0.00\)">
                  <c:v>28.647</c:v>
                </c:pt>
                <c:pt idx="857" c:formatCode="0.00_);[Red]\(0.00\)">
                  <c:v>28.68</c:v>
                </c:pt>
                <c:pt idx="858" c:formatCode="0.00_);[Red]\(0.00\)">
                  <c:v>28.713</c:v>
                </c:pt>
                <c:pt idx="859" c:formatCode="0.00_);[Red]\(0.00\)">
                  <c:v>28.747</c:v>
                </c:pt>
                <c:pt idx="860" c:formatCode="0.00_);[Red]\(0.00\)">
                  <c:v>28.78</c:v>
                </c:pt>
                <c:pt idx="861" c:formatCode="0.00_);[Red]\(0.00\)">
                  <c:v>28.814</c:v>
                </c:pt>
                <c:pt idx="862" c:formatCode="0.00_);[Red]\(0.00\)">
                  <c:v>28.847</c:v>
                </c:pt>
                <c:pt idx="863" c:formatCode="0.00_);[Red]\(0.00\)">
                  <c:v>28.881</c:v>
                </c:pt>
                <c:pt idx="864" c:formatCode="0.00_);[Red]\(0.00\)">
                  <c:v>28.914</c:v>
                </c:pt>
                <c:pt idx="865" c:formatCode="0.00_);[Red]\(0.00\)">
                  <c:v>28.947</c:v>
                </c:pt>
                <c:pt idx="866" c:formatCode="0.00_);[Red]\(0.00\)">
                  <c:v>28.981</c:v>
                </c:pt>
                <c:pt idx="867" c:formatCode="0.00_);[Red]\(0.00\)">
                  <c:v>29.014</c:v>
                </c:pt>
                <c:pt idx="868" c:formatCode="0.00_);[Red]\(0.00\)">
                  <c:v>29.048</c:v>
                </c:pt>
                <c:pt idx="869" c:formatCode="0.00_);[Red]\(0.00\)">
                  <c:v>29.081</c:v>
                </c:pt>
                <c:pt idx="870" c:formatCode="0.00_);[Red]\(0.00\)">
                  <c:v>29.115</c:v>
                </c:pt>
                <c:pt idx="871" c:formatCode="0.00_);[Red]\(0.00\)">
                  <c:v>29.148</c:v>
                </c:pt>
                <c:pt idx="872" c:formatCode="0.00_);[Red]\(0.00\)">
                  <c:v>29.181</c:v>
                </c:pt>
                <c:pt idx="873" c:formatCode="0.00_);[Red]\(0.00\)">
                  <c:v>29.215</c:v>
                </c:pt>
                <c:pt idx="874" c:formatCode="0.00_);[Red]\(0.00\)">
                  <c:v>29.248</c:v>
                </c:pt>
                <c:pt idx="875" c:formatCode="0.00_);[Red]\(0.00\)">
                  <c:v>29.282</c:v>
                </c:pt>
                <c:pt idx="876" c:formatCode="0.00_);[Red]\(0.00\)">
                  <c:v>29.315</c:v>
                </c:pt>
                <c:pt idx="877" c:formatCode="0.00_);[Red]\(0.00\)">
                  <c:v>29.349</c:v>
                </c:pt>
                <c:pt idx="878" c:formatCode="0.00_);[Red]\(0.00\)">
                  <c:v>29.382</c:v>
                </c:pt>
                <c:pt idx="879" c:formatCode="0.00_);[Red]\(0.00\)">
                  <c:v>29.415</c:v>
                </c:pt>
                <c:pt idx="880" c:formatCode="0.00_);[Red]\(0.00\)">
                  <c:v>29.449</c:v>
                </c:pt>
                <c:pt idx="881" c:formatCode="0.00_);[Red]\(0.00\)">
                  <c:v>29.482</c:v>
                </c:pt>
                <c:pt idx="882" c:formatCode="0.00_);[Red]\(0.00\)">
                  <c:v>29.516</c:v>
                </c:pt>
                <c:pt idx="883" c:formatCode="0.00_);[Red]\(0.00\)">
                  <c:v>29.549</c:v>
                </c:pt>
                <c:pt idx="884" c:formatCode="0.00_);[Red]\(0.00\)">
                  <c:v>29.583</c:v>
                </c:pt>
                <c:pt idx="885" c:formatCode="0.00_);[Red]\(0.00\)">
                  <c:v>29.616</c:v>
                </c:pt>
                <c:pt idx="886" c:formatCode="0.00_);[Red]\(0.00\)">
                  <c:v>29.649</c:v>
                </c:pt>
                <c:pt idx="887" c:formatCode="0.00_);[Red]\(0.00\)">
                  <c:v>29.683</c:v>
                </c:pt>
                <c:pt idx="888" c:formatCode="0.00_);[Red]\(0.00\)">
                  <c:v>29.716</c:v>
                </c:pt>
                <c:pt idx="889" c:formatCode="0.00_);[Red]\(0.00\)">
                  <c:v>29.75</c:v>
                </c:pt>
                <c:pt idx="890" c:formatCode="0.00_);[Red]\(0.00\)">
                  <c:v>29.783</c:v>
                </c:pt>
                <c:pt idx="891" c:formatCode="0.00_);[Red]\(0.00\)">
                  <c:v>29.817</c:v>
                </c:pt>
                <c:pt idx="892" c:formatCode="0.00_);[Red]\(0.00\)">
                  <c:v>29.85</c:v>
                </c:pt>
                <c:pt idx="893" c:formatCode="0.00_);[Red]\(0.00\)">
                  <c:v>29.883</c:v>
                </c:pt>
                <c:pt idx="894" c:formatCode="0.00_);[Red]\(0.00\)">
                  <c:v>29.917</c:v>
                </c:pt>
                <c:pt idx="895" c:formatCode="0.00_);[Red]\(0.00\)">
                  <c:v>29.95</c:v>
                </c:pt>
                <c:pt idx="896" c:formatCode="0.00_);[Red]\(0.00\)">
                  <c:v>29.984</c:v>
                </c:pt>
                <c:pt idx="897" c:formatCode="0.00_);[Red]\(0.00\)">
                  <c:v>30.017</c:v>
                </c:pt>
                <c:pt idx="898" c:formatCode="0.00_);[Red]\(0.00\)">
                  <c:v>30.051</c:v>
                </c:pt>
                <c:pt idx="899" c:formatCode="0.00_);[Red]\(0.00\)">
                  <c:v>30.084</c:v>
                </c:pt>
                <c:pt idx="900" c:formatCode="0.00_);[Red]\(0.00\)">
                  <c:v>30.117</c:v>
                </c:pt>
                <c:pt idx="901" c:formatCode="0.00_);[Red]\(0.00\)">
                  <c:v>30.151</c:v>
                </c:pt>
                <c:pt idx="902" c:formatCode="0.00_);[Red]\(0.00\)">
                  <c:v>30.184</c:v>
                </c:pt>
                <c:pt idx="903" c:formatCode="0.00_);[Red]\(0.00\)">
                  <c:v>30.218</c:v>
                </c:pt>
                <c:pt idx="904" c:formatCode="0.00_);[Red]\(0.00\)">
                  <c:v>30.251</c:v>
                </c:pt>
                <c:pt idx="905" c:formatCode="0.00_);[Red]\(0.00\)">
                  <c:v>30.285</c:v>
                </c:pt>
                <c:pt idx="906" c:formatCode="0.00_);[Red]\(0.00\)">
                  <c:v>30.318</c:v>
                </c:pt>
                <c:pt idx="907" c:formatCode="0.00_);[Red]\(0.00\)">
                  <c:v>30.351</c:v>
                </c:pt>
                <c:pt idx="908" c:formatCode="0.00_);[Red]\(0.00\)">
                  <c:v>30.385</c:v>
                </c:pt>
                <c:pt idx="909" c:formatCode="0.00_);[Red]\(0.00\)">
                  <c:v>30.418</c:v>
                </c:pt>
                <c:pt idx="910" c:formatCode="0.00_);[Red]\(0.00\)">
                  <c:v>30.452</c:v>
                </c:pt>
                <c:pt idx="911" c:formatCode="0.00_);[Red]\(0.00\)">
                  <c:v>30.485</c:v>
                </c:pt>
                <c:pt idx="912" c:formatCode="0.00_);[Red]\(0.00\)">
                  <c:v>30.518</c:v>
                </c:pt>
                <c:pt idx="913" c:formatCode="0.00_);[Red]\(0.00\)">
                  <c:v>30.552</c:v>
                </c:pt>
                <c:pt idx="914" c:formatCode="0.00_);[Red]\(0.00\)">
                  <c:v>30.585</c:v>
                </c:pt>
                <c:pt idx="915" c:formatCode="0.00_);[Red]\(0.00\)">
                  <c:v>30.619</c:v>
                </c:pt>
                <c:pt idx="916" c:formatCode="0.00_);[Red]\(0.00\)">
                  <c:v>30.652</c:v>
                </c:pt>
                <c:pt idx="917" c:formatCode="0.00_);[Red]\(0.00\)">
                  <c:v>30.686</c:v>
                </c:pt>
                <c:pt idx="918" c:formatCode="0.00_);[Red]\(0.00\)">
                  <c:v>30.719</c:v>
                </c:pt>
                <c:pt idx="919" c:formatCode="0.00_);[Red]\(0.00\)">
                  <c:v>30.752</c:v>
                </c:pt>
                <c:pt idx="920" c:formatCode="0.00_);[Red]\(0.00\)">
                  <c:v>30.786</c:v>
                </c:pt>
                <c:pt idx="921" c:formatCode="0.00_);[Red]\(0.00\)">
                  <c:v>30.819</c:v>
                </c:pt>
                <c:pt idx="922" c:formatCode="0.00_);[Red]\(0.00\)">
                  <c:v>30.853</c:v>
                </c:pt>
                <c:pt idx="923" c:formatCode="0.00_);[Red]\(0.00\)">
                  <c:v>30.886</c:v>
                </c:pt>
                <c:pt idx="924" c:formatCode="0.00_);[Red]\(0.00\)">
                  <c:v>30.92</c:v>
                </c:pt>
                <c:pt idx="925" c:formatCode="0.00_);[Red]\(0.00\)">
                  <c:v>30.953</c:v>
                </c:pt>
                <c:pt idx="926" c:formatCode="0.00_);[Red]\(0.00\)">
                  <c:v>30.986</c:v>
                </c:pt>
                <c:pt idx="927" c:formatCode="0.00_);[Red]\(0.00\)">
                  <c:v>31.02</c:v>
                </c:pt>
                <c:pt idx="928" c:formatCode="0.00_);[Red]\(0.00\)">
                  <c:v>31.053</c:v>
                </c:pt>
                <c:pt idx="929" c:formatCode="0.00_);[Red]\(0.00\)">
                  <c:v>31.087</c:v>
                </c:pt>
                <c:pt idx="930" c:formatCode="0.00_);[Red]\(0.00\)">
                  <c:v>31.12</c:v>
                </c:pt>
              </c:numCache>
            </c:numRef>
          </c:cat>
          <c:val>
            <c:numRef>
              <c:f>A_09_45_33_A!$L$4:$L$934</c:f>
              <c:numCache>
                <c:formatCode>General</c:formatCode>
                <c:ptCount val="931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  <c:pt idx="8">
                  <c:v>-5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  <c:pt idx="16">
                  <c:v>-5</c:v>
                </c:pt>
                <c:pt idx="17">
                  <c:v>-5</c:v>
                </c:pt>
                <c:pt idx="18">
                  <c:v>-5</c:v>
                </c:pt>
                <c:pt idx="19">
                  <c:v>-5</c:v>
                </c:pt>
                <c:pt idx="20">
                  <c:v>-5</c:v>
                </c:pt>
                <c:pt idx="21">
                  <c:v>-5</c:v>
                </c:pt>
                <c:pt idx="22">
                  <c:v>-5</c:v>
                </c:pt>
                <c:pt idx="23">
                  <c:v>-5</c:v>
                </c:pt>
                <c:pt idx="24">
                  <c:v>-5</c:v>
                </c:pt>
                <c:pt idx="25">
                  <c:v>-5</c:v>
                </c:pt>
                <c:pt idx="26">
                  <c:v>-5</c:v>
                </c:pt>
                <c:pt idx="27">
                  <c:v>-5</c:v>
                </c:pt>
                <c:pt idx="28">
                  <c:v>-5</c:v>
                </c:pt>
                <c:pt idx="29">
                  <c:v>-5</c:v>
                </c:pt>
                <c:pt idx="30">
                  <c:v>-5</c:v>
                </c:pt>
                <c:pt idx="31">
                  <c:v>-5</c:v>
                </c:pt>
                <c:pt idx="32">
                  <c:v>-5</c:v>
                </c:pt>
                <c:pt idx="33">
                  <c:v>-5</c:v>
                </c:pt>
                <c:pt idx="34">
                  <c:v>-5</c:v>
                </c:pt>
                <c:pt idx="35">
                  <c:v>-5</c:v>
                </c:pt>
                <c:pt idx="36">
                  <c:v>-5</c:v>
                </c:pt>
                <c:pt idx="37">
                  <c:v>-5</c:v>
                </c:pt>
                <c:pt idx="38">
                  <c:v>-5</c:v>
                </c:pt>
                <c:pt idx="39">
                  <c:v>-5</c:v>
                </c:pt>
                <c:pt idx="40">
                  <c:v>-5</c:v>
                </c:pt>
                <c:pt idx="41">
                  <c:v>-5</c:v>
                </c:pt>
                <c:pt idx="42">
                  <c:v>-5</c:v>
                </c:pt>
                <c:pt idx="43">
                  <c:v>-5</c:v>
                </c:pt>
                <c:pt idx="44">
                  <c:v>-5</c:v>
                </c:pt>
                <c:pt idx="45">
                  <c:v>-5</c:v>
                </c:pt>
                <c:pt idx="46">
                  <c:v>-5</c:v>
                </c:pt>
                <c:pt idx="47">
                  <c:v>-5</c:v>
                </c:pt>
                <c:pt idx="48">
                  <c:v>-5</c:v>
                </c:pt>
                <c:pt idx="49">
                  <c:v>-5</c:v>
                </c:pt>
                <c:pt idx="50">
                  <c:v>-5</c:v>
                </c:pt>
                <c:pt idx="51">
                  <c:v>-5</c:v>
                </c:pt>
                <c:pt idx="52">
                  <c:v>-5</c:v>
                </c:pt>
                <c:pt idx="53">
                  <c:v>-5</c:v>
                </c:pt>
                <c:pt idx="54">
                  <c:v>-5</c:v>
                </c:pt>
                <c:pt idx="55">
                  <c:v>-5</c:v>
                </c:pt>
                <c:pt idx="56">
                  <c:v>-5</c:v>
                </c:pt>
                <c:pt idx="57">
                  <c:v>-5</c:v>
                </c:pt>
                <c:pt idx="58">
                  <c:v>-5</c:v>
                </c:pt>
                <c:pt idx="59">
                  <c:v>-5</c:v>
                </c:pt>
                <c:pt idx="60">
                  <c:v>-5</c:v>
                </c:pt>
                <c:pt idx="61">
                  <c:v>-5</c:v>
                </c:pt>
                <c:pt idx="62">
                  <c:v>-5</c:v>
                </c:pt>
                <c:pt idx="63">
                  <c:v>-5</c:v>
                </c:pt>
                <c:pt idx="64">
                  <c:v>-5</c:v>
                </c:pt>
                <c:pt idx="65">
                  <c:v>-5</c:v>
                </c:pt>
                <c:pt idx="66">
                  <c:v>-5</c:v>
                </c:pt>
                <c:pt idx="67">
                  <c:v>-5</c:v>
                </c:pt>
                <c:pt idx="68">
                  <c:v>-5</c:v>
                </c:pt>
                <c:pt idx="69">
                  <c:v>-5</c:v>
                </c:pt>
                <c:pt idx="70">
                  <c:v>-5</c:v>
                </c:pt>
                <c:pt idx="71">
                  <c:v>-5</c:v>
                </c:pt>
                <c:pt idx="72">
                  <c:v>-5</c:v>
                </c:pt>
                <c:pt idx="73">
                  <c:v>-5</c:v>
                </c:pt>
                <c:pt idx="74">
                  <c:v>-5</c:v>
                </c:pt>
                <c:pt idx="75">
                  <c:v>-5</c:v>
                </c:pt>
                <c:pt idx="76">
                  <c:v>-5</c:v>
                </c:pt>
                <c:pt idx="77">
                  <c:v>-5</c:v>
                </c:pt>
                <c:pt idx="78">
                  <c:v>-5</c:v>
                </c:pt>
                <c:pt idx="79">
                  <c:v>-5</c:v>
                </c:pt>
                <c:pt idx="80">
                  <c:v>-5</c:v>
                </c:pt>
                <c:pt idx="81">
                  <c:v>-5</c:v>
                </c:pt>
                <c:pt idx="82">
                  <c:v>-5</c:v>
                </c:pt>
                <c:pt idx="83">
                  <c:v>-5</c:v>
                </c:pt>
                <c:pt idx="84">
                  <c:v>-5</c:v>
                </c:pt>
                <c:pt idx="85">
                  <c:v>-5</c:v>
                </c:pt>
                <c:pt idx="86">
                  <c:v>-5</c:v>
                </c:pt>
                <c:pt idx="87">
                  <c:v>-5</c:v>
                </c:pt>
                <c:pt idx="88">
                  <c:v>-5</c:v>
                </c:pt>
                <c:pt idx="89">
                  <c:v>-5</c:v>
                </c:pt>
                <c:pt idx="90">
                  <c:v>-5</c:v>
                </c:pt>
                <c:pt idx="91">
                  <c:v>-5</c:v>
                </c:pt>
                <c:pt idx="92">
                  <c:v>-5</c:v>
                </c:pt>
                <c:pt idx="93">
                  <c:v>-5</c:v>
                </c:pt>
                <c:pt idx="94">
                  <c:v>-5</c:v>
                </c:pt>
                <c:pt idx="95">
                  <c:v>-5</c:v>
                </c:pt>
                <c:pt idx="96">
                  <c:v>-5</c:v>
                </c:pt>
                <c:pt idx="97">
                  <c:v>-5</c:v>
                </c:pt>
                <c:pt idx="98">
                  <c:v>-5</c:v>
                </c:pt>
                <c:pt idx="99">
                  <c:v>-5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-5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23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-5</c:v>
                </c:pt>
                <c:pt idx="147">
                  <c:v>-5</c:v>
                </c:pt>
                <c:pt idx="148">
                  <c:v>-5</c:v>
                </c:pt>
                <c:pt idx="149">
                  <c:v>-5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-5</c:v>
                </c:pt>
                <c:pt idx="201">
                  <c:v>-5</c:v>
                </c:pt>
                <c:pt idx="202">
                  <c:v>-5</c:v>
                </c:pt>
                <c:pt idx="203">
                  <c:v>-5</c:v>
                </c:pt>
                <c:pt idx="204">
                  <c:v>-5</c:v>
                </c:pt>
                <c:pt idx="205">
                  <c:v>-5</c:v>
                </c:pt>
                <c:pt idx="206">
                  <c:v>-5</c:v>
                </c:pt>
                <c:pt idx="207">
                  <c:v>-5</c:v>
                </c:pt>
                <c:pt idx="208">
                  <c:v>-5</c:v>
                </c:pt>
                <c:pt idx="209">
                  <c:v>-5</c:v>
                </c:pt>
                <c:pt idx="210">
                  <c:v>-5</c:v>
                </c:pt>
                <c:pt idx="211">
                  <c:v>-5</c:v>
                </c:pt>
                <c:pt idx="212">
                  <c:v>-5</c:v>
                </c:pt>
                <c:pt idx="213">
                  <c:v>-5</c:v>
                </c:pt>
                <c:pt idx="214">
                  <c:v>-5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-5</c:v>
                </c:pt>
                <c:pt idx="240">
                  <c:v>-5</c:v>
                </c:pt>
                <c:pt idx="241">
                  <c:v>-5</c:v>
                </c:pt>
                <c:pt idx="242">
                  <c:v>-5</c:v>
                </c:pt>
                <c:pt idx="243">
                  <c:v>-5</c:v>
                </c:pt>
                <c:pt idx="244">
                  <c:v>-5</c:v>
                </c:pt>
                <c:pt idx="245">
                  <c:v>-5</c:v>
                </c:pt>
                <c:pt idx="246">
                  <c:v>-5</c:v>
                </c:pt>
                <c:pt idx="247">
                  <c:v>-5</c:v>
                </c:pt>
                <c:pt idx="248">
                  <c:v>-5</c:v>
                </c:pt>
                <c:pt idx="249">
                  <c:v>-5</c:v>
                </c:pt>
                <c:pt idx="250">
                  <c:v>-5</c:v>
                </c:pt>
                <c:pt idx="251">
                  <c:v>-5</c:v>
                </c:pt>
                <c:pt idx="252">
                  <c:v>-5</c:v>
                </c:pt>
                <c:pt idx="253">
                  <c:v>-5</c:v>
                </c:pt>
                <c:pt idx="254">
                  <c:v>-5</c:v>
                </c:pt>
                <c:pt idx="255">
                  <c:v>-5</c:v>
                </c:pt>
                <c:pt idx="256">
                  <c:v>-5</c:v>
                </c:pt>
                <c:pt idx="257">
                  <c:v>-5</c:v>
                </c:pt>
                <c:pt idx="258">
                  <c:v>-5</c:v>
                </c:pt>
                <c:pt idx="259">
                  <c:v>-5</c:v>
                </c:pt>
                <c:pt idx="260">
                  <c:v>-5</c:v>
                </c:pt>
                <c:pt idx="261">
                  <c:v>-5</c:v>
                </c:pt>
                <c:pt idx="262">
                  <c:v>23</c:v>
                </c:pt>
                <c:pt idx="263">
                  <c:v>23</c:v>
                </c:pt>
                <c:pt idx="264">
                  <c:v>23</c:v>
                </c:pt>
                <c:pt idx="265">
                  <c:v>23</c:v>
                </c:pt>
                <c:pt idx="266">
                  <c:v>23</c:v>
                </c:pt>
                <c:pt idx="267">
                  <c:v>23</c:v>
                </c:pt>
                <c:pt idx="268">
                  <c:v>23</c:v>
                </c:pt>
                <c:pt idx="269">
                  <c:v>23</c:v>
                </c:pt>
                <c:pt idx="270">
                  <c:v>23</c:v>
                </c:pt>
                <c:pt idx="271">
                  <c:v>23</c:v>
                </c:pt>
                <c:pt idx="272">
                  <c:v>23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23</c:v>
                </c:pt>
                <c:pt idx="277">
                  <c:v>23</c:v>
                </c:pt>
                <c:pt idx="278">
                  <c:v>23</c:v>
                </c:pt>
                <c:pt idx="279">
                  <c:v>23</c:v>
                </c:pt>
                <c:pt idx="280">
                  <c:v>23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-5</c:v>
                </c:pt>
                <c:pt idx="286">
                  <c:v>-5</c:v>
                </c:pt>
                <c:pt idx="287">
                  <c:v>-5</c:v>
                </c:pt>
                <c:pt idx="288">
                  <c:v>-5</c:v>
                </c:pt>
                <c:pt idx="289">
                  <c:v>-5</c:v>
                </c:pt>
                <c:pt idx="290">
                  <c:v>-5</c:v>
                </c:pt>
                <c:pt idx="291">
                  <c:v>-5</c:v>
                </c:pt>
                <c:pt idx="292">
                  <c:v>-5</c:v>
                </c:pt>
                <c:pt idx="293">
                  <c:v>-5</c:v>
                </c:pt>
                <c:pt idx="294">
                  <c:v>-5</c:v>
                </c:pt>
                <c:pt idx="295">
                  <c:v>-5</c:v>
                </c:pt>
                <c:pt idx="296">
                  <c:v>-5</c:v>
                </c:pt>
                <c:pt idx="297">
                  <c:v>-5</c:v>
                </c:pt>
                <c:pt idx="298">
                  <c:v>-5</c:v>
                </c:pt>
                <c:pt idx="299">
                  <c:v>-5</c:v>
                </c:pt>
                <c:pt idx="300">
                  <c:v>-5</c:v>
                </c:pt>
                <c:pt idx="301">
                  <c:v>-5</c:v>
                </c:pt>
                <c:pt idx="302">
                  <c:v>-5</c:v>
                </c:pt>
                <c:pt idx="303">
                  <c:v>-5</c:v>
                </c:pt>
                <c:pt idx="304">
                  <c:v>-5</c:v>
                </c:pt>
                <c:pt idx="305">
                  <c:v>-5</c:v>
                </c:pt>
                <c:pt idx="306">
                  <c:v>-5</c:v>
                </c:pt>
                <c:pt idx="307">
                  <c:v>-5</c:v>
                </c:pt>
                <c:pt idx="308">
                  <c:v>23</c:v>
                </c:pt>
                <c:pt idx="309">
                  <c:v>23</c:v>
                </c:pt>
                <c:pt idx="310">
                  <c:v>23</c:v>
                </c:pt>
                <c:pt idx="311">
                  <c:v>23</c:v>
                </c:pt>
                <c:pt idx="312">
                  <c:v>23</c:v>
                </c:pt>
                <c:pt idx="313">
                  <c:v>23</c:v>
                </c:pt>
                <c:pt idx="314">
                  <c:v>23</c:v>
                </c:pt>
                <c:pt idx="315">
                  <c:v>23</c:v>
                </c:pt>
                <c:pt idx="316">
                  <c:v>23</c:v>
                </c:pt>
                <c:pt idx="317">
                  <c:v>23</c:v>
                </c:pt>
                <c:pt idx="318">
                  <c:v>23</c:v>
                </c:pt>
                <c:pt idx="319">
                  <c:v>23</c:v>
                </c:pt>
                <c:pt idx="320">
                  <c:v>23</c:v>
                </c:pt>
                <c:pt idx="321">
                  <c:v>23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23</c:v>
                </c:pt>
                <c:pt idx="327">
                  <c:v>23</c:v>
                </c:pt>
                <c:pt idx="328">
                  <c:v>23</c:v>
                </c:pt>
                <c:pt idx="329">
                  <c:v>23</c:v>
                </c:pt>
                <c:pt idx="330">
                  <c:v>23</c:v>
                </c:pt>
                <c:pt idx="331">
                  <c:v>23</c:v>
                </c:pt>
                <c:pt idx="332">
                  <c:v>-5</c:v>
                </c:pt>
                <c:pt idx="333">
                  <c:v>-5</c:v>
                </c:pt>
                <c:pt idx="334">
                  <c:v>-5</c:v>
                </c:pt>
                <c:pt idx="335">
                  <c:v>-5</c:v>
                </c:pt>
                <c:pt idx="336">
                  <c:v>-5</c:v>
                </c:pt>
                <c:pt idx="337">
                  <c:v>-5</c:v>
                </c:pt>
                <c:pt idx="338">
                  <c:v>-5</c:v>
                </c:pt>
                <c:pt idx="339">
                  <c:v>-5</c:v>
                </c:pt>
                <c:pt idx="340">
                  <c:v>-5</c:v>
                </c:pt>
                <c:pt idx="341">
                  <c:v>-5</c:v>
                </c:pt>
                <c:pt idx="342">
                  <c:v>-5</c:v>
                </c:pt>
                <c:pt idx="343">
                  <c:v>-5</c:v>
                </c:pt>
                <c:pt idx="344">
                  <c:v>-5</c:v>
                </c:pt>
                <c:pt idx="345">
                  <c:v>-5</c:v>
                </c:pt>
                <c:pt idx="346">
                  <c:v>-5</c:v>
                </c:pt>
                <c:pt idx="347">
                  <c:v>-5</c:v>
                </c:pt>
                <c:pt idx="348">
                  <c:v>-5</c:v>
                </c:pt>
                <c:pt idx="349">
                  <c:v>-5</c:v>
                </c:pt>
                <c:pt idx="350">
                  <c:v>-5</c:v>
                </c:pt>
                <c:pt idx="351">
                  <c:v>-5</c:v>
                </c:pt>
                <c:pt idx="352">
                  <c:v>-5</c:v>
                </c:pt>
                <c:pt idx="353">
                  <c:v>-5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-5</c:v>
                </c:pt>
                <c:pt idx="401">
                  <c:v>23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23</c:v>
                </c:pt>
                <c:pt idx="407">
                  <c:v>23</c:v>
                </c:pt>
                <c:pt idx="408">
                  <c:v>23</c:v>
                </c:pt>
                <c:pt idx="409">
                  <c:v>23</c:v>
                </c:pt>
                <c:pt idx="410">
                  <c:v>23</c:v>
                </c:pt>
                <c:pt idx="411">
                  <c:v>23</c:v>
                </c:pt>
                <c:pt idx="412">
                  <c:v>23</c:v>
                </c:pt>
                <c:pt idx="413">
                  <c:v>23</c:v>
                </c:pt>
                <c:pt idx="414">
                  <c:v>23</c:v>
                </c:pt>
                <c:pt idx="415">
                  <c:v>23</c:v>
                </c:pt>
                <c:pt idx="416">
                  <c:v>23</c:v>
                </c:pt>
                <c:pt idx="417">
                  <c:v>23</c:v>
                </c:pt>
                <c:pt idx="418">
                  <c:v>23</c:v>
                </c:pt>
                <c:pt idx="419">
                  <c:v>23</c:v>
                </c:pt>
                <c:pt idx="420">
                  <c:v>23</c:v>
                </c:pt>
                <c:pt idx="421">
                  <c:v>23</c:v>
                </c:pt>
                <c:pt idx="422">
                  <c:v>23</c:v>
                </c:pt>
                <c:pt idx="423">
                  <c:v>23</c:v>
                </c:pt>
                <c:pt idx="424">
                  <c:v>23</c:v>
                </c:pt>
                <c:pt idx="425">
                  <c:v>-5</c:v>
                </c:pt>
                <c:pt idx="426">
                  <c:v>-5</c:v>
                </c:pt>
                <c:pt idx="427">
                  <c:v>-5</c:v>
                </c:pt>
                <c:pt idx="428">
                  <c:v>-5</c:v>
                </c:pt>
                <c:pt idx="429">
                  <c:v>-5</c:v>
                </c:pt>
                <c:pt idx="430">
                  <c:v>-5</c:v>
                </c:pt>
                <c:pt idx="431">
                  <c:v>-5</c:v>
                </c:pt>
                <c:pt idx="432">
                  <c:v>-5</c:v>
                </c:pt>
                <c:pt idx="433">
                  <c:v>-5</c:v>
                </c:pt>
                <c:pt idx="434">
                  <c:v>-5</c:v>
                </c:pt>
                <c:pt idx="435">
                  <c:v>-5</c:v>
                </c:pt>
                <c:pt idx="436">
                  <c:v>-5</c:v>
                </c:pt>
                <c:pt idx="437">
                  <c:v>-5</c:v>
                </c:pt>
                <c:pt idx="438">
                  <c:v>-5</c:v>
                </c:pt>
                <c:pt idx="439">
                  <c:v>-5</c:v>
                </c:pt>
                <c:pt idx="440">
                  <c:v>-5</c:v>
                </c:pt>
                <c:pt idx="441">
                  <c:v>-5</c:v>
                </c:pt>
                <c:pt idx="442">
                  <c:v>-5</c:v>
                </c:pt>
                <c:pt idx="443">
                  <c:v>-5</c:v>
                </c:pt>
                <c:pt idx="444">
                  <c:v>-5</c:v>
                </c:pt>
                <c:pt idx="445">
                  <c:v>-5</c:v>
                </c:pt>
                <c:pt idx="446">
                  <c:v>-5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23</c:v>
                </c:pt>
                <c:pt idx="471">
                  <c:v>-5</c:v>
                </c:pt>
                <c:pt idx="472">
                  <c:v>-5</c:v>
                </c:pt>
                <c:pt idx="473">
                  <c:v>-5</c:v>
                </c:pt>
                <c:pt idx="474">
                  <c:v>-5</c:v>
                </c:pt>
                <c:pt idx="475">
                  <c:v>-5</c:v>
                </c:pt>
                <c:pt idx="476">
                  <c:v>-5</c:v>
                </c:pt>
                <c:pt idx="477">
                  <c:v>-5</c:v>
                </c:pt>
                <c:pt idx="478">
                  <c:v>-5</c:v>
                </c:pt>
                <c:pt idx="479">
                  <c:v>-5</c:v>
                </c:pt>
                <c:pt idx="480">
                  <c:v>-5</c:v>
                </c:pt>
                <c:pt idx="481">
                  <c:v>-5</c:v>
                </c:pt>
                <c:pt idx="482">
                  <c:v>-5</c:v>
                </c:pt>
                <c:pt idx="483">
                  <c:v>-5</c:v>
                </c:pt>
                <c:pt idx="484">
                  <c:v>-5</c:v>
                </c:pt>
                <c:pt idx="485">
                  <c:v>-5</c:v>
                </c:pt>
                <c:pt idx="486">
                  <c:v>-5</c:v>
                </c:pt>
                <c:pt idx="487">
                  <c:v>-5</c:v>
                </c:pt>
                <c:pt idx="488">
                  <c:v>-5</c:v>
                </c:pt>
                <c:pt idx="489">
                  <c:v>-5</c:v>
                </c:pt>
                <c:pt idx="490">
                  <c:v>-5</c:v>
                </c:pt>
                <c:pt idx="491">
                  <c:v>-5</c:v>
                </c:pt>
                <c:pt idx="492">
                  <c:v>-5</c:v>
                </c:pt>
                <c:pt idx="493">
                  <c:v>23</c:v>
                </c:pt>
                <c:pt idx="494">
                  <c:v>23</c:v>
                </c:pt>
                <c:pt idx="495">
                  <c:v>23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23</c:v>
                </c:pt>
                <c:pt idx="511">
                  <c:v>23</c:v>
                </c:pt>
                <c:pt idx="512">
                  <c:v>23</c:v>
                </c:pt>
                <c:pt idx="513">
                  <c:v>23</c:v>
                </c:pt>
                <c:pt idx="514">
                  <c:v>23</c:v>
                </c:pt>
                <c:pt idx="515">
                  <c:v>23</c:v>
                </c:pt>
                <c:pt idx="516">
                  <c:v>23</c:v>
                </c:pt>
                <c:pt idx="517">
                  <c:v>-5</c:v>
                </c:pt>
                <c:pt idx="518">
                  <c:v>-5</c:v>
                </c:pt>
                <c:pt idx="519">
                  <c:v>-5</c:v>
                </c:pt>
                <c:pt idx="520">
                  <c:v>-5</c:v>
                </c:pt>
                <c:pt idx="521">
                  <c:v>-5</c:v>
                </c:pt>
                <c:pt idx="522">
                  <c:v>-5</c:v>
                </c:pt>
                <c:pt idx="523">
                  <c:v>-5</c:v>
                </c:pt>
                <c:pt idx="524">
                  <c:v>-5</c:v>
                </c:pt>
                <c:pt idx="525">
                  <c:v>-5</c:v>
                </c:pt>
                <c:pt idx="526">
                  <c:v>-5</c:v>
                </c:pt>
                <c:pt idx="527">
                  <c:v>-5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-5</c:v>
                </c:pt>
                <c:pt idx="537">
                  <c:v>-5</c:v>
                </c:pt>
                <c:pt idx="538">
                  <c:v>-5</c:v>
                </c:pt>
                <c:pt idx="539">
                  <c:v>-5</c:v>
                </c:pt>
                <c:pt idx="540">
                  <c:v>23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-5</c:v>
                </c:pt>
                <c:pt idx="601">
                  <c:v>-5</c:v>
                </c:pt>
                <c:pt idx="602">
                  <c:v>-5</c:v>
                </c:pt>
                <c:pt idx="603">
                  <c:v>-5</c:v>
                </c:pt>
                <c:pt idx="604">
                  <c:v>-5</c:v>
                </c:pt>
                <c:pt idx="605">
                  <c:v>-5</c:v>
                </c:pt>
                <c:pt idx="606">
                  <c:v>-5</c:v>
                </c:pt>
                <c:pt idx="607">
                  <c:v>-5</c:v>
                </c:pt>
                <c:pt idx="608">
                  <c:v>-5</c:v>
                </c:pt>
                <c:pt idx="609">
                  <c:v>-5</c:v>
                </c:pt>
                <c:pt idx="610">
                  <c:v>-5</c:v>
                </c:pt>
                <c:pt idx="611">
                  <c:v>-5</c:v>
                </c:pt>
                <c:pt idx="612">
                  <c:v>-5</c:v>
                </c:pt>
                <c:pt idx="613">
                  <c:v>-5</c:v>
                </c:pt>
                <c:pt idx="614">
                  <c:v>-5</c:v>
                </c:pt>
                <c:pt idx="615">
                  <c:v>-5</c:v>
                </c:pt>
                <c:pt idx="616">
                  <c:v>-5</c:v>
                </c:pt>
                <c:pt idx="617">
                  <c:v>-5</c:v>
                </c:pt>
                <c:pt idx="618">
                  <c:v>-5</c:v>
                </c:pt>
                <c:pt idx="619">
                  <c:v>-5</c:v>
                </c:pt>
                <c:pt idx="620">
                  <c:v>-5</c:v>
                </c:pt>
                <c:pt idx="621">
                  <c:v>-5</c:v>
                </c:pt>
                <c:pt idx="622">
                  <c:v>-5</c:v>
                </c:pt>
                <c:pt idx="623">
                  <c:v>-5</c:v>
                </c:pt>
                <c:pt idx="624">
                  <c:v>-5</c:v>
                </c:pt>
                <c:pt idx="625">
                  <c:v>-5</c:v>
                </c:pt>
                <c:pt idx="626">
                  <c:v>-5</c:v>
                </c:pt>
                <c:pt idx="627">
                  <c:v>-5</c:v>
                </c:pt>
                <c:pt idx="628">
                  <c:v>-5</c:v>
                </c:pt>
                <c:pt idx="629">
                  <c:v>-5</c:v>
                </c:pt>
                <c:pt idx="630">
                  <c:v>-5</c:v>
                </c:pt>
                <c:pt idx="631">
                  <c:v>-5</c:v>
                </c:pt>
                <c:pt idx="632">
                  <c:v>-5</c:v>
                </c:pt>
                <c:pt idx="633">
                  <c:v>-5</c:v>
                </c:pt>
                <c:pt idx="634">
                  <c:v>-5</c:v>
                </c:pt>
                <c:pt idx="635">
                  <c:v>-5</c:v>
                </c:pt>
                <c:pt idx="636">
                  <c:v>-5</c:v>
                </c:pt>
                <c:pt idx="637">
                  <c:v>-5</c:v>
                </c:pt>
                <c:pt idx="638">
                  <c:v>-5</c:v>
                </c:pt>
                <c:pt idx="639">
                  <c:v>-5</c:v>
                </c:pt>
                <c:pt idx="640">
                  <c:v>-5</c:v>
                </c:pt>
                <c:pt idx="641">
                  <c:v>-5</c:v>
                </c:pt>
                <c:pt idx="642">
                  <c:v>-5</c:v>
                </c:pt>
                <c:pt idx="643">
                  <c:v>-5</c:v>
                </c:pt>
                <c:pt idx="644">
                  <c:v>-5</c:v>
                </c:pt>
                <c:pt idx="645">
                  <c:v>-5</c:v>
                </c:pt>
                <c:pt idx="646">
                  <c:v>-5</c:v>
                </c:pt>
                <c:pt idx="647">
                  <c:v>-5</c:v>
                </c:pt>
                <c:pt idx="648">
                  <c:v>-5</c:v>
                </c:pt>
                <c:pt idx="649">
                  <c:v>-5</c:v>
                </c:pt>
                <c:pt idx="650">
                  <c:v>-5</c:v>
                </c:pt>
                <c:pt idx="651">
                  <c:v>-5</c:v>
                </c:pt>
                <c:pt idx="652">
                  <c:v>-5</c:v>
                </c:pt>
                <c:pt idx="653">
                  <c:v>-5</c:v>
                </c:pt>
                <c:pt idx="654">
                  <c:v>-5</c:v>
                </c:pt>
                <c:pt idx="655">
                  <c:v>-5</c:v>
                </c:pt>
                <c:pt idx="656">
                  <c:v>-5</c:v>
                </c:pt>
                <c:pt idx="657">
                  <c:v>-5</c:v>
                </c:pt>
                <c:pt idx="658">
                  <c:v>-5</c:v>
                </c:pt>
                <c:pt idx="659">
                  <c:v>-5</c:v>
                </c:pt>
                <c:pt idx="660">
                  <c:v>-5</c:v>
                </c:pt>
                <c:pt idx="661">
                  <c:v>-5</c:v>
                </c:pt>
                <c:pt idx="662">
                  <c:v>-5</c:v>
                </c:pt>
                <c:pt idx="663">
                  <c:v>-5</c:v>
                </c:pt>
                <c:pt idx="664">
                  <c:v>-5</c:v>
                </c:pt>
                <c:pt idx="665">
                  <c:v>-5</c:v>
                </c:pt>
                <c:pt idx="666">
                  <c:v>-5</c:v>
                </c:pt>
                <c:pt idx="667">
                  <c:v>-5</c:v>
                </c:pt>
                <c:pt idx="668">
                  <c:v>-5</c:v>
                </c:pt>
                <c:pt idx="669">
                  <c:v>-5</c:v>
                </c:pt>
                <c:pt idx="670">
                  <c:v>-5</c:v>
                </c:pt>
                <c:pt idx="671">
                  <c:v>-5</c:v>
                </c:pt>
                <c:pt idx="672">
                  <c:v>-5</c:v>
                </c:pt>
                <c:pt idx="673">
                  <c:v>-5</c:v>
                </c:pt>
                <c:pt idx="674">
                  <c:v>-5</c:v>
                </c:pt>
                <c:pt idx="675">
                  <c:v>-5</c:v>
                </c:pt>
                <c:pt idx="676">
                  <c:v>-5</c:v>
                </c:pt>
                <c:pt idx="677">
                  <c:v>-5</c:v>
                </c:pt>
                <c:pt idx="678">
                  <c:v>-5</c:v>
                </c:pt>
                <c:pt idx="679">
                  <c:v>-5</c:v>
                </c:pt>
                <c:pt idx="680">
                  <c:v>-5</c:v>
                </c:pt>
                <c:pt idx="681">
                  <c:v>-5</c:v>
                </c:pt>
                <c:pt idx="682">
                  <c:v>-5</c:v>
                </c:pt>
                <c:pt idx="683">
                  <c:v>-5</c:v>
                </c:pt>
                <c:pt idx="684">
                  <c:v>-5</c:v>
                </c:pt>
                <c:pt idx="685">
                  <c:v>-5</c:v>
                </c:pt>
                <c:pt idx="686">
                  <c:v>-5</c:v>
                </c:pt>
                <c:pt idx="687">
                  <c:v>-5</c:v>
                </c:pt>
                <c:pt idx="688">
                  <c:v>-5</c:v>
                </c:pt>
                <c:pt idx="689">
                  <c:v>-5</c:v>
                </c:pt>
                <c:pt idx="690">
                  <c:v>-5</c:v>
                </c:pt>
                <c:pt idx="691">
                  <c:v>-5</c:v>
                </c:pt>
                <c:pt idx="692">
                  <c:v>-5</c:v>
                </c:pt>
                <c:pt idx="693">
                  <c:v>-5</c:v>
                </c:pt>
                <c:pt idx="694">
                  <c:v>-5</c:v>
                </c:pt>
                <c:pt idx="695">
                  <c:v>-5</c:v>
                </c:pt>
                <c:pt idx="696">
                  <c:v>-5</c:v>
                </c:pt>
                <c:pt idx="697">
                  <c:v>-5</c:v>
                </c:pt>
                <c:pt idx="698">
                  <c:v>-5</c:v>
                </c:pt>
                <c:pt idx="699">
                  <c:v>-5</c:v>
                </c:pt>
                <c:pt idx="700">
                  <c:v>-5</c:v>
                </c:pt>
                <c:pt idx="701">
                  <c:v>-5</c:v>
                </c:pt>
                <c:pt idx="702">
                  <c:v>-5</c:v>
                </c:pt>
                <c:pt idx="703">
                  <c:v>-5</c:v>
                </c:pt>
                <c:pt idx="704">
                  <c:v>-5</c:v>
                </c:pt>
                <c:pt idx="705">
                  <c:v>-5</c:v>
                </c:pt>
                <c:pt idx="706">
                  <c:v>-5</c:v>
                </c:pt>
                <c:pt idx="707">
                  <c:v>-5</c:v>
                </c:pt>
                <c:pt idx="708">
                  <c:v>-5</c:v>
                </c:pt>
                <c:pt idx="709">
                  <c:v>-5</c:v>
                </c:pt>
                <c:pt idx="710">
                  <c:v>-5</c:v>
                </c:pt>
                <c:pt idx="711">
                  <c:v>-5</c:v>
                </c:pt>
                <c:pt idx="712">
                  <c:v>-5</c:v>
                </c:pt>
                <c:pt idx="713">
                  <c:v>-5</c:v>
                </c:pt>
                <c:pt idx="714">
                  <c:v>-5</c:v>
                </c:pt>
                <c:pt idx="715">
                  <c:v>-5</c:v>
                </c:pt>
                <c:pt idx="716">
                  <c:v>-5</c:v>
                </c:pt>
                <c:pt idx="717">
                  <c:v>-5</c:v>
                </c:pt>
                <c:pt idx="718">
                  <c:v>-5</c:v>
                </c:pt>
                <c:pt idx="719">
                  <c:v>-5</c:v>
                </c:pt>
                <c:pt idx="720">
                  <c:v>-5</c:v>
                </c:pt>
                <c:pt idx="721">
                  <c:v>-5</c:v>
                </c:pt>
                <c:pt idx="722">
                  <c:v>-5</c:v>
                </c:pt>
                <c:pt idx="723">
                  <c:v>-5</c:v>
                </c:pt>
                <c:pt idx="724">
                  <c:v>-5</c:v>
                </c:pt>
                <c:pt idx="725">
                  <c:v>-5</c:v>
                </c:pt>
                <c:pt idx="726">
                  <c:v>-5</c:v>
                </c:pt>
                <c:pt idx="727">
                  <c:v>-5</c:v>
                </c:pt>
                <c:pt idx="728">
                  <c:v>-5</c:v>
                </c:pt>
                <c:pt idx="729">
                  <c:v>-5</c:v>
                </c:pt>
                <c:pt idx="730">
                  <c:v>-5</c:v>
                </c:pt>
                <c:pt idx="731">
                  <c:v>-5</c:v>
                </c:pt>
                <c:pt idx="732">
                  <c:v>-5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-5</c:v>
                </c:pt>
                <c:pt idx="737">
                  <c:v>-5</c:v>
                </c:pt>
                <c:pt idx="738">
                  <c:v>-5</c:v>
                </c:pt>
                <c:pt idx="739">
                  <c:v>-5</c:v>
                </c:pt>
                <c:pt idx="740">
                  <c:v>-5</c:v>
                </c:pt>
                <c:pt idx="741">
                  <c:v>-5</c:v>
                </c:pt>
                <c:pt idx="742">
                  <c:v>-5</c:v>
                </c:pt>
                <c:pt idx="743">
                  <c:v>-5</c:v>
                </c:pt>
                <c:pt idx="744">
                  <c:v>-5</c:v>
                </c:pt>
                <c:pt idx="745">
                  <c:v>-5</c:v>
                </c:pt>
                <c:pt idx="746">
                  <c:v>-5</c:v>
                </c:pt>
                <c:pt idx="747">
                  <c:v>-5</c:v>
                </c:pt>
                <c:pt idx="748">
                  <c:v>-5</c:v>
                </c:pt>
                <c:pt idx="749">
                  <c:v>-5</c:v>
                </c:pt>
                <c:pt idx="750">
                  <c:v>-5</c:v>
                </c:pt>
                <c:pt idx="751">
                  <c:v>-5</c:v>
                </c:pt>
                <c:pt idx="752">
                  <c:v>-5</c:v>
                </c:pt>
                <c:pt idx="753">
                  <c:v>-5</c:v>
                </c:pt>
                <c:pt idx="754">
                  <c:v>-5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-5</c:v>
                </c:pt>
                <c:pt idx="801">
                  <c:v>-5</c:v>
                </c:pt>
                <c:pt idx="802">
                  <c:v>-5</c:v>
                </c:pt>
                <c:pt idx="803">
                  <c:v>-5</c:v>
                </c:pt>
                <c:pt idx="804">
                  <c:v>-5</c:v>
                </c:pt>
                <c:pt idx="805">
                  <c:v>-5</c:v>
                </c:pt>
                <c:pt idx="806">
                  <c:v>-5</c:v>
                </c:pt>
                <c:pt idx="807">
                  <c:v>-5</c:v>
                </c:pt>
                <c:pt idx="808">
                  <c:v>-5</c:v>
                </c:pt>
                <c:pt idx="809">
                  <c:v>-5</c:v>
                </c:pt>
                <c:pt idx="810">
                  <c:v>-5</c:v>
                </c:pt>
                <c:pt idx="811">
                  <c:v>-5</c:v>
                </c:pt>
                <c:pt idx="812">
                  <c:v>-5</c:v>
                </c:pt>
                <c:pt idx="813">
                  <c:v>-5</c:v>
                </c:pt>
                <c:pt idx="814">
                  <c:v>-5</c:v>
                </c:pt>
                <c:pt idx="815">
                  <c:v>-5</c:v>
                </c:pt>
                <c:pt idx="816">
                  <c:v>-5</c:v>
                </c:pt>
                <c:pt idx="817">
                  <c:v>-5</c:v>
                </c:pt>
                <c:pt idx="818">
                  <c:v>-5</c:v>
                </c:pt>
                <c:pt idx="819">
                  <c:v>-5</c:v>
                </c:pt>
                <c:pt idx="820">
                  <c:v>-5</c:v>
                </c:pt>
                <c:pt idx="821">
                  <c:v>-5</c:v>
                </c:pt>
                <c:pt idx="822">
                  <c:v>-5</c:v>
                </c:pt>
                <c:pt idx="823">
                  <c:v>-5</c:v>
                </c:pt>
                <c:pt idx="824">
                  <c:v>-5</c:v>
                </c:pt>
                <c:pt idx="825">
                  <c:v>-5</c:v>
                </c:pt>
                <c:pt idx="826">
                  <c:v>-5</c:v>
                </c:pt>
                <c:pt idx="827">
                  <c:v>-5</c:v>
                </c:pt>
                <c:pt idx="828">
                  <c:v>-5</c:v>
                </c:pt>
                <c:pt idx="829">
                  <c:v>-5</c:v>
                </c:pt>
                <c:pt idx="830">
                  <c:v>-5</c:v>
                </c:pt>
                <c:pt idx="831">
                  <c:v>-5</c:v>
                </c:pt>
                <c:pt idx="832">
                  <c:v>-5</c:v>
                </c:pt>
                <c:pt idx="833">
                  <c:v>-5</c:v>
                </c:pt>
                <c:pt idx="834">
                  <c:v>-5</c:v>
                </c:pt>
                <c:pt idx="835">
                  <c:v>-5</c:v>
                </c:pt>
                <c:pt idx="836">
                  <c:v>-5</c:v>
                </c:pt>
                <c:pt idx="837">
                  <c:v>-5</c:v>
                </c:pt>
                <c:pt idx="838">
                  <c:v>-5</c:v>
                </c:pt>
                <c:pt idx="839">
                  <c:v>-5</c:v>
                </c:pt>
                <c:pt idx="840">
                  <c:v>-5</c:v>
                </c:pt>
                <c:pt idx="841">
                  <c:v>-5</c:v>
                </c:pt>
                <c:pt idx="842">
                  <c:v>-5</c:v>
                </c:pt>
                <c:pt idx="843">
                  <c:v>-5</c:v>
                </c:pt>
                <c:pt idx="844">
                  <c:v>-5</c:v>
                </c:pt>
                <c:pt idx="845">
                  <c:v>-5</c:v>
                </c:pt>
                <c:pt idx="846">
                  <c:v>-5</c:v>
                </c:pt>
                <c:pt idx="847">
                  <c:v>-5</c:v>
                </c:pt>
                <c:pt idx="848">
                  <c:v>-5</c:v>
                </c:pt>
                <c:pt idx="849">
                  <c:v>-5</c:v>
                </c:pt>
                <c:pt idx="850">
                  <c:v>-5</c:v>
                </c:pt>
                <c:pt idx="851">
                  <c:v>-5</c:v>
                </c:pt>
                <c:pt idx="852">
                  <c:v>-5</c:v>
                </c:pt>
                <c:pt idx="853">
                  <c:v>-5</c:v>
                </c:pt>
                <c:pt idx="854">
                  <c:v>-5</c:v>
                </c:pt>
                <c:pt idx="855">
                  <c:v>-5</c:v>
                </c:pt>
                <c:pt idx="856">
                  <c:v>-5</c:v>
                </c:pt>
                <c:pt idx="857">
                  <c:v>-5</c:v>
                </c:pt>
                <c:pt idx="858">
                  <c:v>-5</c:v>
                </c:pt>
                <c:pt idx="859">
                  <c:v>-5</c:v>
                </c:pt>
                <c:pt idx="860">
                  <c:v>-5</c:v>
                </c:pt>
                <c:pt idx="861">
                  <c:v>-5</c:v>
                </c:pt>
                <c:pt idx="862">
                  <c:v>-5</c:v>
                </c:pt>
                <c:pt idx="863">
                  <c:v>-5</c:v>
                </c:pt>
                <c:pt idx="864">
                  <c:v>-5</c:v>
                </c:pt>
                <c:pt idx="865">
                  <c:v>-5</c:v>
                </c:pt>
                <c:pt idx="866">
                  <c:v>-5</c:v>
                </c:pt>
                <c:pt idx="867">
                  <c:v>-5</c:v>
                </c:pt>
                <c:pt idx="868">
                  <c:v>-5</c:v>
                </c:pt>
                <c:pt idx="869">
                  <c:v>-5</c:v>
                </c:pt>
                <c:pt idx="870">
                  <c:v>-5</c:v>
                </c:pt>
                <c:pt idx="871">
                  <c:v>-5</c:v>
                </c:pt>
                <c:pt idx="872">
                  <c:v>-5</c:v>
                </c:pt>
                <c:pt idx="873">
                  <c:v>-5</c:v>
                </c:pt>
                <c:pt idx="874">
                  <c:v>-5</c:v>
                </c:pt>
                <c:pt idx="875">
                  <c:v>-5</c:v>
                </c:pt>
                <c:pt idx="876">
                  <c:v>-5</c:v>
                </c:pt>
                <c:pt idx="877">
                  <c:v>-5</c:v>
                </c:pt>
                <c:pt idx="878">
                  <c:v>-5</c:v>
                </c:pt>
                <c:pt idx="879">
                  <c:v>-5</c:v>
                </c:pt>
                <c:pt idx="880">
                  <c:v>-5</c:v>
                </c:pt>
                <c:pt idx="881">
                  <c:v>-5</c:v>
                </c:pt>
                <c:pt idx="882">
                  <c:v>-5</c:v>
                </c:pt>
                <c:pt idx="883">
                  <c:v>-5</c:v>
                </c:pt>
                <c:pt idx="884">
                  <c:v>-5</c:v>
                </c:pt>
                <c:pt idx="885">
                  <c:v>-5</c:v>
                </c:pt>
                <c:pt idx="886">
                  <c:v>-5</c:v>
                </c:pt>
                <c:pt idx="887">
                  <c:v>-5</c:v>
                </c:pt>
                <c:pt idx="888">
                  <c:v>-5</c:v>
                </c:pt>
                <c:pt idx="889">
                  <c:v>-5</c:v>
                </c:pt>
                <c:pt idx="890">
                  <c:v>-5</c:v>
                </c:pt>
                <c:pt idx="891">
                  <c:v>-5</c:v>
                </c:pt>
                <c:pt idx="892">
                  <c:v>-5</c:v>
                </c:pt>
                <c:pt idx="893">
                  <c:v>-5</c:v>
                </c:pt>
                <c:pt idx="894">
                  <c:v>-5</c:v>
                </c:pt>
                <c:pt idx="895">
                  <c:v>-5</c:v>
                </c:pt>
                <c:pt idx="896">
                  <c:v>-5</c:v>
                </c:pt>
                <c:pt idx="897">
                  <c:v>-5</c:v>
                </c:pt>
                <c:pt idx="898">
                  <c:v>-5</c:v>
                </c:pt>
                <c:pt idx="899">
                  <c:v>-5</c:v>
                </c:pt>
                <c:pt idx="900">
                  <c:v>-5</c:v>
                </c:pt>
                <c:pt idx="901">
                  <c:v>-5</c:v>
                </c:pt>
                <c:pt idx="902">
                  <c:v>-5</c:v>
                </c:pt>
                <c:pt idx="903">
                  <c:v>-5</c:v>
                </c:pt>
                <c:pt idx="904">
                  <c:v>-5</c:v>
                </c:pt>
                <c:pt idx="905">
                  <c:v>-5</c:v>
                </c:pt>
                <c:pt idx="906">
                  <c:v>-5</c:v>
                </c:pt>
                <c:pt idx="907">
                  <c:v>-5</c:v>
                </c:pt>
                <c:pt idx="908">
                  <c:v>-5</c:v>
                </c:pt>
                <c:pt idx="909">
                  <c:v>-5</c:v>
                </c:pt>
                <c:pt idx="910">
                  <c:v>-5</c:v>
                </c:pt>
                <c:pt idx="911">
                  <c:v>-5</c:v>
                </c:pt>
                <c:pt idx="912">
                  <c:v>-5</c:v>
                </c:pt>
                <c:pt idx="913">
                  <c:v>-5</c:v>
                </c:pt>
                <c:pt idx="914">
                  <c:v>-5</c:v>
                </c:pt>
                <c:pt idx="915">
                  <c:v>-5</c:v>
                </c:pt>
                <c:pt idx="916">
                  <c:v>-5</c:v>
                </c:pt>
                <c:pt idx="917">
                  <c:v>-5</c:v>
                </c:pt>
                <c:pt idx="918">
                  <c:v>-5</c:v>
                </c:pt>
                <c:pt idx="919">
                  <c:v>-5</c:v>
                </c:pt>
                <c:pt idx="920">
                  <c:v>-5</c:v>
                </c:pt>
                <c:pt idx="921">
                  <c:v>-5</c:v>
                </c:pt>
                <c:pt idx="922">
                  <c:v>-5</c:v>
                </c:pt>
                <c:pt idx="923">
                  <c:v>-5</c:v>
                </c:pt>
                <c:pt idx="924">
                  <c:v>-5</c:v>
                </c:pt>
                <c:pt idx="925">
                  <c:v>-5</c:v>
                </c:pt>
                <c:pt idx="926">
                  <c:v>-5</c:v>
                </c:pt>
                <c:pt idx="927">
                  <c:v>-5</c:v>
                </c:pt>
                <c:pt idx="928">
                  <c:v>-5</c:v>
                </c:pt>
                <c:pt idx="929">
                  <c:v>-5</c:v>
                </c:pt>
                <c:pt idx="930">
                  <c:v>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9962031"/>
        <c:axId val="935064199"/>
      </c:lineChart>
      <c:catAx>
        <c:axId val="169962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5064199"/>
        <c:crosses val="autoZero"/>
        <c:auto val="1"/>
        <c:lblAlgn val="ctr"/>
        <c:lblOffset val="100"/>
        <c:noMultiLvlLbl val="0"/>
      </c:catAx>
      <c:valAx>
        <c:axId val="93506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96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A_09_29_58_B!$K$3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A_09_29_58_B!$J$4:$J$892</c:f>
              <c:numCache>
                <c:formatCode>0.00_);[Red]\(0.00\)</c:formatCode>
                <c:ptCount val="889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0.268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0.502</c:v>
                </c:pt>
                <c:pt idx="16" c:formatCode="0.00_);[Red]\(0.00\)">
                  <c:v>0.535</c:v>
                </c:pt>
                <c:pt idx="17" c:formatCode="0.00_);[Red]\(0.00\)">
                  <c:v>0.569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0.803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1.037</c:v>
                </c:pt>
                <c:pt idx="32" c:formatCode="0.00_);[Red]\(0.00\)">
                  <c:v>1.07</c:v>
                </c:pt>
                <c:pt idx="33" c:formatCode="0.00_);[Red]\(0.00\)">
                  <c:v>1.104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1.204</c:v>
                </c:pt>
                <c:pt idx="37" c:formatCode="0.00_);[Red]\(0.00\)">
                  <c:v>1.237</c:v>
                </c:pt>
                <c:pt idx="38" c:formatCode="0.00_);[Red]\(0.00\)">
                  <c:v>1.271</c:v>
                </c:pt>
                <c:pt idx="39" c:formatCode="0.00_);[Red]\(0.00\)">
                  <c:v>1.304</c:v>
                </c:pt>
                <c:pt idx="40" c:formatCode="0.00_);[Red]\(0.00\)">
                  <c:v>1.338</c:v>
                </c:pt>
                <c:pt idx="41" c:formatCode="0.00_);[Red]\(0.00\)">
                  <c:v>1.371</c:v>
                </c:pt>
                <c:pt idx="42" c:formatCode="0.00_);[Red]\(0.00\)">
                  <c:v>1.405</c:v>
                </c:pt>
                <c:pt idx="43" c:formatCode="0.00_);[Red]\(0.00\)">
                  <c:v>1.438</c:v>
                </c:pt>
                <c:pt idx="44" c:formatCode="0.00_);[Red]\(0.00\)">
                  <c:v>1.471</c:v>
                </c:pt>
                <c:pt idx="45" c:formatCode="0.00_);[Red]\(0.00\)">
                  <c:v>1.505</c:v>
                </c:pt>
                <c:pt idx="46" c:formatCode="0.00_);[Red]\(0.00\)">
                  <c:v>1.538</c:v>
                </c:pt>
                <c:pt idx="47" c:formatCode="0.00_);[Red]\(0.00\)">
                  <c:v>1.572</c:v>
                </c:pt>
                <c:pt idx="48" c:formatCode="0.00_);[Red]\(0.00\)">
                  <c:v>1.605</c:v>
                </c:pt>
                <c:pt idx="49" c:formatCode="0.00_);[Red]\(0.00\)">
                  <c:v>1.639</c:v>
                </c:pt>
                <c:pt idx="50" c:formatCode="0.00_);[Red]\(0.00\)">
                  <c:v>1.672</c:v>
                </c:pt>
                <c:pt idx="51" c:formatCode="0.00_);[Red]\(0.00\)">
                  <c:v>1.706</c:v>
                </c:pt>
                <c:pt idx="52" c:formatCode="0.00_);[Red]\(0.00\)">
                  <c:v>1.739</c:v>
                </c:pt>
                <c:pt idx="53" c:formatCode="0.00_);[Red]\(0.00\)">
                  <c:v>1.772</c:v>
                </c:pt>
                <c:pt idx="54" c:formatCode="0.00_);[Red]\(0.00\)">
                  <c:v>1.806</c:v>
                </c:pt>
                <c:pt idx="55" c:formatCode="0.00_);[Red]\(0.00\)">
                  <c:v>1.839</c:v>
                </c:pt>
                <c:pt idx="56" c:formatCode="0.00_);[Red]\(0.00\)">
                  <c:v>1.873</c:v>
                </c:pt>
                <c:pt idx="57" c:formatCode="0.00_);[Red]\(0.00\)">
                  <c:v>1.906</c:v>
                </c:pt>
                <c:pt idx="58" c:formatCode="0.00_);[Red]\(0.00\)">
                  <c:v>1.94</c:v>
                </c:pt>
                <c:pt idx="59" c:formatCode="0.00_);[Red]\(0.00\)">
                  <c:v>1.973</c:v>
                </c:pt>
                <c:pt idx="60" c:formatCode="0.00_);[Red]\(0.00\)">
                  <c:v>2.006</c:v>
                </c:pt>
                <c:pt idx="61" c:formatCode="0.00_);[Red]\(0.00\)">
                  <c:v>2.04</c:v>
                </c:pt>
                <c:pt idx="62" c:formatCode="0.00_);[Red]\(0.00\)">
                  <c:v>2.073</c:v>
                </c:pt>
                <c:pt idx="63" c:formatCode="0.00_);[Red]\(0.00\)">
                  <c:v>2.107</c:v>
                </c:pt>
                <c:pt idx="64" c:formatCode="0.00_);[Red]\(0.00\)">
                  <c:v>2.14</c:v>
                </c:pt>
                <c:pt idx="65" c:formatCode="0.00_);[Red]\(0.00\)">
                  <c:v>2.174</c:v>
                </c:pt>
                <c:pt idx="66" c:formatCode="0.00_);[Red]\(0.00\)">
                  <c:v>2.207</c:v>
                </c:pt>
                <c:pt idx="67" c:formatCode="0.00_);[Red]\(0.00\)">
                  <c:v>2.241</c:v>
                </c:pt>
                <c:pt idx="68" c:formatCode="0.00_);[Red]\(0.00\)">
                  <c:v>2.274</c:v>
                </c:pt>
                <c:pt idx="69" c:formatCode="0.00_);[Red]\(0.00\)">
                  <c:v>2.307</c:v>
                </c:pt>
                <c:pt idx="70" c:formatCode="0.00_);[Red]\(0.00\)">
                  <c:v>2.341</c:v>
                </c:pt>
                <c:pt idx="71" c:formatCode="0.00_);[Red]\(0.00\)">
                  <c:v>2.374</c:v>
                </c:pt>
                <c:pt idx="72" c:formatCode="0.00_);[Red]\(0.00\)">
                  <c:v>2.408</c:v>
                </c:pt>
                <c:pt idx="73" c:formatCode="0.00_);[Red]\(0.00\)">
                  <c:v>2.441</c:v>
                </c:pt>
                <c:pt idx="74" c:formatCode="0.00_);[Red]\(0.00\)">
                  <c:v>2.475</c:v>
                </c:pt>
                <c:pt idx="75" c:formatCode="0.00_);[Red]\(0.00\)">
                  <c:v>2.508</c:v>
                </c:pt>
                <c:pt idx="76" c:formatCode="0.00_);[Red]\(0.00\)">
                  <c:v>2.542</c:v>
                </c:pt>
                <c:pt idx="77" c:formatCode="0.00_);[Red]\(0.00\)">
                  <c:v>2.575</c:v>
                </c:pt>
                <c:pt idx="78" c:formatCode="0.00_);[Red]\(0.00\)">
                  <c:v>2.608</c:v>
                </c:pt>
                <c:pt idx="79" c:formatCode="0.00_);[Red]\(0.00\)">
                  <c:v>2.642</c:v>
                </c:pt>
                <c:pt idx="80" c:formatCode="0.00_);[Red]\(0.00\)">
                  <c:v>2.675</c:v>
                </c:pt>
                <c:pt idx="81" c:formatCode="0.00_);[Red]\(0.00\)">
                  <c:v>2.709</c:v>
                </c:pt>
                <c:pt idx="82" c:formatCode="0.00_);[Red]\(0.00\)">
                  <c:v>2.742</c:v>
                </c:pt>
                <c:pt idx="83" c:formatCode="0.00_);[Red]\(0.00\)">
                  <c:v>2.776</c:v>
                </c:pt>
                <c:pt idx="84" c:formatCode="0.00_);[Red]\(0.00\)">
                  <c:v>2.809</c:v>
                </c:pt>
                <c:pt idx="85" c:formatCode="0.00_);[Red]\(0.00\)">
                  <c:v>2.843</c:v>
                </c:pt>
                <c:pt idx="86" c:formatCode="0.00_);[Red]\(0.00\)">
                  <c:v>2.876</c:v>
                </c:pt>
                <c:pt idx="87" c:formatCode="0.00_);[Red]\(0.00\)">
                  <c:v>2.909</c:v>
                </c:pt>
                <c:pt idx="88" c:formatCode="0.00_);[Red]\(0.00\)">
                  <c:v>2.943</c:v>
                </c:pt>
                <c:pt idx="89" c:formatCode="0.00_);[Red]\(0.00\)">
                  <c:v>2.976</c:v>
                </c:pt>
                <c:pt idx="90" c:formatCode="0.00_);[Red]\(0.00\)">
                  <c:v>3.01</c:v>
                </c:pt>
                <c:pt idx="91" c:formatCode="0.00_);[Red]\(0.00\)">
                  <c:v>3.043</c:v>
                </c:pt>
                <c:pt idx="92" c:formatCode="0.00_);[Red]\(0.00\)">
                  <c:v>3.077</c:v>
                </c:pt>
                <c:pt idx="93" c:formatCode="0.00_);[Red]\(0.00\)">
                  <c:v>3.11</c:v>
                </c:pt>
                <c:pt idx="94" c:formatCode="0.00_);[Red]\(0.00\)">
                  <c:v>3.143</c:v>
                </c:pt>
                <c:pt idx="95" c:formatCode="0.00_);[Red]\(0.00\)">
                  <c:v>3.177</c:v>
                </c:pt>
                <c:pt idx="96" c:formatCode="0.00_);[Red]\(0.00\)">
                  <c:v>3.21</c:v>
                </c:pt>
                <c:pt idx="97" c:formatCode="0.00_);[Red]\(0.00\)">
                  <c:v>3.244</c:v>
                </c:pt>
                <c:pt idx="98" c:formatCode="0.00_);[Red]\(0.00\)">
                  <c:v>3.277</c:v>
                </c:pt>
                <c:pt idx="99" c:formatCode="0.00_);[Red]\(0.00\)">
                  <c:v>3.311</c:v>
                </c:pt>
                <c:pt idx="100" c:formatCode="0.00_);[Red]\(0.00\)">
                  <c:v>3.344</c:v>
                </c:pt>
                <c:pt idx="101" c:formatCode="0.00_);[Red]\(0.00\)">
                  <c:v>3.378</c:v>
                </c:pt>
                <c:pt idx="102" c:formatCode="0.00_);[Red]\(0.00\)">
                  <c:v>3.411</c:v>
                </c:pt>
                <c:pt idx="103" c:formatCode="0.00_);[Red]\(0.00\)">
                  <c:v>3.444</c:v>
                </c:pt>
                <c:pt idx="104" c:formatCode="0.00_);[Red]\(0.00\)">
                  <c:v>3.478</c:v>
                </c:pt>
                <c:pt idx="105" c:formatCode="0.00_);[Red]\(0.00\)">
                  <c:v>3.511</c:v>
                </c:pt>
                <c:pt idx="106" c:formatCode="0.00_);[Red]\(0.00\)">
                  <c:v>3.545</c:v>
                </c:pt>
                <c:pt idx="107" c:formatCode="0.00_);[Red]\(0.00\)">
                  <c:v>3.578</c:v>
                </c:pt>
                <c:pt idx="108" c:formatCode="0.00_);[Red]\(0.00\)">
                  <c:v>3.612</c:v>
                </c:pt>
                <c:pt idx="109" c:formatCode="0.00_);[Red]\(0.00\)">
                  <c:v>3.645</c:v>
                </c:pt>
                <c:pt idx="110" c:formatCode="0.00_);[Red]\(0.00\)">
                  <c:v>3.679</c:v>
                </c:pt>
                <c:pt idx="111" c:formatCode="0.00_);[Red]\(0.00\)">
                  <c:v>3.712</c:v>
                </c:pt>
                <c:pt idx="112" c:formatCode="0.00_);[Red]\(0.00\)">
                  <c:v>3.745</c:v>
                </c:pt>
                <c:pt idx="113" c:formatCode="0.00_);[Red]\(0.00\)">
                  <c:v>3.779</c:v>
                </c:pt>
                <c:pt idx="114" c:formatCode="0.00_);[Red]\(0.00\)">
                  <c:v>3.812</c:v>
                </c:pt>
                <c:pt idx="115" c:formatCode="0.00_);[Red]\(0.00\)">
                  <c:v>3.846</c:v>
                </c:pt>
                <c:pt idx="116" c:formatCode="0.00_);[Red]\(0.00\)">
                  <c:v>3.879</c:v>
                </c:pt>
                <c:pt idx="117" c:formatCode="0.00_);[Red]\(0.00\)">
                  <c:v>3.913</c:v>
                </c:pt>
                <c:pt idx="118" c:formatCode="0.00_);[Red]\(0.00\)">
                  <c:v>3.946</c:v>
                </c:pt>
                <c:pt idx="119" c:formatCode="0.00_);[Red]\(0.00\)">
                  <c:v>3.98</c:v>
                </c:pt>
                <c:pt idx="120" c:formatCode="0.00_);[Red]\(0.00\)">
                  <c:v>4.013</c:v>
                </c:pt>
                <c:pt idx="121" c:formatCode="0.00_);[Red]\(0.00\)">
                  <c:v>4.046</c:v>
                </c:pt>
                <c:pt idx="122" c:formatCode="0.00_);[Red]\(0.00\)">
                  <c:v>4.08</c:v>
                </c:pt>
                <c:pt idx="123" c:formatCode="0.00_);[Red]\(0.00\)">
                  <c:v>4.113</c:v>
                </c:pt>
                <c:pt idx="124" c:formatCode="0.00_);[Red]\(0.00\)">
                  <c:v>4.147</c:v>
                </c:pt>
                <c:pt idx="125" c:formatCode="0.00_);[Red]\(0.00\)">
                  <c:v>4.18</c:v>
                </c:pt>
                <c:pt idx="126" c:formatCode="0.00_);[Red]\(0.00\)">
                  <c:v>4.214</c:v>
                </c:pt>
                <c:pt idx="127" c:formatCode="0.00_);[Red]\(0.00\)">
                  <c:v>4.247</c:v>
                </c:pt>
                <c:pt idx="128" c:formatCode="0.00_);[Red]\(0.00\)">
                  <c:v>4.28</c:v>
                </c:pt>
                <c:pt idx="129" c:formatCode="0.00_);[Red]\(0.00\)">
                  <c:v>4.314</c:v>
                </c:pt>
                <c:pt idx="130" c:formatCode="0.00_);[Red]\(0.00\)">
                  <c:v>4.347</c:v>
                </c:pt>
                <c:pt idx="131" c:formatCode="0.00_);[Red]\(0.00\)">
                  <c:v>4.381</c:v>
                </c:pt>
                <c:pt idx="132" c:formatCode="0.00_);[Red]\(0.00\)">
                  <c:v>4.414</c:v>
                </c:pt>
                <c:pt idx="133" c:formatCode="0.00_);[Red]\(0.00\)">
                  <c:v>4.448</c:v>
                </c:pt>
                <c:pt idx="134" c:formatCode="0.00_);[Red]\(0.00\)">
                  <c:v>4.481</c:v>
                </c:pt>
                <c:pt idx="135" c:formatCode="0.00_);[Red]\(0.00\)">
                  <c:v>4.515</c:v>
                </c:pt>
                <c:pt idx="136" c:formatCode="0.00_);[Red]\(0.00\)">
                  <c:v>4.548</c:v>
                </c:pt>
                <c:pt idx="137" c:formatCode="0.00_);[Red]\(0.00\)">
                  <c:v>4.581</c:v>
                </c:pt>
                <c:pt idx="138" c:formatCode="0.00_);[Red]\(0.00\)">
                  <c:v>4.615</c:v>
                </c:pt>
                <c:pt idx="139" c:formatCode="0.00_);[Red]\(0.00\)">
                  <c:v>4.648</c:v>
                </c:pt>
                <c:pt idx="140" c:formatCode="0.00_);[Red]\(0.00\)">
                  <c:v>4.682</c:v>
                </c:pt>
                <c:pt idx="141" c:formatCode="0.00_);[Red]\(0.00\)">
                  <c:v>4.715</c:v>
                </c:pt>
                <c:pt idx="142" c:formatCode="0.00_);[Red]\(0.00\)">
                  <c:v>4.749</c:v>
                </c:pt>
                <c:pt idx="143" c:formatCode="0.00_);[Red]\(0.00\)">
                  <c:v>4.782</c:v>
                </c:pt>
                <c:pt idx="144" c:formatCode="0.00_);[Red]\(0.00\)">
                  <c:v>4.816</c:v>
                </c:pt>
                <c:pt idx="145" c:formatCode="0.00_);[Red]\(0.00\)">
                  <c:v>4.849</c:v>
                </c:pt>
                <c:pt idx="146" c:formatCode="0.00_);[Red]\(0.00\)">
                  <c:v>4.882</c:v>
                </c:pt>
                <c:pt idx="147" c:formatCode="0.00_);[Red]\(0.00\)">
                  <c:v>4.916</c:v>
                </c:pt>
                <c:pt idx="148" c:formatCode="0.00_);[Red]\(0.00\)">
                  <c:v>4.949</c:v>
                </c:pt>
                <c:pt idx="149" c:formatCode="0.00_);[Red]\(0.00\)">
                  <c:v>4.983</c:v>
                </c:pt>
                <c:pt idx="150" c:formatCode="0.00_);[Red]\(0.00\)">
                  <c:v>5.016</c:v>
                </c:pt>
                <c:pt idx="151" c:formatCode="0.00_);[Red]\(0.00\)">
                  <c:v>5.05</c:v>
                </c:pt>
                <c:pt idx="152" c:formatCode="0.00_);[Red]\(0.00\)">
                  <c:v>5.083</c:v>
                </c:pt>
                <c:pt idx="153" c:formatCode="0.00_);[Red]\(0.00\)">
                  <c:v>5.117</c:v>
                </c:pt>
                <c:pt idx="154" c:formatCode="0.00_);[Red]\(0.00\)">
                  <c:v>5.15</c:v>
                </c:pt>
                <c:pt idx="155" c:formatCode="0.00_);[Red]\(0.00\)">
                  <c:v>5.183</c:v>
                </c:pt>
                <c:pt idx="156" c:formatCode="0.00_);[Red]\(0.00\)">
                  <c:v>5.217</c:v>
                </c:pt>
                <c:pt idx="157" c:formatCode="0.00_);[Red]\(0.00\)">
                  <c:v>5.25</c:v>
                </c:pt>
                <c:pt idx="158" c:formatCode="0.00_);[Red]\(0.00\)">
                  <c:v>5.284</c:v>
                </c:pt>
                <c:pt idx="159" c:formatCode="0.00_);[Red]\(0.00\)">
                  <c:v>5.317</c:v>
                </c:pt>
                <c:pt idx="160" c:formatCode="0.00_);[Red]\(0.00\)">
                  <c:v>5.351</c:v>
                </c:pt>
                <c:pt idx="161" c:formatCode="0.00_);[Red]\(0.00\)">
                  <c:v>5.384</c:v>
                </c:pt>
                <c:pt idx="162" c:formatCode="0.00_);[Red]\(0.00\)">
                  <c:v>5.418</c:v>
                </c:pt>
                <c:pt idx="163" c:formatCode="0.00_);[Red]\(0.00\)">
                  <c:v>5.451</c:v>
                </c:pt>
                <c:pt idx="164" c:formatCode="0.00_);[Red]\(0.00\)">
                  <c:v>5.484</c:v>
                </c:pt>
                <c:pt idx="165" c:formatCode="0.00_);[Red]\(0.00\)">
                  <c:v>5.518</c:v>
                </c:pt>
                <c:pt idx="166" c:formatCode="0.00_);[Red]\(0.00\)">
                  <c:v>5.551</c:v>
                </c:pt>
                <c:pt idx="167" c:formatCode="0.00_);[Red]\(0.00\)">
                  <c:v>5.585</c:v>
                </c:pt>
                <c:pt idx="168" c:formatCode="0.00_);[Red]\(0.00\)">
                  <c:v>5.618</c:v>
                </c:pt>
                <c:pt idx="169" c:formatCode="0.00_);[Red]\(0.00\)">
                  <c:v>5.652</c:v>
                </c:pt>
                <c:pt idx="170" c:formatCode="0.00_);[Red]\(0.00\)">
                  <c:v>5.685</c:v>
                </c:pt>
                <c:pt idx="171" c:formatCode="0.00_);[Red]\(0.00\)">
                  <c:v>5.718</c:v>
                </c:pt>
                <c:pt idx="172" c:formatCode="0.00_);[Red]\(0.00\)">
                  <c:v>5.752</c:v>
                </c:pt>
                <c:pt idx="173" c:formatCode="0.00_);[Red]\(0.00\)">
                  <c:v>5.785</c:v>
                </c:pt>
                <c:pt idx="174" c:formatCode="0.00_);[Red]\(0.00\)">
                  <c:v>5.819</c:v>
                </c:pt>
                <c:pt idx="175" c:formatCode="0.00_);[Red]\(0.00\)">
                  <c:v>5.852</c:v>
                </c:pt>
                <c:pt idx="176" c:formatCode="0.00_);[Red]\(0.00\)">
                  <c:v>5.886</c:v>
                </c:pt>
                <c:pt idx="177" c:formatCode="0.00_);[Red]\(0.00\)">
                  <c:v>5.919</c:v>
                </c:pt>
                <c:pt idx="178" c:formatCode="0.00_);[Red]\(0.00\)">
                  <c:v>5.953</c:v>
                </c:pt>
                <c:pt idx="179" c:formatCode="0.00_);[Red]\(0.00\)">
                  <c:v>5.986</c:v>
                </c:pt>
                <c:pt idx="180" c:formatCode="0.00_);[Red]\(0.00\)">
                  <c:v>6.019</c:v>
                </c:pt>
                <c:pt idx="181" c:formatCode="0.00_);[Red]\(0.00\)">
                  <c:v>6.053</c:v>
                </c:pt>
                <c:pt idx="182" c:formatCode="0.00_);[Red]\(0.00\)">
                  <c:v>6.086</c:v>
                </c:pt>
                <c:pt idx="183" c:formatCode="0.00_);[Red]\(0.00\)">
                  <c:v>6.12</c:v>
                </c:pt>
                <c:pt idx="184" c:formatCode="0.00_);[Red]\(0.00\)">
                  <c:v>6.153</c:v>
                </c:pt>
                <c:pt idx="185" c:formatCode="0.00_);[Red]\(0.00\)">
                  <c:v>6.187</c:v>
                </c:pt>
                <c:pt idx="186" c:formatCode="0.00_);[Red]\(0.00\)">
                  <c:v>6.22</c:v>
                </c:pt>
                <c:pt idx="187" c:formatCode="0.00_);[Red]\(0.00\)">
                  <c:v>6.254</c:v>
                </c:pt>
                <c:pt idx="188" c:formatCode="0.00_);[Red]\(0.00\)">
                  <c:v>6.287</c:v>
                </c:pt>
                <c:pt idx="189" c:formatCode="0.00_);[Red]\(0.00\)">
                  <c:v>6.32</c:v>
                </c:pt>
                <c:pt idx="190" c:formatCode="0.00_);[Red]\(0.00\)">
                  <c:v>6.354</c:v>
                </c:pt>
                <c:pt idx="191" c:formatCode="0.00_);[Red]\(0.00\)">
                  <c:v>6.387</c:v>
                </c:pt>
                <c:pt idx="192" c:formatCode="0.00_);[Red]\(0.00\)">
                  <c:v>6.421</c:v>
                </c:pt>
                <c:pt idx="193" c:formatCode="0.00_);[Red]\(0.00\)">
                  <c:v>6.454</c:v>
                </c:pt>
                <c:pt idx="194" c:formatCode="0.00_);[Red]\(0.00\)">
                  <c:v>6.488</c:v>
                </c:pt>
                <c:pt idx="195" c:formatCode="0.00_);[Red]\(0.00\)">
                  <c:v>6.521</c:v>
                </c:pt>
                <c:pt idx="196" c:formatCode="0.00_);[Red]\(0.00\)">
                  <c:v>6.555</c:v>
                </c:pt>
                <c:pt idx="197" c:formatCode="0.00_);[Red]\(0.00\)">
                  <c:v>6.588</c:v>
                </c:pt>
                <c:pt idx="198" c:formatCode="0.00_);[Red]\(0.00\)">
                  <c:v>6.621</c:v>
                </c:pt>
                <c:pt idx="199" c:formatCode="0.00_);[Red]\(0.00\)">
                  <c:v>6.655</c:v>
                </c:pt>
                <c:pt idx="200" c:formatCode="0.00_);[Red]\(0.00\)">
                  <c:v>6.688</c:v>
                </c:pt>
                <c:pt idx="201" c:formatCode="0.00_);[Red]\(0.00\)">
                  <c:v>6.722</c:v>
                </c:pt>
                <c:pt idx="202" c:formatCode="0.00_);[Red]\(0.00\)">
                  <c:v>6.755</c:v>
                </c:pt>
                <c:pt idx="203" c:formatCode="0.00_);[Red]\(0.00\)">
                  <c:v>6.789</c:v>
                </c:pt>
                <c:pt idx="204" c:formatCode="0.00_);[Red]\(0.00\)">
                  <c:v>6.822</c:v>
                </c:pt>
                <c:pt idx="205" c:formatCode="0.00_);[Red]\(0.00\)">
                  <c:v>6.855</c:v>
                </c:pt>
                <c:pt idx="206" c:formatCode="0.00_);[Red]\(0.00\)">
                  <c:v>6.889</c:v>
                </c:pt>
                <c:pt idx="207" c:formatCode="0.00_);[Red]\(0.00\)">
                  <c:v>6.922</c:v>
                </c:pt>
                <c:pt idx="208" c:formatCode="0.00_);[Red]\(0.00\)">
                  <c:v>6.956</c:v>
                </c:pt>
                <c:pt idx="209" c:formatCode="0.00_);[Red]\(0.00\)">
                  <c:v>6.989</c:v>
                </c:pt>
                <c:pt idx="210" c:formatCode="0.00_);[Red]\(0.00\)">
                  <c:v>7.023</c:v>
                </c:pt>
                <c:pt idx="211" c:formatCode="0.00_);[Red]\(0.00\)">
                  <c:v>7.056</c:v>
                </c:pt>
                <c:pt idx="212" c:formatCode="0.00_);[Red]\(0.00\)">
                  <c:v>7.09</c:v>
                </c:pt>
                <c:pt idx="213" c:formatCode="0.00_);[Red]\(0.00\)">
                  <c:v>7.123</c:v>
                </c:pt>
                <c:pt idx="214" c:formatCode="0.00_);[Red]\(0.00\)">
                  <c:v>7.156</c:v>
                </c:pt>
                <c:pt idx="215" c:formatCode="0.00_);[Red]\(0.00\)">
                  <c:v>7.19</c:v>
                </c:pt>
                <c:pt idx="216" c:formatCode="0.00_);[Red]\(0.00\)">
                  <c:v>7.223</c:v>
                </c:pt>
                <c:pt idx="217" c:formatCode="0.00_);[Red]\(0.00\)">
                  <c:v>7.257</c:v>
                </c:pt>
                <c:pt idx="218" c:formatCode="0.00_);[Red]\(0.00\)">
                  <c:v>7.29</c:v>
                </c:pt>
                <c:pt idx="219" c:formatCode="0.00_);[Red]\(0.00\)">
                  <c:v>7.324</c:v>
                </c:pt>
                <c:pt idx="220" c:formatCode="0.00_);[Red]\(0.00\)">
                  <c:v>7.357</c:v>
                </c:pt>
                <c:pt idx="221" c:formatCode="0.00_);[Red]\(0.00\)">
                  <c:v>7.391</c:v>
                </c:pt>
                <c:pt idx="222" c:formatCode="0.00_);[Red]\(0.00\)">
                  <c:v>7.424</c:v>
                </c:pt>
                <c:pt idx="223" c:formatCode="0.00_);[Red]\(0.00\)">
                  <c:v>7.457</c:v>
                </c:pt>
                <c:pt idx="224" c:formatCode="0.00_);[Red]\(0.00\)">
                  <c:v>7.491</c:v>
                </c:pt>
                <c:pt idx="225" c:formatCode="0.00_);[Red]\(0.00\)">
                  <c:v>7.524</c:v>
                </c:pt>
                <c:pt idx="226" c:formatCode="0.00_);[Red]\(0.00\)">
                  <c:v>7.558</c:v>
                </c:pt>
                <c:pt idx="227" c:formatCode="0.00_);[Red]\(0.00\)">
                  <c:v>7.591</c:v>
                </c:pt>
                <c:pt idx="228" c:formatCode="0.00_);[Red]\(0.00\)">
                  <c:v>7.625</c:v>
                </c:pt>
                <c:pt idx="229" c:formatCode="0.00_);[Red]\(0.00\)">
                  <c:v>7.658</c:v>
                </c:pt>
                <c:pt idx="230" c:formatCode="0.00_);[Red]\(0.00\)">
                  <c:v>7.692</c:v>
                </c:pt>
                <c:pt idx="231" c:formatCode="0.00_);[Red]\(0.00\)">
                  <c:v>7.725</c:v>
                </c:pt>
                <c:pt idx="232" c:formatCode="0.00_);[Red]\(0.00\)">
                  <c:v>7.758</c:v>
                </c:pt>
                <c:pt idx="233" c:formatCode="0.00_);[Red]\(0.00\)">
                  <c:v>7.792</c:v>
                </c:pt>
                <c:pt idx="234" c:formatCode="0.00_);[Red]\(0.00\)">
                  <c:v>7.825</c:v>
                </c:pt>
                <c:pt idx="235" c:formatCode="0.00_);[Red]\(0.00\)">
                  <c:v>7.859</c:v>
                </c:pt>
                <c:pt idx="236" c:formatCode="0.00_);[Red]\(0.00\)">
                  <c:v>7.892</c:v>
                </c:pt>
                <c:pt idx="237" c:formatCode="0.00_);[Red]\(0.00\)">
                  <c:v>7.926</c:v>
                </c:pt>
                <c:pt idx="238" c:formatCode="0.00_);[Red]\(0.00\)">
                  <c:v>7.959</c:v>
                </c:pt>
                <c:pt idx="239" c:formatCode="0.00_);[Red]\(0.00\)">
                  <c:v>7.992</c:v>
                </c:pt>
                <c:pt idx="240" c:formatCode="0.00_);[Red]\(0.00\)">
                  <c:v>8.026</c:v>
                </c:pt>
                <c:pt idx="241" c:formatCode="0.00_);[Red]\(0.00\)">
                  <c:v>8.059</c:v>
                </c:pt>
                <c:pt idx="242" c:formatCode="0.00_);[Red]\(0.00\)">
                  <c:v>8.093</c:v>
                </c:pt>
                <c:pt idx="243" c:formatCode="0.00_);[Red]\(0.00\)">
                  <c:v>8.126</c:v>
                </c:pt>
                <c:pt idx="244" c:formatCode="0.00_);[Red]\(0.00\)">
                  <c:v>8.16</c:v>
                </c:pt>
                <c:pt idx="245" c:formatCode="0.00_);[Red]\(0.00\)">
                  <c:v>8.193</c:v>
                </c:pt>
                <c:pt idx="246" c:formatCode="0.00_);[Red]\(0.00\)">
                  <c:v>8.227</c:v>
                </c:pt>
                <c:pt idx="247" c:formatCode="0.00_);[Red]\(0.00\)">
                  <c:v>8.26</c:v>
                </c:pt>
                <c:pt idx="248" c:formatCode="0.00_);[Red]\(0.00\)">
                  <c:v>8.293</c:v>
                </c:pt>
                <c:pt idx="249" c:formatCode="0.00_);[Red]\(0.00\)">
                  <c:v>8.327</c:v>
                </c:pt>
                <c:pt idx="250" c:formatCode="0.00_);[Red]\(0.00\)">
                  <c:v>8.36</c:v>
                </c:pt>
                <c:pt idx="251" c:formatCode="0.00_);[Red]\(0.00\)">
                  <c:v>8.394</c:v>
                </c:pt>
                <c:pt idx="252" c:formatCode="0.00_);[Red]\(0.00\)">
                  <c:v>8.427</c:v>
                </c:pt>
                <c:pt idx="253" c:formatCode="0.00_);[Red]\(0.00\)">
                  <c:v>8.461</c:v>
                </c:pt>
                <c:pt idx="254" c:formatCode="0.00_);[Red]\(0.00\)">
                  <c:v>8.494</c:v>
                </c:pt>
                <c:pt idx="255" c:formatCode="0.00_);[Red]\(0.00\)">
                  <c:v>8.528</c:v>
                </c:pt>
                <c:pt idx="256" c:formatCode="0.00_);[Red]\(0.00\)">
                  <c:v>8.561</c:v>
                </c:pt>
                <c:pt idx="257" c:formatCode="0.00_);[Red]\(0.00\)">
                  <c:v>8.594</c:v>
                </c:pt>
                <c:pt idx="258" c:formatCode="0.00_);[Red]\(0.00\)">
                  <c:v>8.628</c:v>
                </c:pt>
                <c:pt idx="259" c:formatCode="0.00_);[Red]\(0.00\)">
                  <c:v>8.661</c:v>
                </c:pt>
                <c:pt idx="260" c:formatCode="0.00_);[Red]\(0.00\)">
                  <c:v>8.695</c:v>
                </c:pt>
                <c:pt idx="261" c:formatCode="0.00_);[Red]\(0.00\)">
                  <c:v>8.728</c:v>
                </c:pt>
                <c:pt idx="262" c:formatCode="0.00_);[Red]\(0.00\)">
                  <c:v>8.762</c:v>
                </c:pt>
                <c:pt idx="263" c:formatCode="0.00_);[Red]\(0.00\)">
                  <c:v>8.795</c:v>
                </c:pt>
                <c:pt idx="264" c:formatCode="0.00_);[Red]\(0.00\)">
                  <c:v>8.829</c:v>
                </c:pt>
                <c:pt idx="265" c:formatCode="0.00_);[Red]\(0.00\)">
                  <c:v>8.862</c:v>
                </c:pt>
                <c:pt idx="266" c:formatCode="0.00_);[Red]\(0.00\)">
                  <c:v>8.895</c:v>
                </c:pt>
                <c:pt idx="267" c:formatCode="0.00_);[Red]\(0.00\)">
                  <c:v>8.929</c:v>
                </c:pt>
                <c:pt idx="268" c:formatCode="0.00_);[Red]\(0.00\)">
                  <c:v>8.962</c:v>
                </c:pt>
                <c:pt idx="269" c:formatCode="0.00_);[Red]\(0.00\)">
                  <c:v>8.996</c:v>
                </c:pt>
                <c:pt idx="270" c:formatCode="0.00_);[Red]\(0.00\)">
                  <c:v>9.029</c:v>
                </c:pt>
                <c:pt idx="271" c:formatCode="0.00_);[Red]\(0.00\)">
                  <c:v>9.063</c:v>
                </c:pt>
                <c:pt idx="272" c:formatCode="0.00_);[Red]\(0.00\)">
                  <c:v>9.096</c:v>
                </c:pt>
                <c:pt idx="273" c:formatCode="0.00_);[Red]\(0.00\)">
                  <c:v>9.129</c:v>
                </c:pt>
                <c:pt idx="274" c:formatCode="0.00_);[Red]\(0.00\)">
                  <c:v>9.163</c:v>
                </c:pt>
                <c:pt idx="275" c:formatCode="0.00_);[Red]\(0.00\)">
                  <c:v>9.196</c:v>
                </c:pt>
                <c:pt idx="276" c:formatCode="0.00_);[Red]\(0.00\)">
                  <c:v>9.23</c:v>
                </c:pt>
                <c:pt idx="277" c:formatCode="0.00_);[Red]\(0.00\)">
                  <c:v>9.263</c:v>
                </c:pt>
                <c:pt idx="278" c:formatCode="0.00_);[Red]\(0.00\)">
                  <c:v>9.297</c:v>
                </c:pt>
                <c:pt idx="279" c:formatCode="0.00_);[Red]\(0.00\)">
                  <c:v>9.33</c:v>
                </c:pt>
                <c:pt idx="280" c:formatCode="0.00_);[Red]\(0.00\)">
                  <c:v>9.364</c:v>
                </c:pt>
                <c:pt idx="281" c:formatCode="0.00_);[Red]\(0.00\)">
                  <c:v>9.397</c:v>
                </c:pt>
                <c:pt idx="282" c:formatCode="0.00_);[Red]\(0.00\)">
                  <c:v>9.43</c:v>
                </c:pt>
                <c:pt idx="283" c:formatCode="0.00_);[Red]\(0.00\)">
                  <c:v>9.464</c:v>
                </c:pt>
                <c:pt idx="284" c:formatCode="0.00_);[Red]\(0.00\)">
                  <c:v>9.497</c:v>
                </c:pt>
                <c:pt idx="285" c:formatCode="0.00_);[Red]\(0.00\)">
                  <c:v>9.531</c:v>
                </c:pt>
                <c:pt idx="286" c:formatCode="0.00_);[Red]\(0.00\)">
                  <c:v>9.564</c:v>
                </c:pt>
                <c:pt idx="287" c:formatCode="0.00_);[Red]\(0.00\)">
                  <c:v>9.598</c:v>
                </c:pt>
                <c:pt idx="288" c:formatCode="0.00_);[Red]\(0.00\)">
                  <c:v>9.631</c:v>
                </c:pt>
                <c:pt idx="289" c:formatCode="0.00_);[Red]\(0.00\)">
                  <c:v>9.665</c:v>
                </c:pt>
                <c:pt idx="290" c:formatCode="0.00_);[Red]\(0.00\)">
                  <c:v>9.698</c:v>
                </c:pt>
                <c:pt idx="291" c:formatCode="0.00_);[Red]\(0.00\)">
                  <c:v>9.731</c:v>
                </c:pt>
                <c:pt idx="292" c:formatCode="0.00_);[Red]\(0.00\)">
                  <c:v>9.765</c:v>
                </c:pt>
                <c:pt idx="293" c:formatCode="0.00_);[Red]\(0.00\)">
                  <c:v>9.798</c:v>
                </c:pt>
                <c:pt idx="294" c:formatCode="0.00_);[Red]\(0.00\)">
                  <c:v>9.832</c:v>
                </c:pt>
                <c:pt idx="295" c:formatCode="0.00_);[Red]\(0.00\)">
                  <c:v>9.865</c:v>
                </c:pt>
                <c:pt idx="296" c:formatCode="0.00_);[Red]\(0.00\)">
                  <c:v>9.899</c:v>
                </c:pt>
                <c:pt idx="297" c:formatCode="0.00_);[Red]\(0.00\)">
                  <c:v>9.932</c:v>
                </c:pt>
                <c:pt idx="298" c:formatCode="0.00_);[Red]\(0.00\)">
                  <c:v>9.966</c:v>
                </c:pt>
                <c:pt idx="299" c:formatCode="0.00_);[Red]\(0.00\)">
                  <c:v>9.999</c:v>
                </c:pt>
                <c:pt idx="300" c:formatCode="0.00_);[Red]\(0.00\)">
                  <c:v>10.032</c:v>
                </c:pt>
                <c:pt idx="301" c:formatCode="0.00_);[Red]\(0.00\)">
                  <c:v>10.066</c:v>
                </c:pt>
                <c:pt idx="302" c:formatCode="0.00_);[Red]\(0.00\)">
                  <c:v>10.099</c:v>
                </c:pt>
                <c:pt idx="303" c:formatCode="0.00_);[Red]\(0.00\)">
                  <c:v>10.133</c:v>
                </c:pt>
                <c:pt idx="304" c:formatCode="0.00_);[Red]\(0.00\)">
                  <c:v>10.166</c:v>
                </c:pt>
                <c:pt idx="305" c:formatCode="0.00_);[Red]\(0.00\)">
                  <c:v>10.2</c:v>
                </c:pt>
                <c:pt idx="306" c:formatCode="0.00_);[Red]\(0.00\)">
                  <c:v>10.233</c:v>
                </c:pt>
                <c:pt idx="307" c:formatCode="0.00_);[Red]\(0.00\)">
                  <c:v>10.266</c:v>
                </c:pt>
                <c:pt idx="308" c:formatCode="0.00_);[Red]\(0.00\)">
                  <c:v>10.3</c:v>
                </c:pt>
                <c:pt idx="309" c:formatCode="0.00_);[Red]\(0.00\)">
                  <c:v>10.333</c:v>
                </c:pt>
                <c:pt idx="310" c:formatCode="0.00_);[Red]\(0.00\)">
                  <c:v>10.367</c:v>
                </c:pt>
                <c:pt idx="311" c:formatCode="0.00_);[Red]\(0.00\)">
                  <c:v>10.4</c:v>
                </c:pt>
                <c:pt idx="312" c:formatCode="0.00_);[Red]\(0.00\)">
                  <c:v>10.434</c:v>
                </c:pt>
                <c:pt idx="313" c:formatCode="0.00_);[Red]\(0.00\)">
                  <c:v>10.467</c:v>
                </c:pt>
                <c:pt idx="314" c:formatCode="0.00_);[Red]\(0.00\)">
                  <c:v>10.501</c:v>
                </c:pt>
                <c:pt idx="315" c:formatCode="0.00_);[Red]\(0.00\)">
                  <c:v>10.534</c:v>
                </c:pt>
                <c:pt idx="316" c:formatCode="0.00_);[Red]\(0.00\)">
                  <c:v>10.567</c:v>
                </c:pt>
                <c:pt idx="317" c:formatCode="0.00_);[Red]\(0.00\)">
                  <c:v>10.601</c:v>
                </c:pt>
                <c:pt idx="318" c:formatCode="0.00_);[Red]\(0.00\)">
                  <c:v>10.634</c:v>
                </c:pt>
                <c:pt idx="319" c:formatCode="0.00_);[Red]\(0.00\)">
                  <c:v>10.668</c:v>
                </c:pt>
                <c:pt idx="320" c:formatCode="0.00_);[Red]\(0.00\)">
                  <c:v>10.701</c:v>
                </c:pt>
                <c:pt idx="321" c:formatCode="0.00_);[Red]\(0.00\)">
                  <c:v>10.735</c:v>
                </c:pt>
                <c:pt idx="322" c:formatCode="0.00_);[Red]\(0.00\)">
                  <c:v>10.768</c:v>
                </c:pt>
                <c:pt idx="323" c:formatCode="0.00_);[Red]\(0.00\)">
                  <c:v>10.802</c:v>
                </c:pt>
                <c:pt idx="324" c:formatCode="0.00_);[Red]\(0.00\)">
                  <c:v>10.835</c:v>
                </c:pt>
                <c:pt idx="325" c:formatCode="0.00_);[Red]\(0.00\)">
                  <c:v>10.868</c:v>
                </c:pt>
                <c:pt idx="326" c:formatCode="0.00_);[Red]\(0.00\)">
                  <c:v>10.902</c:v>
                </c:pt>
                <c:pt idx="327" c:formatCode="0.00_);[Red]\(0.00\)">
                  <c:v>10.935</c:v>
                </c:pt>
                <c:pt idx="328" c:formatCode="0.00_);[Red]\(0.00\)">
                  <c:v>10.969</c:v>
                </c:pt>
                <c:pt idx="329" c:formatCode="0.00_);[Red]\(0.00\)">
                  <c:v>11.002</c:v>
                </c:pt>
                <c:pt idx="330" c:formatCode="0.00_);[Red]\(0.00\)">
                  <c:v>11.036</c:v>
                </c:pt>
                <c:pt idx="331" c:formatCode="0.00_);[Red]\(0.00\)">
                  <c:v>11.069</c:v>
                </c:pt>
                <c:pt idx="332" c:formatCode="0.00_);[Red]\(0.00\)">
                  <c:v>11.103</c:v>
                </c:pt>
                <c:pt idx="333" c:formatCode="0.00_);[Red]\(0.00\)">
                  <c:v>11.136</c:v>
                </c:pt>
                <c:pt idx="334" c:formatCode="0.00_);[Red]\(0.00\)">
                  <c:v>11.169</c:v>
                </c:pt>
                <c:pt idx="335" c:formatCode="0.00_);[Red]\(0.00\)">
                  <c:v>11.203</c:v>
                </c:pt>
                <c:pt idx="336" c:formatCode="0.00_);[Red]\(0.00\)">
                  <c:v>11.236</c:v>
                </c:pt>
                <c:pt idx="337" c:formatCode="0.00_);[Red]\(0.00\)">
                  <c:v>11.27</c:v>
                </c:pt>
                <c:pt idx="338" c:formatCode="0.00_);[Red]\(0.00\)">
                  <c:v>11.303</c:v>
                </c:pt>
                <c:pt idx="339" c:formatCode="0.00_);[Red]\(0.00\)">
                  <c:v>11.337</c:v>
                </c:pt>
                <c:pt idx="340" c:formatCode="0.00_);[Red]\(0.00\)">
                  <c:v>11.37</c:v>
                </c:pt>
                <c:pt idx="341" c:formatCode="0.00_);[Red]\(0.00\)">
                  <c:v>11.404</c:v>
                </c:pt>
                <c:pt idx="342" c:formatCode="0.00_);[Red]\(0.00\)">
                  <c:v>11.437</c:v>
                </c:pt>
                <c:pt idx="343" c:formatCode="0.00_);[Red]\(0.00\)">
                  <c:v>11.47</c:v>
                </c:pt>
                <c:pt idx="344" c:formatCode="0.00_);[Red]\(0.00\)">
                  <c:v>11.504</c:v>
                </c:pt>
                <c:pt idx="345" c:formatCode="0.00_);[Red]\(0.00\)">
                  <c:v>11.537</c:v>
                </c:pt>
                <c:pt idx="346" c:formatCode="0.00_);[Red]\(0.00\)">
                  <c:v>11.571</c:v>
                </c:pt>
                <c:pt idx="347" c:formatCode="0.00_);[Red]\(0.00\)">
                  <c:v>11.604</c:v>
                </c:pt>
                <c:pt idx="348" c:formatCode="0.00_);[Red]\(0.00\)">
                  <c:v>11.638</c:v>
                </c:pt>
                <c:pt idx="349" c:formatCode="0.00_);[Red]\(0.00\)">
                  <c:v>11.671</c:v>
                </c:pt>
                <c:pt idx="350" c:formatCode="0.00_);[Red]\(0.00\)">
                  <c:v>11.704</c:v>
                </c:pt>
                <c:pt idx="351" c:formatCode="0.00_);[Red]\(0.00\)">
                  <c:v>11.738</c:v>
                </c:pt>
                <c:pt idx="352" c:formatCode="0.00_);[Red]\(0.00\)">
                  <c:v>11.771</c:v>
                </c:pt>
                <c:pt idx="353" c:formatCode="0.00_);[Red]\(0.00\)">
                  <c:v>11.805</c:v>
                </c:pt>
                <c:pt idx="354" c:formatCode="0.00_);[Red]\(0.00\)">
                  <c:v>11.838</c:v>
                </c:pt>
                <c:pt idx="355" c:formatCode="0.00_);[Red]\(0.00\)">
                  <c:v>11.872</c:v>
                </c:pt>
                <c:pt idx="356" c:formatCode="0.00_);[Red]\(0.00\)">
                  <c:v>11.905</c:v>
                </c:pt>
                <c:pt idx="357" c:formatCode="0.00_);[Red]\(0.00\)">
                  <c:v>11.939</c:v>
                </c:pt>
                <c:pt idx="358" c:formatCode="0.00_);[Red]\(0.00\)">
                  <c:v>11.972</c:v>
                </c:pt>
                <c:pt idx="359" c:formatCode="0.00_);[Red]\(0.00\)">
                  <c:v>12.005</c:v>
                </c:pt>
                <c:pt idx="360" c:formatCode="0.00_);[Red]\(0.00\)">
                  <c:v>12.039</c:v>
                </c:pt>
                <c:pt idx="361" c:formatCode="0.00_);[Red]\(0.00\)">
                  <c:v>12.072</c:v>
                </c:pt>
                <c:pt idx="362" c:formatCode="0.00_);[Red]\(0.00\)">
                  <c:v>12.106</c:v>
                </c:pt>
                <c:pt idx="363" c:formatCode="0.00_);[Red]\(0.00\)">
                  <c:v>12.139</c:v>
                </c:pt>
                <c:pt idx="364" c:formatCode="0.00_);[Red]\(0.00\)">
                  <c:v>12.173</c:v>
                </c:pt>
                <c:pt idx="365" c:formatCode="0.00_);[Red]\(0.00\)">
                  <c:v>12.206</c:v>
                </c:pt>
                <c:pt idx="366" c:formatCode="0.00_);[Red]\(0.00\)">
                  <c:v>12.24</c:v>
                </c:pt>
                <c:pt idx="367" c:formatCode="0.00_);[Red]\(0.00\)">
                  <c:v>12.273</c:v>
                </c:pt>
                <c:pt idx="368" c:formatCode="0.00_);[Red]\(0.00\)">
                  <c:v>12.306</c:v>
                </c:pt>
                <c:pt idx="369" c:formatCode="0.00_);[Red]\(0.00\)">
                  <c:v>12.34</c:v>
                </c:pt>
                <c:pt idx="370" c:formatCode="0.00_);[Red]\(0.00\)">
                  <c:v>12.373</c:v>
                </c:pt>
                <c:pt idx="371" c:formatCode="0.00_);[Red]\(0.00\)">
                  <c:v>12.407</c:v>
                </c:pt>
                <c:pt idx="372" c:formatCode="0.00_);[Red]\(0.00\)">
                  <c:v>12.44</c:v>
                </c:pt>
                <c:pt idx="373" c:formatCode="0.00_);[Red]\(0.00\)">
                  <c:v>12.474</c:v>
                </c:pt>
                <c:pt idx="374" c:formatCode="0.00_);[Red]\(0.00\)">
                  <c:v>12.507</c:v>
                </c:pt>
                <c:pt idx="375" c:formatCode="0.00_);[Red]\(0.00\)">
                  <c:v>12.541</c:v>
                </c:pt>
                <c:pt idx="376" c:formatCode="0.00_);[Red]\(0.00\)">
                  <c:v>12.574</c:v>
                </c:pt>
                <c:pt idx="377" c:formatCode="0.00_);[Red]\(0.00\)">
                  <c:v>12.607</c:v>
                </c:pt>
                <c:pt idx="378" c:formatCode="0.00_);[Red]\(0.00\)">
                  <c:v>12.641</c:v>
                </c:pt>
                <c:pt idx="379" c:formatCode="0.00_);[Red]\(0.00\)">
                  <c:v>12.674</c:v>
                </c:pt>
                <c:pt idx="380" c:formatCode="0.00_);[Red]\(0.00\)">
                  <c:v>12.708</c:v>
                </c:pt>
                <c:pt idx="381" c:formatCode="0.00_);[Red]\(0.00\)">
                  <c:v>12.741</c:v>
                </c:pt>
                <c:pt idx="382" c:formatCode="0.00_);[Red]\(0.00\)">
                  <c:v>12.775</c:v>
                </c:pt>
                <c:pt idx="383" c:formatCode="0.00_);[Red]\(0.00\)">
                  <c:v>12.808</c:v>
                </c:pt>
                <c:pt idx="384" c:formatCode="0.00_);[Red]\(0.00\)">
                  <c:v>12.841</c:v>
                </c:pt>
                <c:pt idx="385" c:formatCode="0.00_);[Red]\(0.00\)">
                  <c:v>12.875</c:v>
                </c:pt>
                <c:pt idx="386" c:formatCode="0.00_);[Red]\(0.00\)">
                  <c:v>12.908</c:v>
                </c:pt>
                <c:pt idx="387" c:formatCode="0.00_);[Red]\(0.00\)">
                  <c:v>12.942</c:v>
                </c:pt>
                <c:pt idx="388" c:formatCode="0.00_);[Red]\(0.00\)">
                  <c:v>12.975</c:v>
                </c:pt>
                <c:pt idx="389" c:formatCode="0.00_);[Red]\(0.00\)">
                  <c:v>13.009</c:v>
                </c:pt>
                <c:pt idx="390" c:formatCode="0.00_);[Red]\(0.00\)">
                  <c:v>13.042</c:v>
                </c:pt>
                <c:pt idx="391" c:formatCode="0.00_);[Red]\(0.00\)">
                  <c:v>13.076</c:v>
                </c:pt>
                <c:pt idx="392" c:formatCode="0.00_);[Red]\(0.00\)">
                  <c:v>13.109</c:v>
                </c:pt>
                <c:pt idx="393" c:formatCode="0.00_);[Red]\(0.00\)">
                  <c:v>13.142</c:v>
                </c:pt>
                <c:pt idx="394" c:formatCode="0.00_);[Red]\(0.00\)">
                  <c:v>13.176</c:v>
                </c:pt>
                <c:pt idx="395" c:formatCode="0.00_);[Red]\(0.00\)">
                  <c:v>13.209</c:v>
                </c:pt>
                <c:pt idx="396" c:formatCode="0.00_);[Red]\(0.00\)">
                  <c:v>13.243</c:v>
                </c:pt>
                <c:pt idx="397" c:formatCode="0.00_);[Red]\(0.00\)">
                  <c:v>13.276</c:v>
                </c:pt>
                <c:pt idx="398" c:formatCode="0.00_);[Red]\(0.00\)">
                  <c:v>13.31</c:v>
                </c:pt>
                <c:pt idx="399" c:formatCode="0.00_);[Red]\(0.00\)">
                  <c:v>13.343</c:v>
                </c:pt>
                <c:pt idx="400" c:formatCode="0.00_);[Red]\(0.00\)">
                  <c:v>13.377</c:v>
                </c:pt>
                <c:pt idx="401" c:formatCode="0.00_);[Red]\(0.00\)">
                  <c:v>13.41</c:v>
                </c:pt>
                <c:pt idx="402" c:formatCode="0.00_);[Red]\(0.00\)">
                  <c:v>13.443</c:v>
                </c:pt>
                <c:pt idx="403" c:formatCode="0.00_);[Red]\(0.00\)">
                  <c:v>13.477</c:v>
                </c:pt>
                <c:pt idx="404" c:formatCode="0.00_);[Red]\(0.00\)">
                  <c:v>13.51</c:v>
                </c:pt>
                <c:pt idx="405" c:formatCode="0.00_);[Red]\(0.00\)">
                  <c:v>13.544</c:v>
                </c:pt>
                <c:pt idx="406" c:formatCode="0.00_);[Red]\(0.00\)">
                  <c:v>13.577</c:v>
                </c:pt>
                <c:pt idx="407" c:formatCode="0.00_);[Red]\(0.00\)">
                  <c:v>13.611</c:v>
                </c:pt>
                <c:pt idx="408" c:formatCode="0.00_);[Red]\(0.00\)">
                  <c:v>13.644</c:v>
                </c:pt>
                <c:pt idx="409" c:formatCode="0.00_);[Red]\(0.00\)">
                  <c:v>13.678</c:v>
                </c:pt>
                <c:pt idx="410" c:formatCode="0.00_);[Red]\(0.00\)">
                  <c:v>13.711</c:v>
                </c:pt>
                <c:pt idx="411" c:formatCode="0.00_);[Red]\(0.00\)">
                  <c:v>13.744</c:v>
                </c:pt>
                <c:pt idx="412" c:formatCode="0.00_);[Red]\(0.00\)">
                  <c:v>13.778</c:v>
                </c:pt>
                <c:pt idx="413" c:formatCode="0.00_);[Red]\(0.00\)">
                  <c:v>13.811</c:v>
                </c:pt>
                <c:pt idx="414" c:formatCode="0.00_);[Red]\(0.00\)">
                  <c:v>13.845</c:v>
                </c:pt>
                <c:pt idx="415" c:formatCode="0.00_);[Red]\(0.00\)">
                  <c:v>13.878</c:v>
                </c:pt>
                <c:pt idx="416" c:formatCode="0.00_);[Red]\(0.00\)">
                  <c:v>13.912</c:v>
                </c:pt>
                <c:pt idx="417" c:formatCode="0.00_);[Red]\(0.00\)">
                  <c:v>13.945</c:v>
                </c:pt>
                <c:pt idx="418" c:formatCode="0.00_);[Red]\(0.00\)">
                  <c:v>13.978</c:v>
                </c:pt>
                <c:pt idx="419" c:formatCode="0.00_);[Red]\(0.00\)">
                  <c:v>14.012</c:v>
                </c:pt>
                <c:pt idx="420" c:formatCode="0.00_);[Red]\(0.00\)">
                  <c:v>14.045</c:v>
                </c:pt>
                <c:pt idx="421" c:formatCode="0.00_);[Red]\(0.00\)">
                  <c:v>14.079</c:v>
                </c:pt>
                <c:pt idx="422" c:formatCode="0.00_);[Red]\(0.00\)">
                  <c:v>14.112</c:v>
                </c:pt>
                <c:pt idx="423" c:formatCode="0.00_);[Red]\(0.00\)">
                  <c:v>14.146</c:v>
                </c:pt>
                <c:pt idx="424" c:formatCode="0.00_);[Red]\(0.00\)">
                  <c:v>14.179</c:v>
                </c:pt>
                <c:pt idx="425" c:formatCode="0.00_);[Red]\(0.00\)">
                  <c:v>14.213</c:v>
                </c:pt>
                <c:pt idx="426" c:formatCode="0.00_);[Red]\(0.00\)">
                  <c:v>14.246</c:v>
                </c:pt>
                <c:pt idx="427" c:formatCode="0.00_);[Red]\(0.00\)">
                  <c:v>14.279</c:v>
                </c:pt>
                <c:pt idx="428" c:formatCode="0.00_);[Red]\(0.00\)">
                  <c:v>14.313</c:v>
                </c:pt>
                <c:pt idx="429" c:formatCode="0.00_);[Red]\(0.00\)">
                  <c:v>14.346</c:v>
                </c:pt>
                <c:pt idx="430" c:formatCode="0.00_);[Red]\(0.00\)">
                  <c:v>14.38</c:v>
                </c:pt>
                <c:pt idx="431" c:formatCode="0.00_);[Red]\(0.00\)">
                  <c:v>14.413</c:v>
                </c:pt>
                <c:pt idx="432" c:formatCode="0.00_);[Red]\(0.00\)">
                  <c:v>14.447</c:v>
                </c:pt>
                <c:pt idx="433" c:formatCode="0.00_);[Red]\(0.00\)">
                  <c:v>14.48</c:v>
                </c:pt>
                <c:pt idx="434" c:formatCode="0.00_);[Red]\(0.00\)">
                  <c:v>14.514</c:v>
                </c:pt>
                <c:pt idx="435" c:formatCode="0.00_);[Red]\(0.00\)">
                  <c:v>14.547</c:v>
                </c:pt>
                <c:pt idx="436" c:formatCode="0.00_);[Red]\(0.00\)">
                  <c:v>14.58</c:v>
                </c:pt>
                <c:pt idx="437" c:formatCode="0.00_);[Red]\(0.00\)">
                  <c:v>14.614</c:v>
                </c:pt>
                <c:pt idx="438" c:formatCode="0.00_);[Red]\(0.00\)">
                  <c:v>14.647</c:v>
                </c:pt>
                <c:pt idx="439" c:formatCode="0.00_);[Red]\(0.00\)">
                  <c:v>14.681</c:v>
                </c:pt>
                <c:pt idx="440" c:formatCode="0.00_);[Red]\(0.00\)">
                  <c:v>14.714</c:v>
                </c:pt>
                <c:pt idx="441" c:formatCode="0.00_);[Red]\(0.00\)">
                  <c:v>14.748</c:v>
                </c:pt>
                <c:pt idx="442" c:formatCode="0.00_);[Red]\(0.00\)">
                  <c:v>14.781</c:v>
                </c:pt>
                <c:pt idx="443" c:formatCode="0.00_);[Red]\(0.00\)">
                  <c:v>14.815</c:v>
                </c:pt>
                <c:pt idx="444" c:formatCode="0.00_);[Red]\(0.00\)">
                  <c:v>14.848</c:v>
                </c:pt>
                <c:pt idx="445" c:formatCode="0.00_);[Red]\(0.00\)">
                  <c:v>14.881</c:v>
                </c:pt>
                <c:pt idx="446" c:formatCode="0.00_);[Red]\(0.00\)">
                  <c:v>14.915</c:v>
                </c:pt>
                <c:pt idx="447" c:formatCode="0.00_);[Red]\(0.00\)">
                  <c:v>14.948</c:v>
                </c:pt>
                <c:pt idx="448" c:formatCode="0.00_);[Red]\(0.00\)">
                  <c:v>14.982</c:v>
                </c:pt>
                <c:pt idx="449" c:formatCode="0.00_);[Red]\(0.00\)">
                  <c:v>15.015</c:v>
                </c:pt>
                <c:pt idx="450" c:formatCode="0.00_);[Red]\(0.00\)">
                  <c:v>15.049</c:v>
                </c:pt>
                <c:pt idx="451" c:formatCode="0.00_);[Red]\(0.00\)">
                  <c:v>15.082</c:v>
                </c:pt>
                <c:pt idx="452" c:formatCode="0.00_);[Red]\(0.00\)">
                  <c:v>15.115</c:v>
                </c:pt>
                <c:pt idx="453" c:formatCode="0.00_);[Red]\(0.00\)">
                  <c:v>15.149</c:v>
                </c:pt>
                <c:pt idx="454" c:formatCode="0.00_);[Red]\(0.00\)">
                  <c:v>15.182</c:v>
                </c:pt>
                <c:pt idx="455" c:formatCode="0.00_);[Red]\(0.00\)">
                  <c:v>15.216</c:v>
                </c:pt>
                <c:pt idx="456" c:formatCode="0.00_);[Red]\(0.00\)">
                  <c:v>15.249</c:v>
                </c:pt>
                <c:pt idx="457" c:formatCode="0.00_);[Red]\(0.00\)">
                  <c:v>15.283</c:v>
                </c:pt>
                <c:pt idx="458" c:formatCode="0.00_);[Red]\(0.00\)">
                  <c:v>15.316</c:v>
                </c:pt>
                <c:pt idx="459" c:formatCode="0.00_);[Red]\(0.00\)">
                  <c:v>15.35</c:v>
                </c:pt>
                <c:pt idx="460" c:formatCode="0.00_);[Red]\(0.00\)">
                  <c:v>15.383</c:v>
                </c:pt>
                <c:pt idx="461" c:formatCode="0.00_);[Red]\(0.00\)">
                  <c:v>15.416</c:v>
                </c:pt>
                <c:pt idx="462" c:formatCode="0.00_);[Red]\(0.00\)">
                  <c:v>15.45</c:v>
                </c:pt>
                <c:pt idx="463" c:formatCode="0.00_);[Red]\(0.00\)">
                  <c:v>15.483</c:v>
                </c:pt>
                <c:pt idx="464" c:formatCode="0.00_);[Red]\(0.00\)">
                  <c:v>15.517</c:v>
                </c:pt>
                <c:pt idx="465" c:formatCode="0.00_);[Red]\(0.00\)">
                  <c:v>15.55</c:v>
                </c:pt>
                <c:pt idx="466" c:formatCode="0.00_);[Red]\(0.00\)">
                  <c:v>15.584</c:v>
                </c:pt>
                <c:pt idx="467" c:formatCode="0.00_);[Red]\(0.00\)">
                  <c:v>15.617</c:v>
                </c:pt>
                <c:pt idx="468" c:formatCode="0.00_);[Red]\(0.00\)">
                  <c:v>15.651</c:v>
                </c:pt>
                <c:pt idx="469" c:formatCode="0.00_);[Red]\(0.00\)">
                  <c:v>15.684</c:v>
                </c:pt>
                <c:pt idx="470" c:formatCode="0.00_);[Red]\(0.00\)">
                  <c:v>15.717</c:v>
                </c:pt>
                <c:pt idx="471" c:formatCode="0.00_);[Red]\(0.00\)">
                  <c:v>15.751</c:v>
                </c:pt>
                <c:pt idx="472" c:formatCode="0.00_);[Red]\(0.00\)">
                  <c:v>15.784</c:v>
                </c:pt>
                <c:pt idx="473" c:formatCode="0.00_);[Red]\(0.00\)">
                  <c:v>15.818</c:v>
                </c:pt>
                <c:pt idx="474" c:formatCode="0.00_);[Red]\(0.00\)">
                  <c:v>15.851</c:v>
                </c:pt>
                <c:pt idx="475" c:formatCode="0.00_);[Red]\(0.00\)">
                  <c:v>15.885</c:v>
                </c:pt>
                <c:pt idx="476" c:formatCode="0.00_);[Red]\(0.00\)">
                  <c:v>15.918</c:v>
                </c:pt>
                <c:pt idx="477" c:formatCode="0.00_);[Red]\(0.00\)">
                  <c:v>15.952</c:v>
                </c:pt>
                <c:pt idx="478" c:formatCode="0.00_);[Red]\(0.00\)">
                  <c:v>15.985</c:v>
                </c:pt>
                <c:pt idx="479" c:formatCode="0.00_);[Red]\(0.00\)">
                  <c:v>16.018</c:v>
                </c:pt>
                <c:pt idx="480" c:formatCode="0.00_);[Red]\(0.00\)">
                  <c:v>16.052</c:v>
                </c:pt>
                <c:pt idx="481" c:formatCode="0.00_);[Red]\(0.00\)">
                  <c:v>16.085</c:v>
                </c:pt>
                <c:pt idx="482" c:formatCode="0.00_);[Red]\(0.00\)">
                  <c:v>16.119</c:v>
                </c:pt>
                <c:pt idx="483" c:formatCode="0.00_);[Red]\(0.00\)">
                  <c:v>16.152</c:v>
                </c:pt>
                <c:pt idx="484" c:formatCode="0.00_);[Red]\(0.00\)">
                  <c:v>16.186</c:v>
                </c:pt>
                <c:pt idx="485" c:formatCode="0.00_);[Red]\(0.00\)">
                  <c:v>16.219</c:v>
                </c:pt>
                <c:pt idx="486" c:formatCode="0.00_);[Red]\(0.00\)">
                  <c:v>16.253</c:v>
                </c:pt>
                <c:pt idx="487" c:formatCode="0.00_);[Red]\(0.00\)">
                  <c:v>16.286</c:v>
                </c:pt>
                <c:pt idx="488" c:formatCode="0.00_);[Red]\(0.00\)">
                  <c:v>16.319</c:v>
                </c:pt>
                <c:pt idx="489" c:formatCode="0.00_);[Red]\(0.00\)">
                  <c:v>16.353</c:v>
                </c:pt>
                <c:pt idx="490" c:formatCode="0.00_);[Red]\(0.00\)">
                  <c:v>16.386</c:v>
                </c:pt>
                <c:pt idx="491" c:formatCode="0.00_);[Red]\(0.00\)">
                  <c:v>16.42</c:v>
                </c:pt>
                <c:pt idx="492" c:formatCode="0.00_);[Red]\(0.00\)">
                  <c:v>16.453</c:v>
                </c:pt>
                <c:pt idx="493" c:formatCode="0.00_);[Red]\(0.00\)">
                  <c:v>16.487</c:v>
                </c:pt>
                <c:pt idx="494" c:formatCode="0.00_);[Red]\(0.00\)">
                  <c:v>16.52</c:v>
                </c:pt>
                <c:pt idx="495" c:formatCode="0.00_);[Red]\(0.00\)">
                  <c:v>16.553</c:v>
                </c:pt>
                <c:pt idx="496" c:formatCode="0.00_);[Red]\(0.00\)">
                  <c:v>16.587</c:v>
                </c:pt>
                <c:pt idx="497" c:formatCode="0.00_);[Red]\(0.00\)">
                  <c:v>16.62</c:v>
                </c:pt>
                <c:pt idx="498" c:formatCode="0.00_);[Red]\(0.00\)">
                  <c:v>16.654</c:v>
                </c:pt>
                <c:pt idx="499" c:formatCode="0.00_);[Red]\(0.00\)">
                  <c:v>16.687</c:v>
                </c:pt>
                <c:pt idx="500" c:formatCode="0.00_);[Red]\(0.00\)">
                  <c:v>16.721</c:v>
                </c:pt>
                <c:pt idx="501" c:formatCode="0.00_);[Red]\(0.00\)">
                  <c:v>16.754</c:v>
                </c:pt>
                <c:pt idx="502" c:formatCode="0.00_);[Red]\(0.00\)">
                  <c:v>16.788</c:v>
                </c:pt>
                <c:pt idx="503" c:formatCode="0.00_);[Red]\(0.00\)">
                  <c:v>16.821</c:v>
                </c:pt>
                <c:pt idx="504" c:formatCode="0.00_);[Red]\(0.00\)">
                  <c:v>16.854</c:v>
                </c:pt>
                <c:pt idx="505" c:formatCode="0.00_);[Red]\(0.00\)">
                  <c:v>16.888</c:v>
                </c:pt>
                <c:pt idx="506" c:formatCode="0.00_);[Red]\(0.00\)">
                  <c:v>16.921</c:v>
                </c:pt>
                <c:pt idx="507" c:formatCode="0.00_);[Red]\(0.00\)">
                  <c:v>16.955</c:v>
                </c:pt>
                <c:pt idx="508" c:formatCode="0.00_);[Red]\(0.00\)">
                  <c:v>16.988</c:v>
                </c:pt>
                <c:pt idx="509" c:formatCode="0.00_);[Red]\(0.00\)">
                  <c:v>17.022</c:v>
                </c:pt>
                <c:pt idx="510" c:formatCode="0.00_);[Red]\(0.00\)">
                  <c:v>17.055</c:v>
                </c:pt>
                <c:pt idx="511" c:formatCode="0.00_);[Red]\(0.00\)">
                  <c:v>17.089</c:v>
                </c:pt>
                <c:pt idx="512" c:formatCode="0.00_);[Red]\(0.00\)">
                  <c:v>17.122</c:v>
                </c:pt>
                <c:pt idx="513" c:formatCode="0.00_);[Red]\(0.00\)">
                  <c:v>17.155</c:v>
                </c:pt>
                <c:pt idx="514" c:formatCode="0.00_);[Red]\(0.00\)">
                  <c:v>17.189</c:v>
                </c:pt>
                <c:pt idx="515" c:formatCode="0.00_);[Red]\(0.00\)">
                  <c:v>17.222</c:v>
                </c:pt>
                <c:pt idx="516" c:formatCode="0.00_);[Red]\(0.00\)">
                  <c:v>17.256</c:v>
                </c:pt>
                <c:pt idx="517" c:formatCode="0.00_);[Red]\(0.00\)">
                  <c:v>17.289</c:v>
                </c:pt>
                <c:pt idx="518" c:formatCode="0.00_);[Red]\(0.00\)">
                  <c:v>17.323</c:v>
                </c:pt>
                <c:pt idx="519" c:formatCode="0.00_);[Red]\(0.00\)">
                  <c:v>17.356</c:v>
                </c:pt>
                <c:pt idx="520" c:formatCode="0.00_);[Red]\(0.00\)">
                  <c:v>17.39</c:v>
                </c:pt>
                <c:pt idx="521" c:formatCode="0.00_);[Red]\(0.00\)">
                  <c:v>17.423</c:v>
                </c:pt>
                <c:pt idx="522" c:formatCode="0.00_);[Red]\(0.00\)">
                  <c:v>17.456</c:v>
                </c:pt>
                <c:pt idx="523" c:formatCode="0.00_);[Red]\(0.00\)">
                  <c:v>17.49</c:v>
                </c:pt>
                <c:pt idx="524" c:formatCode="0.00_);[Red]\(0.00\)">
                  <c:v>17.523</c:v>
                </c:pt>
                <c:pt idx="525" c:formatCode="0.00_);[Red]\(0.00\)">
                  <c:v>17.557</c:v>
                </c:pt>
                <c:pt idx="526" c:formatCode="0.00_);[Red]\(0.00\)">
                  <c:v>17.59</c:v>
                </c:pt>
                <c:pt idx="527" c:formatCode="0.00_);[Red]\(0.00\)">
                  <c:v>17.624</c:v>
                </c:pt>
                <c:pt idx="528" c:formatCode="0.00_);[Red]\(0.00\)">
                  <c:v>17.657</c:v>
                </c:pt>
                <c:pt idx="529" c:formatCode="0.00_);[Red]\(0.00\)">
                  <c:v>17.69</c:v>
                </c:pt>
                <c:pt idx="530" c:formatCode="0.00_);[Red]\(0.00\)">
                  <c:v>17.724</c:v>
                </c:pt>
                <c:pt idx="531" c:formatCode="0.00_);[Red]\(0.00\)">
                  <c:v>17.757</c:v>
                </c:pt>
                <c:pt idx="532" c:formatCode="0.00_);[Red]\(0.00\)">
                  <c:v>17.791</c:v>
                </c:pt>
                <c:pt idx="533" c:formatCode="0.00_);[Red]\(0.00\)">
                  <c:v>17.824</c:v>
                </c:pt>
                <c:pt idx="534" c:formatCode="0.00_);[Red]\(0.00\)">
                  <c:v>17.858</c:v>
                </c:pt>
                <c:pt idx="535" c:formatCode="0.00_);[Red]\(0.00\)">
                  <c:v>17.891</c:v>
                </c:pt>
                <c:pt idx="536" c:formatCode="0.00_);[Red]\(0.00\)">
                  <c:v>17.925</c:v>
                </c:pt>
                <c:pt idx="537" c:formatCode="0.00_);[Red]\(0.00\)">
                  <c:v>17.958</c:v>
                </c:pt>
                <c:pt idx="538" c:formatCode="0.00_);[Red]\(0.00\)">
                  <c:v>17.991</c:v>
                </c:pt>
                <c:pt idx="539" c:formatCode="0.00_);[Red]\(0.00\)">
                  <c:v>18.025</c:v>
                </c:pt>
                <c:pt idx="540" c:formatCode="0.00_);[Red]\(0.00\)">
                  <c:v>18.058</c:v>
                </c:pt>
                <c:pt idx="541" c:formatCode="0.00_);[Red]\(0.00\)">
                  <c:v>18.092</c:v>
                </c:pt>
                <c:pt idx="542" c:formatCode="0.00_);[Red]\(0.00\)">
                  <c:v>18.125</c:v>
                </c:pt>
                <c:pt idx="543" c:formatCode="0.00_);[Red]\(0.00\)">
                  <c:v>18.159</c:v>
                </c:pt>
                <c:pt idx="544" c:formatCode="0.00_);[Red]\(0.00\)">
                  <c:v>18.192</c:v>
                </c:pt>
                <c:pt idx="545" c:formatCode="0.00_);[Red]\(0.00\)">
                  <c:v>18.226</c:v>
                </c:pt>
                <c:pt idx="546" c:formatCode="0.00_);[Red]\(0.00\)">
                  <c:v>18.259</c:v>
                </c:pt>
                <c:pt idx="547" c:formatCode="0.00_);[Red]\(0.00\)">
                  <c:v>18.292</c:v>
                </c:pt>
                <c:pt idx="548" c:formatCode="0.00_);[Red]\(0.00\)">
                  <c:v>18.326</c:v>
                </c:pt>
                <c:pt idx="549" c:formatCode="0.00_);[Red]\(0.00\)">
                  <c:v>18.359</c:v>
                </c:pt>
                <c:pt idx="550" c:formatCode="0.00_);[Red]\(0.00\)">
                  <c:v>18.393</c:v>
                </c:pt>
                <c:pt idx="551" c:formatCode="0.00_);[Red]\(0.00\)">
                  <c:v>18.426</c:v>
                </c:pt>
                <c:pt idx="552" c:formatCode="0.00_);[Red]\(0.00\)">
                  <c:v>18.46</c:v>
                </c:pt>
                <c:pt idx="553" c:formatCode="0.00_);[Red]\(0.00\)">
                  <c:v>18.493</c:v>
                </c:pt>
                <c:pt idx="554" c:formatCode="0.00_);[Red]\(0.00\)">
                  <c:v>18.527</c:v>
                </c:pt>
                <c:pt idx="555" c:formatCode="0.00_);[Red]\(0.00\)">
                  <c:v>18.56</c:v>
                </c:pt>
                <c:pt idx="556" c:formatCode="0.00_);[Red]\(0.00\)">
                  <c:v>18.593</c:v>
                </c:pt>
                <c:pt idx="557" c:formatCode="0.00_);[Red]\(0.00\)">
                  <c:v>18.627</c:v>
                </c:pt>
                <c:pt idx="558" c:formatCode="0.00_);[Red]\(0.00\)">
                  <c:v>18.66</c:v>
                </c:pt>
                <c:pt idx="559" c:formatCode="0.00_);[Red]\(0.00\)">
                  <c:v>18.694</c:v>
                </c:pt>
                <c:pt idx="560" c:formatCode="0.00_);[Red]\(0.00\)">
                  <c:v>18.727</c:v>
                </c:pt>
                <c:pt idx="561" c:formatCode="0.00_);[Red]\(0.00\)">
                  <c:v>18.761</c:v>
                </c:pt>
                <c:pt idx="562" c:formatCode="0.00_);[Red]\(0.00\)">
                  <c:v>18.794</c:v>
                </c:pt>
                <c:pt idx="563" c:formatCode="0.00_);[Red]\(0.00\)">
                  <c:v>18.827</c:v>
                </c:pt>
                <c:pt idx="564" c:formatCode="0.00_);[Red]\(0.00\)">
                  <c:v>18.861</c:v>
                </c:pt>
                <c:pt idx="565" c:formatCode="0.00_);[Red]\(0.00\)">
                  <c:v>18.894</c:v>
                </c:pt>
                <c:pt idx="566" c:formatCode="0.00_);[Red]\(0.00\)">
                  <c:v>18.928</c:v>
                </c:pt>
                <c:pt idx="567" c:formatCode="0.00_);[Red]\(0.00\)">
                  <c:v>18.961</c:v>
                </c:pt>
                <c:pt idx="568" c:formatCode="0.00_);[Red]\(0.00\)">
                  <c:v>18.995</c:v>
                </c:pt>
                <c:pt idx="569" c:formatCode="0.00_);[Red]\(0.00\)">
                  <c:v>19.028</c:v>
                </c:pt>
                <c:pt idx="570" c:formatCode="0.00_);[Red]\(0.00\)">
                  <c:v>19.062</c:v>
                </c:pt>
                <c:pt idx="571" c:formatCode="0.00_);[Red]\(0.00\)">
                  <c:v>19.095</c:v>
                </c:pt>
                <c:pt idx="572" c:formatCode="0.00_);[Red]\(0.00\)">
                  <c:v>19.128</c:v>
                </c:pt>
                <c:pt idx="573" c:formatCode="0.00_);[Red]\(0.00\)">
                  <c:v>19.162</c:v>
                </c:pt>
                <c:pt idx="574" c:formatCode="0.00_);[Red]\(0.00\)">
                  <c:v>19.195</c:v>
                </c:pt>
                <c:pt idx="575" c:formatCode="0.00_);[Red]\(0.00\)">
                  <c:v>19.229</c:v>
                </c:pt>
                <c:pt idx="576" c:formatCode="0.00_);[Red]\(0.00\)">
                  <c:v>19.262</c:v>
                </c:pt>
                <c:pt idx="577" c:formatCode="0.00_);[Red]\(0.00\)">
                  <c:v>19.296</c:v>
                </c:pt>
                <c:pt idx="578" c:formatCode="0.00_);[Red]\(0.00\)">
                  <c:v>19.329</c:v>
                </c:pt>
                <c:pt idx="579" c:formatCode="0.00_);[Red]\(0.00\)">
                  <c:v>19.363</c:v>
                </c:pt>
                <c:pt idx="580" c:formatCode="0.00_);[Red]\(0.00\)">
                  <c:v>19.396</c:v>
                </c:pt>
                <c:pt idx="581" c:formatCode="0.00_);[Red]\(0.00\)">
                  <c:v>19.429</c:v>
                </c:pt>
                <c:pt idx="582" c:formatCode="0.00_);[Red]\(0.00\)">
                  <c:v>19.463</c:v>
                </c:pt>
                <c:pt idx="583" c:formatCode="0.00_);[Red]\(0.00\)">
                  <c:v>19.496</c:v>
                </c:pt>
                <c:pt idx="584" c:formatCode="0.00_);[Red]\(0.00\)">
                  <c:v>19.53</c:v>
                </c:pt>
                <c:pt idx="585" c:formatCode="0.00_);[Red]\(0.00\)">
                  <c:v>19.563</c:v>
                </c:pt>
                <c:pt idx="586" c:formatCode="0.00_);[Red]\(0.00\)">
                  <c:v>19.597</c:v>
                </c:pt>
                <c:pt idx="587" c:formatCode="0.00_);[Red]\(0.00\)">
                  <c:v>19.63</c:v>
                </c:pt>
                <c:pt idx="588" c:formatCode="0.00_);[Red]\(0.00\)">
                  <c:v>19.664</c:v>
                </c:pt>
                <c:pt idx="589" c:formatCode="0.00_);[Red]\(0.00\)">
                  <c:v>19.697</c:v>
                </c:pt>
                <c:pt idx="590" c:formatCode="0.00_);[Red]\(0.00\)">
                  <c:v>19.73</c:v>
                </c:pt>
                <c:pt idx="591" c:formatCode="0.00_);[Red]\(0.00\)">
                  <c:v>19.764</c:v>
                </c:pt>
                <c:pt idx="592" c:formatCode="0.00_);[Red]\(0.00\)">
                  <c:v>19.797</c:v>
                </c:pt>
                <c:pt idx="593" c:formatCode="0.00_);[Red]\(0.00\)">
                  <c:v>19.831</c:v>
                </c:pt>
                <c:pt idx="594" c:formatCode="0.00_);[Red]\(0.00\)">
                  <c:v>19.864</c:v>
                </c:pt>
                <c:pt idx="595" c:formatCode="0.00_);[Red]\(0.00\)">
                  <c:v>19.898</c:v>
                </c:pt>
                <c:pt idx="596" c:formatCode="0.00_);[Red]\(0.00\)">
                  <c:v>19.931</c:v>
                </c:pt>
                <c:pt idx="597" c:formatCode="0.00_);[Red]\(0.00\)">
                  <c:v>19.964</c:v>
                </c:pt>
                <c:pt idx="598" c:formatCode="0.00_);[Red]\(0.00\)">
                  <c:v>19.998</c:v>
                </c:pt>
                <c:pt idx="599" c:formatCode="0.00_);[Red]\(0.00\)">
                  <c:v>20.031</c:v>
                </c:pt>
                <c:pt idx="600" c:formatCode="0.00_);[Red]\(0.00\)">
                  <c:v>20.065</c:v>
                </c:pt>
                <c:pt idx="601" c:formatCode="0.00_);[Red]\(0.00\)">
                  <c:v>20.098</c:v>
                </c:pt>
                <c:pt idx="602" c:formatCode="0.00_);[Red]\(0.00\)">
                  <c:v>20.132</c:v>
                </c:pt>
                <c:pt idx="603" c:formatCode="0.00_);[Red]\(0.00\)">
                  <c:v>20.165</c:v>
                </c:pt>
                <c:pt idx="604" c:formatCode="0.00_);[Red]\(0.00\)">
                  <c:v>20.199</c:v>
                </c:pt>
                <c:pt idx="605" c:formatCode="0.00_);[Red]\(0.00\)">
                  <c:v>20.232</c:v>
                </c:pt>
                <c:pt idx="606" c:formatCode="0.00_);[Red]\(0.00\)">
                  <c:v>20.265</c:v>
                </c:pt>
                <c:pt idx="607" c:formatCode="0.00_);[Red]\(0.00\)">
                  <c:v>20.299</c:v>
                </c:pt>
                <c:pt idx="608" c:formatCode="0.00_);[Red]\(0.00\)">
                  <c:v>20.332</c:v>
                </c:pt>
                <c:pt idx="609" c:formatCode="0.00_);[Red]\(0.00\)">
                  <c:v>20.366</c:v>
                </c:pt>
                <c:pt idx="610" c:formatCode="0.00_);[Red]\(0.00\)">
                  <c:v>20.399</c:v>
                </c:pt>
                <c:pt idx="611" c:formatCode="0.00_);[Red]\(0.00\)">
                  <c:v>20.433</c:v>
                </c:pt>
                <c:pt idx="612" c:formatCode="0.00_);[Red]\(0.00\)">
                  <c:v>20.466</c:v>
                </c:pt>
                <c:pt idx="613" c:formatCode="0.00_);[Red]\(0.00\)">
                  <c:v>20.5</c:v>
                </c:pt>
                <c:pt idx="614" c:formatCode="0.00_);[Red]\(0.00\)">
                  <c:v>20.533</c:v>
                </c:pt>
                <c:pt idx="615" c:formatCode="0.00_);[Red]\(0.00\)">
                  <c:v>20.566</c:v>
                </c:pt>
                <c:pt idx="616" c:formatCode="0.00_);[Red]\(0.00\)">
                  <c:v>20.6</c:v>
                </c:pt>
                <c:pt idx="617" c:formatCode="0.00_);[Red]\(0.00\)">
                  <c:v>20.633</c:v>
                </c:pt>
                <c:pt idx="618" c:formatCode="0.00_);[Red]\(0.00\)">
                  <c:v>20.667</c:v>
                </c:pt>
                <c:pt idx="619" c:formatCode="0.00_);[Red]\(0.00\)">
                  <c:v>20.7</c:v>
                </c:pt>
                <c:pt idx="620" c:formatCode="0.00_);[Red]\(0.00\)">
                  <c:v>20.734</c:v>
                </c:pt>
                <c:pt idx="621" c:formatCode="0.00_);[Red]\(0.00\)">
                  <c:v>20.767</c:v>
                </c:pt>
                <c:pt idx="622" c:formatCode="0.00_);[Red]\(0.00\)">
                  <c:v>20.801</c:v>
                </c:pt>
                <c:pt idx="623" c:formatCode="0.00_);[Red]\(0.00\)">
                  <c:v>20.834</c:v>
                </c:pt>
                <c:pt idx="624" c:formatCode="0.00_);[Red]\(0.00\)">
                  <c:v>20.867</c:v>
                </c:pt>
                <c:pt idx="625" c:formatCode="0.00_);[Red]\(0.00\)">
                  <c:v>20.901</c:v>
                </c:pt>
                <c:pt idx="626" c:formatCode="0.00_);[Red]\(0.00\)">
                  <c:v>20.934</c:v>
                </c:pt>
                <c:pt idx="627" c:formatCode="0.00_);[Red]\(0.00\)">
                  <c:v>20.968</c:v>
                </c:pt>
                <c:pt idx="628" c:formatCode="0.00_);[Red]\(0.00\)">
                  <c:v>21.001</c:v>
                </c:pt>
                <c:pt idx="629" c:formatCode="0.00_);[Red]\(0.00\)">
                  <c:v>21.035</c:v>
                </c:pt>
                <c:pt idx="630" c:formatCode="0.00_);[Red]\(0.00\)">
                  <c:v>21.068</c:v>
                </c:pt>
                <c:pt idx="631" c:formatCode="0.00_);[Red]\(0.00\)">
                  <c:v>21.102</c:v>
                </c:pt>
                <c:pt idx="632" c:formatCode="0.00_);[Red]\(0.00\)">
                  <c:v>21.135</c:v>
                </c:pt>
                <c:pt idx="633" c:formatCode="0.00_);[Red]\(0.00\)">
                  <c:v>21.168</c:v>
                </c:pt>
                <c:pt idx="634" c:formatCode="0.00_);[Red]\(0.00\)">
                  <c:v>21.202</c:v>
                </c:pt>
                <c:pt idx="635" c:formatCode="0.00_);[Red]\(0.00\)">
                  <c:v>21.235</c:v>
                </c:pt>
                <c:pt idx="636" c:formatCode="0.00_);[Red]\(0.00\)">
                  <c:v>21.269</c:v>
                </c:pt>
                <c:pt idx="637" c:formatCode="0.00_);[Red]\(0.00\)">
                  <c:v>21.302</c:v>
                </c:pt>
                <c:pt idx="638" c:formatCode="0.00_);[Red]\(0.00\)">
                  <c:v>21.336</c:v>
                </c:pt>
                <c:pt idx="639" c:formatCode="0.00_);[Red]\(0.00\)">
                  <c:v>21.369</c:v>
                </c:pt>
                <c:pt idx="640" c:formatCode="0.00_);[Red]\(0.00\)">
                  <c:v>21.402</c:v>
                </c:pt>
                <c:pt idx="641" c:formatCode="0.00_);[Red]\(0.00\)">
                  <c:v>21.436</c:v>
                </c:pt>
                <c:pt idx="642" c:formatCode="0.00_);[Red]\(0.00\)">
                  <c:v>21.469</c:v>
                </c:pt>
                <c:pt idx="643" c:formatCode="0.00_);[Red]\(0.00\)">
                  <c:v>21.503</c:v>
                </c:pt>
                <c:pt idx="644" c:formatCode="0.00_);[Red]\(0.00\)">
                  <c:v>21.536</c:v>
                </c:pt>
                <c:pt idx="645" c:formatCode="0.00_);[Red]\(0.00\)">
                  <c:v>21.57</c:v>
                </c:pt>
                <c:pt idx="646" c:formatCode="0.00_);[Red]\(0.00\)">
                  <c:v>21.603</c:v>
                </c:pt>
                <c:pt idx="647" c:formatCode="0.00_);[Red]\(0.00\)">
                  <c:v>21.637</c:v>
                </c:pt>
                <c:pt idx="648" c:formatCode="0.00_);[Red]\(0.00\)">
                  <c:v>21.67</c:v>
                </c:pt>
                <c:pt idx="649" c:formatCode="0.00_);[Red]\(0.00\)">
                  <c:v>21.703</c:v>
                </c:pt>
                <c:pt idx="650" c:formatCode="0.00_);[Red]\(0.00\)">
                  <c:v>21.737</c:v>
                </c:pt>
                <c:pt idx="651" c:formatCode="0.00_);[Red]\(0.00\)">
                  <c:v>21.77</c:v>
                </c:pt>
                <c:pt idx="652" c:formatCode="0.00_);[Red]\(0.00\)">
                  <c:v>21.804</c:v>
                </c:pt>
                <c:pt idx="653" c:formatCode="0.00_);[Red]\(0.00\)">
                  <c:v>21.837</c:v>
                </c:pt>
                <c:pt idx="654" c:formatCode="0.00_);[Red]\(0.00\)">
                  <c:v>21.871</c:v>
                </c:pt>
                <c:pt idx="655" c:formatCode="0.00_);[Red]\(0.00\)">
                  <c:v>21.904</c:v>
                </c:pt>
                <c:pt idx="656" c:formatCode="0.00_);[Red]\(0.00\)">
                  <c:v>21.938</c:v>
                </c:pt>
                <c:pt idx="657" c:formatCode="0.00_);[Red]\(0.00\)">
                  <c:v>21.971</c:v>
                </c:pt>
                <c:pt idx="658" c:formatCode="0.00_);[Red]\(0.00\)">
                  <c:v>22.004</c:v>
                </c:pt>
                <c:pt idx="659" c:formatCode="0.00_);[Red]\(0.00\)">
                  <c:v>22.038</c:v>
                </c:pt>
                <c:pt idx="660" c:formatCode="0.00_);[Red]\(0.00\)">
                  <c:v>22.071</c:v>
                </c:pt>
                <c:pt idx="661" c:formatCode="0.00_);[Red]\(0.00\)">
                  <c:v>22.105</c:v>
                </c:pt>
                <c:pt idx="662" c:formatCode="0.00_);[Red]\(0.00\)">
                  <c:v>22.138</c:v>
                </c:pt>
                <c:pt idx="663" c:formatCode="0.00_);[Red]\(0.00\)">
                  <c:v>22.172</c:v>
                </c:pt>
                <c:pt idx="664" c:formatCode="0.00_);[Red]\(0.00\)">
                  <c:v>22.205</c:v>
                </c:pt>
                <c:pt idx="665" c:formatCode="0.00_);[Red]\(0.00\)">
                  <c:v>22.239</c:v>
                </c:pt>
                <c:pt idx="666" c:formatCode="0.00_);[Red]\(0.00\)">
                  <c:v>22.272</c:v>
                </c:pt>
                <c:pt idx="667" c:formatCode="0.00_);[Red]\(0.00\)">
                  <c:v>22.305</c:v>
                </c:pt>
                <c:pt idx="668" c:formatCode="0.00_);[Red]\(0.00\)">
                  <c:v>22.339</c:v>
                </c:pt>
                <c:pt idx="669" c:formatCode="0.00_);[Red]\(0.00\)">
                  <c:v>22.372</c:v>
                </c:pt>
                <c:pt idx="670" c:formatCode="0.00_);[Red]\(0.00\)">
                  <c:v>22.406</c:v>
                </c:pt>
                <c:pt idx="671" c:formatCode="0.00_);[Red]\(0.00\)">
                  <c:v>22.439</c:v>
                </c:pt>
                <c:pt idx="672" c:formatCode="0.00_);[Red]\(0.00\)">
                  <c:v>22.473</c:v>
                </c:pt>
                <c:pt idx="673" c:formatCode="0.00_);[Red]\(0.00\)">
                  <c:v>22.506</c:v>
                </c:pt>
                <c:pt idx="674" c:formatCode="0.00_);[Red]\(0.00\)">
                  <c:v>22.539</c:v>
                </c:pt>
                <c:pt idx="675" c:formatCode="0.00_);[Red]\(0.00\)">
                  <c:v>22.573</c:v>
                </c:pt>
                <c:pt idx="676" c:formatCode="0.00_);[Red]\(0.00\)">
                  <c:v>22.606</c:v>
                </c:pt>
                <c:pt idx="677" c:formatCode="0.00_);[Red]\(0.00\)">
                  <c:v>22.64</c:v>
                </c:pt>
                <c:pt idx="678" c:formatCode="0.00_);[Red]\(0.00\)">
                  <c:v>22.673</c:v>
                </c:pt>
                <c:pt idx="679" c:formatCode="0.00_);[Red]\(0.00\)">
                  <c:v>22.707</c:v>
                </c:pt>
                <c:pt idx="680" c:formatCode="0.00_);[Red]\(0.00\)">
                  <c:v>22.74</c:v>
                </c:pt>
                <c:pt idx="681" c:formatCode="0.00_);[Red]\(0.00\)">
                  <c:v>22.774</c:v>
                </c:pt>
                <c:pt idx="682" c:formatCode="0.00_);[Red]\(0.00\)">
                  <c:v>22.807</c:v>
                </c:pt>
                <c:pt idx="683" c:formatCode="0.00_);[Red]\(0.00\)">
                  <c:v>22.84</c:v>
                </c:pt>
                <c:pt idx="684" c:formatCode="0.00_);[Red]\(0.00\)">
                  <c:v>22.874</c:v>
                </c:pt>
                <c:pt idx="685" c:formatCode="0.00_);[Red]\(0.00\)">
                  <c:v>22.907</c:v>
                </c:pt>
                <c:pt idx="686" c:formatCode="0.00_);[Red]\(0.00\)">
                  <c:v>22.941</c:v>
                </c:pt>
                <c:pt idx="687" c:formatCode="0.00_);[Red]\(0.00\)">
                  <c:v>22.974</c:v>
                </c:pt>
                <c:pt idx="688" c:formatCode="0.00_);[Red]\(0.00\)">
                  <c:v>23.008</c:v>
                </c:pt>
                <c:pt idx="689" c:formatCode="0.00_);[Red]\(0.00\)">
                  <c:v>23.041</c:v>
                </c:pt>
                <c:pt idx="690" c:formatCode="0.00_);[Red]\(0.00\)">
                  <c:v>23.075</c:v>
                </c:pt>
                <c:pt idx="691" c:formatCode="0.00_);[Red]\(0.00\)">
                  <c:v>23.108</c:v>
                </c:pt>
                <c:pt idx="692" c:formatCode="0.00_);[Red]\(0.00\)">
                  <c:v>23.141</c:v>
                </c:pt>
                <c:pt idx="693" c:formatCode="0.00_);[Red]\(0.00\)">
                  <c:v>23.175</c:v>
                </c:pt>
                <c:pt idx="694" c:formatCode="0.00_);[Red]\(0.00\)">
                  <c:v>23.208</c:v>
                </c:pt>
                <c:pt idx="695" c:formatCode="0.00_);[Red]\(0.00\)">
                  <c:v>23.242</c:v>
                </c:pt>
                <c:pt idx="696" c:formatCode="0.00_);[Red]\(0.00\)">
                  <c:v>23.275</c:v>
                </c:pt>
                <c:pt idx="697" c:formatCode="0.00_);[Red]\(0.00\)">
                  <c:v>23.309</c:v>
                </c:pt>
                <c:pt idx="698" c:formatCode="0.00_);[Red]\(0.00\)">
                  <c:v>23.342</c:v>
                </c:pt>
                <c:pt idx="699" c:formatCode="0.00_);[Red]\(0.00\)">
                  <c:v>23.376</c:v>
                </c:pt>
                <c:pt idx="700" c:formatCode="0.00_);[Red]\(0.00\)">
                  <c:v>23.409</c:v>
                </c:pt>
                <c:pt idx="701" c:formatCode="0.00_);[Red]\(0.00\)">
                  <c:v>23.442</c:v>
                </c:pt>
                <c:pt idx="702" c:formatCode="0.00_);[Red]\(0.00\)">
                  <c:v>23.476</c:v>
                </c:pt>
                <c:pt idx="703" c:formatCode="0.00_);[Red]\(0.00\)">
                  <c:v>23.509</c:v>
                </c:pt>
                <c:pt idx="704" c:formatCode="0.00_);[Red]\(0.00\)">
                  <c:v>23.543</c:v>
                </c:pt>
                <c:pt idx="705" c:formatCode="0.00_);[Red]\(0.00\)">
                  <c:v>23.576</c:v>
                </c:pt>
                <c:pt idx="706" c:formatCode="0.00_);[Red]\(0.00\)">
                  <c:v>23.61</c:v>
                </c:pt>
                <c:pt idx="707" c:formatCode="0.00_);[Red]\(0.00\)">
                  <c:v>23.643</c:v>
                </c:pt>
                <c:pt idx="708" c:formatCode="0.00_);[Red]\(0.00\)">
                  <c:v>23.676</c:v>
                </c:pt>
                <c:pt idx="709" c:formatCode="0.00_);[Red]\(0.00\)">
                  <c:v>23.71</c:v>
                </c:pt>
                <c:pt idx="710" c:formatCode="0.00_);[Red]\(0.00\)">
                  <c:v>23.743</c:v>
                </c:pt>
                <c:pt idx="711" c:formatCode="0.00_);[Red]\(0.00\)">
                  <c:v>23.777</c:v>
                </c:pt>
                <c:pt idx="712" c:formatCode="0.00_);[Red]\(0.00\)">
                  <c:v>23.81</c:v>
                </c:pt>
                <c:pt idx="713" c:formatCode="0.00_);[Red]\(0.00\)">
                  <c:v>23.844</c:v>
                </c:pt>
                <c:pt idx="714" c:formatCode="0.00_);[Red]\(0.00\)">
                  <c:v>23.877</c:v>
                </c:pt>
                <c:pt idx="715" c:formatCode="0.00_);[Red]\(0.00\)">
                  <c:v>23.911</c:v>
                </c:pt>
                <c:pt idx="716" c:formatCode="0.00_);[Red]\(0.00\)">
                  <c:v>23.944</c:v>
                </c:pt>
                <c:pt idx="717" c:formatCode="0.00_);[Red]\(0.00\)">
                  <c:v>23.977</c:v>
                </c:pt>
                <c:pt idx="718" c:formatCode="0.00_);[Red]\(0.00\)">
                  <c:v>24.011</c:v>
                </c:pt>
                <c:pt idx="719" c:formatCode="0.00_);[Red]\(0.00\)">
                  <c:v>24.044</c:v>
                </c:pt>
                <c:pt idx="720" c:formatCode="0.00_);[Red]\(0.00\)">
                  <c:v>24.078</c:v>
                </c:pt>
                <c:pt idx="721" c:formatCode="0.00_);[Red]\(0.00\)">
                  <c:v>24.111</c:v>
                </c:pt>
                <c:pt idx="722" c:formatCode="0.00_);[Red]\(0.00\)">
                  <c:v>24.145</c:v>
                </c:pt>
                <c:pt idx="723" c:formatCode="0.00_);[Red]\(0.00\)">
                  <c:v>24.178</c:v>
                </c:pt>
                <c:pt idx="724" c:formatCode="0.00_);[Red]\(0.00\)">
                  <c:v>24.212</c:v>
                </c:pt>
                <c:pt idx="725" c:formatCode="0.00_);[Red]\(0.00\)">
                  <c:v>24.245</c:v>
                </c:pt>
                <c:pt idx="726" c:formatCode="0.00_);[Red]\(0.00\)">
                  <c:v>24.278</c:v>
                </c:pt>
                <c:pt idx="727" c:formatCode="0.00_);[Red]\(0.00\)">
                  <c:v>24.312</c:v>
                </c:pt>
                <c:pt idx="728" c:formatCode="0.00_);[Red]\(0.00\)">
                  <c:v>24.345</c:v>
                </c:pt>
                <c:pt idx="729" c:formatCode="0.00_);[Red]\(0.00\)">
                  <c:v>24.379</c:v>
                </c:pt>
                <c:pt idx="730" c:formatCode="0.00_);[Red]\(0.00\)">
                  <c:v>24.412</c:v>
                </c:pt>
                <c:pt idx="731" c:formatCode="0.00_);[Red]\(0.00\)">
                  <c:v>24.446</c:v>
                </c:pt>
                <c:pt idx="732" c:formatCode="0.00_);[Red]\(0.00\)">
                  <c:v>24.479</c:v>
                </c:pt>
                <c:pt idx="733" c:formatCode="0.00_);[Red]\(0.00\)">
                  <c:v>24.513</c:v>
                </c:pt>
                <c:pt idx="734" c:formatCode="0.00_);[Red]\(0.00\)">
                  <c:v>24.546</c:v>
                </c:pt>
                <c:pt idx="735" c:formatCode="0.00_);[Red]\(0.00\)">
                  <c:v>24.579</c:v>
                </c:pt>
                <c:pt idx="736" c:formatCode="0.00_);[Red]\(0.00\)">
                  <c:v>24.613</c:v>
                </c:pt>
                <c:pt idx="737" c:formatCode="0.00_);[Red]\(0.00\)">
                  <c:v>24.646</c:v>
                </c:pt>
                <c:pt idx="738" c:formatCode="0.00_);[Red]\(0.00\)">
                  <c:v>24.68</c:v>
                </c:pt>
                <c:pt idx="739" c:formatCode="0.00_);[Red]\(0.00\)">
                  <c:v>24.713</c:v>
                </c:pt>
                <c:pt idx="740" c:formatCode="0.00_);[Red]\(0.00\)">
                  <c:v>24.747</c:v>
                </c:pt>
                <c:pt idx="741" c:formatCode="0.00_);[Red]\(0.00\)">
                  <c:v>24.78</c:v>
                </c:pt>
                <c:pt idx="742" c:formatCode="0.00_);[Red]\(0.00\)">
                  <c:v>24.813</c:v>
                </c:pt>
                <c:pt idx="743" c:formatCode="0.00_);[Red]\(0.00\)">
                  <c:v>24.847</c:v>
                </c:pt>
                <c:pt idx="744" c:formatCode="0.00_);[Red]\(0.00\)">
                  <c:v>24.88</c:v>
                </c:pt>
                <c:pt idx="745" c:formatCode="0.00_);[Red]\(0.00\)">
                  <c:v>24.914</c:v>
                </c:pt>
                <c:pt idx="746" c:formatCode="0.00_);[Red]\(0.00\)">
                  <c:v>24.947</c:v>
                </c:pt>
                <c:pt idx="747" c:formatCode="0.00_);[Red]\(0.00\)">
                  <c:v>24.981</c:v>
                </c:pt>
                <c:pt idx="748" c:formatCode="0.00_);[Red]\(0.00\)">
                  <c:v>25.014</c:v>
                </c:pt>
                <c:pt idx="749" c:formatCode="0.00_);[Red]\(0.00\)">
                  <c:v>25.048</c:v>
                </c:pt>
                <c:pt idx="750" c:formatCode="0.00_);[Red]\(0.00\)">
                  <c:v>25.081</c:v>
                </c:pt>
                <c:pt idx="751" c:formatCode="0.00_);[Red]\(0.00\)">
                  <c:v>25.114</c:v>
                </c:pt>
                <c:pt idx="752" c:formatCode="0.00_);[Red]\(0.00\)">
                  <c:v>25.148</c:v>
                </c:pt>
                <c:pt idx="753" c:formatCode="0.00_);[Red]\(0.00\)">
                  <c:v>25.181</c:v>
                </c:pt>
                <c:pt idx="754" c:formatCode="0.00_);[Red]\(0.00\)">
                  <c:v>25.215</c:v>
                </c:pt>
                <c:pt idx="755" c:formatCode="0.00_);[Red]\(0.00\)">
                  <c:v>25.248</c:v>
                </c:pt>
                <c:pt idx="756" c:formatCode="0.00_);[Red]\(0.00\)">
                  <c:v>25.282</c:v>
                </c:pt>
                <c:pt idx="757" c:formatCode="0.00_);[Red]\(0.00\)">
                  <c:v>25.315</c:v>
                </c:pt>
                <c:pt idx="758" c:formatCode="0.00_);[Red]\(0.00\)">
                  <c:v>25.349</c:v>
                </c:pt>
                <c:pt idx="759" c:formatCode="0.00_);[Red]\(0.00\)">
                  <c:v>25.382</c:v>
                </c:pt>
                <c:pt idx="760" c:formatCode="0.00_);[Red]\(0.00\)">
                  <c:v>25.415</c:v>
                </c:pt>
                <c:pt idx="761" c:formatCode="0.00_);[Red]\(0.00\)">
                  <c:v>25.449</c:v>
                </c:pt>
                <c:pt idx="762" c:formatCode="0.00_);[Red]\(0.00\)">
                  <c:v>25.482</c:v>
                </c:pt>
                <c:pt idx="763" c:formatCode="0.00_);[Red]\(0.00\)">
                  <c:v>25.516</c:v>
                </c:pt>
                <c:pt idx="764" c:formatCode="0.00_);[Red]\(0.00\)">
                  <c:v>25.549</c:v>
                </c:pt>
                <c:pt idx="765" c:formatCode="0.00_);[Red]\(0.00\)">
                  <c:v>25.583</c:v>
                </c:pt>
                <c:pt idx="766" c:formatCode="0.00_);[Red]\(0.00\)">
                  <c:v>25.616</c:v>
                </c:pt>
                <c:pt idx="767" c:formatCode="0.00_);[Red]\(0.00\)">
                  <c:v>25.65</c:v>
                </c:pt>
                <c:pt idx="768" c:formatCode="0.00_);[Red]\(0.00\)">
                  <c:v>25.683</c:v>
                </c:pt>
                <c:pt idx="769" c:formatCode="0.00_);[Red]\(0.00\)">
                  <c:v>25.716</c:v>
                </c:pt>
                <c:pt idx="770" c:formatCode="0.00_);[Red]\(0.00\)">
                  <c:v>25.75</c:v>
                </c:pt>
                <c:pt idx="771" c:formatCode="0.00_);[Red]\(0.00\)">
                  <c:v>25.783</c:v>
                </c:pt>
                <c:pt idx="772" c:formatCode="0.00_);[Red]\(0.00\)">
                  <c:v>25.817</c:v>
                </c:pt>
                <c:pt idx="773" c:formatCode="0.00_);[Red]\(0.00\)">
                  <c:v>25.85</c:v>
                </c:pt>
                <c:pt idx="774" c:formatCode="0.00_);[Red]\(0.00\)">
                  <c:v>25.884</c:v>
                </c:pt>
                <c:pt idx="775" c:formatCode="0.00_);[Red]\(0.00\)">
                  <c:v>25.917</c:v>
                </c:pt>
                <c:pt idx="776" c:formatCode="0.00_);[Red]\(0.00\)">
                  <c:v>25.951</c:v>
                </c:pt>
                <c:pt idx="777" c:formatCode="0.00_);[Red]\(0.00\)">
                  <c:v>25.984</c:v>
                </c:pt>
                <c:pt idx="778" c:formatCode="0.00_);[Red]\(0.00\)">
                  <c:v>26.017</c:v>
                </c:pt>
                <c:pt idx="779" c:formatCode="0.00_);[Red]\(0.00\)">
                  <c:v>26.051</c:v>
                </c:pt>
                <c:pt idx="780" c:formatCode="0.00_);[Red]\(0.00\)">
                  <c:v>26.084</c:v>
                </c:pt>
                <c:pt idx="781" c:formatCode="0.00_);[Red]\(0.00\)">
                  <c:v>26.118</c:v>
                </c:pt>
                <c:pt idx="782" c:formatCode="0.00_);[Red]\(0.00\)">
                  <c:v>26.151</c:v>
                </c:pt>
                <c:pt idx="783" c:formatCode="0.00_);[Red]\(0.00\)">
                  <c:v>26.185</c:v>
                </c:pt>
                <c:pt idx="784" c:formatCode="0.00_);[Red]\(0.00\)">
                  <c:v>26.218</c:v>
                </c:pt>
                <c:pt idx="785" c:formatCode="0.00_);[Red]\(0.00\)">
                  <c:v>26.251</c:v>
                </c:pt>
                <c:pt idx="786" c:formatCode="0.00_);[Red]\(0.00\)">
                  <c:v>26.285</c:v>
                </c:pt>
                <c:pt idx="787" c:formatCode="0.00_);[Red]\(0.00\)">
                  <c:v>26.318</c:v>
                </c:pt>
                <c:pt idx="788" c:formatCode="0.00_);[Red]\(0.00\)">
                  <c:v>26.352</c:v>
                </c:pt>
                <c:pt idx="789" c:formatCode="0.00_);[Red]\(0.00\)">
                  <c:v>26.385</c:v>
                </c:pt>
                <c:pt idx="790" c:formatCode="0.00_);[Red]\(0.00\)">
                  <c:v>26.419</c:v>
                </c:pt>
                <c:pt idx="791" c:formatCode="0.00_);[Red]\(0.00\)">
                  <c:v>26.452</c:v>
                </c:pt>
                <c:pt idx="792" c:formatCode="0.00_);[Red]\(0.00\)">
                  <c:v>26.486</c:v>
                </c:pt>
                <c:pt idx="793" c:formatCode="0.00_);[Red]\(0.00\)">
                  <c:v>26.519</c:v>
                </c:pt>
                <c:pt idx="794" c:formatCode="0.00_);[Red]\(0.00\)">
                  <c:v>26.552</c:v>
                </c:pt>
                <c:pt idx="795" c:formatCode="0.00_);[Red]\(0.00\)">
                  <c:v>26.586</c:v>
                </c:pt>
                <c:pt idx="796" c:formatCode="0.00_);[Red]\(0.00\)">
                  <c:v>26.619</c:v>
                </c:pt>
                <c:pt idx="797" c:formatCode="0.00_);[Red]\(0.00\)">
                  <c:v>26.653</c:v>
                </c:pt>
                <c:pt idx="798" c:formatCode="0.00_);[Red]\(0.00\)">
                  <c:v>26.686</c:v>
                </c:pt>
                <c:pt idx="799" c:formatCode="0.00_);[Red]\(0.00\)">
                  <c:v>26.72</c:v>
                </c:pt>
                <c:pt idx="800" c:formatCode="0.00_);[Red]\(0.00\)">
                  <c:v>26.753</c:v>
                </c:pt>
                <c:pt idx="801" c:formatCode="0.00_);[Red]\(0.00\)">
                  <c:v>26.787</c:v>
                </c:pt>
                <c:pt idx="802" c:formatCode="0.00_);[Red]\(0.00\)">
                  <c:v>26.82</c:v>
                </c:pt>
                <c:pt idx="803" c:formatCode="0.00_);[Red]\(0.00\)">
                  <c:v>26.853</c:v>
                </c:pt>
                <c:pt idx="804" c:formatCode="0.00_);[Red]\(0.00\)">
                  <c:v>26.887</c:v>
                </c:pt>
                <c:pt idx="805" c:formatCode="0.00_);[Red]\(0.00\)">
                  <c:v>26.92</c:v>
                </c:pt>
                <c:pt idx="806" c:formatCode="0.00_);[Red]\(0.00\)">
                  <c:v>26.954</c:v>
                </c:pt>
                <c:pt idx="807" c:formatCode="0.00_);[Red]\(0.00\)">
                  <c:v>26.987</c:v>
                </c:pt>
                <c:pt idx="808" c:formatCode="0.00_);[Red]\(0.00\)">
                  <c:v>27.021</c:v>
                </c:pt>
                <c:pt idx="809" c:formatCode="0.00_);[Red]\(0.00\)">
                  <c:v>27.054</c:v>
                </c:pt>
                <c:pt idx="810" c:formatCode="0.00_);[Red]\(0.00\)">
                  <c:v>27.088</c:v>
                </c:pt>
                <c:pt idx="811" c:formatCode="0.00_);[Red]\(0.00\)">
                  <c:v>27.121</c:v>
                </c:pt>
                <c:pt idx="812" c:formatCode="0.00_);[Red]\(0.00\)">
                  <c:v>27.154</c:v>
                </c:pt>
                <c:pt idx="813" c:formatCode="0.00_);[Red]\(0.00\)">
                  <c:v>27.188</c:v>
                </c:pt>
                <c:pt idx="814" c:formatCode="0.00_);[Red]\(0.00\)">
                  <c:v>27.221</c:v>
                </c:pt>
                <c:pt idx="815" c:formatCode="0.00_);[Red]\(0.00\)">
                  <c:v>27.255</c:v>
                </c:pt>
                <c:pt idx="816" c:formatCode="0.00_);[Red]\(0.00\)">
                  <c:v>27.288</c:v>
                </c:pt>
                <c:pt idx="817" c:formatCode="0.00_);[Red]\(0.00\)">
                  <c:v>27.322</c:v>
                </c:pt>
                <c:pt idx="818" c:formatCode="0.00_);[Red]\(0.00\)">
                  <c:v>27.355</c:v>
                </c:pt>
                <c:pt idx="819" c:formatCode="0.00_);[Red]\(0.00\)">
                  <c:v>27.388</c:v>
                </c:pt>
                <c:pt idx="820" c:formatCode="0.00_);[Red]\(0.00\)">
                  <c:v>27.422</c:v>
                </c:pt>
                <c:pt idx="821" c:formatCode="0.00_);[Red]\(0.00\)">
                  <c:v>27.455</c:v>
                </c:pt>
                <c:pt idx="822" c:formatCode="0.00_);[Red]\(0.00\)">
                  <c:v>27.489</c:v>
                </c:pt>
                <c:pt idx="823" c:formatCode="0.00_);[Red]\(0.00\)">
                  <c:v>27.522</c:v>
                </c:pt>
                <c:pt idx="824" c:formatCode="0.00_);[Red]\(0.00\)">
                  <c:v>27.556</c:v>
                </c:pt>
                <c:pt idx="825" c:formatCode="0.00_);[Red]\(0.00\)">
                  <c:v>27.589</c:v>
                </c:pt>
                <c:pt idx="826" c:formatCode="0.00_);[Red]\(0.00\)">
                  <c:v>27.623</c:v>
                </c:pt>
                <c:pt idx="827" c:formatCode="0.00_);[Red]\(0.00\)">
                  <c:v>27.656</c:v>
                </c:pt>
                <c:pt idx="828" c:formatCode="0.00_);[Red]\(0.00\)">
                  <c:v>27.689</c:v>
                </c:pt>
                <c:pt idx="829" c:formatCode="0.00_);[Red]\(0.00\)">
                  <c:v>27.723</c:v>
                </c:pt>
                <c:pt idx="830" c:formatCode="0.00_);[Red]\(0.00\)">
                  <c:v>27.756</c:v>
                </c:pt>
                <c:pt idx="831" c:formatCode="0.00_);[Red]\(0.00\)">
                  <c:v>27.79</c:v>
                </c:pt>
                <c:pt idx="832" c:formatCode="0.00_);[Red]\(0.00\)">
                  <c:v>27.823</c:v>
                </c:pt>
                <c:pt idx="833" c:formatCode="0.00_);[Red]\(0.00\)">
                  <c:v>27.857</c:v>
                </c:pt>
                <c:pt idx="834" c:formatCode="0.00_);[Red]\(0.00\)">
                  <c:v>27.89</c:v>
                </c:pt>
                <c:pt idx="835" c:formatCode="0.00_);[Red]\(0.00\)">
                  <c:v>27.924</c:v>
                </c:pt>
                <c:pt idx="836" c:formatCode="0.00_);[Red]\(0.00\)">
                  <c:v>27.957</c:v>
                </c:pt>
                <c:pt idx="837" c:formatCode="0.00_);[Red]\(0.00\)">
                  <c:v>27.99</c:v>
                </c:pt>
                <c:pt idx="838" c:formatCode="0.00_);[Red]\(0.00\)">
                  <c:v>28.024</c:v>
                </c:pt>
                <c:pt idx="839" c:formatCode="0.00_);[Red]\(0.00\)">
                  <c:v>28.057</c:v>
                </c:pt>
                <c:pt idx="840" c:formatCode="0.00_);[Red]\(0.00\)">
                  <c:v>28.091</c:v>
                </c:pt>
                <c:pt idx="841" c:formatCode="0.00_);[Red]\(0.00\)">
                  <c:v>28.124</c:v>
                </c:pt>
                <c:pt idx="842" c:formatCode="0.00_);[Red]\(0.00\)">
                  <c:v>28.158</c:v>
                </c:pt>
                <c:pt idx="843" c:formatCode="0.00_);[Red]\(0.00\)">
                  <c:v>28.191</c:v>
                </c:pt>
                <c:pt idx="844" c:formatCode="0.00_);[Red]\(0.00\)">
                  <c:v>28.225</c:v>
                </c:pt>
                <c:pt idx="845" c:formatCode="0.00_);[Red]\(0.00\)">
                  <c:v>28.258</c:v>
                </c:pt>
                <c:pt idx="846" c:formatCode="0.00_);[Red]\(0.00\)">
                  <c:v>28.291</c:v>
                </c:pt>
                <c:pt idx="847" c:formatCode="0.00_);[Red]\(0.00\)">
                  <c:v>28.325</c:v>
                </c:pt>
                <c:pt idx="848" c:formatCode="0.00_);[Red]\(0.00\)">
                  <c:v>28.358</c:v>
                </c:pt>
                <c:pt idx="849" c:formatCode="0.00_);[Red]\(0.00\)">
                  <c:v>28.392</c:v>
                </c:pt>
                <c:pt idx="850" c:formatCode="0.00_);[Red]\(0.00\)">
                  <c:v>28.425</c:v>
                </c:pt>
                <c:pt idx="851" c:formatCode="0.00_);[Red]\(0.00\)">
                  <c:v>28.459</c:v>
                </c:pt>
                <c:pt idx="852" c:formatCode="0.00_);[Red]\(0.00\)">
                  <c:v>28.492</c:v>
                </c:pt>
                <c:pt idx="853" c:formatCode="0.00_);[Red]\(0.00\)">
                  <c:v>28.525</c:v>
                </c:pt>
                <c:pt idx="854" c:formatCode="0.00_);[Red]\(0.00\)">
                  <c:v>28.559</c:v>
                </c:pt>
                <c:pt idx="855" c:formatCode="0.00_);[Red]\(0.00\)">
                  <c:v>28.592</c:v>
                </c:pt>
                <c:pt idx="856" c:formatCode="0.00_);[Red]\(0.00\)">
                  <c:v>28.626</c:v>
                </c:pt>
                <c:pt idx="857" c:formatCode="0.00_);[Red]\(0.00\)">
                  <c:v>28.659</c:v>
                </c:pt>
                <c:pt idx="858" c:formatCode="0.00_);[Red]\(0.00\)">
                  <c:v>28.693</c:v>
                </c:pt>
                <c:pt idx="859" c:formatCode="0.00_);[Red]\(0.00\)">
                  <c:v>28.726</c:v>
                </c:pt>
                <c:pt idx="860" c:formatCode="0.00_);[Red]\(0.00\)">
                  <c:v>28.76</c:v>
                </c:pt>
                <c:pt idx="861" c:formatCode="0.00_);[Red]\(0.00\)">
                  <c:v>28.793</c:v>
                </c:pt>
                <c:pt idx="862" c:formatCode="0.00_);[Red]\(0.00\)">
                  <c:v>28.826</c:v>
                </c:pt>
                <c:pt idx="863" c:formatCode="0.00_);[Red]\(0.00\)">
                  <c:v>28.86</c:v>
                </c:pt>
                <c:pt idx="864" c:formatCode="0.00_);[Red]\(0.00\)">
                  <c:v>28.893</c:v>
                </c:pt>
                <c:pt idx="865" c:formatCode="0.00_);[Red]\(0.00\)">
                  <c:v>28.927</c:v>
                </c:pt>
                <c:pt idx="866" c:formatCode="0.00_);[Red]\(0.00\)">
                  <c:v>28.96</c:v>
                </c:pt>
                <c:pt idx="867" c:formatCode="0.00_);[Red]\(0.00\)">
                  <c:v>28.994</c:v>
                </c:pt>
                <c:pt idx="868" c:formatCode="0.00_);[Red]\(0.00\)">
                  <c:v>29.027</c:v>
                </c:pt>
                <c:pt idx="869" c:formatCode="0.00_);[Red]\(0.00\)">
                  <c:v>29.061</c:v>
                </c:pt>
                <c:pt idx="870" c:formatCode="0.00_);[Red]\(0.00\)">
                  <c:v>29.094</c:v>
                </c:pt>
                <c:pt idx="871" c:formatCode="0.00_);[Red]\(0.00\)">
                  <c:v>29.127</c:v>
                </c:pt>
                <c:pt idx="872" c:formatCode="0.00_);[Red]\(0.00\)">
                  <c:v>29.161</c:v>
                </c:pt>
                <c:pt idx="873" c:formatCode="0.00_);[Red]\(0.00\)">
                  <c:v>29.194</c:v>
                </c:pt>
                <c:pt idx="874" c:formatCode="0.00_);[Red]\(0.00\)">
                  <c:v>29.228</c:v>
                </c:pt>
                <c:pt idx="875" c:formatCode="0.00_);[Red]\(0.00\)">
                  <c:v>29.261</c:v>
                </c:pt>
                <c:pt idx="876" c:formatCode="0.00_);[Red]\(0.00\)">
                  <c:v>29.295</c:v>
                </c:pt>
                <c:pt idx="877" c:formatCode="0.00_);[Red]\(0.00\)">
                  <c:v>29.328</c:v>
                </c:pt>
                <c:pt idx="878" c:formatCode="0.00_);[Red]\(0.00\)">
                  <c:v>29.362</c:v>
                </c:pt>
                <c:pt idx="879" c:formatCode="0.00_);[Red]\(0.00\)">
                  <c:v>29.395</c:v>
                </c:pt>
                <c:pt idx="880" c:formatCode="0.00_);[Red]\(0.00\)">
                  <c:v>29.428</c:v>
                </c:pt>
                <c:pt idx="881" c:formatCode="0.00_);[Red]\(0.00\)">
                  <c:v>29.462</c:v>
                </c:pt>
                <c:pt idx="882" c:formatCode="0.00_);[Red]\(0.00\)">
                  <c:v>29.495</c:v>
                </c:pt>
                <c:pt idx="883" c:formatCode="0.00_);[Red]\(0.00\)">
                  <c:v>29.529</c:v>
                </c:pt>
                <c:pt idx="884" c:formatCode="0.00_);[Red]\(0.00\)">
                  <c:v>29.562</c:v>
                </c:pt>
                <c:pt idx="885" c:formatCode="0.00_);[Red]\(0.00\)">
                  <c:v>29.596</c:v>
                </c:pt>
                <c:pt idx="886" c:formatCode="0.00_);[Red]\(0.00\)">
                  <c:v>29.629</c:v>
                </c:pt>
                <c:pt idx="887" c:formatCode="0.00_);[Red]\(0.00\)">
                  <c:v>29.662</c:v>
                </c:pt>
                <c:pt idx="888" c:formatCode="0.00_);[Red]\(0.00\)">
                  <c:v>29.696</c:v>
                </c:pt>
              </c:numCache>
            </c:numRef>
          </c:cat>
          <c:val>
            <c:numRef>
              <c:f>A_09_29_58_B!$K$4:$K$892</c:f>
              <c:numCache>
                <c:formatCode>0.000_ </c:formatCode>
                <c:ptCount val="8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-0.100000000000031</c:v>
                </c:pt>
                <c:pt idx="4">
                  <c:v>0</c:v>
                </c:pt>
                <c:pt idx="5">
                  <c:v>0</c:v>
                </c:pt>
                <c:pt idx="6">
                  <c:v>-0.100000000000031</c:v>
                </c:pt>
                <c:pt idx="7">
                  <c:v>-0.100000000000031</c:v>
                </c:pt>
                <c:pt idx="8">
                  <c:v>-0.100000000000031</c:v>
                </c:pt>
                <c:pt idx="9">
                  <c:v>0</c:v>
                </c:pt>
                <c:pt idx="10">
                  <c:v>-0.100000000000031</c:v>
                </c:pt>
                <c:pt idx="11">
                  <c:v>-0.100000000000031</c:v>
                </c:pt>
                <c:pt idx="12">
                  <c:v>0</c:v>
                </c:pt>
                <c:pt idx="13">
                  <c:v>-0.100000000000031</c:v>
                </c:pt>
                <c:pt idx="14">
                  <c:v>-0.100000000000031</c:v>
                </c:pt>
                <c:pt idx="15">
                  <c:v>-0.100000000000031</c:v>
                </c:pt>
                <c:pt idx="16">
                  <c:v>0</c:v>
                </c:pt>
                <c:pt idx="17">
                  <c:v>-0.100000000000031</c:v>
                </c:pt>
                <c:pt idx="18">
                  <c:v>0</c:v>
                </c:pt>
                <c:pt idx="19">
                  <c:v>0.0999999999999612</c:v>
                </c:pt>
                <c:pt idx="20">
                  <c:v>0</c:v>
                </c:pt>
                <c:pt idx="21">
                  <c:v>0.0999999999999612</c:v>
                </c:pt>
                <c:pt idx="22">
                  <c:v>0.0999999999999612</c:v>
                </c:pt>
                <c:pt idx="23">
                  <c:v>0.199999999999992</c:v>
                </c:pt>
                <c:pt idx="24">
                  <c:v>0.0999999999999612</c:v>
                </c:pt>
                <c:pt idx="25">
                  <c:v>0.0999999999999612</c:v>
                </c:pt>
                <c:pt idx="26">
                  <c:v>0.0999999999999612</c:v>
                </c:pt>
                <c:pt idx="27">
                  <c:v>0.0999999999999612</c:v>
                </c:pt>
                <c:pt idx="28">
                  <c:v>0.0999999999999612</c:v>
                </c:pt>
                <c:pt idx="29">
                  <c:v>0.0999999999999612</c:v>
                </c:pt>
                <c:pt idx="30">
                  <c:v>0.0999999999999612</c:v>
                </c:pt>
                <c:pt idx="31">
                  <c:v>0.0999999999999612</c:v>
                </c:pt>
                <c:pt idx="32">
                  <c:v>0</c:v>
                </c:pt>
                <c:pt idx="33">
                  <c:v>0.0999999999999612</c:v>
                </c:pt>
                <c:pt idx="34">
                  <c:v>0.0999999999999612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-0.100000000000031</c:v>
                </c:pt>
                <c:pt idx="40">
                  <c:v>0</c:v>
                </c:pt>
                <c:pt idx="41">
                  <c:v>-0.100000000000031</c:v>
                </c:pt>
                <c:pt idx="42">
                  <c:v>-0.100000000000031</c:v>
                </c:pt>
                <c:pt idx="43">
                  <c:v>-0.199999999999992</c:v>
                </c:pt>
                <c:pt idx="44">
                  <c:v>0</c:v>
                </c:pt>
                <c:pt idx="45">
                  <c:v>-0.100000000000031</c:v>
                </c:pt>
                <c:pt idx="46">
                  <c:v>-0.100000000000031</c:v>
                </c:pt>
                <c:pt idx="47">
                  <c:v>-0.100000000000031</c:v>
                </c:pt>
                <c:pt idx="48">
                  <c:v>-0.100000000000031</c:v>
                </c:pt>
                <c:pt idx="49">
                  <c:v>-0.100000000000031</c:v>
                </c:pt>
                <c:pt idx="50">
                  <c:v>-0.199999999999992</c:v>
                </c:pt>
                <c:pt idx="51">
                  <c:v>-0.100000000000031</c:v>
                </c:pt>
                <c:pt idx="52">
                  <c:v>-0.100000000000031</c:v>
                </c:pt>
                <c:pt idx="53">
                  <c:v>-0.100000000000031</c:v>
                </c:pt>
                <c:pt idx="54">
                  <c:v>0</c:v>
                </c:pt>
                <c:pt idx="55">
                  <c:v>-0.100000000000031</c:v>
                </c:pt>
                <c:pt idx="56">
                  <c:v>0</c:v>
                </c:pt>
                <c:pt idx="57">
                  <c:v>-0.100000000000031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0.0999999999999612</c:v>
                </c:pt>
                <c:pt idx="63">
                  <c:v>0.0999999999999612</c:v>
                </c:pt>
                <c:pt idx="64">
                  <c:v>0</c:v>
                </c:pt>
                <c:pt idx="65">
                  <c:v>0.0999999999999612</c:v>
                </c:pt>
                <c:pt idx="66">
                  <c:v>0.0999999999999612</c:v>
                </c:pt>
                <c:pt idx="67">
                  <c:v>0</c:v>
                </c:pt>
                <c:pt idx="68">
                  <c:v>0.0999999999999612</c:v>
                </c:pt>
                <c:pt idx="69">
                  <c:v>0.0999999999999612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-0.100000000000031</c:v>
                </c:pt>
                <c:pt idx="81">
                  <c:v>-0.100000000000031</c:v>
                </c:pt>
                <c:pt idx="82">
                  <c:v>-0.199999999999992</c:v>
                </c:pt>
                <c:pt idx="83">
                  <c:v>-0.100000000000031</c:v>
                </c:pt>
                <c:pt idx="84">
                  <c:v>-0.100000000000031</c:v>
                </c:pt>
                <c:pt idx="85">
                  <c:v>-0.100000000000031</c:v>
                </c:pt>
                <c:pt idx="86">
                  <c:v>-0.199999999999992</c:v>
                </c:pt>
                <c:pt idx="87">
                  <c:v>0</c:v>
                </c:pt>
                <c:pt idx="88">
                  <c:v>-0.100000000000031</c:v>
                </c:pt>
                <c:pt idx="89">
                  <c:v>-0.100000000000031</c:v>
                </c:pt>
                <c:pt idx="90">
                  <c:v>-0.100000000000031</c:v>
                </c:pt>
                <c:pt idx="91">
                  <c:v>-0.100000000000031</c:v>
                </c:pt>
                <c:pt idx="92">
                  <c:v>-0.100000000000031</c:v>
                </c:pt>
                <c:pt idx="93">
                  <c:v>-0.100000000000031</c:v>
                </c:pt>
                <c:pt idx="94">
                  <c:v>0</c:v>
                </c:pt>
                <c:pt idx="95">
                  <c:v>0</c:v>
                </c:pt>
                <c:pt idx="96">
                  <c:v>-0.100000000000031</c:v>
                </c:pt>
                <c:pt idx="97">
                  <c:v>0</c:v>
                </c:pt>
                <c:pt idx="98">
                  <c:v>0</c:v>
                </c:pt>
                <c:pt idx="99">
                  <c:v>0.0999999999999612</c:v>
                </c:pt>
                <c:pt idx="100">
                  <c:v>0.0999999999999612</c:v>
                </c:pt>
                <c:pt idx="101">
                  <c:v>0.0999999999999612</c:v>
                </c:pt>
                <c:pt idx="102">
                  <c:v>0.0999999999999612</c:v>
                </c:pt>
                <c:pt idx="103">
                  <c:v>0.0999999999999612</c:v>
                </c:pt>
                <c:pt idx="104">
                  <c:v>0.0999999999999612</c:v>
                </c:pt>
                <c:pt idx="105">
                  <c:v>0.0999999999999612</c:v>
                </c:pt>
                <c:pt idx="106">
                  <c:v>0</c:v>
                </c:pt>
                <c:pt idx="107">
                  <c:v>0.0999999999999612</c:v>
                </c:pt>
                <c:pt idx="108">
                  <c:v>0.0999999999999612</c:v>
                </c:pt>
                <c:pt idx="109">
                  <c:v>0.0999999999999612</c:v>
                </c:pt>
                <c:pt idx="110">
                  <c:v>0.0999999999999612</c:v>
                </c:pt>
                <c:pt idx="111">
                  <c:v>0</c:v>
                </c:pt>
                <c:pt idx="112">
                  <c:v>0.0999999999999612</c:v>
                </c:pt>
                <c:pt idx="113">
                  <c:v>0</c:v>
                </c:pt>
                <c:pt idx="114">
                  <c:v>0</c:v>
                </c:pt>
                <c:pt idx="115">
                  <c:v>0.0999999999999612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-0.100000000000031</c:v>
                </c:pt>
                <c:pt idx="121">
                  <c:v>-0.100000000000031</c:v>
                </c:pt>
                <c:pt idx="122">
                  <c:v>-0.100000000000031</c:v>
                </c:pt>
                <c:pt idx="123">
                  <c:v>-0.100000000000031</c:v>
                </c:pt>
                <c:pt idx="124">
                  <c:v>0</c:v>
                </c:pt>
                <c:pt idx="125">
                  <c:v>-0.100000000000031</c:v>
                </c:pt>
                <c:pt idx="126">
                  <c:v>0</c:v>
                </c:pt>
                <c:pt idx="127">
                  <c:v>0</c:v>
                </c:pt>
                <c:pt idx="128">
                  <c:v>-0.100000000000031</c:v>
                </c:pt>
                <c:pt idx="129">
                  <c:v>-0.100000000000031</c:v>
                </c:pt>
                <c:pt idx="130">
                  <c:v>-0.100000000000031</c:v>
                </c:pt>
                <c:pt idx="131">
                  <c:v>-0.199999999999992</c:v>
                </c:pt>
                <c:pt idx="132">
                  <c:v>-0.199999999999992</c:v>
                </c:pt>
                <c:pt idx="133">
                  <c:v>-0.199999999999992</c:v>
                </c:pt>
                <c:pt idx="134">
                  <c:v>-0.199999999999992</c:v>
                </c:pt>
                <c:pt idx="135">
                  <c:v>-0.100000000000031</c:v>
                </c:pt>
                <c:pt idx="136">
                  <c:v>-0.100000000000031</c:v>
                </c:pt>
                <c:pt idx="137">
                  <c:v>-0.100000000000031</c:v>
                </c:pt>
                <c:pt idx="138">
                  <c:v>-0.100000000000031</c:v>
                </c:pt>
                <c:pt idx="139">
                  <c:v>0.0999999999999612</c:v>
                </c:pt>
                <c:pt idx="140">
                  <c:v>0.199999999999992</c:v>
                </c:pt>
                <c:pt idx="141">
                  <c:v>0.300000000000022</c:v>
                </c:pt>
                <c:pt idx="142">
                  <c:v>0.599999999999976</c:v>
                </c:pt>
                <c:pt idx="143">
                  <c:v>0.799999999999967</c:v>
                </c:pt>
                <c:pt idx="144">
                  <c:v>1.29999999999998</c:v>
                </c:pt>
                <c:pt idx="145">
                  <c:v>1.69999999999997</c:v>
                </c:pt>
                <c:pt idx="146">
                  <c:v>2.80000000000002</c:v>
                </c:pt>
                <c:pt idx="147">
                  <c:v>3.59999999999999</c:v>
                </c:pt>
                <c:pt idx="148">
                  <c:v>4.3</c:v>
                </c:pt>
                <c:pt idx="149">
                  <c:v>4.80000000000001</c:v>
                </c:pt>
                <c:pt idx="150">
                  <c:v>5.79999999999997</c:v>
                </c:pt>
                <c:pt idx="151">
                  <c:v>6.49999999999998</c:v>
                </c:pt>
                <c:pt idx="152">
                  <c:v>6.89999999999996</c:v>
                </c:pt>
                <c:pt idx="153">
                  <c:v>7.39999999999998</c:v>
                </c:pt>
                <c:pt idx="154">
                  <c:v>7.59999999999997</c:v>
                </c:pt>
                <c:pt idx="155">
                  <c:v>8.79999999999999</c:v>
                </c:pt>
                <c:pt idx="156">
                  <c:v>9.3</c:v>
                </c:pt>
                <c:pt idx="157">
                  <c:v>9.60000000000002</c:v>
                </c:pt>
                <c:pt idx="158">
                  <c:v>9.89999999999998</c:v>
                </c:pt>
                <c:pt idx="159">
                  <c:v>9.80000000000002</c:v>
                </c:pt>
                <c:pt idx="160">
                  <c:v>9.60000000000002</c:v>
                </c:pt>
                <c:pt idx="161">
                  <c:v>9.69999999999999</c:v>
                </c:pt>
                <c:pt idx="162">
                  <c:v>9.39999999999996</c:v>
                </c:pt>
                <c:pt idx="163">
                  <c:v>8.99999999999998</c:v>
                </c:pt>
                <c:pt idx="164">
                  <c:v>8.79999999999999</c:v>
                </c:pt>
                <c:pt idx="165">
                  <c:v>8.49999999999997</c:v>
                </c:pt>
                <c:pt idx="166">
                  <c:v>8.09999999999998</c:v>
                </c:pt>
                <c:pt idx="167">
                  <c:v>7.7</c:v>
                </c:pt>
                <c:pt idx="168">
                  <c:v>7.30000000000001</c:v>
                </c:pt>
                <c:pt idx="169">
                  <c:v>6.20000000000003</c:v>
                </c:pt>
                <c:pt idx="170">
                  <c:v>5.39999999999999</c:v>
                </c:pt>
                <c:pt idx="171">
                  <c:v>4.80000000000001</c:v>
                </c:pt>
                <c:pt idx="172">
                  <c:v>4.19999999999997</c:v>
                </c:pt>
                <c:pt idx="173">
                  <c:v>3.09999999999998</c:v>
                </c:pt>
                <c:pt idx="174">
                  <c:v>2.39999999999997</c:v>
                </c:pt>
                <c:pt idx="175">
                  <c:v>1.90000000000003</c:v>
                </c:pt>
                <c:pt idx="176">
                  <c:v>1.40000000000001</c:v>
                </c:pt>
                <c:pt idx="177">
                  <c:v>0.500000000000014</c:v>
                </c:pt>
                <c:pt idx="178">
                  <c:v>0.0999999999999612</c:v>
                </c:pt>
                <c:pt idx="179">
                  <c:v>-0.199999999999992</c:v>
                </c:pt>
                <c:pt idx="180">
                  <c:v>-0.399999999999984</c:v>
                </c:pt>
                <c:pt idx="181">
                  <c:v>-0.300000000000022</c:v>
                </c:pt>
                <c:pt idx="182">
                  <c:v>-0.199999999999992</c:v>
                </c:pt>
                <c:pt idx="183">
                  <c:v>0.0999999999999612</c:v>
                </c:pt>
                <c:pt idx="184">
                  <c:v>0.300000000000022</c:v>
                </c:pt>
                <c:pt idx="185">
                  <c:v>0.799999999999967</c:v>
                </c:pt>
                <c:pt idx="186">
                  <c:v>1.20000000000002</c:v>
                </c:pt>
                <c:pt idx="187">
                  <c:v>1.90000000000003</c:v>
                </c:pt>
                <c:pt idx="188">
                  <c:v>3.29999999999997</c:v>
                </c:pt>
                <c:pt idx="189">
                  <c:v>4.60000000000002</c:v>
                </c:pt>
                <c:pt idx="190">
                  <c:v>5.99999999999996</c:v>
                </c:pt>
                <c:pt idx="191">
                  <c:v>7.19999999999998</c:v>
                </c:pt>
                <c:pt idx="192">
                  <c:v>8.09999999999998</c:v>
                </c:pt>
                <c:pt idx="193">
                  <c:v>9.80000000000002</c:v>
                </c:pt>
                <c:pt idx="194">
                  <c:v>11</c:v>
                </c:pt>
                <c:pt idx="195">
                  <c:v>12.7</c:v>
                </c:pt>
                <c:pt idx="196">
                  <c:v>14.1</c:v>
                </c:pt>
                <c:pt idx="197">
                  <c:v>15.5</c:v>
                </c:pt>
                <c:pt idx="198">
                  <c:v>16.7</c:v>
                </c:pt>
                <c:pt idx="199">
                  <c:v>18.2</c:v>
                </c:pt>
                <c:pt idx="200">
                  <c:v>18.9</c:v>
                </c:pt>
                <c:pt idx="201">
                  <c:v>19.5</c:v>
                </c:pt>
                <c:pt idx="202">
                  <c:v>20.9</c:v>
                </c:pt>
                <c:pt idx="203">
                  <c:v>21.4</c:v>
                </c:pt>
                <c:pt idx="204">
                  <c:v>21.5</c:v>
                </c:pt>
                <c:pt idx="205">
                  <c:v>21.5</c:v>
                </c:pt>
                <c:pt idx="206">
                  <c:v>21.5</c:v>
                </c:pt>
                <c:pt idx="207">
                  <c:v>21.2</c:v>
                </c:pt>
                <c:pt idx="208">
                  <c:v>20.8</c:v>
                </c:pt>
                <c:pt idx="209">
                  <c:v>20.5</c:v>
                </c:pt>
                <c:pt idx="210">
                  <c:v>19.8</c:v>
                </c:pt>
                <c:pt idx="211">
                  <c:v>19.3</c:v>
                </c:pt>
                <c:pt idx="212">
                  <c:v>17.6</c:v>
                </c:pt>
                <c:pt idx="213">
                  <c:v>16.3</c:v>
                </c:pt>
                <c:pt idx="214">
                  <c:v>14.7</c:v>
                </c:pt>
                <c:pt idx="215">
                  <c:v>13.2</c:v>
                </c:pt>
                <c:pt idx="216">
                  <c:v>11.4</c:v>
                </c:pt>
                <c:pt idx="217">
                  <c:v>10.5</c:v>
                </c:pt>
                <c:pt idx="218">
                  <c:v>9.39999999999996</c:v>
                </c:pt>
                <c:pt idx="219">
                  <c:v>8.09999999999998</c:v>
                </c:pt>
                <c:pt idx="220">
                  <c:v>7.30000000000001</c:v>
                </c:pt>
                <c:pt idx="221">
                  <c:v>5.79999999999997</c:v>
                </c:pt>
                <c:pt idx="222">
                  <c:v>5</c:v>
                </c:pt>
                <c:pt idx="223">
                  <c:v>4.3</c:v>
                </c:pt>
                <c:pt idx="224">
                  <c:v>3.09999999999998</c:v>
                </c:pt>
                <c:pt idx="225">
                  <c:v>2.69999999999999</c:v>
                </c:pt>
                <c:pt idx="226">
                  <c:v>2.59999999999996</c:v>
                </c:pt>
                <c:pt idx="227">
                  <c:v>2.69999999999999</c:v>
                </c:pt>
                <c:pt idx="228">
                  <c:v>3.00000000000002</c:v>
                </c:pt>
                <c:pt idx="229">
                  <c:v>3.29999999999997</c:v>
                </c:pt>
                <c:pt idx="230">
                  <c:v>3.70000000000002</c:v>
                </c:pt>
                <c:pt idx="231">
                  <c:v>4.39999999999996</c:v>
                </c:pt>
                <c:pt idx="232">
                  <c:v>5.2</c:v>
                </c:pt>
                <c:pt idx="233">
                  <c:v>6.49999999999998</c:v>
                </c:pt>
                <c:pt idx="234">
                  <c:v>7.59999999999997</c:v>
                </c:pt>
                <c:pt idx="235">
                  <c:v>9.60000000000002</c:v>
                </c:pt>
                <c:pt idx="236">
                  <c:v>11.3</c:v>
                </c:pt>
                <c:pt idx="237">
                  <c:v>13.1</c:v>
                </c:pt>
                <c:pt idx="238">
                  <c:v>14.9</c:v>
                </c:pt>
                <c:pt idx="239">
                  <c:v>16.9</c:v>
                </c:pt>
                <c:pt idx="240">
                  <c:v>19.1</c:v>
                </c:pt>
                <c:pt idx="241">
                  <c:v>20.6</c:v>
                </c:pt>
                <c:pt idx="242">
                  <c:v>21.9</c:v>
                </c:pt>
                <c:pt idx="243">
                  <c:v>23.2</c:v>
                </c:pt>
                <c:pt idx="244">
                  <c:v>24.7</c:v>
                </c:pt>
                <c:pt idx="245">
                  <c:v>25.7</c:v>
                </c:pt>
                <c:pt idx="246">
                  <c:v>26.8</c:v>
                </c:pt>
                <c:pt idx="247">
                  <c:v>27.5</c:v>
                </c:pt>
                <c:pt idx="248">
                  <c:v>27.7</c:v>
                </c:pt>
                <c:pt idx="249">
                  <c:v>27.7</c:v>
                </c:pt>
                <c:pt idx="250">
                  <c:v>27.6</c:v>
                </c:pt>
                <c:pt idx="251">
                  <c:v>27.2</c:v>
                </c:pt>
                <c:pt idx="252">
                  <c:v>26.8</c:v>
                </c:pt>
                <c:pt idx="253">
                  <c:v>26.4</c:v>
                </c:pt>
                <c:pt idx="254">
                  <c:v>25.9</c:v>
                </c:pt>
                <c:pt idx="255">
                  <c:v>25</c:v>
                </c:pt>
                <c:pt idx="256">
                  <c:v>23.1</c:v>
                </c:pt>
                <c:pt idx="257">
                  <c:v>21.6</c:v>
                </c:pt>
                <c:pt idx="258">
                  <c:v>20.3</c:v>
                </c:pt>
                <c:pt idx="259">
                  <c:v>18.6</c:v>
                </c:pt>
                <c:pt idx="260">
                  <c:v>16.4</c:v>
                </c:pt>
                <c:pt idx="261">
                  <c:v>14.3</c:v>
                </c:pt>
                <c:pt idx="262">
                  <c:v>12.5</c:v>
                </c:pt>
                <c:pt idx="263">
                  <c:v>10.9</c:v>
                </c:pt>
                <c:pt idx="264">
                  <c:v>9.60000000000002</c:v>
                </c:pt>
                <c:pt idx="265">
                  <c:v>8.00000000000002</c:v>
                </c:pt>
                <c:pt idx="266">
                  <c:v>7.39999999999998</c:v>
                </c:pt>
                <c:pt idx="267">
                  <c:v>5.99999999999996</c:v>
                </c:pt>
                <c:pt idx="268">
                  <c:v>5.50000000000002</c:v>
                </c:pt>
                <c:pt idx="269">
                  <c:v>5.30000000000003</c:v>
                </c:pt>
                <c:pt idx="270">
                  <c:v>5.09999999999997</c:v>
                </c:pt>
                <c:pt idx="271">
                  <c:v>5.30000000000003</c:v>
                </c:pt>
                <c:pt idx="272">
                  <c:v>5.50000000000002</c:v>
                </c:pt>
                <c:pt idx="273">
                  <c:v>5.9</c:v>
                </c:pt>
                <c:pt idx="274">
                  <c:v>6.20000000000003</c:v>
                </c:pt>
                <c:pt idx="275">
                  <c:v>6.89999999999996</c:v>
                </c:pt>
                <c:pt idx="276">
                  <c:v>7.30000000000001</c:v>
                </c:pt>
                <c:pt idx="277">
                  <c:v>8.4</c:v>
                </c:pt>
                <c:pt idx="278">
                  <c:v>10.4</c:v>
                </c:pt>
                <c:pt idx="279">
                  <c:v>11.5</c:v>
                </c:pt>
                <c:pt idx="280">
                  <c:v>13.5</c:v>
                </c:pt>
                <c:pt idx="281">
                  <c:v>15.8</c:v>
                </c:pt>
                <c:pt idx="282">
                  <c:v>18</c:v>
                </c:pt>
                <c:pt idx="283">
                  <c:v>19.9</c:v>
                </c:pt>
                <c:pt idx="284">
                  <c:v>21.8</c:v>
                </c:pt>
                <c:pt idx="285">
                  <c:v>23.4</c:v>
                </c:pt>
                <c:pt idx="286">
                  <c:v>25.3</c:v>
                </c:pt>
                <c:pt idx="287">
                  <c:v>26.5</c:v>
                </c:pt>
                <c:pt idx="288">
                  <c:v>27.7</c:v>
                </c:pt>
                <c:pt idx="289">
                  <c:v>28.5</c:v>
                </c:pt>
                <c:pt idx="290">
                  <c:v>29.8</c:v>
                </c:pt>
                <c:pt idx="291">
                  <c:v>30.2</c:v>
                </c:pt>
                <c:pt idx="292">
                  <c:v>30.4</c:v>
                </c:pt>
                <c:pt idx="293">
                  <c:v>30.5</c:v>
                </c:pt>
                <c:pt idx="294">
                  <c:v>30.3</c:v>
                </c:pt>
                <c:pt idx="295">
                  <c:v>30</c:v>
                </c:pt>
                <c:pt idx="296">
                  <c:v>29.6</c:v>
                </c:pt>
                <c:pt idx="297">
                  <c:v>29.2</c:v>
                </c:pt>
                <c:pt idx="298">
                  <c:v>28.5</c:v>
                </c:pt>
                <c:pt idx="299">
                  <c:v>27.6</c:v>
                </c:pt>
                <c:pt idx="300">
                  <c:v>26.1</c:v>
                </c:pt>
                <c:pt idx="301">
                  <c:v>24.5</c:v>
                </c:pt>
                <c:pt idx="302">
                  <c:v>22.7</c:v>
                </c:pt>
                <c:pt idx="303">
                  <c:v>21.3</c:v>
                </c:pt>
                <c:pt idx="304">
                  <c:v>19.3</c:v>
                </c:pt>
                <c:pt idx="305">
                  <c:v>17.3</c:v>
                </c:pt>
                <c:pt idx="306">
                  <c:v>15.4</c:v>
                </c:pt>
                <c:pt idx="307">
                  <c:v>13.8</c:v>
                </c:pt>
                <c:pt idx="308">
                  <c:v>12.5</c:v>
                </c:pt>
                <c:pt idx="309">
                  <c:v>11.3</c:v>
                </c:pt>
                <c:pt idx="310">
                  <c:v>10.2</c:v>
                </c:pt>
                <c:pt idx="311">
                  <c:v>8.90000000000002</c:v>
                </c:pt>
                <c:pt idx="312">
                  <c:v>8.4</c:v>
                </c:pt>
                <c:pt idx="313">
                  <c:v>8.20000000000001</c:v>
                </c:pt>
                <c:pt idx="314">
                  <c:v>8.29999999999997</c:v>
                </c:pt>
                <c:pt idx="315">
                  <c:v>8.49999999999997</c:v>
                </c:pt>
                <c:pt idx="316">
                  <c:v>8.79999999999999</c:v>
                </c:pt>
                <c:pt idx="317">
                  <c:v>9.10000000000001</c:v>
                </c:pt>
                <c:pt idx="318">
                  <c:v>9.49999999999999</c:v>
                </c:pt>
                <c:pt idx="319">
                  <c:v>9.89999999999998</c:v>
                </c:pt>
                <c:pt idx="320">
                  <c:v>11</c:v>
                </c:pt>
                <c:pt idx="321">
                  <c:v>12.3</c:v>
                </c:pt>
                <c:pt idx="322">
                  <c:v>13.4</c:v>
                </c:pt>
                <c:pt idx="323">
                  <c:v>15.2</c:v>
                </c:pt>
                <c:pt idx="324">
                  <c:v>16.9</c:v>
                </c:pt>
                <c:pt idx="325">
                  <c:v>19.5</c:v>
                </c:pt>
                <c:pt idx="326">
                  <c:v>21.3</c:v>
                </c:pt>
                <c:pt idx="327">
                  <c:v>22.3</c:v>
                </c:pt>
                <c:pt idx="328">
                  <c:v>23.6</c:v>
                </c:pt>
                <c:pt idx="329">
                  <c:v>25.5</c:v>
                </c:pt>
                <c:pt idx="330">
                  <c:v>27.2</c:v>
                </c:pt>
                <c:pt idx="331">
                  <c:v>28.3</c:v>
                </c:pt>
                <c:pt idx="332">
                  <c:v>28.8</c:v>
                </c:pt>
                <c:pt idx="333">
                  <c:v>29.8</c:v>
                </c:pt>
                <c:pt idx="334">
                  <c:v>30.4</c:v>
                </c:pt>
                <c:pt idx="335">
                  <c:v>30.5</c:v>
                </c:pt>
                <c:pt idx="336">
                  <c:v>30.4</c:v>
                </c:pt>
                <c:pt idx="337">
                  <c:v>30.3</c:v>
                </c:pt>
                <c:pt idx="338">
                  <c:v>30</c:v>
                </c:pt>
                <c:pt idx="339">
                  <c:v>29.8</c:v>
                </c:pt>
                <c:pt idx="340">
                  <c:v>29.4</c:v>
                </c:pt>
                <c:pt idx="341">
                  <c:v>29</c:v>
                </c:pt>
                <c:pt idx="342">
                  <c:v>28.3</c:v>
                </c:pt>
                <c:pt idx="343">
                  <c:v>27</c:v>
                </c:pt>
                <c:pt idx="344">
                  <c:v>26</c:v>
                </c:pt>
                <c:pt idx="345">
                  <c:v>24.5</c:v>
                </c:pt>
                <c:pt idx="346">
                  <c:v>22.8</c:v>
                </c:pt>
                <c:pt idx="347">
                  <c:v>21.8</c:v>
                </c:pt>
                <c:pt idx="348">
                  <c:v>20.5</c:v>
                </c:pt>
                <c:pt idx="349">
                  <c:v>18.9</c:v>
                </c:pt>
                <c:pt idx="350">
                  <c:v>17.2</c:v>
                </c:pt>
                <c:pt idx="351">
                  <c:v>16.1</c:v>
                </c:pt>
                <c:pt idx="352">
                  <c:v>14.5</c:v>
                </c:pt>
                <c:pt idx="353">
                  <c:v>13.6</c:v>
                </c:pt>
                <c:pt idx="354">
                  <c:v>13.2</c:v>
                </c:pt>
                <c:pt idx="355">
                  <c:v>12.3</c:v>
                </c:pt>
                <c:pt idx="356">
                  <c:v>11.9</c:v>
                </c:pt>
                <c:pt idx="357">
                  <c:v>11.7</c:v>
                </c:pt>
                <c:pt idx="358">
                  <c:v>11.7</c:v>
                </c:pt>
                <c:pt idx="359">
                  <c:v>11.9</c:v>
                </c:pt>
                <c:pt idx="360">
                  <c:v>12.1</c:v>
                </c:pt>
                <c:pt idx="361">
                  <c:v>12.3</c:v>
                </c:pt>
                <c:pt idx="362">
                  <c:v>12.7</c:v>
                </c:pt>
                <c:pt idx="363">
                  <c:v>13.1</c:v>
                </c:pt>
                <c:pt idx="364">
                  <c:v>13.8</c:v>
                </c:pt>
                <c:pt idx="365">
                  <c:v>15.2</c:v>
                </c:pt>
                <c:pt idx="366">
                  <c:v>16.2</c:v>
                </c:pt>
                <c:pt idx="367">
                  <c:v>17.2</c:v>
                </c:pt>
                <c:pt idx="368">
                  <c:v>18.6</c:v>
                </c:pt>
                <c:pt idx="369">
                  <c:v>19.7</c:v>
                </c:pt>
                <c:pt idx="370">
                  <c:v>21.2</c:v>
                </c:pt>
                <c:pt idx="371">
                  <c:v>22</c:v>
                </c:pt>
                <c:pt idx="372">
                  <c:v>23</c:v>
                </c:pt>
                <c:pt idx="373">
                  <c:v>24.2</c:v>
                </c:pt>
                <c:pt idx="374">
                  <c:v>25</c:v>
                </c:pt>
                <c:pt idx="375">
                  <c:v>25.4</c:v>
                </c:pt>
                <c:pt idx="376">
                  <c:v>26.5</c:v>
                </c:pt>
                <c:pt idx="377">
                  <c:v>27.1</c:v>
                </c:pt>
                <c:pt idx="378">
                  <c:v>27.2</c:v>
                </c:pt>
                <c:pt idx="379">
                  <c:v>27.2</c:v>
                </c:pt>
                <c:pt idx="380">
                  <c:v>27.3</c:v>
                </c:pt>
                <c:pt idx="381">
                  <c:v>27</c:v>
                </c:pt>
                <c:pt idx="382">
                  <c:v>26.9</c:v>
                </c:pt>
                <c:pt idx="383">
                  <c:v>26.5</c:v>
                </c:pt>
                <c:pt idx="384">
                  <c:v>26.4</c:v>
                </c:pt>
                <c:pt idx="385">
                  <c:v>26.1</c:v>
                </c:pt>
                <c:pt idx="386">
                  <c:v>25.7</c:v>
                </c:pt>
                <c:pt idx="387">
                  <c:v>25.3</c:v>
                </c:pt>
                <c:pt idx="388">
                  <c:v>23.9</c:v>
                </c:pt>
                <c:pt idx="389">
                  <c:v>23.1</c:v>
                </c:pt>
                <c:pt idx="390">
                  <c:v>22.5</c:v>
                </c:pt>
                <c:pt idx="391">
                  <c:v>22.1</c:v>
                </c:pt>
                <c:pt idx="392">
                  <c:v>21</c:v>
                </c:pt>
                <c:pt idx="393">
                  <c:v>20.2</c:v>
                </c:pt>
                <c:pt idx="394">
                  <c:v>19.7</c:v>
                </c:pt>
                <c:pt idx="395">
                  <c:v>19.1</c:v>
                </c:pt>
                <c:pt idx="396">
                  <c:v>18.1</c:v>
                </c:pt>
                <c:pt idx="397">
                  <c:v>17.6</c:v>
                </c:pt>
                <c:pt idx="398">
                  <c:v>17.2</c:v>
                </c:pt>
                <c:pt idx="399">
                  <c:v>17.3</c:v>
                </c:pt>
                <c:pt idx="400">
                  <c:v>17.2</c:v>
                </c:pt>
                <c:pt idx="401">
                  <c:v>17.3</c:v>
                </c:pt>
                <c:pt idx="402">
                  <c:v>17.4</c:v>
                </c:pt>
                <c:pt idx="403">
                  <c:v>17.6</c:v>
                </c:pt>
                <c:pt idx="404">
                  <c:v>17.8</c:v>
                </c:pt>
                <c:pt idx="405">
                  <c:v>18</c:v>
                </c:pt>
                <c:pt idx="406">
                  <c:v>18.1</c:v>
                </c:pt>
                <c:pt idx="407">
                  <c:v>18.4</c:v>
                </c:pt>
                <c:pt idx="408">
                  <c:v>18.7</c:v>
                </c:pt>
                <c:pt idx="409">
                  <c:v>19</c:v>
                </c:pt>
                <c:pt idx="410">
                  <c:v>19.3</c:v>
                </c:pt>
                <c:pt idx="411">
                  <c:v>19.4</c:v>
                </c:pt>
                <c:pt idx="412">
                  <c:v>20.5</c:v>
                </c:pt>
                <c:pt idx="413">
                  <c:v>21.2</c:v>
                </c:pt>
                <c:pt idx="414">
                  <c:v>21.4</c:v>
                </c:pt>
                <c:pt idx="415">
                  <c:v>21.7</c:v>
                </c:pt>
                <c:pt idx="416">
                  <c:v>21.9</c:v>
                </c:pt>
                <c:pt idx="417">
                  <c:v>21.9</c:v>
                </c:pt>
                <c:pt idx="418">
                  <c:v>21.9</c:v>
                </c:pt>
                <c:pt idx="419">
                  <c:v>22</c:v>
                </c:pt>
                <c:pt idx="420">
                  <c:v>21.9</c:v>
                </c:pt>
                <c:pt idx="421">
                  <c:v>21.8</c:v>
                </c:pt>
                <c:pt idx="422">
                  <c:v>21.6</c:v>
                </c:pt>
                <c:pt idx="423">
                  <c:v>21.6</c:v>
                </c:pt>
                <c:pt idx="424">
                  <c:v>21.5</c:v>
                </c:pt>
                <c:pt idx="425">
                  <c:v>21.3</c:v>
                </c:pt>
                <c:pt idx="426">
                  <c:v>21.1</c:v>
                </c:pt>
                <c:pt idx="427">
                  <c:v>21.1</c:v>
                </c:pt>
                <c:pt idx="428">
                  <c:v>20.9</c:v>
                </c:pt>
                <c:pt idx="429">
                  <c:v>20.7</c:v>
                </c:pt>
                <c:pt idx="430">
                  <c:v>20.6</c:v>
                </c:pt>
                <c:pt idx="431">
                  <c:v>20.6</c:v>
                </c:pt>
                <c:pt idx="432">
                  <c:v>20.6</c:v>
                </c:pt>
                <c:pt idx="433">
                  <c:v>20.6</c:v>
                </c:pt>
                <c:pt idx="434">
                  <c:v>20.5</c:v>
                </c:pt>
                <c:pt idx="435">
                  <c:v>20.5</c:v>
                </c:pt>
                <c:pt idx="436">
                  <c:v>20.7</c:v>
                </c:pt>
                <c:pt idx="437">
                  <c:v>20.6</c:v>
                </c:pt>
                <c:pt idx="438">
                  <c:v>20.6</c:v>
                </c:pt>
                <c:pt idx="439">
                  <c:v>20.7</c:v>
                </c:pt>
                <c:pt idx="440">
                  <c:v>20.7</c:v>
                </c:pt>
                <c:pt idx="441">
                  <c:v>20.7</c:v>
                </c:pt>
                <c:pt idx="442">
                  <c:v>20.8</c:v>
                </c:pt>
                <c:pt idx="443">
                  <c:v>20.7</c:v>
                </c:pt>
                <c:pt idx="444">
                  <c:v>20.8</c:v>
                </c:pt>
                <c:pt idx="445">
                  <c:v>20.7</c:v>
                </c:pt>
                <c:pt idx="446">
                  <c:v>20.8</c:v>
                </c:pt>
                <c:pt idx="447">
                  <c:v>20.9</c:v>
                </c:pt>
                <c:pt idx="448">
                  <c:v>20.9</c:v>
                </c:pt>
                <c:pt idx="449">
                  <c:v>21</c:v>
                </c:pt>
                <c:pt idx="450">
                  <c:v>21</c:v>
                </c:pt>
                <c:pt idx="451">
                  <c:v>21</c:v>
                </c:pt>
                <c:pt idx="452">
                  <c:v>21</c:v>
                </c:pt>
                <c:pt idx="453">
                  <c:v>21</c:v>
                </c:pt>
                <c:pt idx="454">
                  <c:v>21</c:v>
                </c:pt>
                <c:pt idx="455">
                  <c:v>21</c:v>
                </c:pt>
                <c:pt idx="456">
                  <c:v>21</c:v>
                </c:pt>
                <c:pt idx="457">
                  <c:v>20.8</c:v>
                </c:pt>
                <c:pt idx="458">
                  <c:v>20.8</c:v>
                </c:pt>
                <c:pt idx="459">
                  <c:v>20.8</c:v>
                </c:pt>
                <c:pt idx="460">
                  <c:v>20.8</c:v>
                </c:pt>
                <c:pt idx="461">
                  <c:v>20.7</c:v>
                </c:pt>
                <c:pt idx="462">
                  <c:v>20.6</c:v>
                </c:pt>
                <c:pt idx="463">
                  <c:v>20.7</c:v>
                </c:pt>
                <c:pt idx="464">
                  <c:v>20.7</c:v>
                </c:pt>
                <c:pt idx="465">
                  <c:v>20.7</c:v>
                </c:pt>
                <c:pt idx="466">
                  <c:v>20.8</c:v>
                </c:pt>
                <c:pt idx="467">
                  <c:v>20.8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21.2</c:v>
                </c:pt>
                <c:pt idx="473">
                  <c:v>21.3</c:v>
                </c:pt>
                <c:pt idx="474">
                  <c:v>21.4</c:v>
                </c:pt>
                <c:pt idx="475">
                  <c:v>21.3</c:v>
                </c:pt>
                <c:pt idx="476">
                  <c:v>21.4</c:v>
                </c:pt>
                <c:pt idx="477">
                  <c:v>21.5</c:v>
                </c:pt>
                <c:pt idx="478">
                  <c:v>21.5</c:v>
                </c:pt>
                <c:pt idx="479">
                  <c:v>21.6</c:v>
                </c:pt>
                <c:pt idx="480">
                  <c:v>21.8</c:v>
                </c:pt>
                <c:pt idx="481">
                  <c:v>21.7</c:v>
                </c:pt>
                <c:pt idx="482">
                  <c:v>22</c:v>
                </c:pt>
                <c:pt idx="483">
                  <c:v>22</c:v>
                </c:pt>
                <c:pt idx="484">
                  <c:v>21.9</c:v>
                </c:pt>
                <c:pt idx="485">
                  <c:v>21.9</c:v>
                </c:pt>
                <c:pt idx="486">
                  <c:v>21.7</c:v>
                </c:pt>
                <c:pt idx="487">
                  <c:v>21.6</c:v>
                </c:pt>
                <c:pt idx="488">
                  <c:v>21.5</c:v>
                </c:pt>
                <c:pt idx="489">
                  <c:v>21.2</c:v>
                </c:pt>
                <c:pt idx="490">
                  <c:v>21.2</c:v>
                </c:pt>
                <c:pt idx="491">
                  <c:v>21.1</c:v>
                </c:pt>
                <c:pt idx="492">
                  <c:v>20.8</c:v>
                </c:pt>
                <c:pt idx="493">
                  <c:v>20.7</c:v>
                </c:pt>
                <c:pt idx="494">
                  <c:v>20.6</c:v>
                </c:pt>
                <c:pt idx="495">
                  <c:v>20.3</c:v>
                </c:pt>
                <c:pt idx="496">
                  <c:v>20.1</c:v>
                </c:pt>
                <c:pt idx="497">
                  <c:v>20</c:v>
                </c:pt>
                <c:pt idx="498">
                  <c:v>20</c:v>
                </c:pt>
                <c:pt idx="499">
                  <c:v>19.6</c:v>
                </c:pt>
                <c:pt idx="500">
                  <c:v>19.5</c:v>
                </c:pt>
                <c:pt idx="501">
                  <c:v>19.3</c:v>
                </c:pt>
                <c:pt idx="502">
                  <c:v>18.3</c:v>
                </c:pt>
                <c:pt idx="503">
                  <c:v>17.7</c:v>
                </c:pt>
                <c:pt idx="504">
                  <c:v>17.4</c:v>
                </c:pt>
                <c:pt idx="505">
                  <c:v>17.2</c:v>
                </c:pt>
                <c:pt idx="506">
                  <c:v>17.2</c:v>
                </c:pt>
                <c:pt idx="507">
                  <c:v>17.1</c:v>
                </c:pt>
                <c:pt idx="508">
                  <c:v>17.1</c:v>
                </c:pt>
                <c:pt idx="509">
                  <c:v>17.3</c:v>
                </c:pt>
                <c:pt idx="510">
                  <c:v>17.5</c:v>
                </c:pt>
                <c:pt idx="511">
                  <c:v>17.6</c:v>
                </c:pt>
                <c:pt idx="512">
                  <c:v>17.8</c:v>
                </c:pt>
                <c:pt idx="513">
                  <c:v>18.1</c:v>
                </c:pt>
                <c:pt idx="514">
                  <c:v>18.3</c:v>
                </c:pt>
                <c:pt idx="515">
                  <c:v>18.7</c:v>
                </c:pt>
                <c:pt idx="516">
                  <c:v>19.2</c:v>
                </c:pt>
                <c:pt idx="517">
                  <c:v>19.6</c:v>
                </c:pt>
                <c:pt idx="518">
                  <c:v>20.8</c:v>
                </c:pt>
                <c:pt idx="519">
                  <c:v>21.6</c:v>
                </c:pt>
                <c:pt idx="520">
                  <c:v>21.9</c:v>
                </c:pt>
                <c:pt idx="521">
                  <c:v>22.5</c:v>
                </c:pt>
                <c:pt idx="522">
                  <c:v>23.7</c:v>
                </c:pt>
                <c:pt idx="523">
                  <c:v>24.5</c:v>
                </c:pt>
                <c:pt idx="524">
                  <c:v>25</c:v>
                </c:pt>
                <c:pt idx="525">
                  <c:v>25.3</c:v>
                </c:pt>
                <c:pt idx="526">
                  <c:v>25.3</c:v>
                </c:pt>
                <c:pt idx="527">
                  <c:v>25.3</c:v>
                </c:pt>
                <c:pt idx="528">
                  <c:v>25.3</c:v>
                </c:pt>
                <c:pt idx="529">
                  <c:v>25.1</c:v>
                </c:pt>
                <c:pt idx="530">
                  <c:v>24.9</c:v>
                </c:pt>
                <c:pt idx="531">
                  <c:v>24.7</c:v>
                </c:pt>
                <c:pt idx="532">
                  <c:v>24.3</c:v>
                </c:pt>
                <c:pt idx="533">
                  <c:v>24.2</c:v>
                </c:pt>
                <c:pt idx="534">
                  <c:v>23.9</c:v>
                </c:pt>
                <c:pt idx="535">
                  <c:v>23.6</c:v>
                </c:pt>
                <c:pt idx="536">
                  <c:v>23.3</c:v>
                </c:pt>
                <c:pt idx="537">
                  <c:v>22.7</c:v>
                </c:pt>
                <c:pt idx="538">
                  <c:v>22.3</c:v>
                </c:pt>
                <c:pt idx="539">
                  <c:v>21.1</c:v>
                </c:pt>
                <c:pt idx="540">
                  <c:v>20.2</c:v>
                </c:pt>
                <c:pt idx="541">
                  <c:v>19.5</c:v>
                </c:pt>
                <c:pt idx="542">
                  <c:v>18.8</c:v>
                </c:pt>
                <c:pt idx="543">
                  <c:v>17.5</c:v>
                </c:pt>
                <c:pt idx="544">
                  <c:v>16.8</c:v>
                </c:pt>
                <c:pt idx="545">
                  <c:v>16.1</c:v>
                </c:pt>
                <c:pt idx="546">
                  <c:v>15</c:v>
                </c:pt>
                <c:pt idx="547">
                  <c:v>14.5</c:v>
                </c:pt>
                <c:pt idx="548">
                  <c:v>14</c:v>
                </c:pt>
                <c:pt idx="549">
                  <c:v>13.6</c:v>
                </c:pt>
                <c:pt idx="550">
                  <c:v>13.8</c:v>
                </c:pt>
                <c:pt idx="551">
                  <c:v>13.8</c:v>
                </c:pt>
                <c:pt idx="552">
                  <c:v>14</c:v>
                </c:pt>
                <c:pt idx="553">
                  <c:v>14.3</c:v>
                </c:pt>
                <c:pt idx="554">
                  <c:v>14.5</c:v>
                </c:pt>
                <c:pt idx="555">
                  <c:v>14.9</c:v>
                </c:pt>
                <c:pt idx="556">
                  <c:v>15.3</c:v>
                </c:pt>
                <c:pt idx="557">
                  <c:v>15.8</c:v>
                </c:pt>
                <c:pt idx="558">
                  <c:v>16.3</c:v>
                </c:pt>
                <c:pt idx="559">
                  <c:v>16.9</c:v>
                </c:pt>
                <c:pt idx="560">
                  <c:v>18.2</c:v>
                </c:pt>
                <c:pt idx="561">
                  <c:v>19.3</c:v>
                </c:pt>
                <c:pt idx="562">
                  <c:v>20</c:v>
                </c:pt>
                <c:pt idx="563">
                  <c:v>21.5</c:v>
                </c:pt>
                <c:pt idx="564">
                  <c:v>22.4</c:v>
                </c:pt>
                <c:pt idx="565">
                  <c:v>23.9</c:v>
                </c:pt>
                <c:pt idx="566">
                  <c:v>24.9</c:v>
                </c:pt>
                <c:pt idx="567">
                  <c:v>25.6</c:v>
                </c:pt>
                <c:pt idx="568">
                  <c:v>26.8</c:v>
                </c:pt>
                <c:pt idx="569">
                  <c:v>27.3</c:v>
                </c:pt>
                <c:pt idx="570">
                  <c:v>27.6</c:v>
                </c:pt>
                <c:pt idx="571">
                  <c:v>27.8</c:v>
                </c:pt>
                <c:pt idx="572">
                  <c:v>27.7</c:v>
                </c:pt>
                <c:pt idx="573">
                  <c:v>27.7</c:v>
                </c:pt>
                <c:pt idx="574">
                  <c:v>27.4</c:v>
                </c:pt>
                <c:pt idx="575">
                  <c:v>27.1</c:v>
                </c:pt>
                <c:pt idx="576">
                  <c:v>26.8</c:v>
                </c:pt>
                <c:pt idx="577">
                  <c:v>26.5</c:v>
                </c:pt>
                <c:pt idx="578">
                  <c:v>26.2</c:v>
                </c:pt>
                <c:pt idx="579">
                  <c:v>25.9</c:v>
                </c:pt>
                <c:pt idx="580">
                  <c:v>25.1</c:v>
                </c:pt>
                <c:pt idx="581">
                  <c:v>23.6</c:v>
                </c:pt>
                <c:pt idx="582">
                  <c:v>22.7</c:v>
                </c:pt>
                <c:pt idx="583">
                  <c:v>21.7</c:v>
                </c:pt>
                <c:pt idx="584">
                  <c:v>20.2</c:v>
                </c:pt>
                <c:pt idx="585">
                  <c:v>19</c:v>
                </c:pt>
                <c:pt idx="586">
                  <c:v>17.6</c:v>
                </c:pt>
                <c:pt idx="587">
                  <c:v>16.7</c:v>
                </c:pt>
                <c:pt idx="588">
                  <c:v>15.9</c:v>
                </c:pt>
                <c:pt idx="589">
                  <c:v>14.6</c:v>
                </c:pt>
                <c:pt idx="590">
                  <c:v>13.7</c:v>
                </c:pt>
                <c:pt idx="591">
                  <c:v>13.5</c:v>
                </c:pt>
                <c:pt idx="592">
                  <c:v>13.5</c:v>
                </c:pt>
                <c:pt idx="593">
                  <c:v>13.7</c:v>
                </c:pt>
                <c:pt idx="594">
                  <c:v>13.8</c:v>
                </c:pt>
                <c:pt idx="595">
                  <c:v>14.1</c:v>
                </c:pt>
                <c:pt idx="596">
                  <c:v>14.4</c:v>
                </c:pt>
                <c:pt idx="597">
                  <c:v>14.7</c:v>
                </c:pt>
                <c:pt idx="598">
                  <c:v>15.1</c:v>
                </c:pt>
                <c:pt idx="599">
                  <c:v>15.3</c:v>
                </c:pt>
                <c:pt idx="600">
                  <c:v>15.8</c:v>
                </c:pt>
                <c:pt idx="601">
                  <c:v>16.5</c:v>
                </c:pt>
                <c:pt idx="602">
                  <c:v>17.8</c:v>
                </c:pt>
                <c:pt idx="603">
                  <c:v>18.6</c:v>
                </c:pt>
                <c:pt idx="604">
                  <c:v>19.3</c:v>
                </c:pt>
                <c:pt idx="605">
                  <c:v>20.1</c:v>
                </c:pt>
                <c:pt idx="606">
                  <c:v>21.1</c:v>
                </c:pt>
                <c:pt idx="607">
                  <c:v>21.9</c:v>
                </c:pt>
                <c:pt idx="608">
                  <c:v>22.2</c:v>
                </c:pt>
                <c:pt idx="609">
                  <c:v>22.6</c:v>
                </c:pt>
                <c:pt idx="610">
                  <c:v>23.8</c:v>
                </c:pt>
                <c:pt idx="611">
                  <c:v>24.1</c:v>
                </c:pt>
                <c:pt idx="612">
                  <c:v>24.2</c:v>
                </c:pt>
                <c:pt idx="613">
                  <c:v>24.2</c:v>
                </c:pt>
                <c:pt idx="614">
                  <c:v>24.1</c:v>
                </c:pt>
                <c:pt idx="615">
                  <c:v>23.9</c:v>
                </c:pt>
                <c:pt idx="616">
                  <c:v>23.5</c:v>
                </c:pt>
                <c:pt idx="617">
                  <c:v>23.2</c:v>
                </c:pt>
                <c:pt idx="618">
                  <c:v>22.9</c:v>
                </c:pt>
                <c:pt idx="619">
                  <c:v>22.5</c:v>
                </c:pt>
                <c:pt idx="620">
                  <c:v>21.8</c:v>
                </c:pt>
                <c:pt idx="621">
                  <c:v>20.4</c:v>
                </c:pt>
                <c:pt idx="622">
                  <c:v>19.2</c:v>
                </c:pt>
                <c:pt idx="623">
                  <c:v>17.7</c:v>
                </c:pt>
                <c:pt idx="624">
                  <c:v>16.8</c:v>
                </c:pt>
                <c:pt idx="625">
                  <c:v>16</c:v>
                </c:pt>
                <c:pt idx="626">
                  <c:v>14.2</c:v>
                </c:pt>
                <c:pt idx="627">
                  <c:v>13.4</c:v>
                </c:pt>
                <c:pt idx="628">
                  <c:v>12.1</c:v>
                </c:pt>
                <c:pt idx="629">
                  <c:v>11.2</c:v>
                </c:pt>
                <c:pt idx="630">
                  <c:v>10.7</c:v>
                </c:pt>
                <c:pt idx="631">
                  <c:v>10.6</c:v>
                </c:pt>
                <c:pt idx="632">
                  <c:v>10.7</c:v>
                </c:pt>
                <c:pt idx="633">
                  <c:v>10.8</c:v>
                </c:pt>
                <c:pt idx="634">
                  <c:v>11</c:v>
                </c:pt>
                <c:pt idx="635">
                  <c:v>11.2</c:v>
                </c:pt>
                <c:pt idx="636">
                  <c:v>11.6</c:v>
                </c:pt>
                <c:pt idx="637">
                  <c:v>11.8</c:v>
                </c:pt>
                <c:pt idx="638">
                  <c:v>12.1</c:v>
                </c:pt>
                <c:pt idx="639">
                  <c:v>12.4</c:v>
                </c:pt>
                <c:pt idx="640">
                  <c:v>13.1</c:v>
                </c:pt>
                <c:pt idx="641">
                  <c:v>13.5</c:v>
                </c:pt>
                <c:pt idx="642">
                  <c:v>14.9</c:v>
                </c:pt>
                <c:pt idx="643">
                  <c:v>15.8</c:v>
                </c:pt>
                <c:pt idx="644">
                  <c:v>16.3</c:v>
                </c:pt>
                <c:pt idx="645">
                  <c:v>17</c:v>
                </c:pt>
                <c:pt idx="646">
                  <c:v>18</c:v>
                </c:pt>
                <c:pt idx="647">
                  <c:v>18.6</c:v>
                </c:pt>
                <c:pt idx="648">
                  <c:v>19.2</c:v>
                </c:pt>
                <c:pt idx="649">
                  <c:v>19.3</c:v>
                </c:pt>
                <c:pt idx="650">
                  <c:v>19.3</c:v>
                </c:pt>
                <c:pt idx="651">
                  <c:v>19.2</c:v>
                </c:pt>
                <c:pt idx="652">
                  <c:v>19.1</c:v>
                </c:pt>
                <c:pt idx="653">
                  <c:v>18.8</c:v>
                </c:pt>
                <c:pt idx="654">
                  <c:v>18.6</c:v>
                </c:pt>
                <c:pt idx="655">
                  <c:v>18.2</c:v>
                </c:pt>
                <c:pt idx="656">
                  <c:v>17.9</c:v>
                </c:pt>
                <c:pt idx="657">
                  <c:v>17.6</c:v>
                </c:pt>
                <c:pt idx="658">
                  <c:v>16.9</c:v>
                </c:pt>
                <c:pt idx="659">
                  <c:v>16.5</c:v>
                </c:pt>
                <c:pt idx="660">
                  <c:v>16.3</c:v>
                </c:pt>
                <c:pt idx="661">
                  <c:v>14.7</c:v>
                </c:pt>
                <c:pt idx="662">
                  <c:v>13.9</c:v>
                </c:pt>
                <c:pt idx="663">
                  <c:v>12.9</c:v>
                </c:pt>
                <c:pt idx="664">
                  <c:v>11.6</c:v>
                </c:pt>
                <c:pt idx="665">
                  <c:v>10.5</c:v>
                </c:pt>
                <c:pt idx="666">
                  <c:v>10.1</c:v>
                </c:pt>
                <c:pt idx="667">
                  <c:v>8.79999999999999</c:v>
                </c:pt>
                <c:pt idx="668">
                  <c:v>8.00000000000002</c:v>
                </c:pt>
                <c:pt idx="669">
                  <c:v>7.39999999999998</c:v>
                </c:pt>
                <c:pt idx="670">
                  <c:v>6.29999999999999</c:v>
                </c:pt>
                <c:pt idx="671">
                  <c:v>5.70000000000001</c:v>
                </c:pt>
                <c:pt idx="672">
                  <c:v>5.59999999999998</c:v>
                </c:pt>
                <c:pt idx="673">
                  <c:v>5.59999999999998</c:v>
                </c:pt>
                <c:pt idx="674">
                  <c:v>5.59999999999998</c:v>
                </c:pt>
                <c:pt idx="675">
                  <c:v>5.79999999999997</c:v>
                </c:pt>
                <c:pt idx="676">
                  <c:v>6.20000000000003</c:v>
                </c:pt>
                <c:pt idx="677">
                  <c:v>6.49999999999998</c:v>
                </c:pt>
                <c:pt idx="678">
                  <c:v>6.89999999999996</c:v>
                </c:pt>
                <c:pt idx="679">
                  <c:v>7.30000000000001</c:v>
                </c:pt>
                <c:pt idx="680">
                  <c:v>7.89999999999999</c:v>
                </c:pt>
                <c:pt idx="681">
                  <c:v>8.99999999999998</c:v>
                </c:pt>
                <c:pt idx="682">
                  <c:v>9.89999999999998</c:v>
                </c:pt>
                <c:pt idx="683">
                  <c:v>10.9</c:v>
                </c:pt>
                <c:pt idx="684">
                  <c:v>12.1</c:v>
                </c:pt>
                <c:pt idx="685">
                  <c:v>12.8</c:v>
                </c:pt>
                <c:pt idx="686">
                  <c:v>13.5</c:v>
                </c:pt>
                <c:pt idx="687">
                  <c:v>14.8</c:v>
                </c:pt>
                <c:pt idx="688">
                  <c:v>15.3</c:v>
                </c:pt>
                <c:pt idx="689">
                  <c:v>15.6</c:v>
                </c:pt>
                <c:pt idx="690">
                  <c:v>16</c:v>
                </c:pt>
                <c:pt idx="691">
                  <c:v>15.9</c:v>
                </c:pt>
                <c:pt idx="692">
                  <c:v>15.7</c:v>
                </c:pt>
                <c:pt idx="693">
                  <c:v>15.6</c:v>
                </c:pt>
                <c:pt idx="694">
                  <c:v>15.2</c:v>
                </c:pt>
                <c:pt idx="695">
                  <c:v>15</c:v>
                </c:pt>
                <c:pt idx="696">
                  <c:v>14.8</c:v>
                </c:pt>
                <c:pt idx="697">
                  <c:v>14.4</c:v>
                </c:pt>
                <c:pt idx="698">
                  <c:v>14.1</c:v>
                </c:pt>
                <c:pt idx="699">
                  <c:v>13.5</c:v>
                </c:pt>
                <c:pt idx="700">
                  <c:v>12.7</c:v>
                </c:pt>
                <c:pt idx="701">
                  <c:v>11.6</c:v>
                </c:pt>
                <c:pt idx="702">
                  <c:v>10.8</c:v>
                </c:pt>
                <c:pt idx="703">
                  <c:v>9.89999999999998</c:v>
                </c:pt>
                <c:pt idx="704">
                  <c:v>8.6</c:v>
                </c:pt>
                <c:pt idx="705">
                  <c:v>7.79999999999996</c:v>
                </c:pt>
                <c:pt idx="706">
                  <c:v>6.99999999999999</c:v>
                </c:pt>
                <c:pt idx="707">
                  <c:v>5.79999999999997</c:v>
                </c:pt>
                <c:pt idx="708">
                  <c:v>5.09999999999997</c:v>
                </c:pt>
                <c:pt idx="709">
                  <c:v>4.80000000000001</c:v>
                </c:pt>
                <c:pt idx="710">
                  <c:v>4.80000000000001</c:v>
                </c:pt>
                <c:pt idx="711">
                  <c:v>4.69999999999998</c:v>
                </c:pt>
                <c:pt idx="712">
                  <c:v>4.80000000000001</c:v>
                </c:pt>
                <c:pt idx="713">
                  <c:v>5.09999999999997</c:v>
                </c:pt>
                <c:pt idx="714">
                  <c:v>5.39999999999999</c:v>
                </c:pt>
                <c:pt idx="715">
                  <c:v>5.59999999999998</c:v>
                </c:pt>
                <c:pt idx="716">
                  <c:v>5.99999999999996</c:v>
                </c:pt>
                <c:pt idx="717">
                  <c:v>6.20000000000003</c:v>
                </c:pt>
                <c:pt idx="718">
                  <c:v>6.60000000000001</c:v>
                </c:pt>
                <c:pt idx="719">
                  <c:v>6.99999999999999</c:v>
                </c:pt>
                <c:pt idx="720">
                  <c:v>7.59999999999997</c:v>
                </c:pt>
                <c:pt idx="721">
                  <c:v>9.10000000000001</c:v>
                </c:pt>
                <c:pt idx="722">
                  <c:v>9.89999999999998</c:v>
                </c:pt>
                <c:pt idx="723">
                  <c:v>10.3</c:v>
                </c:pt>
                <c:pt idx="724">
                  <c:v>11.2</c:v>
                </c:pt>
                <c:pt idx="725">
                  <c:v>12.2</c:v>
                </c:pt>
                <c:pt idx="726">
                  <c:v>12.7</c:v>
                </c:pt>
                <c:pt idx="727">
                  <c:v>13.3</c:v>
                </c:pt>
                <c:pt idx="728">
                  <c:v>13.6</c:v>
                </c:pt>
                <c:pt idx="729">
                  <c:v>14.7</c:v>
                </c:pt>
                <c:pt idx="730">
                  <c:v>15</c:v>
                </c:pt>
                <c:pt idx="731">
                  <c:v>15.1</c:v>
                </c:pt>
                <c:pt idx="732">
                  <c:v>15.2</c:v>
                </c:pt>
                <c:pt idx="733">
                  <c:v>15</c:v>
                </c:pt>
                <c:pt idx="734">
                  <c:v>14.8</c:v>
                </c:pt>
                <c:pt idx="735">
                  <c:v>14.5</c:v>
                </c:pt>
                <c:pt idx="736">
                  <c:v>14.2</c:v>
                </c:pt>
                <c:pt idx="737">
                  <c:v>13.6</c:v>
                </c:pt>
                <c:pt idx="738">
                  <c:v>13.2</c:v>
                </c:pt>
                <c:pt idx="739">
                  <c:v>12.1</c:v>
                </c:pt>
                <c:pt idx="740">
                  <c:v>11.2</c:v>
                </c:pt>
                <c:pt idx="741">
                  <c:v>10.4</c:v>
                </c:pt>
                <c:pt idx="742">
                  <c:v>9.89999999999998</c:v>
                </c:pt>
                <c:pt idx="743">
                  <c:v>8.4</c:v>
                </c:pt>
                <c:pt idx="744">
                  <c:v>7.50000000000001</c:v>
                </c:pt>
                <c:pt idx="745">
                  <c:v>6.8</c:v>
                </c:pt>
                <c:pt idx="746">
                  <c:v>5.70000000000001</c:v>
                </c:pt>
                <c:pt idx="747">
                  <c:v>5.2</c:v>
                </c:pt>
                <c:pt idx="748">
                  <c:v>4.49999999999999</c:v>
                </c:pt>
                <c:pt idx="749">
                  <c:v>3.49999999999996</c:v>
                </c:pt>
                <c:pt idx="750">
                  <c:v>2.89999999999999</c:v>
                </c:pt>
                <c:pt idx="751">
                  <c:v>2.69999999999999</c:v>
                </c:pt>
                <c:pt idx="752">
                  <c:v>2.59999999999996</c:v>
                </c:pt>
                <c:pt idx="753">
                  <c:v>2.80000000000002</c:v>
                </c:pt>
                <c:pt idx="754">
                  <c:v>2.89999999999999</c:v>
                </c:pt>
                <c:pt idx="755">
                  <c:v>3.20000000000001</c:v>
                </c:pt>
                <c:pt idx="756">
                  <c:v>3.4</c:v>
                </c:pt>
                <c:pt idx="757">
                  <c:v>3.70000000000002</c:v>
                </c:pt>
                <c:pt idx="758">
                  <c:v>4.10000000000001</c:v>
                </c:pt>
                <c:pt idx="759">
                  <c:v>4.69999999999998</c:v>
                </c:pt>
                <c:pt idx="760">
                  <c:v>5.99999999999996</c:v>
                </c:pt>
                <c:pt idx="761">
                  <c:v>6.99999999999999</c:v>
                </c:pt>
                <c:pt idx="762">
                  <c:v>7.59999999999997</c:v>
                </c:pt>
                <c:pt idx="763">
                  <c:v>8.90000000000002</c:v>
                </c:pt>
                <c:pt idx="764">
                  <c:v>9.60000000000002</c:v>
                </c:pt>
                <c:pt idx="765">
                  <c:v>10.3</c:v>
                </c:pt>
                <c:pt idx="766">
                  <c:v>10.8</c:v>
                </c:pt>
                <c:pt idx="767">
                  <c:v>11.7</c:v>
                </c:pt>
                <c:pt idx="768">
                  <c:v>12.3</c:v>
                </c:pt>
                <c:pt idx="769">
                  <c:v>12.6</c:v>
                </c:pt>
                <c:pt idx="770">
                  <c:v>12.6</c:v>
                </c:pt>
                <c:pt idx="771">
                  <c:v>12.6</c:v>
                </c:pt>
                <c:pt idx="772">
                  <c:v>12.5</c:v>
                </c:pt>
                <c:pt idx="773">
                  <c:v>12.3</c:v>
                </c:pt>
                <c:pt idx="774">
                  <c:v>12</c:v>
                </c:pt>
                <c:pt idx="775">
                  <c:v>11.8</c:v>
                </c:pt>
                <c:pt idx="776">
                  <c:v>11.4</c:v>
                </c:pt>
                <c:pt idx="777">
                  <c:v>11</c:v>
                </c:pt>
                <c:pt idx="778">
                  <c:v>10.5</c:v>
                </c:pt>
                <c:pt idx="779">
                  <c:v>10</c:v>
                </c:pt>
                <c:pt idx="780">
                  <c:v>8.69999999999996</c:v>
                </c:pt>
                <c:pt idx="781">
                  <c:v>7.79999999999996</c:v>
                </c:pt>
                <c:pt idx="782">
                  <c:v>6.99999999999999</c:v>
                </c:pt>
                <c:pt idx="783">
                  <c:v>5.59999999999998</c:v>
                </c:pt>
                <c:pt idx="784">
                  <c:v>4.80000000000001</c:v>
                </c:pt>
                <c:pt idx="785">
                  <c:v>4.19999999999997</c:v>
                </c:pt>
                <c:pt idx="786">
                  <c:v>3.20000000000001</c:v>
                </c:pt>
                <c:pt idx="787">
                  <c:v>2.39999999999997</c:v>
                </c:pt>
                <c:pt idx="788">
                  <c:v>1.99999999999999</c:v>
                </c:pt>
                <c:pt idx="789">
                  <c:v>1.69999999999997</c:v>
                </c:pt>
                <c:pt idx="790">
                  <c:v>1.90000000000003</c:v>
                </c:pt>
                <c:pt idx="791">
                  <c:v>1.99999999999999</c:v>
                </c:pt>
                <c:pt idx="792">
                  <c:v>2.19999999999998</c:v>
                </c:pt>
                <c:pt idx="793">
                  <c:v>2.39999999999997</c:v>
                </c:pt>
                <c:pt idx="794">
                  <c:v>2.69999999999999</c:v>
                </c:pt>
                <c:pt idx="795">
                  <c:v>3.00000000000002</c:v>
                </c:pt>
                <c:pt idx="796">
                  <c:v>3.29999999999997</c:v>
                </c:pt>
                <c:pt idx="797">
                  <c:v>3.70000000000002</c:v>
                </c:pt>
                <c:pt idx="798">
                  <c:v>4.10000000000001</c:v>
                </c:pt>
                <c:pt idx="799">
                  <c:v>4.60000000000002</c:v>
                </c:pt>
                <c:pt idx="800">
                  <c:v>5.99999999999996</c:v>
                </c:pt>
                <c:pt idx="801">
                  <c:v>6.89999999999996</c:v>
                </c:pt>
                <c:pt idx="802">
                  <c:v>7.50000000000001</c:v>
                </c:pt>
                <c:pt idx="803">
                  <c:v>8.79999999999999</c:v>
                </c:pt>
                <c:pt idx="804">
                  <c:v>9.49999999999999</c:v>
                </c:pt>
                <c:pt idx="805">
                  <c:v>10</c:v>
                </c:pt>
                <c:pt idx="806">
                  <c:v>10.6</c:v>
                </c:pt>
                <c:pt idx="807">
                  <c:v>11.7</c:v>
                </c:pt>
                <c:pt idx="808">
                  <c:v>12.1</c:v>
                </c:pt>
                <c:pt idx="809">
                  <c:v>12.4</c:v>
                </c:pt>
                <c:pt idx="810">
                  <c:v>12.3</c:v>
                </c:pt>
                <c:pt idx="811">
                  <c:v>12.3</c:v>
                </c:pt>
                <c:pt idx="812">
                  <c:v>12.1</c:v>
                </c:pt>
                <c:pt idx="813">
                  <c:v>11.9</c:v>
                </c:pt>
                <c:pt idx="814">
                  <c:v>11.8</c:v>
                </c:pt>
                <c:pt idx="815">
                  <c:v>11.4</c:v>
                </c:pt>
                <c:pt idx="816">
                  <c:v>10.9</c:v>
                </c:pt>
                <c:pt idx="817">
                  <c:v>10.4</c:v>
                </c:pt>
                <c:pt idx="818">
                  <c:v>9.19999999999997</c:v>
                </c:pt>
                <c:pt idx="819">
                  <c:v>8.4</c:v>
                </c:pt>
                <c:pt idx="820">
                  <c:v>7.59999999999997</c:v>
                </c:pt>
                <c:pt idx="821">
                  <c:v>6.69999999999997</c:v>
                </c:pt>
                <c:pt idx="822">
                  <c:v>5.39999999999999</c:v>
                </c:pt>
                <c:pt idx="823">
                  <c:v>4.80000000000001</c:v>
                </c:pt>
                <c:pt idx="824">
                  <c:v>4.10000000000001</c:v>
                </c:pt>
                <c:pt idx="825">
                  <c:v>2.69999999999999</c:v>
                </c:pt>
                <c:pt idx="826">
                  <c:v>2.10000000000002</c:v>
                </c:pt>
                <c:pt idx="827">
                  <c:v>1.90000000000003</c:v>
                </c:pt>
                <c:pt idx="828">
                  <c:v>1.6</c:v>
                </c:pt>
                <c:pt idx="829">
                  <c:v>1.8</c:v>
                </c:pt>
                <c:pt idx="830">
                  <c:v>1.8</c:v>
                </c:pt>
                <c:pt idx="831">
                  <c:v>2.10000000000002</c:v>
                </c:pt>
                <c:pt idx="832">
                  <c:v>2.30000000000001</c:v>
                </c:pt>
                <c:pt idx="833">
                  <c:v>2.5</c:v>
                </c:pt>
                <c:pt idx="834">
                  <c:v>2.69999999999999</c:v>
                </c:pt>
                <c:pt idx="835">
                  <c:v>3.00000000000002</c:v>
                </c:pt>
                <c:pt idx="836">
                  <c:v>3.49999999999996</c:v>
                </c:pt>
                <c:pt idx="837">
                  <c:v>3.79999999999998</c:v>
                </c:pt>
                <c:pt idx="838">
                  <c:v>4.39999999999996</c:v>
                </c:pt>
                <c:pt idx="839">
                  <c:v>4.80000000000001</c:v>
                </c:pt>
                <c:pt idx="840">
                  <c:v>5.99999999999996</c:v>
                </c:pt>
                <c:pt idx="841">
                  <c:v>6.89999999999996</c:v>
                </c:pt>
                <c:pt idx="842">
                  <c:v>7.59999999999997</c:v>
                </c:pt>
                <c:pt idx="843">
                  <c:v>8.90000000000002</c:v>
                </c:pt>
                <c:pt idx="844">
                  <c:v>9.60000000000002</c:v>
                </c:pt>
                <c:pt idx="845">
                  <c:v>9.89999999999998</c:v>
                </c:pt>
                <c:pt idx="846">
                  <c:v>10.3</c:v>
                </c:pt>
                <c:pt idx="847">
                  <c:v>10.4</c:v>
                </c:pt>
                <c:pt idx="848">
                  <c:v>10.5</c:v>
                </c:pt>
                <c:pt idx="849">
                  <c:v>11.2</c:v>
                </c:pt>
                <c:pt idx="850">
                  <c:v>11.5</c:v>
                </c:pt>
                <c:pt idx="851">
                  <c:v>11.6</c:v>
                </c:pt>
                <c:pt idx="852">
                  <c:v>11.6</c:v>
                </c:pt>
                <c:pt idx="853">
                  <c:v>11.4</c:v>
                </c:pt>
                <c:pt idx="854">
                  <c:v>10.9</c:v>
                </c:pt>
                <c:pt idx="855">
                  <c:v>10.9</c:v>
                </c:pt>
                <c:pt idx="856">
                  <c:v>10.5</c:v>
                </c:pt>
                <c:pt idx="857">
                  <c:v>9.80000000000002</c:v>
                </c:pt>
                <c:pt idx="858">
                  <c:v>8.6</c:v>
                </c:pt>
                <c:pt idx="859">
                  <c:v>7.7</c:v>
                </c:pt>
                <c:pt idx="860">
                  <c:v>6.89999999999996</c:v>
                </c:pt>
                <c:pt idx="861">
                  <c:v>5.79999999999997</c:v>
                </c:pt>
                <c:pt idx="862">
                  <c:v>4.89999999999997</c:v>
                </c:pt>
                <c:pt idx="863">
                  <c:v>4.19999999999997</c:v>
                </c:pt>
                <c:pt idx="864">
                  <c:v>2.89999999999999</c:v>
                </c:pt>
                <c:pt idx="865">
                  <c:v>2.30000000000001</c:v>
                </c:pt>
                <c:pt idx="866">
                  <c:v>1.90000000000003</c:v>
                </c:pt>
                <c:pt idx="867">
                  <c:v>1.69999999999997</c:v>
                </c:pt>
                <c:pt idx="868">
                  <c:v>1.69999999999997</c:v>
                </c:pt>
                <c:pt idx="869">
                  <c:v>1.6</c:v>
                </c:pt>
                <c:pt idx="870">
                  <c:v>1.90000000000003</c:v>
                </c:pt>
                <c:pt idx="871">
                  <c:v>2.10000000000002</c:v>
                </c:pt>
                <c:pt idx="872">
                  <c:v>2.30000000000001</c:v>
                </c:pt>
                <c:pt idx="873">
                  <c:v>2.59999999999996</c:v>
                </c:pt>
                <c:pt idx="874">
                  <c:v>3.00000000000002</c:v>
                </c:pt>
                <c:pt idx="875">
                  <c:v>3.20000000000001</c:v>
                </c:pt>
                <c:pt idx="876">
                  <c:v>3.49999999999996</c:v>
                </c:pt>
                <c:pt idx="877">
                  <c:v>4.10000000000001</c:v>
                </c:pt>
                <c:pt idx="878">
                  <c:v>4.19999999999997</c:v>
                </c:pt>
                <c:pt idx="879">
                  <c:v>4.80000000000001</c:v>
                </c:pt>
                <c:pt idx="880">
                  <c:v>5.99999999999996</c:v>
                </c:pt>
                <c:pt idx="881">
                  <c:v>6.8</c:v>
                </c:pt>
                <c:pt idx="882">
                  <c:v>7.39999999999998</c:v>
                </c:pt>
                <c:pt idx="883">
                  <c:v>7.89999999999999</c:v>
                </c:pt>
                <c:pt idx="884">
                  <c:v>8.90000000000002</c:v>
                </c:pt>
                <c:pt idx="885">
                  <c:v>9.49999999999999</c:v>
                </c:pt>
                <c:pt idx="886">
                  <c:v>9.69999999999999</c:v>
                </c:pt>
                <c:pt idx="887">
                  <c:v>9.80000000000002</c:v>
                </c:pt>
                <c:pt idx="888">
                  <c:v>9.89999999999998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A_09_29_58_B!$L$3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A_09_29_58_B!$J$4:$J$892</c:f>
              <c:numCache>
                <c:formatCode>0.00_);[Red]\(0.00\)</c:formatCode>
                <c:ptCount val="889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0.268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0.502</c:v>
                </c:pt>
                <c:pt idx="16" c:formatCode="0.00_);[Red]\(0.00\)">
                  <c:v>0.535</c:v>
                </c:pt>
                <c:pt idx="17" c:formatCode="0.00_);[Red]\(0.00\)">
                  <c:v>0.569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0.803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1.037</c:v>
                </c:pt>
                <c:pt idx="32" c:formatCode="0.00_);[Red]\(0.00\)">
                  <c:v>1.07</c:v>
                </c:pt>
                <c:pt idx="33" c:formatCode="0.00_);[Red]\(0.00\)">
                  <c:v>1.104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1.204</c:v>
                </c:pt>
                <c:pt idx="37" c:formatCode="0.00_);[Red]\(0.00\)">
                  <c:v>1.237</c:v>
                </c:pt>
                <c:pt idx="38" c:formatCode="0.00_);[Red]\(0.00\)">
                  <c:v>1.271</c:v>
                </c:pt>
                <c:pt idx="39" c:formatCode="0.00_);[Red]\(0.00\)">
                  <c:v>1.304</c:v>
                </c:pt>
                <c:pt idx="40" c:formatCode="0.00_);[Red]\(0.00\)">
                  <c:v>1.338</c:v>
                </c:pt>
                <c:pt idx="41" c:formatCode="0.00_);[Red]\(0.00\)">
                  <c:v>1.371</c:v>
                </c:pt>
                <c:pt idx="42" c:formatCode="0.00_);[Red]\(0.00\)">
                  <c:v>1.405</c:v>
                </c:pt>
                <c:pt idx="43" c:formatCode="0.00_);[Red]\(0.00\)">
                  <c:v>1.438</c:v>
                </c:pt>
                <c:pt idx="44" c:formatCode="0.00_);[Red]\(0.00\)">
                  <c:v>1.471</c:v>
                </c:pt>
                <c:pt idx="45" c:formatCode="0.00_);[Red]\(0.00\)">
                  <c:v>1.505</c:v>
                </c:pt>
                <c:pt idx="46" c:formatCode="0.00_);[Red]\(0.00\)">
                  <c:v>1.538</c:v>
                </c:pt>
                <c:pt idx="47" c:formatCode="0.00_);[Red]\(0.00\)">
                  <c:v>1.572</c:v>
                </c:pt>
                <c:pt idx="48" c:formatCode="0.00_);[Red]\(0.00\)">
                  <c:v>1.605</c:v>
                </c:pt>
                <c:pt idx="49" c:formatCode="0.00_);[Red]\(0.00\)">
                  <c:v>1.639</c:v>
                </c:pt>
                <c:pt idx="50" c:formatCode="0.00_);[Red]\(0.00\)">
                  <c:v>1.672</c:v>
                </c:pt>
                <c:pt idx="51" c:formatCode="0.00_);[Red]\(0.00\)">
                  <c:v>1.706</c:v>
                </c:pt>
                <c:pt idx="52" c:formatCode="0.00_);[Red]\(0.00\)">
                  <c:v>1.739</c:v>
                </c:pt>
                <c:pt idx="53" c:formatCode="0.00_);[Red]\(0.00\)">
                  <c:v>1.772</c:v>
                </c:pt>
                <c:pt idx="54" c:formatCode="0.00_);[Red]\(0.00\)">
                  <c:v>1.806</c:v>
                </c:pt>
                <c:pt idx="55" c:formatCode="0.00_);[Red]\(0.00\)">
                  <c:v>1.839</c:v>
                </c:pt>
                <c:pt idx="56" c:formatCode="0.00_);[Red]\(0.00\)">
                  <c:v>1.873</c:v>
                </c:pt>
                <c:pt idx="57" c:formatCode="0.00_);[Red]\(0.00\)">
                  <c:v>1.906</c:v>
                </c:pt>
                <c:pt idx="58" c:formatCode="0.00_);[Red]\(0.00\)">
                  <c:v>1.94</c:v>
                </c:pt>
                <c:pt idx="59" c:formatCode="0.00_);[Red]\(0.00\)">
                  <c:v>1.973</c:v>
                </c:pt>
                <c:pt idx="60" c:formatCode="0.00_);[Red]\(0.00\)">
                  <c:v>2.006</c:v>
                </c:pt>
                <c:pt idx="61" c:formatCode="0.00_);[Red]\(0.00\)">
                  <c:v>2.04</c:v>
                </c:pt>
                <c:pt idx="62" c:formatCode="0.00_);[Red]\(0.00\)">
                  <c:v>2.073</c:v>
                </c:pt>
                <c:pt idx="63" c:formatCode="0.00_);[Red]\(0.00\)">
                  <c:v>2.107</c:v>
                </c:pt>
                <c:pt idx="64" c:formatCode="0.00_);[Red]\(0.00\)">
                  <c:v>2.14</c:v>
                </c:pt>
                <c:pt idx="65" c:formatCode="0.00_);[Red]\(0.00\)">
                  <c:v>2.174</c:v>
                </c:pt>
                <c:pt idx="66" c:formatCode="0.00_);[Red]\(0.00\)">
                  <c:v>2.207</c:v>
                </c:pt>
                <c:pt idx="67" c:formatCode="0.00_);[Red]\(0.00\)">
                  <c:v>2.241</c:v>
                </c:pt>
                <c:pt idx="68" c:formatCode="0.00_);[Red]\(0.00\)">
                  <c:v>2.274</c:v>
                </c:pt>
                <c:pt idx="69" c:formatCode="0.00_);[Red]\(0.00\)">
                  <c:v>2.307</c:v>
                </c:pt>
                <c:pt idx="70" c:formatCode="0.00_);[Red]\(0.00\)">
                  <c:v>2.341</c:v>
                </c:pt>
                <c:pt idx="71" c:formatCode="0.00_);[Red]\(0.00\)">
                  <c:v>2.374</c:v>
                </c:pt>
                <c:pt idx="72" c:formatCode="0.00_);[Red]\(0.00\)">
                  <c:v>2.408</c:v>
                </c:pt>
                <c:pt idx="73" c:formatCode="0.00_);[Red]\(0.00\)">
                  <c:v>2.441</c:v>
                </c:pt>
                <c:pt idx="74" c:formatCode="0.00_);[Red]\(0.00\)">
                  <c:v>2.475</c:v>
                </c:pt>
                <c:pt idx="75" c:formatCode="0.00_);[Red]\(0.00\)">
                  <c:v>2.508</c:v>
                </c:pt>
                <c:pt idx="76" c:formatCode="0.00_);[Red]\(0.00\)">
                  <c:v>2.542</c:v>
                </c:pt>
                <c:pt idx="77" c:formatCode="0.00_);[Red]\(0.00\)">
                  <c:v>2.575</c:v>
                </c:pt>
                <c:pt idx="78" c:formatCode="0.00_);[Red]\(0.00\)">
                  <c:v>2.608</c:v>
                </c:pt>
                <c:pt idx="79" c:formatCode="0.00_);[Red]\(0.00\)">
                  <c:v>2.642</c:v>
                </c:pt>
                <c:pt idx="80" c:formatCode="0.00_);[Red]\(0.00\)">
                  <c:v>2.675</c:v>
                </c:pt>
                <c:pt idx="81" c:formatCode="0.00_);[Red]\(0.00\)">
                  <c:v>2.709</c:v>
                </c:pt>
                <c:pt idx="82" c:formatCode="0.00_);[Red]\(0.00\)">
                  <c:v>2.742</c:v>
                </c:pt>
                <c:pt idx="83" c:formatCode="0.00_);[Red]\(0.00\)">
                  <c:v>2.776</c:v>
                </c:pt>
                <c:pt idx="84" c:formatCode="0.00_);[Red]\(0.00\)">
                  <c:v>2.809</c:v>
                </c:pt>
                <c:pt idx="85" c:formatCode="0.00_);[Red]\(0.00\)">
                  <c:v>2.843</c:v>
                </c:pt>
                <c:pt idx="86" c:formatCode="0.00_);[Red]\(0.00\)">
                  <c:v>2.876</c:v>
                </c:pt>
                <c:pt idx="87" c:formatCode="0.00_);[Red]\(0.00\)">
                  <c:v>2.909</c:v>
                </c:pt>
                <c:pt idx="88" c:formatCode="0.00_);[Red]\(0.00\)">
                  <c:v>2.943</c:v>
                </c:pt>
                <c:pt idx="89" c:formatCode="0.00_);[Red]\(0.00\)">
                  <c:v>2.976</c:v>
                </c:pt>
                <c:pt idx="90" c:formatCode="0.00_);[Red]\(0.00\)">
                  <c:v>3.01</c:v>
                </c:pt>
                <c:pt idx="91" c:formatCode="0.00_);[Red]\(0.00\)">
                  <c:v>3.043</c:v>
                </c:pt>
                <c:pt idx="92" c:formatCode="0.00_);[Red]\(0.00\)">
                  <c:v>3.077</c:v>
                </c:pt>
                <c:pt idx="93" c:formatCode="0.00_);[Red]\(0.00\)">
                  <c:v>3.11</c:v>
                </c:pt>
                <c:pt idx="94" c:formatCode="0.00_);[Red]\(0.00\)">
                  <c:v>3.143</c:v>
                </c:pt>
                <c:pt idx="95" c:formatCode="0.00_);[Red]\(0.00\)">
                  <c:v>3.177</c:v>
                </c:pt>
                <c:pt idx="96" c:formatCode="0.00_);[Red]\(0.00\)">
                  <c:v>3.21</c:v>
                </c:pt>
                <c:pt idx="97" c:formatCode="0.00_);[Red]\(0.00\)">
                  <c:v>3.244</c:v>
                </c:pt>
                <c:pt idx="98" c:formatCode="0.00_);[Red]\(0.00\)">
                  <c:v>3.277</c:v>
                </c:pt>
                <c:pt idx="99" c:formatCode="0.00_);[Red]\(0.00\)">
                  <c:v>3.311</c:v>
                </c:pt>
                <c:pt idx="100" c:formatCode="0.00_);[Red]\(0.00\)">
                  <c:v>3.344</c:v>
                </c:pt>
                <c:pt idx="101" c:formatCode="0.00_);[Red]\(0.00\)">
                  <c:v>3.378</c:v>
                </c:pt>
                <c:pt idx="102" c:formatCode="0.00_);[Red]\(0.00\)">
                  <c:v>3.411</c:v>
                </c:pt>
                <c:pt idx="103" c:formatCode="0.00_);[Red]\(0.00\)">
                  <c:v>3.444</c:v>
                </c:pt>
                <c:pt idx="104" c:formatCode="0.00_);[Red]\(0.00\)">
                  <c:v>3.478</c:v>
                </c:pt>
                <c:pt idx="105" c:formatCode="0.00_);[Red]\(0.00\)">
                  <c:v>3.511</c:v>
                </c:pt>
                <c:pt idx="106" c:formatCode="0.00_);[Red]\(0.00\)">
                  <c:v>3.545</c:v>
                </c:pt>
                <c:pt idx="107" c:formatCode="0.00_);[Red]\(0.00\)">
                  <c:v>3.578</c:v>
                </c:pt>
                <c:pt idx="108" c:formatCode="0.00_);[Red]\(0.00\)">
                  <c:v>3.612</c:v>
                </c:pt>
                <c:pt idx="109" c:formatCode="0.00_);[Red]\(0.00\)">
                  <c:v>3.645</c:v>
                </c:pt>
                <c:pt idx="110" c:formatCode="0.00_);[Red]\(0.00\)">
                  <c:v>3.679</c:v>
                </c:pt>
                <c:pt idx="111" c:formatCode="0.00_);[Red]\(0.00\)">
                  <c:v>3.712</c:v>
                </c:pt>
                <c:pt idx="112" c:formatCode="0.00_);[Red]\(0.00\)">
                  <c:v>3.745</c:v>
                </c:pt>
                <c:pt idx="113" c:formatCode="0.00_);[Red]\(0.00\)">
                  <c:v>3.779</c:v>
                </c:pt>
                <c:pt idx="114" c:formatCode="0.00_);[Red]\(0.00\)">
                  <c:v>3.812</c:v>
                </c:pt>
                <c:pt idx="115" c:formatCode="0.00_);[Red]\(0.00\)">
                  <c:v>3.846</c:v>
                </c:pt>
                <c:pt idx="116" c:formatCode="0.00_);[Red]\(0.00\)">
                  <c:v>3.879</c:v>
                </c:pt>
                <c:pt idx="117" c:formatCode="0.00_);[Red]\(0.00\)">
                  <c:v>3.913</c:v>
                </c:pt>
                <c:pt idx="118" c:formatCode="0.00_);[Red]\(0.00\)">
                  <c:v>3.946</c:v>
                </c:pt>
                <c:pt idx="119" c:formatCode="0.00_);[Red]\(0.00\)">
                  <c:v>3.98</c:v>
                </c:pt>
                <c:pt idx="120" c:formatCode="0.00_);[Red]\(0.00\)">
                  <c:v>4.013</c:v>
                </c:pt>
                <c:pt idx="121" c:formatCode="0.00_);[Red]\(0.00\)">
                  <c:v>4.046</c:v>
                </c:pt>
                <c:pt idx="122" c:formatCode="0.00_);[Red]\(0.00\)">
                  <c:v>4.08</c:v>
                </c:pt>
                <c:pt idx="123" c:formatCode="0.00_);[Red]\(0.00\)">
                  <c:v>4.113</c:v>
                </c:pt>
                <c:pt idx="124" c:formatCode="0.00_);[Red]\(0.00\)">
                  <c:v>4.147</c:v>
                </c:pt>
                <c:pt idx="125" c:formatCode="0.00_);[Red]\(0.00\)">
                  <c:v>4.18</c:v>
                </c:pt>
                <c:pt idx="126" c:formatCode="0.00_);[Red]\(0.00\)">
                  <c:v>4.214</c:v>
                </c:pt>
                <c:pt idx="127" c:formatCode="0.00_);[Red]\(0.00\)">
                  <c:v>4.247</c:v>
                </c:pt>
                <c:pt idx="128" c:formatCode="0.00_);[Red]\(0.00\)">
                  <c:v>4.28</c:v>
                </c:pt>
                <c:pt idx="129" c:formatCode="0.00_);[Red]\(0.00\)">
                  <c:v>4.314</c:v>
                </c:pt>
                <c:pt idx="130" c:formatCode="0.00_);[Red]\(0.00\)">
                  <c:v>4.347</c:v>
                </c:pt>
                <c:pt idx="131" c:formatCode="0.00_);[Red]\(0.00\)">
                  <c:v>4.381</c:v>
                </c:pt>
                <c:pt idx="132" c:formatCode="0.00_);[Red]\(0.00\)">
                  <c:v>4.414</c:v>
                </c:pt>
                <c:pt idx="133" c:formatCode="0.00_);[Red]\(0.00\)">
                  <c:v>4.448</c:v>
                </c:pt>
                <c:pt idx="134" c:formatCode="0.00_);[Red]\(0.00\)">
                  <c:v>4.481</c:v>
                </c:pt>
                <c:pt idx="135" c:formatCode="0.00_);[Red]\(0.00\)">
                  <c:v>4.515</c:v>
                </c:pt>
                <c:pt idx="136" c:formatCode="0.00_);[Red]\(0.00\)">
                  <c:v>4.548</c:v>
                </c:pt>
                <c:pt idx="137" c:formatCode="0.00_);[Red]\(0.00\)">
                  <c:v>4.581</c:v>
                </c:pt>
                <c:pt idx="138" c:formatCode="0.00_);[Red]\(0.00\)">
                  <c:v>4.615</c:v>
                </c:pt>
                <c:pt idx="139" c:formatCode="0.00_);[Red]\(0.00\)">
                  <c:v>4.648</c:v>
                </c:pt>
                <c:pt idx="140" c:formatCode="0.00_);[Red]\(0.00\)">
                  <c:v>4.682</c:v>
                </c:pt>
                <c:pt idx="141" c:formatCode="0.00_);[Red]\(0.00\)">
                  <c:v>4.715</c:v>
                </c:pt>
                <c:pt idx="142" c:formatCode="0.00_);[Red]\(0.00\)">
                  <c:v>4.749</c:v>
                </c:pt>
                <c:pt idx="143" c:formatCode="0.00_);[Red]\(0.00\)">
                  <c:v>4.782</c:v>
                </c:pt>
                <c:pt idx="144" c:formatCode="0.00_);[Red]\(0.00\)">
                  <c:v>4.816</c:v>
                </c:pt>
                <c:pt idx="145" c:formatCode="0.00_);[Red]\(0.00\)">
                  <c:v>4.849</c:v>
                </c:pt>
                <c:pt idx="146" c:formatCode="0.00_);[Red]\(0.00\)">
                  <c:v>4.882</c:v>
                </c:pt>
                <c:pt idx="147" c:formatCode="0.00_);[Red]\(0.00\)">
                  <c:v>4.916</c:v>
                </c:pt>
                <c:pt idx="148" c:formatCode="0.00_);[Red]\(0.00\)">
                  <c:v>4.949</c:v>
                </c:pt>
                <c:pt idx="149" c:formatCode="0.00_);[Red]\(0.00\)">
                  <c:v>4.983</c:v>
                </c:pt>
                <c:pt idx="150" c:formatCode="0.00_);[Red]\(0.00\)">
                  <c:v>5.016</c:v>
                </c:pt>
                <c:pt idx="151" c:formatCode="0.00_);[Red]\(0.00\)">
                  <c:v>5.05</c:v>
                </c:pt>
                <c:pt idx="152" c:formatCode="0.00_);[Red]\(0.00\)">
                  <c:v>5.083</c:v>
                </c:pt>
                <c:pt idx="153" c:formatCode="0.00_);[Red]\(0.00\)">
                  <c:v>5.117</c:v>
                </c:pt>
                <c:pt idx="154" c:formatCode="0.00_);[Red]\(0.00\)">
                  <c:v>5.15</c:v>
                </c:pt>
                <c:pt idx="155" c:formatCode="0.00_);[Red]\(0.00\)">
                  <c:v>5.183</c:v>
                </c:pt>
                <c:pt idx="156" c:formatCode="0.00_);[Red]\(0.00\)">
                  <c:v>5.217</c:v>
                </c:pt>
                <c:pt idx="157" c:formatCode="0.00_);[Red]\(0.00\)">
                  <c:v>5.25</c:v>
                </c:pt>
                <c:pt idx="158" c:formatCode="0.00_);[Red]\(0.00\)">
                  <c:v>5.284</c:v>
                </c:pt>
                <c:pt idx="159" c:formatCode="0.00_);[Red]\(0.00\)">
                  <c:v>5.317</c:v>
                </c:pt>
                <c:pt idx="160" c:formatCode="0.00_);[Red]\(0.00\)">
                  <c:v>5.351</c:v>
                </c:pt>
                <c:pt idx="161" c:formatCode="0.00_);[Red]\(0.00\)">
                  <c:v>5.384</c:v>
                </c:pt>
                <c:pt idx="162" c:formatCode="0.00_);[Red]\(0.00\)">
                  <c:v>5.418</c:v>
                </c:pt>
                <c:pt idx="163" c:formatCode="0.00_);[Red]\(0.00\)">
                  <c:v>5.451</c:v>
                </c:pt>
                <c:pt idx="164" c:formatCode="0.00_);[Red]\(0.00\)">
                  <c:v>5.484</c:v>
                </c:pt>
                <c:pt idx="165" c:formatCode="0.00_);[Red]\(0.00\)">
                  <c:v>5.518</c:v>
                </c:pt>
                <c:pt idx="166" c:formatCode="0.00_);[Red]\(0.00\)">
                  <c:v>5.551</c:v>
                </c:pt>
                <c:pt idx="167" c:formatCode="0.00_);[Red]\(0.00\)">
                  <c:v>5.585</c:v>
                </c:pt>
                <c:pt idx="168" c:formatCode="0.00_);[Red]\(0.00\)">
                  <c:v>5.618</c:v>
                </c:pt>
                <c:pt idx="169" c:formatCode="0.00_);[Red]\(0.00\)">
                  <c:v>5.652</c:v>
                </c:pt>
                <c:pt idx="170" c:formatCode="0.00_);[Red]\(0.00\)">
                  <c:v>5.685</c:v>
                </c:pt>
                <c:pt idx="171" c:formatCode="0.00_);[Red]\(0.00\)">
                  <c:v>5.718</c:v>
                </c:pt>
                <c:pt idx="172" c:formatCode="0.00_);[Red]\(0.00\)">
                  <c:v>5.752</c:v>
                </c:pt>
                <c:pt idx="173" c:formatCode="0.00_);[Red]\(0.00\)">
                  <c:v>5.785</c:v>
                </c:pt>
                <c:pt idx="174" c:formatCode="0.00_);[Red]\(0.00\)">
                  <c:v>5.819</c:v>
                </c:pt>
                <c:pt idx="175" c:formatCode="0.00_);[Red]\(0.00\)">
                  <c:v>5.852</c:v>
                </c:pt>
                <c:pt idx="176" c:formatCode="0.00_);[Red]\(0.00\)">
                  <c:v>5.886</c:v>
                </c:pt>
                <c:pt idx="177" c:formatCode="0.00_);[Red]\(0.00\)">
                  <c:v>5.919</c:v>
                </c:pt>
                <c:pt idx="178" c:formatCode="0.00_);[Red]\(0.00\)">
                  <c:v>5.953</c:v>
                </c:pt>
                <c:pt idx="179" c:formatCode="0.00_);[Red]\(0.00\)">
                  <c:v>5.986</c:v>
                </c:pt>
                <c:pt idx="180" c:formatCode="0.00_);[Red]\(0.00\)">
                  <c:v>6.019</c:v>
                </c:pt>
                <c:pt idx="181" c:formatCode="0.00_);[Red]\(0.00\)">
                  <c:v>6.053</c:v>
                </c:pt>
                <c:pt idx="182" c:formatCode="0.00_);[Red]\(0.00\)">
                  <c:v>6.086</c:v>
                </c:pt>
                <c:pt idx="183" c:formatCode="0.00_);[Red]\(0.00\)">
                  <c:v>6.12</c:v>
                </c:pt>
                <c:pt idx="184" c:formatCode="0.00_);[Red]\(0.00\)">
                  <c:v>6.153</c:v>
                </c:pt>
                <c:pt idx="185" c:formatCode="0.00_);[Red]\(0.00\)">
                  <c:v>6.187</c:v>
                </c:pt>
                <c:pt idx="186" c:formatCode="0.00_);[Red]\(0.00\)">
                  <c:v>6.22</c:v>
                </c:pt>
                <c:pt idx="187" c:formatCode="0.00_);[Red]\(0.00\)">
                  <c:v>6.254</c:v>
                </c:pt>
                <c:pt idx="188" c:formatCode="0.00_);[Red]\(0.00\)">
                  <c:v>6.287</c:v>
                </c:pt>
                <c:pt idx="189" c:formatCode="0.00_);[Red]\(0.00\)">
                  <c:v>6.32</c:v>
                </c:pt>
                <c:pt idx="190" c:formatCode="0.00_);[Red]\(0.00\)">
                  <c:v>6.354</c:v>
                </c:pt>
                <c:pt idx="191" c:formatCode="0.00_);[Red]\(0.00\)">
                  <c:v>6.387</c:v>
                </c:pt>
                <c:pt idx="192" c:formatCode="0.00_);[Red]\(0.00\)">
                  <c:v>6.421</c:v>
                </c:pt>
                <c:pt idx="193" c:formatCode="0.00_);[Red]\(0.00\)">
                  <c:v>6.454</c:v>
                </c:pt>
                <c:pt idx="194" c:formatCode="0.00_);[Red]\(0.00\)">
                  <c:v>6.488</c:v>
                </c:pt>
                <c:pt idx="195" c:formatCode="0.00_);[Red]\(0.00\)">
                  <c:v>6.521</c:v>
                </c:pt>
                <c:pt idx="196" c:formatCode="0.00_);[Red]\(0.00\)">
                  <c:v>6.555</c:v>
                </c:pt>
                <c:pt idx="197" c:formatCode="0.00_);[Red]\(0.00\)">
                  <c:v>6.588</c:v>
                </c:pt>
                <c:pt idx="198" c:formatCode="0.00_);[Red]\(0.00\)">
                  <c:v>6.621</c:v>
                </c:pt>
                <c:pt idx="199" c:formatCode="0.00_);[Red]\(0.00\)">
                  <c:v>6.655</c:v>
                </c:pt>
                <c:pt idx="200" c:formatCode="0.00_);[Red]\(0.00\)">
                  <c:v>6.688</c:v>
                </c:pt>
                <c:pt idx="201" c:formatCode="0.00_);[Red]\(0.00\)">
                  <c:v>6.722</c:v>
                </c:pt>
                <c:pt idx="202" c:formatCode="0.00_);[Red]\(0.00\)">
                  <c:v>6.755</c:v>
                </c:pt>
                <c:pt idx="203" c:formatCode="0.00_);[Red]\(0.00\)">
                  <c:v>6.789</c:v>
                </c:pt>
                <c:pt idx="204" c:formatCode="0.00_);[Red]\(0.00\)">
                  <c:v>6.822</c:v>
                </c:pt>
                <c:pt idx="205" c:formatCode="0.00_);[Red]\(0.00\)">
                  <c:v>6.855</c:v>
                </c:pt>
                <c:pt idx="206" c:formatCode="0.00_);[Red]\(0.00\)">
                  <c:v>6.889</c:v>
                </c:pt>
                <c:pt idx="207" c:formatCode="0.00_);[Red]\(0.00\)">
                  <c:v>6.922</c:v>
                </c:pt>
                <c:pt idx="208" c:formatCode="0.00_);[Red]\(0.00\)">
                  <c:v>6.956</c:v>
                </c:pt>
                <c:pt idx="209" c:formatCode="0.00_);[Red]\(0.00\)">
                  <c:v>6.989</c:v>
                </c:pt>
                <c:pt idx="210" c:formatCode="0.00_);[Red]\(0.00\)">
                  <c:v>7.023</c:v>
                </c:pt>
                <c:pt idx="211" c:formatCode="0.00_);[Red]\(0.00\)">
                  <c:v>7.056</c:v>
                </c:pt>
                <c:pt idx="212" c:formatCode="0.00_);[Red]\(0.00\)">
                  <c:v>7.09</c:v>
                </c:pt>
                <c:pt idx="213" c:formatCode="0.00_);[Red]\(0.00\)">
                  <c:v>7.123</c:v>
                </c:pt>
                <c:pt idx="214" c:formatCode="0.00_);[Red]\(0.00\)">
                  <c:v>7.156</c:v>
                </c:pt>
                <c:pt idx="215" c:formatCode="0.00_);[Red]\(0.00\)">
                  <c:v>7.19</c:v>
                </c:pt>
                <c:pt idx="216" c:formatCode="0.00_);[Red]\(0.00\)">
                  <c:v>7.223</c:v>
                </c:pt>
                <c:pt idx="217" c:formatCode="0.00_);[Red]\(0.00\)">
                  <c:v>7.257</c:v>
                </c:pt>
                <c:pt idx="218" c:formatCode="0.00_);[Red]\(0.00\)">
                  <c:v>7.29</c:v>
                </c:pt>
                <c:pt idx="219" c:formatCode="0.00_);[Red]\(0.00\)">
                  <c:v>7.324</c:v>
                </c:pt>
                <c:pt idx="220" c:formatCode="0.00_);[Red]\(0.00\)">
                  <c:v>7.357</c:v>
                </c:pt>
                <c:pt idx="221" c:formatCode="0.00_);[Red]\(0.00\)">
                  <c:v>7.391</c:v>
                </c:pt>
                <c:pt idx="222" c:formatCode="0.00_);[Red]\(0.00\)">
                  <c:v>7.424</c:v>
                </c:pt>
                <c:pt idx="223" c:formatCode="0.00_);[Red]\(0.00\)">
                  <c:v>7.457</c:v>
                </c:pt>
                <c:pt idx="224" c:formatCode="0.00_);[Red]\(0.00\)">
                  <c:v>7.491</c:v>
                </c:pt>
                <c:pt idx="225" c:formatCode="0.00_);[Red]\(0.00\)">
                  <c:v>7.524</c:v>
                </c:pt>
                <c:pt idx="226" c:formatCode="0.00_);[Red]\(0.00\)">
                  <c:v>7.558</c:v>
                </c:pt>
                <c:pt idx="227" c:formatCode="0.00_);[Red]\(0.00\)">
                  <c:v>7.591</c:v>
                </c:pt>
                <c:pt idx="228" c:formatCode="0.00_);[Red]\(0.00\)">
                  <c:v>7.625</c:v>
                </c:pt>
                <c:pt idx="229" c:formatCode="0.00_);[Red]\(0.00\)">
                  <c:v>7.658</c:v>
                </c:pt>
                <c:pt idx="230" c:formatCode="0.00_);[Red]\(0.00\)">
                  <c:v>7.692</c:v>
                </c:pt>
                <c:pt idx="231" c:formatCode="0.00_);[Red]\(0.00\)">
                  <c:v>7.725</c:v>
                </c:pt>
                <c:pt idx="232" c:formatCode="0.00_);[Red]\(0.00\)">
                  <c:v>7.758</c:v>
                </c:pt>
                <c:pt idx="233" c:formatCode="0.00_);[Red]\(0.00\)">
                  <c:v>7.792</c:v>
                </c:pt>
                <c:pt idx="234" c:formatCode="0.00_);[Red]\(0.00\)">
                  <c:v>7.825</c:v>
                </c:pt>
                <c:pt idx="235" c:formatCode="0.00_);[Red]\(0.00\)">
                  <c:v>7.859</c:v>
                </c:pt>
                <c:pt idx="236" c:formatCode="0.00_);[Red]\(0.00\)">
                  <c:v>7.892</c:v>
                </c:pt>
                <c:pt idx="237" c:formatCode="0.00_);[Red]\(0.00\)">
                  <c:v>7.926</c:v>
                </c:pt>
                <c:pt idx="238" c:formatCode="0.00_);[Red]\(0.00\)">
                  <c:v>7.959</c:v>
                </c:pt>
                <c:pt idx="239" c:formatCode="0.00_);[Red]\(0.00\)">
                  <c:v>7.992</c:v>
                </c:pt>
                <c:pt idx="240" c:formatCode="0.00_);[Red]\(0.00\)">
                  <c:v>8.026</c:v>
                </c:pt>
                <c:pt idx="241" c:formatCode="0.00_);[Red]\(0.00\)">
                  <c:v>8.059</c:v>
                </c:pt>
                <c:pt idx="242" c:formatCode="0.00_);[Red]\(0.00\)">
                  <c:v>8.093</c:v>
                </c:pt>
                <c:pt idx="243" c:formatCode="0.00_);[Red]\(0.00\)">
                  <c:v>8.126</c:v>
                </c:pt>
                <c:pt idx="244" c:formatCode="0.00_);[Red]\(0.00\)">
                  <c:v>8.16</c:v>
                </c:pt>
                <c:pt idx="245" c:formatCode="0.00_);[Red]\(0.00\)">
                  <c:v>8.193</c:v>
                </c:pt>
                <c:pt idx="246" c:formatCode="0.00_);[Red]\(0.00\)">
                  <c:v>8.227</c:v>
                </c:pt>
                <c:pt idx="247" c:formatCode="0.00_);[Red]\(0.00\)">
                  <c:v>8.26</c:v>
                </c:pt>
                <c:pt idx="248" c:formatCode="0.00_);[Red]\(0.00\)">
                  <c:v>8.293</c:v>
                </c:pt>
                <c:pt idx="249" c:formatCode="0.00_);[Red]\(0.00\)">
                  <c:v>8.327</c:v>
                </c:pt>
                <c:pt idx="250" c:formatCode="0.00_);[Red]\(0.00\)">
                  <c:v>8.36</c:v>
                </c:pt>
                <c:pt idx="251" c:formatCode="0.00_);[Red]\(0.00\)">
                  <c:v>8.394</c:v>
                </c:pt>
                <c:pt idx="252" c:formatCode="0.00_);[Red]\(0.00\)">
                  <c:v>8.427</c:v>
                </c:pt>
                <c:pt idx="253" c:formatCode="0.00_);[Red]\(0.00\)">
                  <c:v>8.461</c:v>
                </c:pt>
                <c:pt idx="254" c:formatCode="0.00_);[Red]\(0.00\)">
                  <c:v>8.494</c:v>
                </c:pt>
                <c:pt idx="255" c:formatCode="0.00_);[Red]\(0.00\)">
                  <c:v>8.528</c:v>
                </c:pt>
                <c:pt idx="256" c:formatCode="0.00_);[Red]\(0.00\)">
                  <c:v>8.561</c:v>
                </c:pt>
                <c:pt idx="257" c:formatCode="0.00_);[Red]\(0.00\)">
                  <c:v>8.594</c:v>
                </c:pt>
                <c:pt idx="258" c:formatCode="0.00_);[Red]\(0.00\)">
                  <c:v>8.628</c:v>
                </c:pt>
                <c:pt idx="259" c:formatCode="0.00_);[Red]\(0.00\)">
                  <c:v>8.661</c:v>
                </c:pt>
                <c:pt idx="260" c:formatCode="0.00_);[Red]\(0.00\)">
                  <c:v>8.695</c:v>
                </c:pt>
                <c:pt idx="261" c:formatCode="0.00_);[Red]\(0.00\)">
                  <c:v>8.728</c:v>
                </c:pt>
                <c:pt idx="262" c:formatCode="0.00_);[Red]\(0.00\)">
                  <c:v>8.762</c:v>
                </c:pt>
                <c:pt idx="263" c:formatCode="0.00_);[Red]\(0.00\)">
                  <c:v>8.795</c:v>
                </c:pt>
                <c:pt idx="264" c:formatCode="0.00_);[Red]\(0.00\)">
                  <c:v>8.829</c:v>
                </c:pt>
                <c:pt idx="265" c:formatCode="0.00_);[Red]\(0.00\)">
                  <c:v>8.862</c:v>
                </c:pt>
                <c:pt idx="266" c:formatCode="0.00_);[Red]\(0.00\)">
                  <c:v>8.895</c:v>
                </c:pt>
                <c:pt idx="267" c:formatCode="0.00_);[Red]\(0.00\)">
                  <c:v>8.929</c:v>
                </c:pt>
                <c:pt idx="268" c:formatCode="0.00_);[Red]\(0.00\)">
                  <c:v>8.962</c:v>
                </c:pt>
                <c:pt idx="269" c:formatCode="0.00_);[Red]\(0.00\)">
                  <c:v>8.996</c:v>
                </c:pt>
                <c:pt idx="270" c:formatCode="0.00_);[Red]\(0.00\)">
                  <c:v>9.029</c:v>
                </c:pt>
                <c:pt idx="271" c:formatCode="0.00_);[Red]\(0.00\)">
                  <c:v>9.063</c:v>
                </c:pt>
                <c:pt idx="272" c:formatCode="0.00_);[Red]\(0.00\)">
                  <c:v>9.096</c:v>
                </c:pt>
                <c:pt idx="273" c:formatCode="0.00_);[Red]\(0.00\)">
                  <c:v>9.129</c:v>
                </c:pt>
                <c:pt idx="274" c:formatCode="0.00_);[Red]\(0.00\)">
                  <c:v>9.163</c:v>
                </c:pt>
                <c:pt idx="275" c:formatCode="0.00_);[Red]\(0.00\)">
                  <c:v>9.196</c:v>
                </c:pt>
                <c:pt idx="276" c:formatCode="0.00_);[Red]\(0.00\)">
                  <c:v>9.23</c:v>
                </c:pt>
                <c:pt idx="277" c:formatCode="0.00_);[Red]\(0.00\)">
                  <c:v>9.263</c:v>
                </c:pt>
                <c:pt idx="278" c:formatCode="0.00_);[Red]\(0.00\)">
                  <c:v>9.297</c:v>
                </c:pt>
                <c:pt idx="279" c:formatCode="0.00_);[Red]\(0.00\)">
                  <c:v>9.33</c:v>
                </c:pt>
                <c:pt idx="280" c:formatCode="0.00_);[Red]\(0.00\)">
                  <c:v>9.364</c:v>
                </c:pt>
                <c:pt idx="281" c:formatCode="0.00_);[Red]\(0.00\)">
                  <c:v>9.397</c:v>
                </c:pt>
                <c:pt idx="282" c:formatCode="0.00_);[Red]\(0.00\)">
                  <c:v>9.43</c:v>
                </c:pt>
                <c:pt idx="283" c:formatCode="0.00_);[Red]\(0.00\)">
                  <c:v>9.464</c:v>
                </c:pt>
                <c:pt idx="284" c:formatCode="0.00_);[Red]\(0.00\)">
                  <c:v>9.497</c:v>
                </c:pt>
                <c:pt idx="285" c:formatCode="0.00_);[Red]\(0.00\)">
                  <c:v>9.531</c:v>
                </c:pt>
                <c:pt idx="286" c:formatCode="0.00_);[Red]\(0.00\)">
                  <c:v>9.564</c:v>
                </c:pt>
                <c:pt idx="287" c:formatCode="0.00_);[Red]\(0.00\)">
                  <c:v>9.598</c:v>
                </c:pt>
                <c:pt idx="288" c:formatCode="0.00_);[Red]\(0.00\)">
                  <c:v>9.631</c:v>
                </c:pt>
                <c:pt idx="289" c:formatCode="0.00_);[Red]\(0.00\)">
                  <c:v>9.665</c:v>
                </c:pt>
                <c:pt idx="290" c:formatCode="0.00_);[Red]\(0.00\)">
                  <c:v>9.698</c:v>
                </c:pt>
                <c:pt idx="291" c:formatCode="0.00_);[Red]\(0.00\)">
                  <c:v>9.731</c:v>
                </c:pt>
                <c:pt idx="292" c:formatCode="0.00_);[Red]\(0.00\)">
                  <c:v>9.765</c:v>
                </c:pt>
                <c:pt idx="293" c:formatCode="0.00_);[Red]\(0.00\)">
                  <c:v>9.798</c:v>
                </c:pt>
                <c:pt idx="294" c:formatCode="0.00_);[Red]\(0.00\)">
                  <c:v>9.832</c:v>
                </c:pt>
                <c:pt idx="295" c:formatCode="0.00_);[Red]\(0.00\)">
                  <c:v>9.865</c:v>
                </c:pt>
                <c:pt idx="296" c:formatCode="0.00_);[Red]\(0.00\)">
                  <c:v>9.899</c:v>
                </c:pt>
                <c:pt idx="297" c:formatCode="0.00_);[Red]\(0.00\)">
                  <c:v>9.932</c:v>
                </c:pt>
                <c:pt idx="298" c:formatCode="0.00_);[Red]\(0.00\)">
                  <c:v>9.966</c:v>
                </c:pt>
                <c:pt idx="299" c:formatCode="0.00_);[Red]\(0.00\)">
                  <c:v>9.999</c:v>
                </c:pt>
                <c:pt idx="300" c:formatCode="0.00_);[Red]\(0.00\)">
                  <c:v>10.032</c:v>
                </c:pt>
                <c:pt idx="301" c:formatCode="0.00_);[Red]\(0.00\)">
                  <c:v>10.066</c:v>
                </c:pt>
                <c:pt idx="302" c:formatCode="0.00_);[Red]\(0.00\)">
                  <c:v>10.099</c:v>
                </c:pt>
                <c:pt idx="303" c:formatCode="0.00_);[Red]\(0.00\)">
                  <c:v>10.133</c:v>
                </c:pt>
                <c:pt idx="304" c:formatCode="0.00_);[Red]\(0.00\)">
                  <c:v>10.166</c:v>
                </c:pt>
                <c:pt idx="305" c:formatCode="0.00_);[Red]\(0.00\)">
                  <c:v>10.2</c:v>
                </c:pt>
                <c:pt idx="306" c:formatCode="0.00_);[Red]\(0.00\)">
                  <c:v>10.233</c:v>
                </c:pt>
                <c:pt idx="307" c:formatCode="0.00_);[Red]\(0.00\)">
                  <c:v>10.266</c:v>
                </c:pt>
                <c:pt idx="308" c:formatCode="0.00_);[Red]\(0.00\)">
                  <c:v>10.3</c:v>
                </c:pt>
                <c:pt idx="309" c:formatCode="0.00_);[Red]\(0.00\)">
                  <c:v>10.333</c:v>
                </c:pt>
                <c:pt idx="310" c:formatCode="0.00_);[Red]\(0.00\)">
                  <c:v>10.367</c:v>
                </c:pt>
                <c:pt idx="311" c:formatCode="0.00_);[Red]\(0.00\)">
                  <c:v>10.4</c:v>
                </c:pt>
                <c:pt idx="312" c:formatCode="0.00_);[Red]\(0.00\)">
                  <c:v>10.434</c:v>
                </c:pt>
                <c:pt idx="313" c:formatCode="0.00_);[Red]\(0.00\)">
                  <c:v>10.467</c:v>
                </c:pt>
                <c:pt idx="314" c:formatCode="0.00_);[Red]\(0.00\)">
                  <c:v>10.501</c:v>
                </c:pt>
                <c:pt idx="315" c:formatCode="0.00_);[Red]\(0.00\)">
                  <c:v>10.534</c:v>
                </c:pt>
                <c:pt idx="316" c:formatCode="0.00_);[Red]\(0.00\)">
                  <c:v>10.567</c:v>
                </c:pt>
                <c:pt idx="317" c:formatCode="0.00_);[Red]\(0.00\)">
                  <c:v>10.601</c:v>
                </c:pt>
                <c:pt idx="318" c:formatCode="0.00_);[Red]\(0.00\)">
                  <c:v>10.634</c:v>
                </c:pt>
                <c:pt idx="319" c:formatCode="0.00_);[Red]\(0.00\)">
                  <c:v>10.668</c:v>
                </c:pt>
                <c:pt idx="320" c:formatCode="0.00_);[Red]\(0.00\)">
                  <c:v>10.701</c:v>
                </c:pt>
                <c:pt idx="321" c:formatCode="0.00_);[Red]\(0.00\)">
                  <c:v>10.735</c:v>
                </c:pt>
                <c:pt idx="322" c:formatCode="0.00_);[Red]\(0.00\)">
                  <c:v>10.768</c:v>
                </c:pt>
                <c:pt idx="323" c:formatCode="0.00_);[Red]\(0.00\)">
                  <c:v>10.802</c:v>
                </c:pt>
                <c:pt idx="324" c:formatCode="0.00_);[Red]\(0.00\)">
                  <c:v>10.835</c:v>
                </c:pt>
                <c:pt idx="325" c:formatCode="0.00_);[Red]\(0.00\)">
                  <c:v>10.868</c:v>
                </c:pt>
                <c:pt idx="326" c:formatCode="0.00_);[Red]\(0.00\)">
                  <c:v>10.902</c:v>
                </c:pt>
                <c:pt idx="327" c:formatCode="0.00_);[Red]\(0.00\)">
                  <c:v>10.935</c:v>
                </c:pt>
                <c:pt idx="328" c:formatCode="0.00_);[Red]\(0.00\)">
                  <c:v>10.969</c:v>
                </c:pt>
                <c:pt idx="329" c:formatCode="0.00_);[Red]\(0.00\)">
                  <c:v>11.002</c:v>
                </c:pt>
                <c:pt idx="330" c:formatCode="0.00_);[Red]\(0.00\)">
                  <c:v>11.036</c:v>
                </c:pt>
                <c:pt idx="331" c:formatCode="0.00_);[Red]\(0.00\)">
                  <c:v>11.069</c:v>
                </c:pt>
                <c:pt idx="332" c:formatCode="0.00_);[Red]\(0.00\)">
                  <c:v>11.103</c:v>
                </c:pt>
                <c:pt idx="333" c:formatCode="0.00_);[Red]\(0.00\)">
                  <c:v>11.136</c:v>
                </c:pt>
                <c:pt idx="334" c:formatCode="0.00_);[Red]\(0.00\)">
                  <c:v>11.169</c:v>
                </c:pt>
                <c:pt idx="335" c:formatCode="0.00_);[Red]\(0.00\)">
                  <c:v>11.203</c:v>
                </c:pt>
                <c:pt idx="336" c:formatCode="0.00_);[Red]\(0.00\)">
                  <c:v>11.236</c:v>
                </c:pt>
                <c:pt idx="337" c:formatCode="0.00_);[Red]\(0.00\)">
                  <c:v>11.27</c:v>
                </c:pt>
                <c:pt idx="338" c:formatCode="0.00_);[Red]\(0.00\)">
                  <c:v>11.303</c:v>
                </c:pt>
                <c:pt idx="339" c:formatCode="0.00_);[Red]\(0.00\)">
                  <c:v>11.337</c:v>
                </c:pt>
                <c:pt idx="340" c:formatCode="0.00_);[Red]\(0.00\)">
                  <c:v>11.37</c:v>
                </c:pt>
                <c:pt idx="341" c:formatCode="0.00_);[Red]\(0.00\)">
                  <c:v>11.404</c:v>
                </c:pt>
                <c:pt idx="342" c:formatCode="0.00_);[Red]\(0.00\)">
                  <c:v>11.437</c:v>
                </c:pt>
                <c:pt idx="343" c:formatCode="0.00_);[Red]\(0.00\)">
                  <c:v>11.47</c:v>
                </c:pt>
                <c:pt idx="344" c:formatCode="0.00_);[Red]\(0.00\)">
                  <c:v>11.504</c:v>
                </c:pt>
                <c:pt idx="345" c:formatCode="0.00_);[Red]\(0.00\)">
                  <c:v>11.537</c:v>
                </c:pt>
                <c:pt idx="346" c:formatCode="0.00_);[Red]\(0.00\)">
                  <c:v>11.571</c:v>
                </c:pt>
                <c:pt idx="347" c:formatCode="0.00_);[Red]\(0.00\)">
                  <c:v>11.604</c:v>
                </c:pt>
                <c:pt idx="348" c:formatCode="0.00_);[Red]\(0.00\)">
                  <c:v>11.638</c:v>
                </c:pt>
                <c:pt idx="349" c:formatCode="0.00_);[Red]\(0.00\)">
                  <c:v>11.671</c:v>
                </c:pt>
                <c:pt idx="350" c:formatCode="0.00_);[Red]\(0.00\)">
                  <c:v>11.704</c:v>
                </c:pt>
                <c:pt idx="351" c:formatCode="0.00_);[Red]\(0.00\)">
                  <c:v>11.738</c:v>
                </c:pt>
                <c:pt idx="352" c:formatCode="0.00_);[Red]\(0.00\)">
                  <c:v>11.771</c:v>
                </c:pt>
                <c:pt idx="353" c:formatCode="0.00_);[Red]\(0.00\)">
                  <c:v>11.805</c:v>
                </c:pt>
                <c:pt idx="354" c:formatCode="0.00_);[Red]\(0.00\)">
                  <c:v>11.838</c:v>
                </c:pt>
                <c:pt idx="355" c:formatCode="0.00_);[Red]\(0.00\)">
                  <c:v>11.872</c:v>
                </c:pt>
                <c:pt idx="356" c:formatCode="0.00_);[Red]\(0.00\)">
                  <c:v>11.905</c:v>
                </c:pt>
                <c:pt idx="357" c:formatCode="0.00_);[Red]\(0.00\)">
                  <c:v>11.939</c:v>
                </c:pt>
                <c:pt idx="358" c:formatCode="0.00_);[Red]\(0.00\)">
                  <c:v>11.972</c:v>
                </c:pt>
                <c:pt idx="359" c:formatCode="0.00_);[Red]\(0.00\)">
                  <c:v>12.005</c:v>
                </c:pt>
                <c:pt idx="360" c:formatCode="0.00_);[Red]\(0.00\)">
                  <c:v>12.039</c:v>
                </c:pt>
                <c:pt idx="361" c:formatCode="0.00_);[Red]\(0.00\)">
                  <c:v>12.072</c:v>
                </c:pt>
                <c:pt idx="362" c:formatCode="0.00_);[Red]\(0.00\)">
                  <c:v>12.106</c:v>
                </c:pt>
                <c:pt idx="363" c:formatCode="0.00_);[Red]\(0.00\)">
                  <c:v>12.139</c:v>
                </c:pt>
                <c:pt idx="364" c:formatCode="0.00_);[Red]\(0.00\)">
                  <c:v>12.173</c:v>
                </c:pt>
                <c:pt idx="365" c:formatCode="0.00_);[Red]\(0.00\)">
                  <c:v>12.206</c:v>
                </c:pt>
                <c:pt idx="366" c:formatCode="0.00_);[Red]\(0.00\)">
                  <c:v>12.24</c:v>
                </c:pt>
                <c:pt idx="367" c:formatCode="0.00_);[Red]\(0.00\)">
                  <c:v>12.273</c:v>
                </c:pt>
                <c:pt idx="368" c:formatCode="0.00_);[Red]\(0.00\)">
                  <c:v>12.306</c:v>
                </c:pt>
                <c:pt idx="369" c:formatCode="0.00_);[Red]\(0.00\)">
                  <c:v>12.34</c:v>
                </c:pt>
                <c:pt idx="370" c:formatCode="0.00_);[Red]\(0.00\)">
                  <c:v>12.373</c:v>
                </c:pt>
                <c:pt idx="371" c:formatCode="0.00_);[Red]\(0.00\)">
                  <c:v>12.407</c:v>
                </c:pt>
                <c:pt idx="372" c:formatCode="0.00_);[Red]\(0.00\)">
                  <c:v>12.44</c:v>
                </c:pt>
                <c:pt idx="373" c:formatCode="0.00_);[Red]\(0.00\)">
                  <c:v>12.474</c:v>
                </c:pt>
                <c:pt idx="374" c:formatCode="0.00_);[Red]\(0.00\)">
                  <c:v>12.507</c:v>
                </c:pt>
                <c:pt idx="375" c:formatCode="0.00_);[Red]\(0.00\)">
                  <c:v>12.541</c:v>
                </c:pt>
                <c:pt idx="376" c:formatCode="0.00_);[Red]\(0.00\)">
                  <c:v>12.574</c:v>
                </c:pt>
                <c:pt idx="377" c:formatCode="0.00_);[Red]\(0.00\)">
                  <c:v>12.607</c:v>
                </c:pt>
                <c:pt idx="378" c:formatCode="0.00_);[Red]\(0.00\)">
                  <c:v>12.641</c:v>
                </c:pt>
                <c:pt idx="379" c:formatCode="0.00_);[Red]\(0.00\)">
                  <c:v>12.674</c:v>
                </c:pt>
                <c:pt idx="380" c:formatCode="0.00_);[Red]\(0.00\)">
                  <c:v>12.708</c:v>
                </c:pt>
                <c:pt idx="381" c:formatCode="0.00_);[Red]\(0.00\)">
                  <c:v>12.741</c:v>
                </c:pt>
                <c:pt idx="382" c:formatCode="0.00_);[Red]\(0.00\)">
                  <c:v>12.775</c:v>
                </c:pt>
                <c:pt idx="383" c:formatCode="0.00_);[Red]\(0.00\)">
                  <c:v>12.808</c:v>
                </c:pt>
                <c:pt idx="384" c:formatCode="0.00_);[Red]\(0.00\)">
                  <c:v>12.841</c:v>
                </c:pt>
                <c:pt idx="385" c:formatCode="0.00_);[Red]\(0.00\)">
                  <c:v>12.875</c:v>
                </c:pt>
                <c:pt idx="386" c:formatCode="0.00_);[Red]\(0.00\)">
                  <c:v>12.908</c:v>
                </c:pt>
                <c:pt idx="387" c:formatCode="0.00_);[Red]\(0.00\)">
                  <c:v>12.942</c:v>
                </c:pt>
                <c:pt idx="388" c:formatCode="0.00_);[Red]\(0.00\)">
                  <c:v>12.975</c:v>
                </c:pt>
                <c:pt idx="389" c:formatCode="0.00_);[Red]\(0.00\)">
                  <c:v>13.009</c:v>
                </c:pt>
                <c:pt idx="390" c:formatCode="0.00_);[Red]\(0.00\)">
                  <c:v>13.042</c:v>
                </c:pt>
                <c:pt idx="391" c:formatCode="0.00_);[Red]\(0.00\)">
                  <c:v>13.076</c:v>
                </c:pt>
                <c:pt idx="392" c:formatCode="0.00_);[Red]\(0.00\)">
                  <c:v>13.109</c:v>
                </c:pt>
                <c:pt idx="393" c:formatCode="0.00_);[Red]\(0.00\)">
                  <c:v>13.142</c:v>
                </c:pt>
                <c:pt idx="394" c:formatCode="0.00_);[Red]\(0.00\)">
                  <c:v>13.176</c:v>
                </c:pt>
                <c:pt idx="395" c:formatCode="0.00_);[Red]\(0.00\)">
                  <c:v>13.209</c:v>
                </c:pt>
                <c:pt idx="396" c:formatCode="0.00_);[Red]\(0.00\)">
                  <c:v>13.243</c:v>
                </c:pt>
                <c:pt idx="397" c:formatCode="0.00_);[Red]\(0.00\)">
                  <c:v>13.276</c:v>
                </c:pt>
                <c:pt idx="398" c:formatCode="0.00_);[Red]\(0.00\)">
                  <c:v>13.31</c:v>
                </c:pt>
                <c:pt idx="399" c:formatCode="0.00_);[Red]\(0.00\)">
                  <c:v>13.343</c:v>
                </c:pt>
                <c:pt idx="400" c:formatCode="0.00_);[Red]\(0.00\)">
                  <c:v>13.377</c:v>
                </c:pt>
                <c:pt idx="401" c:formatCode="0.00_);[Red]\(0.00\)">
                  <c:v>13.41</c:v>
                </c:pt>
                <c:pt idx="402" c:formatCode="0.00_);[Red]\(0.00\)">
                  <c:v>13.443</c:v>
                </c:pt>
                <c:pt idx="403" c:formatCode="0.00_);[Red]\(0.00\)">
                  <c:v>13.477</c:v>
                </c:pt>
                <c:pt idx="404" c:formatCode="0.00_);[Red]\(0.00\)">
                  <c:v>13.51</c:v>
                </c:pt>
                <c:pt idx="405" c:formatCode="0.00_);[Red]\(0.00\)">
                  <c:v>13.544</c:v>
                </c:pt>
                <c:pt idx="406" c:formatCode="0.00_);[Red]\(0.00\)">
                  <c:v>13.577</c:v>
                </c:pt>
                <c:pt idx="407" c:formatCode="0.00_);[Red]\(0.00\)">
                  <c:v>13.611</c:v>
                </c:pt>
                <c:pt idx="408" c:formatCode="0.00_);[Red]\(0.00\)">
                  <c:v>13.644</c:v>
                </c:pt>
                <c:pt idx="409" c:formatCode="0.00_);[Red]\(0.00\)">
                  <c:v>13.678</c:v>
                </c:pt>
                <c:pt idx="410" c:formatCode="0.00_);[Red]\(0.00\)">
                  <c:v>13.711</c:v>
                </c:pt>
                <c:pt idx="411" c:formatCode="0.00_);[Red]\(0.00\)">
                  <c:v>13.744</c:v>
                </c:pt>
                <c:pt idx="412" c:formatCode="0.00_);[Red]\(0.00\)">
                  <c:v>13.778</c:v>
                </c:pt>
                <c:pt idx="413" c:formatCode="0.00_);[Red]\(0.00\)">
                  <c:v>13.811</c:v>
                </c:pt>
                <c:pt idx="414" c:formatCode="0.00_);[Red]\(0.00\)">
                  <c:v>13.845</c:v>
                </c:pt>
                <c:pt idx="415" c:formatCode="0.00_);[Red]\(0.00\)">
                  <c:v>13.878</c:v>
                </c:pt>
                <c:pt idx="416" c:formatCode="0.00_);[Red]\(0.00\)">
                  <c:v>13.912</c:v>
                </c:pt>
                <c:pt idx="417" c:formatCode="0.00_);[Red]\(0.00\)">
                  <c:v>13.945</c:v>
                </c:pt>
                <c:pt idx="418" c:formatCode="0.00_);[Red]\(0.00\)">
                  <c:v>13.978</c:v>
                </c:pt>
                <c:pt idx="419" c:formatCode="0.00_);[Red]\(0.00\)">
                  <c:v>14.012</c:v>
                </c:pt>
                <c:pt idx="420" c:formatCode="0.00_);[Red]\(0.00\)">
                  <c:v>14.045</c:v>
                </c:pt>
                <c:pt idx="421" c:formatCode="0.00_);[Red]\(0.00\)">
                  <c:v>14.079</c:v>
                </c:pt>
                <c:pt idx="422" c:formatCode="0.00_);[Red]\(0.00\)">
                  <c:v>14.112</c:v>
                </c:pt>
                <c:pt idx="423" c:formatCode="0.00_);[Red]\(0.00\)">
                  <c:v>14.146</c:v>
                </c:pt>
                <c:pt idx="424" c:formatCode="0.00_);[Red]\(0.00\)">
                  <c:v>14.179</c:v>
                </c:pt>
                <c:pt idx="425" c:formatCode="0.00_);[Red]\(0.00\)">
                  <c:v>14.213</c:v>
                </c:pt>
                <c:pt idx="426" c:formatCode="0.00_);[Red]\(0.00\)">
                  <c:v>14.246</c:v>
                </c:pt>
                <c:pt idx="427" c:formatCode="0.00_);[Red]\(0.00\)">
                  <c:v>14.279</c:v>
                </c:pt>
                <c:pt idx="428" c:formatCode="0.00_);[Red]\(0.00\)">
                  <c:v>14.313</c:v>
                </c:pt>
                <c:pt idx="429" c:formatCode="0.00_);[Red]\(0.00\)">
                  <c:v>14.346</c:v>
                </c:pt>
                <c:pt idx="430" c:formatCode="0.00_);[Red]\(0.00\)">
                  <c:v>14.38</c:v>
                </c:pt>
                <c:pt idx="431" c:formatCode="0.00_);[Red]\(0.00\)">
                  <c:v>14.413</c:v>
                </c:pt>
                <c:pt idx="432" c:formatCode="0.00_);[Red]\(0.00\)">
                  <c:v>14.447</c:v>
                </c:pt>
                <c:pt idx="433" c:formatCode="0.00_);[Red]\(0.00\)">
                  <c:v>14.48</c:v>
                </c:pt>
                <c:pt idx="434" c:formatCode="0.00_);[Red]\(0.00\)">
                  <c:v>14.514</c:v>
                </c:pt>
                <c:pt idx="435" c:formatCode="0.00_);[Red]\(0.00\)">
                  <c:v>14.547</c:v>
                </c:pt>
                <c:pt idx="436" c:formatCode="0.00_);[Red]\(0.00\)">
                  <c:v>14.58</c:v>
                </c:pt>
                <c:pt idx="437" c:formatCode="0.00_);[Red]\(0.00\)">
                  <c:v>14.614</c:v>
                </c:pt>
                <c:pt idx="438" c:formatCode="0.00_);[Red]\(0.00\)">
                  <c:v>14.647</c:v>
                </c:pt>
                <c:pt idx="439" c:formatCode="0.00_);[Red]\(0.00\)">
                  <c:v>14.681</c:v>
                </c:pt>
                <c:pt idx="440" c:formatCode="0.00_);[Red]\(0.00\)">
                  <c:v>14.714</c:v>
                </c:pt>
                <c:pt idx="441" c:formatCode="0.00_);[Red]\(0.00\)">
                  <c:v>14.748</c:v>
                </c:pt>
                <c:pt idx="442" c:formatCode="0.00_);[Red]\(0.00\)">
                  <c:v>14.781</c:v>
                </c:pt>
                <c:pt idx="443" c:formatCode="0.00_);[Red]\(0.00\)">
                  <c:v>14.815</c:v>
                </c:pt>
                <c:pt idx="444" c:formatCode="0.00_);[Red]\(0.00\)">
                  <c:v>14.848</c:v>
                </c:pt>
                <c:pt idx="445" c:formatCode="0.00_);[Red]\(0.00\)">
                  <c:v>14.881</c:v>
                </c:pt>
                <c:pt idx="446" c:formatCode="0.00_);[Red]\(0.00\)">
                  <c:v>14.915</c:v>
                </c:pt>
                <c:pt idx="447" c:formatCode="0.00_);[Red]\(0.00\)">
                  <c:v>14.948</c:v>
                </c:pt>
                <c:pt idx="448" c:formatCode="0.00_);[Red]\(0.00\)">
                  <c:v>14.982</c:v>
                </c:pt>
                <c:pt idx="449" c:formatCode="0.00_);[Red]\(0.00\)">
                  <c:v>15.015</c:v>
                </c:pt>
                <c:pt idx="450" c:formatCode="0.00_);[Red]\(0.00\)">
                  <c:v>15.049</c:v>
                </c:pt>
                <c:pt idx="451" c:formatCode="0.00_);[Red]\(0.00\)">
                  <c:v>15.082</c:v>
                </c:pt>
                <c:pt idx="452" c:formatCode="0.00_);[Red]\(0.00\)">
                  <c:v>15.115</c:v>
                </c:pt>
                <c:pt idx="453" c:formatCode="0.00_);[Red]\(0.00\)">
                  <c:v>15.149</c:v>
                </c:pt>
                <c:pt idx="454" c:formatCode="0.00_);[Red]\(0.00\)">
                  <c:v>15.182</c:v>
                </c:pt>
                <c:pt idx="455" c:formatCode="0.00_);[Red]\(0.00\)">
                  <c:v>15.216</c:v>
                </c:pt>
                <c:pt idx="456" c:formatCode="0.00_);[Red]\(0.00\)">
                  <c:v>15.249</c:v>
                </c:pt>
                <c:pt idx="457" c:formatCode="0.00_);[Red]\(0.00\)">
                  <c:v>15.283</c:v>
                </c:pt>
                <c:pt idx="458" c:formatCode="0.00_);[Red]\(0.00\)">
                  <c:v>15.316</c:v>
                </c:pt>
                <c:pt idx="459" c:formatCode="0.00_);[Red]\(0.00\)">
                  <c:v>15.35</c:v>
                </c:pt>
                <c:pt idx="460" c:formatCode="0.00_);[Red]\(0.00\)">
                  <c:v>15.383</c:v>
                </c:pt>
                <c:pt idx="461" c:formatCode="0.00_);[Red]\(0.00\)">
                  <c:v>15.416</c:v>
                </c:pt>
                <c:pt idx="462" c:formatCode="0.00_);[Red]\(0.00\)">
                  <c:v>15.45</c:v>
                </c:pt>
                <c:pt idx="463" c:formatCode="0.00_);[Red]\(0.00\)">
                  <c:v>15.483</c:v>
                </c:pt>
                <c:pt idx="464" c:formatCode="0.00_);[Red]\(0.00\)">
                  <c:v>15.517</c:v>
                </c:pt>
                <c:pt idx="465" c:formatCode="0.00_);[Red]\(0.00\)">
                  <c:v>15.55</c:v>
                </c:pt>
                <c:pt idx="466" c:formatCode="0.00_);[Red]\(0.00\)">
                  <c:v>15.584</c:v>
                </c:pt>
                <c:pt idx="467" c:formatCode="0.00_);[Red]\(0.00\)">
                  <c:v>15.617</c:v>
                </c:pt>
                <c:pt idx="468" c:formatCode="0.00_);[Red]\(0.00\)">
                  <c:v>15.651</c:v>
                </c:pt>
                <c:pt idx="469" c:formatCode="0.00_);[Red]\(0.00\)">
                  <c:v>15.684</c:v>
                </c:pt>
                <c:pt idx="470" c:formatCode="0.00_);[Red]\(0.00\)">
                  <c:v>15.717</c:v>
                </c:pt>
                <c:pt idx="471" c:formatCode="0.00_);[Red]\(0.00\)">
                  <c:v>15.751</c:v>
                </c:pt>
                <c:pt idx="472" c:formatCode="0.00_);[Red]\(0.00\)">
                  <c:v>15.784</c:v>
                </c:pt>
                <c:pt idx="473" c:formatCode="0.00_);[Red]\(0.00\)">
                  <c:v>15.818</c:v>
                </c:pt>
                <c:pt idx="474" c:formatCode="0.00_);[Red]\(0.00\)">
                  <c:v>15.851</c:v>
                </c:pt>
                <c:pt idx="475" c:formatCode="0.00_);[Red]\(0.00\)">
                  <c:v>15.885</c:v>
                </c:pt>
                <c:pt idx="476" c:formatCode="0.00_);[Red]\(0.00\)">
                  <c:v>15.918</c:v>
                </c:pt>
                <c:pt idx="477" c:formatCode="0.00_);[Red]\(0.00\)">
                  <c:v>15.952</c:v>
                </c:pt>
                <c:pt idx="478" c:formatCode="0.00_);[Red]\(0.00\)">
                  <c:v>15.985</c:v>
                </c:pt>
                <c:pt idx="479" c:formatCode="0.00_);[Red]\(0.00\)">
                  <c:v>16.018</c:v>
                </c:pt>
                <c:pt idx="480" c:formatCode="0.00_);[Red]\(0.00\)">
                  <c:v>16.052</c:v>
                </c:pt>
                <c:pt idx="481" c:formatCode="0.00_);[Red]\(0.00\)">
                  <c:v>16.085</c:v>
                </c:pt>
                <c:pt idx="482" c:formatCode="0.00_);[Red]\(0.00\)">
                  <c:v>16.119</c:v>
                </c:pt>
                <c:pt idx="483" c:formatCode="0.00_);[Red]\(0.00\)">
                  <c:v>16.152</c:v>
                </c:pt>
                <c:pt idx="484" c:formatCode="0.00_);[Red]\(0.00\)">
                  <c:v>16.186</c:v>
                </c:pt>
                <c:pt idx="485" c:formatCode="0.00_);[Red]\(0.00\)">
                  <c:v>16.219</c:v>
                </c:pt>
                <c:pt idx="486" c:formatCode="0.00_);[Red]\(0.00\)">
                  <c:v>16.253</c:v>
                </c:pt>
                <c:pt idx="487" c:formatCode="0.00_);[Red]\(0.00\)">
                  <c:v>16.286</c:v>
                </c:pt>
                <c:pt idx="488" c:formatCode="0.00_);[Red]\(0.00\)">
                  <c:v>16.319</c:v>
                </c:pt>
                <c:pt idx="489" c:formatCode="0.00_);[Red]\(0.00\)">
                  <c:v>16.353</c:v>
                </c:pt>
                <c:pt idx="490" c:formatCode="0.00_);[Red]\(0.00\)">
                  <c:v>16.386</c:v>
                </c:pt>
                <c:pt idx="491" c:formatCode="0.00_);[Red]\(0.00\)">
                  <c:v>16.42</c:v>
                </c:pt>
                <c:pt idx="492" c:formatCode="0.00_);[Red]\(0.00\)">
                  <c:v>16.453</c:v>
                </c:pt>
                <c:pt idx="493" c:formatCode="0.00_);[Red]\(0.00\)">
                  <c:v>16.487</c:v>
                </c:pt>
                <c:pt idx="494" c:formatCode="0.00_);[Red]\(0.00\)">
                  <c:v>16.52</c:v>
                </c:pt>
                <c:pt idx="495" c:formatCode="0.00_);[Red]\(0.00\)">
                  <c:v>16.553</c:v>
                </c:pt>
                <c:pt idx="496" c:formatCode="0.00_);[Red]\(0.00\)">
                  <c:v>16.587</c:v>
                </c:pt>
                <c:pt idx="497" c:formatCode="0.00_);[Red]\(0.00\)">
                  <c:v>16.62</c:v>
                </c:pt>
                <c:pt idx="498" c:formatCode="0.00_);[Red]\(0.00\)">
                  <c:v>16.654</c:v>
                </c:pt>
                <c:pt idx="499" c:formatCode="0.00_);[Red]\(0.00\)">
                  <c:v>16.687</c:v>
                </c:pt>
                <c:pt idx="500" c:formatCode="0.00_);[Red]\(0.00\)">
                  <c:v>16.721</c:v>
                </c:pt>
                <c:pt idx="501" c:formatCode="0.00_);[Red]\(0.00\)">
                  <c:v>16.754</c:v>
                </c:pt>
                <c:pt idx="502" c:formatCode="0.00_);[Red]\(0.00\)">
                  <c:v>16.788</c:v>
                </c:pt>
                <c:pt idx="503" c:formatCode="0.00_);[Red]\(0.00\)">
                  <c:v>16.821</c:v>
                </c:pt>
                <c:pt idx="504" c:formatCode="0.00_);[Red]\(0.00\)">
                  <c:v>16.854</c:v>
                </c:pt>
                <c:pt idx="505" c:formatCode="0.00_);[Red]\(0.00\)">
                  <c:v>16.888</c:v>
                </c:pt>
                <c:pt idx="506" c:formatCode="0.00_);[Red]\(0.00\)">
                  <c:v>16.921</c:v>
                </c:pt>
                <c:pt idx="507" c:formatCode="0.00_);[Red]\(0.00\)">
                  <c:v>16.955</c:v>
                </c:pt>
                <c:pt idx="508" c:formatCode="0.00_);[Red]\(0.00\)">
                  <c:v>16.988</c:v>
                </c:pt>
                <c:pt idx="509" c:formatCode="0.00_);[Red]\(0.00\)">
                  <c:v>17.022</c:v>
                </c:pt>
                <c:pt idx="510" c:formatCode="0.00_);[Red]\(0.00\)">
                  <c:v>17.055</c:v>
                </c:pt>
                <c:pt idx="511" c:formatCode="0.00_);[Red]\(0.00\)">
                  <c:v>17.089</c:v>
                </c:pt>
                <c:pt idx="512" c:formatCode="0.00_);[Red]\(0.00\)">
                  <c:v>17.122</c:v>
                </c:pt>
                <c:pt idx="513" c:formatCode="0.00_);[Red]\(0.00\)">
                  <c:v>17.155</c:v>
                </c:pt>
                <c:pt idx="514" c:formatCode="0.00_);[Red]\(0.00\)">
                  <c:v>17.189</c:v>
                </c:pt>
                <c:pt idx="515" c:formatCode="0.00_);[Red]\(0.00\)">
                  <c:v>17.222</c:v>
                </c:pt>
                <c:pt idx="516" c:formatCode="0.00_);[Red]\(0.00\)">
                  <c:v>17.256</c:v>
                </c:pt>
                <c:pt idx="517" c:formatCode="0.00_);[Red]\(0.00\)">
                  <c:v>17.289</c:v>
                </c:pt>
                <c:pt idx="518" c:formatCode="0.00_);[Red]\(0.00\)">
                  <c:v>17.323</c:v>
                </c:pt>
                <c:pt idx="519" c:formatCode="0.00_);[Red]\(0.00\)">
                  <c:v>17.356</c:v>
                </c:pt>
                <c:pt idx="520" c:formatCode="0.00_);[Red]\(0.00\)">
                  <c:v>17.39</c:v>
                </c:pt>
                <c:pt idx="521" c:formatCode="0.00_);[Red]\(0.00\)">
                  <c:v>17.423</c:v>
                </c:pt>
                <c:pt idx="522" c:formatCode="0.00_);[Red]\(0.00\)">
                  <c:v>17.456</c:v>
                </c:pt>
                <c:pt idx="523" c:formatCode="0.00_);[Red]\(0.00\)">
                  <c:v>17.49</c:v>
                </c:pt>
                <c:pt idx="524" c:formatCode="0.00_);[Red]\(0.00\)">
                  <c:v>17.523</c:v>
                </c:pt>
                <c:pt idx="525" c:formatCode="0.00_);[Red]\(0.00\)">
                  <c:v>17.557</c:v>
                </c:pt>
                <c:pt idx="526" c:formatCode="0.00_);[Red]\(0.00\)">
                  <c:v>17.59</c:v>
                </c:pt>
                <c:pt idx="527" c:formatCode="0.00_);[Red]\(0.00\)">
                  <c:v>17.624</c:v>
                </c:pt>
                <c:pt idx="528" c:formatCode="0.00_);[Red]\(0.00\)">
                  <c:v>17.657</c:v>
                </c:pt>
                <c:pt idx="529" c:formatCode="0.00_);[Red]\(0.00\)">
                  <c:v>17.69</c:v>
                </c:pt>
                <c:pt idx="530" c:formatCode="0.00_);[Red]\(0.00\)">
                  <c:v>17.724</c:v>
                </c:pt>
                <c:pt idx="531" c:formatCode="0.00_);[Red]\(0.00\)">
                  <c:v>17.757</c:v>
                </c:pt>
                <c:pt idx="532" c:formatCode="0.00_);[Red]\(0.00\)">
                  <c:v>17.791</c:v>
                </c:pt>
                <c:pt idx="533" c:formatCode="0.00_);[Red]\(0.00\)">
                  <c:v>17.824</c:v>
                </c:pt>
                <c:pt idx="534" c:formatCode="0.00_);[Red]\(0.00\)">
                  <c:v>17.858</c:v>
                </c:pt>
                <c:pt idx="535" c:formatCode="0.00_);[Red]\(0.00\)">
                  <c:v>17.891</c:v>
                </c:pt>
                <c:pt idx="536" c:formatCode="0.00_);[Red]\(0.00\)">
                  <c:v>17.925</c:v>
                </c:pt>
                <c:pt idx="537" c:formatCode="0.00_);[Red]\(0.00\)">
                  <c:v>17.958</c:v>
                </c:pt>
                <c:pt idx="538" c:formatCode="0.00_);[Red]\(0.00\)">
                  <c:v>17.991</c:v>
                </c:pt>
                <c:pt idx="539" c:formatCode="0.00_);[Red]\(0.00\)">
                  <c:v>18.025</c:v>
                </c:pt>
                <c:pt idx="540" c:formatCode="0.00_);[Red]\(0.00\)">
                  <c:v>18.058</c:v>
                </c:pt>
                <c:pt idx="541" c:formatCode="0.00_);[Red]\(0.00\)">
                  <c:v>18.092</c:v>
                </c:pt>
                <c:pt idx="542" c:formatCode="0.00_);[Red]\(0.00\)">
                  <c:v>18.125</c:v>
                </c:pt>
                <c:pt idx="543" c:formatCode="0.00_);[Red]\(0.00\)">
                  <c:v>18.159</c:v>
                </c:pt>
                <c:pt idx="544" c:formatCode="0.00_);[Red]\(0.00\)">
                  <c:v>18.192</c:v>
                </c:pt>
                <c:pt idx="545" c:formatCode="0.00_);[Red]\(0.00\)">
                  <c:v>18.226</c:v>
                </c:pt>
                <c:pt idx="546" c:formatCode="0.00_);[Red]\(0.00\)">
                  <c:v>18.259</c:v>
                </c:pt>
                <c:pt idx="547" c:formatCode="0.00_);[Red]\(0.00\)">
                  <c:v>18.292</c:v>
                </c:pt>
                <c:pt idx="548" c:formatCode="0.00_);[Red]\(0.00\)">
                  <c:v>18.326</c:v>
                </c:pt>
                <c:pt idx="549" c:formatCode="0.00_);[Red]\(0.00\)">
                  <c:v>18.359</c:v>
                </c:pt>
                <c:pt idx="550" c:formatCode="0.00_);[Red]\(0.00\)">
                  <c:v>18.393</c:v>
                </c:pt>
                <c:pt idx="551" c:formatCode="0.00_);[Red]\(0.00\)">
                  <c:v>18.426</c:v>
                </c:pt>
                <c:pt idx="552" c:formatCode="0.00_);[Red]\(0.00\)">
                  <c:v>18.46</c:v>
                </c:pt>
                <c:pt idx="553" c:formatCode="0.00_);[Red]\(0.00\)">
                  <c:v>18.493</c:v>
                </c:pt>
                <c:pt idx="554" c:formatCode="0.00_);[Red]\(0.00\)">
                  <c:v>18.527</c:v>
                </c:pt>
                <c:pt idx="555" c:formatCode="0.00_);[Red]\(0.00\)">
                  <c:v>18.56</c:v>
                </c:pt>
                <c:pt idx="556" c:formatCode="0.00_);[Red]\(0.00\)">
                  <c:v>18.593</c:v>
                </c:pt>
                <c:pt idx="557" c:formatCode="0.00_);[Red]\(0.00\)">
                  <c:v>18.627</c:v>
                </c:pt>
                <c:pt idx="558" c:formatCode="0.00_);[Red]\(0.00\)">
                  <c:v>18.66</c:v>
                </c:pt>
                <c:pt idx="559" c:formatCode="0.00_);[Red]\(0.00\)">
                  <c:v>18.694</c:v>
                </c:pt>
                <c:pt idx="560" c:formatCode="0.00_);[Red]\(0.00\)">
                  <c:v>18.727</c:v>
                </c:pt>
                <c:pt idx="561" c:formatCode="0.00_);[Red]\(0.00\)">
                  <c:v>18.761</c:v>
                </c:pt>
                <c:pt idx="562" c:formatCode="0.00_);[Red]\(0.00\)">
                  <c:v>18.794</c:v>
                </c:pt>
                <c:pt idx="563" c:formatCode="0.00_);[Red]\(0.00\)">
                  <c:v>18.827</c:v>
                </c:pt>
                <c:pt idx="564" c:formatCode="0.00_);[Red]\(0.00\)">
                  <c:v>18.861</c:v>
                </c:pt>
                <c:pt idx="565" c:formatCode="0.00_);[Red]\(0.00\)">
                  <c:v>18.894</c:v>
                </c:pt>
                <c:pt idx="566" c:formatCode="0.00_);[Red]\(0.00\)">
                  <c:v>18.928</c:v>
                </c:pt>
                <c:pt idx="567" c:formatCode="0.00_);[Red]\(0.00\)">
                  <c:v>18.961</c:v>
                </c:pt>
                <c:pt idx="568" c:formatCode="0.00_);[Red]\(0.00\)">
                  <c:v>18.995</c:v>
                </c:pt>
                <c:pt idx="569" c:formatCode="0.00_);[Red]\(0.00\)">
                  <c:v>19.028</c:v>
                </c:pt>
                <c:pt idx="570" c:formatCode="0.00_);[Red]\(0.00\)">
                  <c:v>19.062</c:v>
                </c:pt>
                <c:pt idx="571" c:formatCode="0.00_);[Red]\(0.00\)">
                  <c:v>19.095</c:v>
                </c:pt>
                <c:pt idx="572" c:formatCode="0.00_);[Red]\(0.00\)">
                  <c:v>19.128</c:v>
                </c:pt>
                <c:pt idx="573" c:formatCode="0.00_);[Red]\(0.00\)">
                  <c:v>19.162</c:v>
                </c:pt>
                <c:pt idx="574" c:formatCode="0.00_);[Red]\(0.00\)">
                  <c:v>19.195</c:v>
                </c:pt>
                <c:pt idx="575" c:formatCode="0.00_);[Red]\(0.00\)">
                  <c:v>19.229</c:v>
                </c:pt>
                <c:pt idx="576" c:formatCode="0.00_);[Red]\(0.00\)">
                  <c:v>19.262</c:v>
                </c:pt>
                <c:pt idx="577" c:formatCode="0.00_);[Red]\(0.00\)">
                  <c:v>19.296</c:v>
                </c:pt>
                <c:pt idx="578" c:formatCode="0.00_);[Red]\(0.00\)">
                  <c:v>19.329</c:v>
                </c:pt>
                <c:pt idx="579" c:formatCode="0.00_);[Red]\(0.00\)">
                  <c:v>19.363</c:v>
                </c:pt>
                <c:pt idx="580" c:formatCode="0.00_);[Red]\(0.00\)">
                  <c:v>19.396</c:v>
                </c:pt>
                <c:pt idx="581" c:formatCode="0.00_);[Red]\(0.00\)">
                  <c:v>19.429</c:v>
                </c:pt>
                <c:pt idx="582" c:formatCode="0.00_);[Red]\(0.00\)">
                  <c:v>19.463</c:v>
                </c:pt>
                <c:pt idx="583" c:formatCode="0.00_);[Red]\(0.00\)">
                  <c:v>19.496</c:v>
                </c:pt>
                <c:pt idx="584" c:formatCode="0.00_);[Red]\(0.00\)">
                  <c:v>19.53</c:v>
                </c:pt>
                <c:pt idx="585" c:formatCode="0.00_);[Red]\(0.00\)">
                  <c:v>19.563</c:v>
                </c:pt>
                <c:pt idx="586" c:formatCode="0.00_);[Red]\(0.00\)">
                  <c:v>19.597</c:v>
                </c:pt>
                <c:pt idx="587" c:formatCode="0.00_);[Red]\(0.00\)">
                  <c:v>19.63</c:v>
                </c:pt>
                <c:pt idx="588" c:formatCode="0.00_);[Red]\(0.00\)">
                  <c:v>19.664</c:v>
                </c:pt>
                <c:pt idx="589" c:formatCode="0.00_);[Red]\(0.00\)">
                  <c:v>19.697</c:v>
                </c:pt>
                <c:pt idx="590" c:formatCode="0.00_);[Red]\(0.00\)">
                  <c:v>19.73</c:v>
                </c:pt>
                <c:pt idx="591" c:formatCode="0.00_);[Red]\(0.00\)">
                  <c:v>19.764</c:v>
                </c:pt>
                <c:pt idx="592" c:formatCode="0.00_);[Red]\(0.00\)">
                  <c:v>19.797</c:v>
                </c:pt>
                <c:pt idx="593" c:formatCode="0.00_);[Red]\(0.00\)">
                  <c:v>19.831</c:v>
                </c:pt>
                <c:pt idx="594" c:formatCode="0.00_);[Red]\(0.00\)">
                  <c:v>19.864</c:v>
                </c:pt>
                <c:pt idx="595" c:formatCode="0.00_);[Red]\(0.00\)">
                  <c:v>19.898</c:v>
                </c:pt>
                <c:pt idx="596" c:formatCode="0.00_);[Red]\(0.00\)">
                  <c:v>19.931</c:v>
                </c:pt>
                <c:pt idx="597" c:formatCode="0.00_);[Red]\(0.00\)">
                  <c:v>19.964</c:v>
                </c:pt>
                <c:pt idx="598" c:formatCode="0.00_);[Red]\(0.00\)">
                  <c:v>19.998</c:v>
                </c:pt>
                <c:pt idx="599" c:formatCode="0.00_);[Red]\(0.00\)">
                  <c:v>20.031</c:v>
                </c:pt>
                <c:pt idx="600" c:formatCode="0.00_);[Red]\(0.00\)">
                  <c:v>20.065</c:v>
                </c:pt>
                <c:pt idx="601" c:formatCode="0.00_);[Red]\(0.00\)">
                  <c:v>20.098</c:v>
                </c:pt>
                <c:pt idx="602" c:formatCode="0.00_);[Red]\(0.00\)">
                  <c:v>20.132</c:v>
                </c:pt>
                <c:pt idx="603" c:formatCode="0.00_);[Red]\(0.00\)">
                  <c:v>20.165</c:v>
                </c:pt>
                <c:pt idx="604" c:formatCode="0.00_);[Red]\(0.00\)">
                  <c:v>20.199</c:v>
                </c:pt>
                <c:pt idx="605" c:formatCode="0.00_);[Red]\(0.00\)">
                  <c:v>20.232</c:v>
                </c:pt>
                <c:pt idx="606" c:formatCode="0.00_);[Red]\(0.00\)">
                  <c:v>20.265</c:v>
                </c:pt>
                <c:pt idx="607" c:formatCode="0.00_);[Red]\(0.00\)">
                  <c:v>20.299</c:v>
                </c:pt>
                <c:pt idx="608" c:formatCode="0.00_);[Red]\(0.00\)">
                  <c:v>20.332</c:v>
                </c:pt>
                <c:pt idx="609" c:formatCode="0.00_);[Red]\(0.00\)">
                  <c:v>20.366</c:v>
                </c:pt>
                <c:pt idx="610" c:formatCode="0.00_);[Red]\(0.00\)">
                  <c:v>20.399</c:v>
                </c:pt>
                <c:pt idx="611" c:formatCode="0.00_);[Red]\(0.00\)">
                  <c:v>20.433</c:v>
                </c:pt>
                <c:pt idx="612" c:formatCode="0.00_);[Red]\(0.00\)">
                  <c:v>20.466</c:v>
                </c:pt>
                <c:pt idx="613" c:formatCode="0.00_);[Red]\(0.00\)">
                  <c:v>20.5</c:v>
                </c:pt>
                <c:pt idx="614" c:formatCode="0.00_);[Red]\(0.00\)">
                  <c:v>20.533</c:v>
                </c:pt>
                <c:pt idx="615" c:formatCode="0.00_);[Red]\(0.00\)">
                  <c:v>20.566</c:v>
                </c:pt>
                <c:pt idx="616" c:formatCode="0.00_);[Red]\(0.00\)">
                  <c:v>20.6</c:v>
                </c:pt>
                <c:pt idx="617" c:formatCode="0.00_);[Red]\(0.00\)">
                  <c:v>20.633</c:v>
                </c:pt>
                <c:pt idx="618" c:formatCode="0.00_);[Red]\(0.00\)">
                  <c:v>20.667</c:v>
                </c:pt>
                <c:pt idx="619" c:formatCode="0.00_);[Red]\(0.00\)">
                  <c:v>20.7</c:v>
                </c:pt>
                <c:pt idx="620" c:formatCode="0.00_);[Red]\(0.00\)">
                  <c:v>20.734</c:v>
                </c:pt>
                <c:pt idx="621" c:formatCode="0.00_);[Red]\(0.00\)">
                  <c:v>20.767</c:v>
                </c:pt>
                <c:pt idx="622" c:formatCode="0.00_);[Red]\(0.00\)">
                  <c:v>20.801</c:v>
                </c:pt>
                <c:pt idx="623" c:formatCode="0.00_);[Red]\(0.00\)">
                  <c:v>20.834</c:v>
                </c:pt>
                <c:pt idx="624" c:formatCode="0.00_);[Red]\(0.00\)">
                  <c:v>20.867</c:v>
                </c:pt>
                <c:pt idx="625" c:formatCode="0.00_);[Red]\(0.00\)">
                  <c:v>20.901</c:v>
                </c:pt>
                <c:pt idx="626" c:formatCode="0.00_);[Red]\(0.00\)">
                  <c:v>20.934</c:v>
                </c:pt>
                <c:pt idx="627" c:formatCode="0.00_);[Red]\(0.00\)">
                  <c:v>20.968</c:v>
                </c:pt>
                <c:pt idx="628" c:formatCode="0.00_);[Red]\(0.00\)">
                  <c:v>21.001</c:v>
                </c:pt>
                <c:pt idx="629" c:formatCode="0.00_);[Red]\(0.00\)">
                  <c:v>21.035</c:v>
                </c:pt>
                <c:pt idx="630" c:formatCode="0.00_);[Red]\(0.00\)">
                  <c:v>21.068</c:v>
                </c:pt>
                <c:pt idx="631" c:formatCode="0.00_);[Red]\(0.00\)">
                  <c:v>21.102</c:v>
                </c:pt>
                <c:pt idx="632" c:formatCode="0.00_);[Red]\(0.00\)">
                  <c:v>21.135</c:v>
                </c:pt>
                <c:pt idx="633" c:formatCode="0.00_);[Red]\(0.00\)">
                  <c:v>21.168</c:v>
                </c:pt>
                <c:pt idx="634" c:formatCode="0.00_);[Red]\(0.00\)">
                  <c:v>21.202</c:v>
                </c:pt>
                <c:pt idx="635" c:formatCode="0.00_);[Red]\(0.00\)">
                  <c:v>21.235</c:v>
                </c:pt>
                <c:pt idx="636" c:formatCode="0.00_);[Red]\(0.00\)">
                  <c:v>21.269</c:v>
                </c:pt>
                <c:pt idx="637" c:formatCode="0.00_);[Red]\(0.00\)">
                  <c:v>21.302</c:v>
                </c:pt>
                <c:pt idx="638" c:formatCode="0.00_);[Red]\(0.00\)">
                  <c:v>21.336</c:v>
                </c:pt>
                <c:pt idx="639" c:formatCode="0.00_);[Red]\(0.00\)">
                  <c:v>21.369</c:v>
                </c:pt>
                <c:pt idx="640" c:formatCode="0.00_);[Red]\(0.00\)">
                  <c:v>21.402</c:v>
                </c:pt>
                <c:pt idx="641" c:formatCode="0.00_);[Red]\(0.00\)">
                  <c:v>21.436</c:v>
                </c:pt>
                <c:pt idx="642" c:formatCode="0.00_);[Red]\(0.00\)">
                  <c:v>21.469</c:v>
                </c:pt>
                <c:pt idx="643" c:formatCode="0.00_);[Red]\(0.00\)">
                  <c:v>21.503</c:v>
                </c:pt>
                <c:pt idx="644" c:formatCode="0.00_);[Red]\(0.00\)">
                  <c:v>21.536</c:v>
                </c:pt>
                <c:pt idx="645" c:formatCode="0.00_);[Red]\(0.00\)">
                  <c:v>21.57</c:v>
                </c:pt>
                <c:pt idx="646" c:formatCode="0.00_);[Red]\(0.00\)">
                  <c:v>21.603</c:v>
                </c:pt>
                <c:pt idx="647" c:formatCode="0.00_);[Red]\(0.00\)">
                  <c:v>21.637</c:v>
                </c:pt>
                <c:pt idx="648" c:formatCode="0.00_);[Red]\(0.00\)">
                  <c:v>21.67</c:v>
                </c:pt>
                <c:pt idx="649" c:formatCode="0.00_);[Red]\(0.00\)">
                  <c:v>21.703</c:v>
                </c:pt>
                <c:pt idx="650" c:formatCode="0.00_);[Red]\(0.00\)">
                  <c:v>21.737</c:v>
                </c:pt>
                <c:pt idx="651" c:formatCode="0.00_);[Red]\(0.00\)">
                  <c:v>21.77</c:v>
                </c:pt>
                <c:pt idx="652" c:formatCode="0.00_);[Red]\(0.00\)">
                  <c:v>21.804</c:v>
                </c:pt>
                <c:pt idx="653" c:formatCode="0.00_);[Red]\(0.00\)">
                  <c:v>21.837</c:v>
                </c:pt>
                <c:pt idx="654" c:formatCode="0.00_);[Red]\(0.00\)">
                  <c:v>21.871</c:v>
                </c:pt>
                <c:pt idx="655" c:formatCode="0.00_);[Red]\(0.00\)">
                  <c:v>21.904</c:v>
                </c:pt>
                <c:pt idx="656" c:formatCode="0.00_);[Red]\(0.00\)">
                  <c:v>21.938</c:v>
                </c:pt>
                <c:pt idx="657" c:formatCode="0.00_);[Red]\(0.00\)">
                  <c:v>21.971</c:v>
                </c:pt>
                <c:pt idx="658" c:formatCode="0.00_);[Red]\(0.00\)">
                  <c:v>22.004</c:v>
                </c:pt>
                <c:pt idx="659" c:formatCode="0.00_);[Red]\(0.00\)">
                  <c:v>22.038</c:v>
                </c:pt>
                <c:pt idx="660" c:formatCode="0.00_);[Red]\(0.00\)">
                  <c:v>22.071</c:v>
                </c:pt>
                <c:pt idx="661" c:formatCode="0.00_);[Red]\(0.00\)">
                  <c:v>22.105</c:v>
                </c:pt>
                <c:pt idx="662" c:formatCode="0.00_);[Red]\(0.00\)">
                  <c:v>22.138</c:v>
                </c:pt>
                <c:pt idx="663" c:formatCode="0.00_);[Red]\(0.00\)">
                  <c:v>22.172</c:v>
                </c:pt>
                <c:pt idx="664" c:formatCode="0.00_);[Red]\(0.00\)">
                  <c:v>22.205</c:v>
                </c:pt>
                <c:pt idx="665" c:formatCode="0.00_);[Red]\(0.00\)">
                  <c:v>22.239</c:v>
                </c:pt>
                <c:pt idx="666" c:formatCode="0.00_);[Red]\(0.00\)">
                  <c:v>22.272</c:v>
                </c:pt>
                <c:pt idx="667" c:formatCode="0.00_);[Red]\(0.00\)">
                  <c:v>22.305</c:v>
                </c:pt>
                <c:pt idx="668" c:formatCode="0.00_);[Red]\(0.00\)">
                  <c:v>22.339</c:v>
                </c:pt>
                <c:pt idx="669" c:formatCode="0.00_);[Red]\(0.00\)">
                  <c:v>22.372</c:v>
                </c:pt>
                <c:pt idx="670" c:formatCode="0.00_);[Red]\(0.00\)">
                  <c:v>22.406</c:v>
                </c:pt>
                <c:pt idx="671" c:formatCode="0.00_);[Red]\(0.00\)">
                  <c:v>22.439</c:v>
                </c:pt>
                <c:pt idx="672" c:formatCode="0.00_);[Red]\(0.00\)">
                  <c:v>22.473</c:v>
                </c:pt>
                <c:pt idx="673" c:formatCode="0.00_);[Red]\(0.00\)">
                  <c:v>22.506</c:v>
                </c:pt>
                <c:pt idx="674" c:formatCode="0.00_);[Red]\(0.00\)">
                  <c:v>22.539</c:v>
                </c:pt>
                <c:pt idx="675" c:formatCode="0.00_);[Red]\(0.00\)">
                  <c:v>22.573</c:v>
                </c:pt>
                <c:pt idx="676" c:formatCode="0.00_);[Red]\(0.00\)">
                  <c:v>22.606</c:v>
                </c:pt>
                <c:pt idx="677" c:formatCode="0.00_);[Red]\(0.00\)">
                  <c:v>22.64</c:v>
                </c:pt>
                <c:pt idx="678" c:formatCode="0.00_);[Red]\(0.00\)">
                  <c:v>22.673</c:v>
                </c:pt>
                <c:pt idx="679" c:formatCode="0.00_);[Red]\(0.00\)">
                  <c:v>22.707</c:v>
                </c:pt>
                <c:pt idx="680" c:formatCode="0.00_);[Red]\(0.00\)">
                  <c:v>22.74</c:v>
                </c:pt>
                <c:pt idx="681" c:formatCode="0.00_);[Red]\(0.00\)">
                  <c:v>22.774</c:v>
                </c:pt>
                <c:pt idx="682" c:formatCode="0.00_);[Red]\(0.00\)">
                  <c:v>22.807</c:v>
                </c:pt>
                <c:pt idx="683" c:formatCode="0.00_);[Red]\(0.00\)">
                  <c:v>22.84</c:v>
                </c:pt>
                <c:pt idx="684" c:formatCode="0.00_);[Red]\(0.00\)">
                  <c:v>22.874</c:v>
                </c:pt>
                <c:pt idx="685" c:formatCode="0.00_);[Red]\(0.00\)">
                  <c:v>22.907</c:v>
                </c:pt>
                <c:pt idx="686" c:formatCode="0.00_);[Red]\(0.00\)">
                  <c:v>22.941</c:v>
                </c:pt>
                <c:pt idx="687" c:formatCode="0.00_);[Red]\(0.00\)">
                  <c:v>22.974</c:v>
                </c:pt>
                <c:pt idx="688" c:formatCode="0.00_);[Red]\(0.00\)">
                  <c:v>23.008</c:v>
                </c:pt>
                <c:pt idx="689" c:formatCode="0.00_);[Red]\(0.00\)">
                  <c:v>23.041</c:v>
                </c:pt>
                <c:pt idx="690" c:formatCode="0.00_);[Red]\(0.00\)">
                  <c:v>23.075</c:v>
                </c:pt>
                <c:pt idx="691" c:formatCode="0.00_);[Red]\(0.00\)">
                  <c:v>23.108</c:v>
                </c:pt>
                <c:pt idx="692" c:formatCode="0.00_);[Red]\(0.00\)">
                  <c:v>23.141</c:v>
                </c:pt>
                <c:pt idx="693" c:formatCode="0.00_);[Red]\(0.00\)">
                  <c:v>23.175</c:v>
                </c:pt>
                <c:pt idx="694" c:formatCode="0.00_);[Red]\(0.00\)">
                  <c:v>23.208</c:v>
                </c:pt>
                <c:pt idx="695" c:formatCode="0.00_);[Red]\(0.00\)">
                  <c:v>23.242</c:v>
                </c:pt>
                <c:pt idx="696" c:formatCode="0.00_);[Red]\(0.00\)">
                  <c:v>23.275</c:v>
                </c:pt>
                <c:pt idx="697" c:formatCode="0.00_);[Red]\(0.00\)">
                  <c:v>23.309</c:v>
                </c:pt>
                <c:pt idx="698" c:formatCode="0.00_);[Red]\(0.00\)">
                  <c:v>23.342</c:v>
                </c:pt>
                <c:pt idx="699" c:formatCode="0.00_);[Red]\(0.00\)">
                  <c:v>23.376</c:v>
                </c:pt>
                <c:pt idx="700" c:formatCode="0.00_);[Red]\(0.00\)">
                  <c:v>23.409</c:v>
                </c:pt>
                <c:pt idx="701" c:formatCode="0.00_);[Red]\(0.00\)">
                  <c:v>23.442</c:v>
                </c:pt>
                <c:pt idx="702" c:formatCode="0.00_);[Red]\(0.00\)">
                  <c:v>23.476</c:v>
                </c:pt>
                <c:pt idx="703" c:formatCode="0.00_);[Red]\(0.00\)">
                  <c:v>23.509</c:v>
                </c:pt>
                <c:pt idx="704" c:formatCode="0.00_);[Red]\(0.00\)">
                  <c:v>23.543</c:v>
                </c:pt>
                <c:pt idx="705" c:formatCode="0.00_);[Red]\(0.00\)">
                  <c:v>23.576</c:v>
                </c:pt>
                <c:pt idx="706" c:formatCode="0.00_);[Red]\(0.00\)">
                  <c:v>23.61</c:v>
                </c:pt>
                <c:pt idx="707" c:formatCode="0.00_);[Red]\(0.00\)">
                  <c:v>23.643</c:v>
                </c:pt>
                <c:pt idx="708" c:formatCode="0.00_);[Red]\(0.00\)">
                  <c:v>23.676</c:v>
                </c:pt>
                <c:pt idx="709" c:formatCode="0.00_);[Red]\(0.00\)">
                  <c:v>23.71</c:v>
                </c:pt>
                <c:pt idx="710" c:formatCode="0.00_);[Red]\(0.00\)">
                  <c:v>23.743</c:v>
                </c:pt>
                <c:pt idx="711" c:formatCode="0.00_);[Red]\(0.00\)">
                  <c:v>23.777</c:v>
                </c:pt>
                <c:pt idx="712" c:formatCode="0.00_);[Red]\(0.00\)">
                  <c:v>23.81</c:v>
                </c:pt>
                <c:pt idx="713" c:formatCode="0.00_);[Red]\(0.00\)">
                  <c:v>23.844</c:v>
                </c:pt>
                <c:pt idx="714" c:formatCode="0.00_);[Red]\(0.00\)">
                  <c:v>23.877</c:v>
                </c:pt>
                <c:pt idx="715" c:formatCode="0.00_);[Red]\(0.00\)">
                  <c:v>23.911</c:v>
                </c:pt>
                <c:pt idx="716" c:formatCode="0.00_);[Red]\(0.00\)">
                  <c:v>23.944</c:v>
                </c:pt>
                <c:pt idx="717" c:formatCode="0.00_);[Red]\(0.00\)">
                  <c:v>23.977</c:v>
                </c:pt>
                <c:pt idx="718" c:formatCode="0.00_);[Red]\(0.00\)">
                  <c:v>24.011</c:v>
                </c:pt>
                <c:pt idx="719" c:formatCode="0.00_);[Red]\(0.00\)">
                  <c:v>24.044</c:v>
                </c:pt>
                <c:pt idx="720" c:formatCode="0.00_);[Red]\(0.00\)">
                  <c:v>24.078</c:v>
                </c:pt>
                <c:pt idx="721" c:formatCode="0.00_);[Red]\(0.00\)">
                  <c:v>24.111</c:v>
                </c:pt>
                <c:pt idx="722" c:formatCode="0.00_);[Red]\(0.00\)">
                  <c:v>24.145</c:v>
                </c:pt>
                <c:pt idx="723" c:formatCode="0.00_);[Red]\(0.00\)">
                  <c:v>24.178</c:v>
                </c:pt>
                <c:pt idx="724" c:formatCode="0.00_);[Red]\(0.00\)">
                  <c:v>24.212</c:v>
                </c:pt>
                <c:pt idx="725" c:formatCode="0.00_);[Red]\(0.00\)">
                  <c:v>24.245</c:v>
                </c:pt>
                <c:pt idx="726" c:formatCode="0.00_);[Red]\(0.00\)">
                  <c:v>24.278</c:v>
                </c:pt>
                <c:pt idx="727" c:formatCode="0.00_);[Red]\(0.00\)">
                  <c:v>24.312</c:v>
                </c:pt>
                <c:pt idx="728" c:formatCode="0.00_);[Red]\(0.00\)">
                  <c:v>24.345</c:v>
                </c:pt>
                <c:pt idx="729" c:formatCode="0.00_);[Red]\(0.00\)">
                  <c:v>24.379</c:v>
                </c:pt>
                <c:pt idx="730" c:formatCode="0.00_);[Red]\(0.00\)">
                  <c:v>24.412</c:v>
                </c:pt>
                <c:pt idx="731" c:formatCode="0.00_);[Red]\(0.00\)">
                  <c:v>24.446</c:v>
                </c:pt>
                <c:pt idx="732" c:formatCode="0.00_);[Red]\(0.00\)">
                  <c:v>24.479</c:v>
                </c:pt>
                <c:pt idx="733" c:formatCode="0.00_);[Red]\(0.00\)">
                  <c:v>24.513</c:v>
                </c:pt>
                <c:pt idx="734" c:formatCode="0.00_);[Red]\(0.00\)">
                  <c:v>24.546</c:v>
                </c:pt>
                <c:pt idx="735" c:formatCode="0.00_);[Red]\(0.00\)">
                  <c:v>24.579</c:v>
                </c:pt>
                <c:pt idx="736" c:formatCode="0.00_);[Red]\(0.00\)">
                  <c:v>24.613</c:v>
                </c:pt>
                <c:pt idx="737" c:formatCode="0.00_);[Red]\(0.00\)">
                  <c:v>24.646</c:v>
                </c:pt>
                <c:pt idx="738" c:formatCode="0.00_);[Red]\(0.00\)">
                  <c:v>24.68</c:v>
                </c:pt>
                <c:pt idx="739" c:formatCode="0.00_);[Red]\(0.00\)">
                  <c:v>24.713</c:v>
                </c:pt>
                <c:pt idx="740" c:formatCode="0.00_);[Red]\(0.00\)">
                  <c:v>24.747</c:v>
                </c:pt>
                <c:pt idx="741" c:formatCode="0.00_);[Red]\(0.00\)">
                  <c:v>24.78</c:v>
                </c:pt>
                <c:pt idx="742" c:formatCode="0.00_);[Red]\(0.00\)">
                  <c:v>24.813</c:v>
                </c:pt>
                <c:pt idx="743" c:formatCode="0.00_);[Red]\(0.00\)">
                  <c:v>24.847</c:v>
                </c:pt>
                <c:pt idx="744" c:formatCode="0.00_);[Red]\(0.00\)">
                  <c:v>24.88</c:v>
                </c:pt>
                <c:pt idx="745" c:formatCode="0.00_);[Red]\(0.00\)">
                  <c:v>24.914</c:v>
                </c:pt>
                <c:pt idx="746" c:formatCode="0.00_);[Red]\(0.00\)">
                  <c:v>24.947</c:v>
                </c:pt>
                <c:pt idx="747" c:formatCode="0.00_);[Red]\(0.00\)">
                  <c:v>24.981</c:v>
                </c:pt>
                <c:pt idx="748" c:formatCode="0.00_);[Red]\(0.00\)">
                  <c:v>25.014</c:v>
                </c:pt>
                <c:pt idx="749" c:formatCode="0.00_);[Red]\(0.00\)">
                  <c:v>25.048</c:v>
                </c:pt>
                <c:pt idx="750" c:formatCode="0.00_);[Red]\(0.00\)">
                  <c:v>25.081</c:v>
                </c:pt>
                <c:pt idx="751" c:formatCode="0.00_);[Red]\(0.00\)">
                  <c:v>25.114</c:v>
                </c:pt>
                <c:pt idx="752" c:formatCode="0.00_);[Red]\(0.00\)">
                  <c:v>25.148</c:v>
                </c:pt>
                <c:pt idx="753" c:formatCode="0.00_);[Red]\(0.00\)">
                  <c:v>25.181</c:v>
                </c:pt>
                <c:pt idx="754" c:formatCode="0.00_);[Red]\(0.00\)">
                  <c:v>25.215</c:v>
                </c:pt>
                <c:pt idx="755" c:formatCode="0.00_);[Red]\(0.00\)">
                  <c:v>25.248</c:v>
                </c:pt>
                <c:pt idx="756" c:formatCode="0.00_);[Red]\(0.00\)">
                  <c:v>25.282</c:v>
                </c:pt>
                <c:pt idx="757" c:formatCode="0.00_);[Red]\(0.00\)">
                  <c:v>25.315</c:v>
                </c:pt>
                <c:pt idx="758" c:formatCode="0.00_);[Red]\(0.00\)">
                  <c:v>25.349</c:v>
                </c:pt>
                <c:pt idx="759" c:formatCode="0.00_);[Red]\(0.00\)">
                  <c:v>25.382</c:v>
                </c:pt>
                <c:pt idx="760" c:formatCode="0.00_);[Red]\(0.00\)">
                  <c:v>25.415</c:v>
                </c:pt>
                <c:pt idx="761" c:formatCode="0.00_);[Red]\(0.00\)">
                  <c:v>25.449</c:v>
                </c:pt>
                <c:pt idx="762" c:formatCode="0.00_);[Red]\(0.00\)">
                  <c:v>25.482</c:v>
                </c:pt>
                <c:pt idx="763" c:formatCode="0.00_);[Red]\(0.00\)">
                  <c:v>25.516</c:v>
                </c:pt>
                <c:pt idx="764" c:formatCode="0.00_);[Red]\(0.00\)">
                  <c:v>25.549</c:v>
                </c:pt>
                <c:pt idx="765" c:formatCode="0.00_);[Red]\(0.00\)">
                  <c:v>25.583</c:v>
                </c:pt>
                <c:pt idx="766" c:formatCode="0.00_);[Red]\(0.00\)">
                  <c:v>25.616</c:v>
                </c:pt>
                <c:pt idx="767" c:formatCode="0.00_);[Red]\(0.00\)">
                  <c:v>25.65</c:v>
                </c:pt>
                <c:pt idx="768" c:formatCode="0.00_);[Red]\(0.00\)">
                  <c:v>25.683</c:v>
                </c:pt>
                <c:pt idx="769" c:formatCode="0.00_);[Red]\(0.00\)">
                  <c:v>25.716</c:v>
                </c:pt>
                <c:pt idx="770" c:formatCode="0.00_);[Red]\(0.00\)">
                  <c:v>25.75</c:v>
                </c:pt>
                <c:pt idx="771" c:formatCode="0.00_);[Red]\(0.00\)">
                  <c:v>25.783</c:v>
                </c:pt>
                <c:pt idx="772" c:formatCode="0.00_);[Red]\(0.00\)">
                  <c:v>25.817</c:v>
                </c:pt>
                <c:pt idx="773" c:formatCode="0.00_);[Red]\(0.00\)">
                  <c:v>25.85</c:v>
                </c:pt>
                <c:pt idx="774" c:formatCode="0.00_);[Red]\(0.00\)">
                  <c:v>25.884</c:v>
                </c:pt>
                <c:pt idx="775" c:formatCode="0.00_);[Red]\(0.00\)">
                  <c:v>25.917</c:v>
                </c:pt>
                <c:pt idx="776" c:formatCode="0.00_);[Red]\(0.00\)">
                  <c:v>25.951</c:v>
                </c:pt>
                <c:pt idx="777" c:formatCode="0.00_);[Red]\(0.00\)">
                  <c:v>25.984</c:v>
                </c:pt>
                <c:pt idx="778" c:formatCode="0.00_);[Red]\(0.00\)">
                  <c:v>26.017</c:v>
                </c:pt>
                <c:pt idx="779" c:formatCode="0.00_);[Red]\(0.00\)">
                  <c:v>26.051</c:v>
                </c:pt>
                <c:pt idx="780" c:formatCode="0.00_);[Red]\(0.00\)">
                  <c:v>26.084</c:v>
                </c:pt>
                <c:pt idx="781" c:formatCode="0.00_);[Red]\(0.00\)">
                  <c:v>26.118</c:v>
                </c:pt>
                <c:pt idx="782" c:formatCode="0.00_);[Red]\(0.00\)">
                  <c:v>26.151</c:v>
                </c:pt>
                <c:pt idx="783" c:formatCode="0.00_);[Red]\(0.00\)">
                  <c:v>26.185</c:v>
                </c:pt>
                <c:pt idx="784" c:formatCode="0.00_);[Red]\(0.00\)">
                  <c:v>26.218</c:v>
                </c:pt>
                <c:pt idx="785" c:formatCode="0.00_);[Red]\(0.00\)">
                  <c:v>26.251</c:v>
                </c:pt>
                <c:pt idx="786" c:formatCode="0.00_);[Red]\(0.00\)">
                  <c:v>26.285</c:v>
                </c:pt>
                <c:pt idx="787" c:formatCode="0.00_);[Red]\(0.00\)">
                  <c:v>26.318</c:v>
                </c:pt>
                <c:pt idx="788" c:formatCode="0.00_);[Red]\(0.00\)">
                  <c:v>26.352</c:v>
                </c:pt>
                <c:pt idx="789" c:formatCode="0.00_);[Red]\(0.00\)">
                  <c:v>26.385</c:v>
                </c:pt>
                <c:pt idx="790" c:formatCode="0.00_);[Red]\(0.00\)">
                  <c:v>26.419</c:v>
                </c:pt>
                <c:pt idx="791" c:formatCode="0.00_);[Red]\(0.00\)">
                  <c:v>26.452</c:v>
                </c:pt>
                <c:pt idx="792" c:formatCode="0.00_);[Red]\(0.00\)">
                  <c:v>26.486</c:v>
                </c:pt>
                <c:pt idx="793" c:formatCode="0.00_);[Red]\(0.00\)">
                  <c:v>26.519</c:v>
                </c:pt>
                <c:pt idx="794" c:formatCode="0.00_);[Red]\(0.00\)">
                  <c:v>26.552</c:v>
                </c:pt>
                <c:pt idx="795" c:formatCode="0.00_);[Red]\(0.00\)">
                  <c:v>26.586</c:v>
                </c:pt>
                <c:pt idx="796" c:formatCode="0.00_);[Red]\(0.00\)">
                  <c:v>26.619</c:v>
                </c:pt>
                <c:pt idx="797" c:formatCode="0.00_);[Red]\(0.00\)">
                  <c:v>26.653</c:v>
                </c:pt>
                <c:pt idx="798" c:formatCode="0.00_);[Red]\(0.00\)">
                  <c:v>26.686</c:v>
                </c:pt>
                <c:pt idx="799" c:formatCode="0.00_);[Red]\(0.00\)">
                  <c:v>26.72</c:v>
                </c:pt>
                <c:pt idx="800" c:formatCode="0.00_);[Red]\(0.00\)">
                  <c:v>26.753</c:v>
                </c:pt>
                <c:pt idx="801" c:formatCode="0.00_);[Red]\(0.00\)">
                  <c:v>26.787</c:v>
                </c:pt>
                <c:pt idx="802" c:formatCode="0.00_);[Red]\(0.00\)">
                  <c:v>26.82</c:v>
                </c:pt>
                <c:pt idx="803" c:formatCode="0.00_);[Red]\(0.00\)">
                  <c:v>26.853</c:v>
                </c:pt>
                <c:pt idx="804" c:formatCode="0.00_);[Red]\(0.00\)">
                  <c:v>26.887</c:v>
                </c:pt>
                <c:pt idx="805" c:formatCode="0.00_);[Red]\(0.00\)">
                  <c:v>26.92</c:v>
                </c:pt>
                <c:pt idx="806" c:formatCode="0.00_);[Red]\(0.00\)">
                  <c:v>26.954</c:v>
                </c:pt>
                <c:pt idx="807" c:formatCode="0.00_);[Red]\(0.00\)">
                  <c:v>26.987</c:v>
                </c:pt>
                <c:pt idx="808" c:formatCode="0.00_);[Red]\(0.00\)">
                  <c:v>27.021</c:v>
                </c:pt>
                <c:pt idx="809" c:formatCode="0.00_);[Red]\(0.00\)">
                  <c:v>27.054</c:v>
                </c:pt>
                <c:pt idx="810" c:formatCode="0.00_);[Red]\(0.00\)">
                  <c:v>27.088</c:v>
                </c:pt>
                <c:pt idx="811" c:formatCode="0.00_);[Red]\(0.00\)">
                  <c:v>27.121</c:v>
                </c:pt>
                <c:pt idx="812" c:formatCode="0.00_);[Red]\(0.00\)">
                  <c:v>27.154</c:v>
                </c:pt>
                <c:pt idx="813" c:formatCode="0.00_);[Red]\(0.00\)">
                  <c:v>27.188</c:v>
                </c:pt>
                <c:pt idx="814" c:formatCode="0.00_);[Red]\(0.00\)">
                  <c:v>27.221</c:v>
                </c:pt>
                <c:pt idx="815" c:formatCode="0.00_);[Red]\(0.00\)">
                  <c:v>27.255</c:v>
                </c:pt>
                <c:pt idx="816" c:formatCode="0.00_);[Red]\(0.00\)">
                  <c:v>27.288</c:v>
                </c:pt>
                <c:pt idx="817" c:formatCode="0.00_);[Red]\(0.00\)">
                  <c:v>27.322</c:v>
                </c:pt>
                <c:pt idx="818" c:formatCode="0.00_);[Red]\(0.00\)">
                  <c:v>27.355</c:v>
                </c:pt>
                <c:pt idx="819" c:formatCode="0.00_);[Red]\(0.00\)">
                  <c:v>27.388</c:v>
                </c:pt>
                <c:pt idx="820" c:formatCode="0.00_);[Red]\(0.00\)">
                  <c:v>27.422</c:v>
                </c:pt>
                <c:pt idx="821" c:formatCode="0.00_);[Red]\(0.00\)">
                  <c:v>27.455</c:v>
                </c:pt>
                <c:pt idx="822" c:formatCode="0.00_);[Red]\(0.00\)">
                  <c:v>27.489</c:v>
                </c:pt>
                <c:pt idx="823" c:formatCode="0.00_);[Red]\(0.00\)">
                  <c:v>27.522</c:v>
                </c:pt>
                <c:pt idx="824" c:formatCode="0.00_);[Red]\(0.00\)">
                  <c:v>27.556</c:v>
                </c:pt>
                <c:pt idx="825" c:formatCode="0.00_);[Red]\(0.00\)">
                  <c:v>27.589</c:v>
                </c:pt>
                <c:pt idx="826" c:formatCode="0.00_);[Red]\(0.00\)">
                  <c:v>27.623</c:v>
                </c:pt>
                <c:pt idx="827" c:formatCode="0.00_);[Red]\(0.00\)">
                  <c:v>27.656</c:v>
                </c:pt>
                <c:pt idx="828" c:formatCode="0.00_);[Red]\(0.00\)">
                  <c:v>27.689</c:v>
                </c:pt>
                <c:pt idx="829" c:formatCode="0.00_);[Red]\(0.00\)">
                  <c:v>27.723</c:v>
                </c:pt>
                <c:pt idx="830" c:formatCode="0.00_);[Red]\(0.00\)">
                  <c:v>27.756</c:v>
                </c:pt>
                <c:pt idx="831" c:formatCode="0.00_);[Red]\(0.00\)">
                  <c:v>27.79</c:v>
                </c:pt>
                <c:pt idx="832" c:formatCode="0.00_);[Red]\(0.00\)">
                  <c:v>27.823</c:v>
                </c:pt>
                <c:pt idx="833" c:formatCode="0.00_);[Red]\(0.00\)">
                  <c:v>27.857</c:v>
                </c:pt>
                <c:pt idx="834" c:formatCode="0.00_);[Red]\(0.00\)">
                  <c:v>27.89</c:v>
                </c:pt>
                <c:pt idx="835" c:formatCode="0.00_);[Red]\(0.00\)">
                  <c:v>27.924</c:v>
                </c:pt>
                <c:pt idx="836" c:formatCode="0.00_);[Red]\(0.00\)">
                  <c:v>27.957</c:v>
                </c:pt>
                <c:pt idx="837" c:formatCode="0.00_);[Red]\(0.00\)">
                  <c:v>27.99</c:v>
                </c:pt>
                <c:pt idx="838" c:formatCode="0.00_);[Red]\(0.00\)">
                  <c:v>28.024</c:v>
                </c:pt>
                <c:pt idx="839" c:formatCode="0.00_);[Red]\(0.00\)">
                  <c:v>28.057</c:v>
                </c:pt>
                <c:pt idx="840" c:formatCode="0.00_);[Red]\(0.00\)">
                  <c:v>28.091</c:v>
                </c:pt>
                <c:pt idx="841" c:formatCode="0.00_);[Red]\(0.00\)">
                  <c:v>28.124</c:v>
                </c:pt>
                <c:pt idx="842" c:formatCode="0.00_);[Red]\(0.00\)">
                  <c:v>28.158</c:v>
                </c:pt>
                <c:pt idx="843" c:formatCode="0.00_);[Red]\(0.00\)">
                  <c:v>28.191</c:v>
                </c:pt>
                <c:pt idx="844" c:formatCode="0.00_);[Red]\(0.00\)">
                  <c:v>28.225</c:v>
                </c:pt>
                <c:pt idx="845" c:formatCode="0.00_);[Red]\(0.00\)">
                  <c:v>28.258</c:v>
                </c:pt>
                <c:pt idx="846" c:formatCode="0.00_);[Red]\(0.00\)">
                  <c:v>28.291</c:v>
                </c:pt>
                <c:pt idx="847" c:formatCode="0.00_);[Red]\(0.00\)">
                  <c:v>28.325</c:v>
                </c:pt>
                <c:pt idx="848" c:formatCode="0.00_);[Red]\(0.00\)">
                  <c:v>28.358</c:v>
                </c:pt>
                <c:pt idx="849" c:formatCode="0.00_);[Red]\(0.00\)">
                  <c:v>28.392</c:v>
                </c:pt>
                <c:pt idx="850" c:formatCode="0.00_);[Red]\(0.00\)">
                  <c:v>28.425</c:v>
                </c:pt>
                <c:pt idx="851" c:formatCode="0.00_);[Red]\(0.00\)">
                  <c:v>28.459</c:v>
                </c:pt>
                <c:pt idx="852" c:formatCode="0.00_);[Red]\(0.00\)">
                  <c:v>28.492</c:v>
                </c:pt>
                <c:pt idx="853" c:formatCode="0.00_);[Red]\(0.00\)">
                  <c:v>28.525</c:v>
                </c:pt>
                <c:pt idx="854" c:formatCode="0.00_);[Red]\(0.00\)">
                  <c:v>28.559</c:v>
                </c:pt>
                <c:pt idx="855" c:formatCode="0.00_);[Red]\(0.00\)">
                  <c:v>28.592</c:v>
                </c:pt>
                <c:pt idx="856" c:formatCode="0.00_);[Red]\(0.00\)">
                  <c:v>28.626</c:v>
                </c:pt>
                <c:pt idx="857" c:formatCode="0.00_);[Red]\(0.00\)">
                  <c:v>28.659</c:v>
                </c:pt>
                <c:pt idx="858" c:formatCode="0.00_);[Red]\(0.00\)">
                  <c:v>28.693</c:v>
                </c:pt>
                <c:pt idx="859" c:formatCode="0.00_);[Red]\(0.00\)">
                  <c:v>28.726</c:v>
                </c:pt>
                <c:pt idx="860" c:formatCode="0.00_);[Red]\(0.00\)">
                  <c:v>28.76</c:v>
                </c:pt>
                <c:pt idx="861" c:formatCode="0.00_);[Red]\(0.00\)">
                  <c:v>28.793</c:v>
                </c:pt>
                <c:pt idx="862" c:formatCode="0.00_);[Red]\(0.00\)">
                  <c:v>28.826</c:v>
                </c:pt>
                <c:pt idx="863" c:formatCode="0.00_);[Red]\(0.00\)">
                  <c:v>28.86</c:v>
                </c:pt>
                <c:pt idx="864" c:formatCode="0.00_);[Red]\(0.00\)">
                  <c:v>28.893</c:v>
                </c:pt>
                <c:pt idx="865" c:formatCode="0.00_);[Red]\(0.00\)">
                  <c:v>28.927</c:v>
                </c:pt>
                <c:pt idx="866" c:formatCode="0.00_);[Red]\(0.00\)">
                  <c:v>28.96</c:v>
                </c:pt>
                <c:pt idx="867" c:formatCode="0.00_);[Red]\(0.00\)">
                  <c:v>28.994</c:v>
                </c:pt>
                <c:pt idx="868" c:formatCode="0.00_);[Red]\(0.00\)">
                  <c:v>29.027</c:v>
                </c:pt>
                <c:pt idx="869" c:formatCode="0.00_);[Red]\(0.00\)">
                  <c:v>29.061</c:v>
                </c:pt>
                <c:pt idx="870" c:formatCode="0.00_);[Red]\(0.00\)">
                  <c:v>29.094</c:v>
                </c:pt>
                <c:pt idx="871" c:formatCode="0.00_);[Red]\(0.00\)">
                  <c:v>29.127</c:v>
                </c:pt>
                <c:pt idx="872" c:formatCode="0.00_);[Red]\(0.00\)">
                  <c:v>29.161</c:v>
                </c:pt>
                <c:pt idx="873" c:formatCode="0.00_);[Red]\(0.00\)">
                  <c:v>29.194</c:v>
                </c:pt>
                <c:pt idx="874" c:formatCode="0.00_);[Red]\(0.00\)">
                  <c:v>29.228</c:v>
                </c:pt>
                <c:pt idx="875" c:formatCode="0.00_);[Red]\(0.00\)">
                  <c:v>29.261</c:v>
                </c:pt>
                <c:pt idx="876" c:formatCode="0.00_);[Red]\(0.00\)">
                  <c:v>29.295</c:v>
                </c:pt>
                <c:pt idx="877" c:formatCode="0.00_);[Red]\(0.00\)">
                  <c:v>29.328</c:v>
                </c:pt>
                <c:pt idx="878" c:formatCode="0.00_);[Red]\(0.00\)">
                  <c:v>29.362</c:v>
                </c:pt>
                <c:pt idx="879" c:formatCode="0.00_);[Red]\(0.00\)">
                  <c:v>29.395</c:v>
                </c:pt>
                <c:pt idx="880" c:formatCode="0.00_);[Red]\(0.00\)">
                  <c:v>29.428</c:v>
                </c:pt>
                <c:pt idx="881" c:formatCode="0.00_);[Red]\(0.00\)">
                  <c:v>29.462</c:v>
                </c:pt>
                <c:pt idx="882" c:formatCode="0.00_);[Red]\(0.00\)">
                  <c:v>29.495</c:v>
                </c:pt>
                <c:pt idx="883" c:formatCode="0.00_);[Red]\(0.00\)">
                  <c:v>29.529</c:v>
                </c:pt>
                <c:pt idx="884" c:formatCode="0.00_);[Red]\(0.00\)">
                  <c:v>29.562</c:v>
                </c:pt>
                <c:pt idx="885" c:formatCode="0.00_);[Red]\(0.00\)">
                  <c:v>29.596</c:v>
                </c:pt>
                <c:pt idx="886" c:formatCode="0.00_);[Red]\(0.00\)">
                  <c:v>29.629</c:v>
                </c:pt>
                <c:pt idx="887" c:formatCode="0.00_);[Red]\(0.00\)">
                  <c:v>29.662</c:v>
                </c:pt>
                <c:pt idx="888" c:formatCode="0.00_);[Red]\(0.00\)">
                  <c:v>29.696</c:v>
                </c:pt>
              </c:numCache>
            </c:numRef>
          </c:cat>
          <c:val>
            <c:numRef>
              <c:f>A_09_29_58_B!$L$4:$L$892</c:f>
              <c:numCache>
                <c:formatCode>General</c:formatCode>
                <c:ptCount val="889"/>
                <c:pt idx="0">
                  <c:v>-0.399999999999984</c:v>
                </c:pt>
                <c:pt idx="1">
                  <c:v>-0.399999999999984</c:v>
                </c:pt>
                <c:pt idx="2">
                  <c:v>-0.399999999999984</c:v>
                </c:pt>
                <c:pt idx="3">
                  <c:v>-0.399999999999984</c:v>
                </c:pt>
                <c:pt idx="4">
                  <c:v>-0.399999999999984</c:v>
                </c:pt>
                <c:pt idx="5">
                  <c:v>-0.399999999999984</c:v>
                </c:pt>
                <c:pt idx="6">
                  <c:v>-0.399999999999984</c:v>
                </c:pt>
                <c:pt idx="7">
                  <c:v>-0.399999999999984</c:v>
                </c:pt>
                <c:pt idx="8">
                  <c:v>-0.399999999999984</c:v>
                </c:pt>
                <c:pt idx="9">
                  <c:v>-0.399999999999984</c:v>
                </c:pt>
                <c:pt idx="10">
                  <c:v>-0.399999999999984</c:v>
                </c:pt>
                <c:pt idx="11">
                  <c:v>-0.399999999999984</c:v>
                </c:pt>
                <c:pt idx="12">
                  <c:v>-0.399999999999984</c:v>
                </c:pt>
                <c:pt idx="13">
                  <c:v>-0.399999999999984</c:v>
                </c:pt>
                <c:pt idx="14">
                  <c:v>-0.399999999999984</c:v>
                </c:pt>
                <c:pt idx="15">
                  <c:v>-0.399999999999984</c:v>
                </c:pt>
                <c:pt idx="16">
                  <c:v>-0.399999999999984</c:v>
                </c:pt>
                <c:pt idx="17">
                  <c:v>-0.399999999999984</c:v>
                </c:pt>
                <c:pt idx="18">
                  <c:v>-0.399999999999984</c:v>
                </c:pt>
                <c:pt idx="19">
                  <c:v>-0.399999999999984</c:v>
                </c:pt>
                <c:pt idx="20">
                  <c:v>-0.399999999999984</c:v>
                </c:pt>
                <c:pt idx="21">
                  <c:v>-0.399999999999984</c:v>
                </c:pt>
                <c:pt idx="22">
                  <c:v>-0.399999999999984</c:v>
                </c:pt>
                <c:pt idx="23">
                  <c:v>-0.399999999999984</c:v>
                </c:pt>
                <c:pt idx="24">
                  <c:v>-0.399999999999984</c:v>
                </c:pt>
                <c:pt idx="25">
                  <c:v>-0.399999999999984</c:v>
                </c:pt>
                <c:pt idx="26">
                  <c:v>-0.399999999999984</c:v>
                </c:pt>
                <c:pt idx="27">
                  <c:v>-0.399999999999984</c:v>
                </c:pt>
                <c:pt idx="28">
                  <c:v>-0.399999999999984</c:v>
                </c:pt>
                <c:pt idx="29">
                  <c:v>-0.399999999999984</c:v>
                </c:pt>
                <c:pt idx="30">
                  <c:v>-0.399999999999984</c:v>
                </c:pt>
                <c:pt idx="31">
                  <c:v>-0.399999999999984</c:v>
                </c:pt>
                <c:pt idx="32">
                  <c:v>-0.399999999999984</c:v>
                </c:pt>
                <c:pt idx="33">
                  <c:v>-0.399999999999984</c:v>
                </c:pt>
                <c:pt idx="34">
                  <c:v>-0.399999999999984</c:v>
                </c:pt>
                <c:pt idx="35">
                  <c:v>-0.399999999999984</c:v>
                </c:pt>
                <c:pt idx="36">
                  <c:v>-0.399999999999984</c:v>
                </c:pt>
                <c:pt idx="37">
                  <c:v>-0.399999999999984</c:v>
                </c:pt>
                <c:pt idx="38">
                  <c:v>-0.399999999999984</c:v>
                </c:pt>
                <c:pt idx="39">
                  <c:v>-0.399999999999984</c:v>
                </c:pt>
                <c:pt idx="40">
                  <c:v>-0.399999999999984</c:v>
                </c:pt>
                <c:pt idx="41">
                  <c:v>-0.399999999999984</c:v>
                </c:pt>
                <c:pt idx="42">
                  <c:v>-0.399999999999984</c:v>
                </c:pt>
                <c:pt idx="43">
                  <c:v>-0.399999999999984</c:v>
                </c:pt>
                <c:pt idx="44">
                  <c:v>-0.399999999999984</c:v>
                </c:pt>
                <c:pt idx="45">
                  <c:v>-0.399999999999984</c:v>
                </c:pt>
                <c:pt idx="46">
                  <c:v>-0.399999999999984</c:v>
                </c:pt>
                <c:pt idx="47">
                  <c:v>-0.399999999999984</c:v>
                </c:pt>
                <c:pt idx="48">
                  <c:v>-0.399999999999984</c:v>
                </c:pt>
                <c:pt idx="49">
                  <c:v>-0.399999999999984</c:v>
                </c:pt>
                <c:pt idx="50">
                  <c:v>-0.399999999999984</c:v>
                </c:pt>
                <c:pt idx="51">
                  <c:v>-0.399999999999984</c:v>
                </c:pt>
                <c:pt idx="52">
                  <c:v>-0.399999999999984</c:v>
                </c:pt>
                <c:pt idx="53">
                  <c:v>-0.399999999999984</c:v>
                </c:pt>
                <c:pt idx="54">
                  <c:v>-0.399999999999984</c:v>
                </c:pt>
                <c:pt idx="55">
                  <c:v>-0.399999999999984</c:v>
                </c:pt>
                <c:pt idx="56">
                  <c:v>-0.399999999999984</c:v>
                </c:pt>
                <c:pt idx="57">
                  <c:v>-0.399999999999984</c:v>
                </c:pt>
                <c:pt idx="58">
                  <c:v>-0.399999999999984</c:v>
                </c:pt>
                <c:pt idx="59">
                  <c:v>-0.399999999999984</c:v>
                </c:pt>
                <c:pt idx="60">
                  <c:v>-0.399999999999984</c:v>
                </c:pt>
                <c:pt idx="61">
                  <c:v>-0.399999999999984</c:v>
                </c:pt>
                <c:pt idx="62">
                  <c:v>-0.399999999999984</c:v>
                </c:pt>
                <c:pt idx="63">
                  <c:v>-0.399999999999984</c:v>
                </c:pt>
                <c:pt idx="64">
                  <c:v>-0.399999999999984</c:v>
                </c:pt>
                <c:pt idx="65">
                  <c:v>-0.399999999999984</c:v>
                </c:pt>
                <c:pt idx="66">
                  <c:v>-0.399999999999984</c:v>
                </c:pt>
                <c:pt idx="67">
                  <c:v>-0.399999999999984</c:v>
                </c:pt>
                <c:pt idx="68">
                  <c:v>-0.399999999999984</c:v>
                </c:pt>
                <c:pt idx="69">
                  <c:v>-0.399999999999984</c:v>
                </c:pt>
                <c:pt idx="70">
                  <c:v>-0.399999999999984</c:v>
                </c:pt>
                <c:pt idx="71">
                  <c:v>-0.399999999999984</c:v>
                </c:pt>
                <c:pt idx="72">
                  <c:v>-0.399999999999984</c:v>
                </c:pt>
                <c:pt idx="73">
                  <c:v>-0.399999999999984</c:v>
                </c:pt>
                <c:pt idx="74">
                  <c:v>-0.399999999999984</c:v>
                </c:pt>
                <c:pt idx="75">
                  <c:v>-0.399999999999984</c:v>
                </c:pt>
                <c:pt idx="76">
                  <c:v>-0.399999999999984</c:v>
                </c:pt>
                <c:pt idx="77">
                  <c:v>-0.399999999999984</c:v>
                </c:pt>
                <c:pt idx="78">
                  <c:v>-0.399999999999984</c:v>
                </c:pt>
                <c:pt idx="79">
                  <c:v>-0.399999999999984</c:v>
                </c:pt>
                <c:pt idx="80">
                  <c:v>-0.399999999999984</c:v>
                </c:pt>
                <c:pt idx="81">
                  <c:v>-0.399999999999984</c:v>
                </c:pt>
                <c:pt idx="82">
                  <c:v>-0.399999999999984</c:v>
                </c:pt>
                <c:pt idx="83">
                  <c:v>-0.399999999999984</c:v>
                </c:pt>
                <c:pt idx="84">
                  <c:v>-0.399999999999984</c:v>
                </c:pt>
                <c:pt idx="85">
                  <c:v>-0.399999999999984</c:v>
                </c:pt>
                <c:pt idx="86">
                  <c:v>-0.399999999999984</c:v>
                </c:pt>
                <c:pt idx="87">
                  <c:v>-0.399999999999984</c:v>
                </c:pt>
                <c:pt idx="88">
                  <c:v>-0.399999999999984</c:v>
                </c:pt>
                <c:pt idx="89">
                  <c:v>-0.399999999999984</c:v>
                </c:pt>
                <c:pt idx="90">
                  <c:v>-0.399999999999984</c:v>
                </c:pt>
                <c:pt idx="91">
                  <c:v>-0.399999999999984</c:v>
                </c:pt>
                <c:pt idx="92">
                  <c:v>-0.399999999999984</c:v>
                </c:pt>
                <c:pt idx="93">
                  <c:v>-0.399999999999984</c:v>
                </c:pt>
                <c:pt idx="94">
                  <c:v>-0.399999999999984</c:v>
                </c:pt>
                <c:pt idx="95">
                  <c:v>-0.399999999999984</c:v>
                </c:pt>
                <c:pt idx="96">
                  <c:v>-0.399999999999984</c:v>
                </c:pt>
                <c:pt idx="97">
                  <c:v>-0.399999999999984</c:v>
                </c:pt>
                <c:pt idx="98">
                  <c:v>-0.399999999999984</c:v>
                </c:pt>
                <c:pt idx="99">
                  <c:v>-0.399999999999984</c:v>
                </c:pt>
                <c:pt idx="100">
                  <c:v>-0.399999999999984</c:v>
                </c:pt>
                <c:pt idx="101">
                  <c:v>-0.399999999999984</c:v>
                </c:pt>
                <c:pt idx="102">
                  <c:v>-0.399999999999984</c:v>
                </c:pt>
                <c:pt idx="103">
                  <c:v>-0.399999999999984</c:v>
                </c:pt>
                <c:pt idx="104">
                  <c:v>-0.399999999999984</c:v>
                </c:pt>
                <c:pt idx="105">
                  <c:v>-0.399999999999984</c:v>
                </c:pt>
                <c:pt idx="106">
                  <c:v>-0.399999999999984</c:v>
                </c:pt>
                <c:pt idx="107">
                  <c:v>-0.399999999999984</c:v>
                </c:pt>
                <c:pt idx="108">
                  <c:v>-0.399999999999984</c:v>
                </c:pt>
                <c:pt idx="109">
                  <c:v>-0.399999999999984</c:v>
                </c:pt>
                <c:pt idx="110">
                  <c:v>-0.399999999999984</c:v>
                </c:pt>
                <c:pt idx="111">
                  <c:v>-0.399999999999984</c:v>
                </c:pt>
                <c:pt idx="112">
                  <c:v>-0.399999999999984</c:v>
                </c:pt>
                <c:pt idx="113">
                  <c:v>-0.399999999999984</c:v>
                </c:pt>
                <c:pt idx="114">
                  <c:v>-0.399999999999984</c:v>
                </c:pt>
                <c:pt idx="115">
                  <c:v>-0.399999999999984</c:v>
                </c:pt>
                <c:pt idx="116">
                  <c:v>-0.399999999999984</c:v>
                </c:pt>
                <c:pt idx="117">
                  <c:v>-0.399999999999984</c:v>
                </c:pt>
                <c:pt idx="118">
                  <c:v>-0.399999999999984</c:v>
                </c:pt>
                <c:pt idx="119">
                  <c:v>-0.399999999999984</c:v>
                </c:pt>
                <c:pt idx="120">
                  <c:v>-0.399999999999984</c:v>
                </c:pt>
                <c:pt idx="121">
                  <c:v>-0.399999999999984</c:v>
                </c:pt>
                <c:pt idx="122">
                  <c:v>-0.399999999999984</c:v>
                </c:pt>
                <c:pt idx="123">
                  <c:v>-0.399999999999984</c:v>
                </c:pt>
                <c:pt idx="124">
                  <c:v>-0.399999999999984</c:v>
                </c:pt>
                <c:pt idx="125">
                  <c:v>-0.399999999999984</c:v>
                </c:pt>
                <c:pt idx="126">
                  <c:v>30.5</c:v>
                </c:pt>
                <c:pt idx="127">
                  <c:v>30.5</c:v>
                </c:pt>
                <c:pt idx="128">
                  <c:v>30.5</c:v>
                </c:pt>
                <c:pt idx="129">
                  <c:v>30.5</c:v>
                </c:pt>
                <c:pt idx="130">
                  <c:v>30.5</c:v>
                </c:pt>
                <c:pt idx="131">
                  <c:v>30.5</c:v>
                </c:pt>
                <c:pt idx="132">
                  <c:v>30.5</c:v>
                </c:pt>
                <c:pt idx="133">
                  <c:v>30.5</c:v>
                </c:pt>
                <c:pt idx="134">
                  <c:v>30.5</c:v>
                </c:pt>
                <c:pt idx="135">
                  <c:v>30.5</c:v>
                </c:pt>
                <c:pt idx="136">
                  <c:v>30.5</c:v>
                </c:pt>
                <c:pt idx="137">
                  <c:v>30.5</c:v>
                </c:pt>
                <c:pt idx="138">
                  <c:v>30.5</c:v>
                </c:pt>
                <c:pt idx="139">
                  <c:v>30.5</c:v>
                </c:pt>
                <c:pt idx="140">
                  <c:v>30.5</c:v>
                </c:pt>
                <c:pt idx="141">
                  <c:v>30.5</c:v>
                </c:pt>
                <c:pt idx="142">
                  <c:v>30.5</c:v>
                </c:pt>
                <c:pt idx="143">
                  <c:v>30.5</c:v>
                </c:pt>
                <c:pt idx="144">
                  <c:v>30.5</c:v>
                </c:pt>
                <c:pt idx="145">
                  <c:v>30.5</c:v>
                </c:pt>
                <c:pt idx="146">
                  <c:v>30.5</c:v>
                </c:pt>
                <c:pt idx="147">
                  <c:v>30.5</c:v>
                </c:pt>
                <c:pt idx="148">
                  <c:v>30.5</c:v>
                </c:pt>
                <c:pt idx="149">
                  <c:v>-0.399999999999984</c:v>
                </c:pt>
                <c:pt idx="150">
                  <c:v>-0.399999999999984</c:v>
                </c:pt>
                <c:pt idx="151">
                  <c:v>-0.399999999999984</c:v>
                </c:pt>
                <c:pt idx="152">
                  <c:v>-0.399999999999984</c:v>
                </c:pt>
                <c:pt idx="153">
                  <c:v>-0.399999999999984</c:v>
                </c:pt>
                <c:pt idx="154">
                  <c:v>-0.399999999999984</c:v>
                </c:pt>
                <c:pt idx="155">
                  <c:v>-0.399999999999984</c:v>
                </c:pt>
                <c:pt idx="156">
                  <c:v>-0.399999999999984</c:v>
                </c:pt>
                <c:pt idx="157">
                  <c:v>-0.399999999999984</c:v>
                </c:pt>
                <c:pt idx="158">
                  <c:v>-0.399999999999984</c:v>
                </c:pt>
                <c:pt idx="159">
                  <c:v>-0.399999999999984</c:v>
                </c:pt>
                <c:pt idx="160">
                  <c:v>-0.399999999999984</c:v>
                </c:pt>
                <c:pt idx="161">
                  <c:v>-0.399999999999984</c:v>
                </c:pt>
                <c:pt idx="162">
                  <c:v>-0.399999999999984</c:v>
                </c:pt>
                <c:pt idx="163">
                  <c:v>-0.399999999999984</c:v>
                </c:pt>
                <c:pt idx="164">
                  <c:v>-0.399999999999984</c:v>
                </c:pt>
                <c:pt idx="165">
                  <c:v>-0.399999999999984</c:v>
                </c:pt>
                <c:pt idx="166">
                  <c:v>-0.399999999999984</c:v>
                </c:pt>
                <c:pt idx="167">
                  <c:v>-0.399999999999984</c:v>
                </c:pt>
                <c:pt idx="168">
                  <c:v>-0.399999999999984</c:v>
                </c:pt>
                <c:pt idx="169">
                  <c:v>-0.399999999999984</c:v>
                </c:pt>
                <c:pt idx="170">
                  <c:v>-0.399999999999984</c:v>
                </c:pt>
                <c:pt idx="171">
                  <c:v>30.5</c:v>
                </c:pt>
                <c:pt idx="172">
                  <c:v>30.5</c:v>
                </c:pt>
                <c:pt idx="173">
                  <c:v>30.5</c:v>
                </c:pt>
                <c:pt idx="174">
                  <c:v>30.5</c:v>
                </c:pt>
                <c:pt idx="175">
                  <c:v>30.5</c:v>
                </c:pt>
                <c:pt idx="176">
                  <c:v>30.5</c:v>
                </c:pt>
                <c:pt idx="177">
                  <c:v>30.5</c:v>
                </c:pt>
                <c:pt idx="178">
                  <c:v>30.5</c:v>
                </c:pt>
                <c:pt idx="179">
                  <c:v>30.5</c:v>
                </c:pt>
                <c:pt idx="180">
                  <c:v>30.5</c:v>
                </c:pt>
                <c:pt idx="181">
                  <c:v>30.5</c:v>
                </c:pt>
                <c:pt idx="182">
                  <c:v>30.5</c:v>
                </c:pt>
                <c:pt idx="183">
                  <c:v>30.5</c:v>
                </c:pt>
                <c:pt idx="184">
                  <c:v>30.5</c:v>
                </c:pt>
                <c:pt idx="185">
                  <c:v>30.5</c:v>
                </c:pt>
                <c:pt idx="186">
                  <c:v>30.5</c:v>
                </c:pt>
                <c:pt idx="187">
                  <c:v>30.5</c:v>
                </c:pt>
                <c:pt idx="188">
                  <c:v>30.5</c:v>
                </c:pt>
                <c:pt idx="189">
                  <c:v>30.5</c:v>
                </c:pt>
                <c:pt idx="190">
                  <c:v>30.5</c:v>
                </c:pt>
                <c:pt idx="191">
                  <c:v>30.5</c:v>
                </c:pt>
                <c:pt idx="192">
                  <c:v>30.5</c:v>
                </c:pt>
                <c:pt idx="193">
                  <c:v>30.5</c:v>
                </c:pt>
                <c:pt idx="194">
                  <c:v>30.5</c:v>
                </c:pt>
                <c:pt idx="195">
                  <c:v>-0.399999999999984</c:v>
                </c:pt>
                <c:pt idx="196">
                  <c:v>-0.399999999999984</c:v>
                </c:pt>
                <c:pt idx="197">
                  <c:v>-0.399999999999984</c:v>
                </c:pt>
                <c:pt idx="198">
                  <c:v>-0.399999999999984</c:v>
                </c:pt>
                <c:pt idx="199">
                  <c:v>-0.399999999999984</c:v>
                </c:pt>
                <c:pt idx="200">
                  <c:v>-0.399999999999984</c:v>
                </c:pt>
                <c:pt idx="201">
                  <c:v>-0.399999999999984</c:v>
                </c:pt>
                <c:pt idx="202">
                  <c:v>-0.399999999999984</c:v>
                </c:pt>
                <c:pt idx="203">
                  <c:v>-0.399999999999984</c:v>
                </c:pt>
                <c:pt idx="204">
                  <c:v>-0.399999999999984</c:v>
                </c:pt>
                <c:pt idx="205">
                  <c:v>-0.399999999999984</c:v>
                </c:pt>
                <c:pt idx="206">
                  <c:v>-0.399999999999984</c:v>
                </c:pt>
                <c:pt idx="207">
                  <c:v>-0.399999999999984</c:v>
                </c:pt>
                <c:pt idx="208">
                  <c:v>-0.399999999999984</c:v>
                </c:pt>
                <c:pt idx="209">
                  <c:v>-0.399999999999984</c:v>
                </c:pt>
                <c:pt idx="210">
                  <c:v>-0.399999999999984</c:v>
                </c:pt>
                <c:pt idx="211">
                  <c:v>-0.399999999999984</c:v>
                </c:pt>
                <c:pt idx="212">
                  <c:v>-0.399999999999984</c:v>
                </c:pt>
                <c:pt idx="213">
                  <c:v>-0.399999999999984</c:v>
                </c:pt>
                <c:pt idx="214">
                  <c:v>-0.399999999999984</c:v>
                </c:pt>
                <c:pt idx="215">
                  <c:v>-0.399999999999984</c:v>
                </c:pt>
                <c:pt idx="216">
                  <c:v>-0.399999999999984</c:v>
                </c:pt>
                <c:pt idx="217">
                  <c:v>-0.399999999999984</c:v>
                </c:pt>
                <c:pt idx="218">
                  <c:v>30.5</c:v>
                </c:pt>
                <c:pt idx="219">
                  <c:v>30.5</c:v>
                </c:pt>
                <c:pt idx="220">
                  <c:v>30.5</c:v>
                </c:pt>
                <c:pt idx="221">
                  <c:v>30.5</c:v>
                </c:pt>
                <c:pt idx="222">
                  <c:v>30.5</c:v>
                </c:pt>
                <c:pt idx="223">
                  <c:v>30.5</c:v>
                </c:pt>
                <c:pt idx="224">
                  <c:v>30.5</c:v>
                </c:pt>
                <c:pt idx="225">
                  <c:v>30.5</c:v>
                </c:pt>
                <c:pt idx="226">
                  <c:v>30.5</c:v>
                </c:pt>
                <c:pt idx="227">
                  <c:v>30.5</c:v>
                </c:pt>
                <c:pt idx="228">
                  <c:v>30.5</c:v>
                </c:pt>
                <c:pt idx="229">
                  <c:v>30.5</c:v>
                </c:pt>
                <c:pt idx="230">
                  <c:v>30.5</c:v>
                </c:pt>
                <c:pt idx="231">
                  <c:v>30.5</c:v>
                </c:pt>
                <c:pt idx="232">
                  <c:v>30.5</c:v>
                </c:pt>
                <c:pt idx="233">
                  <c:v>30.5</c:v>
                </c:pt>
                <c:pt idx="234">
                  <c:v>30.5</c:v>
                </c:pt>
                <c:pt idx="235">
                  <c:v>30.5</c:v>
                </c:pt>
                <c:pt idx="236">
                  <c:v>30.5</c:v>
                </c:pt>
                <c:pt idx="237">
                  <c:v>30.5</c:v>
                </c:pt>
                <c:pt idx="238">
                  <c:v>30.5</c:v>
                </c:pt>
                <c:pt idx="239">
                  <c:v>30.5</c:v>
                </c:pt>
                <c:pt idx="240">
                  <c:v>30.5</c:v>
                </c:pt>
                <c:pt idx="241">
                  <c:v>30.5</c:v>
                </c:pt>
                <c:pt idx="242">
                  <c:v>-0.399999999999984</c:v>
                </c:pt>
                <c:pt idx="243">
                  <c:v>-0.399999999999984</c:v>
                </c:pt>
                <c:pt idx="244">
                  <c:v>-0.399999999999984</c:v>
                </c:pt>
                <c:pt idx="245">
                  <c:v>-0.399999999999984</c:v>
                </c:pt>
                <c:pt idx="246">
                  <c:v>-0.399999999999984</c:v>
                </c:pt>
                <c:pt idx="247">
                  <c:v>-0.399999999999984</c:v>
                </c:pt>
                <c:pt idx="248">
                  <c:v>-0.399999999999984</c:v>
                </c:pt>
                <c:pt idx="249">
                  <c:v>-0.399999999999984</c:v>
                </c:pt>
                <c:pt idx="250">
                  <c:v>-0.399999999999984</c:v>
                </c:pt>
                <c:pt idx="251">
                  <c:v>-0.399999999999984</c:v>
                </c:pt>
                <c:pt idx="252">
                  <c:v>-0.399999999999984</c:v>
                </c:pt>
                <c:pt idx="253">
                  <c:v>-0.399999999999984</c:v>
                </c:pt>
                <c:pt idx="254">
                  <c:v>-0.399999999999984</c:v>
                </c:pt>
                <c:pt idx="255">
                  <c:v>-0.399999999999984</c:v>
                </c:pt>
                <c:pt idx="256">
                  <c:v>-0.399999999999984</c:v>
                </c:pt>
                <c:pt idx="257">
                  <c:v>-0.399999999999984</c:v>
                </c:pt>
                <c:pt idx="258">
                  <c:v>-0.399999999999984</c:v>
                </c:pt>
                <c:pt idx="259">
                  <c:v>-0.399999999999984</c:v>
                </c:pt>
                <c:pt idx="260">
                  <c:v>-0.399999999999984</c:v>
                </c:pt>
                <c:pt idx="261">
                  <c:v>-0.399999999999984</c:v>
                </c:pt>
                <c:pt idx="262">
                  <c:v>-0.399999999999984</c:v>
                </c:pt>
                <c:pt idx="263">
                  <c:v>-0.399999999999984</c:v>
                </c:pt>
                <c:pt idx="264">
                  <c:v>30.5</c:v>
                </c:pt>
                <c:pt idx="265">
                  <c:v>30.5</c:v>
                </c:pt>
                <c:pt idx="266">
                  <c:v>30.5</c:v>
                </c:pt>
                <c:pt idx="267">
                  <c:v>30.5</c:v>
                </c:pt>
                <c:pt idx="268">
                  <c:v>30.5</c:v>
                </c:pt>
                <c:pt idx="269">
                  <c:v>30.5</c:v>
                </c:pt>
                <c:pt idx="270">
                  <c:v>30.5</c:v>
                </c:pt>
                <c:pt idx="271">
                  <c:v>30.5</c:v>
                </c:pt>
                <c:pt idx="272">
                  <c:v>30.5</c:v>
                </c:pt>
                <c:pt idx="273">
                  <c:v>30.5</c:v>
                </c:pt>
                <c:pt idx="274">
                  <c:v>30.5</c:v>
                </c:pt>
                <c:pt idx="275">
                  <c:v>30.5</c:v>
                </c:pt>
                <c:pt idx="276">
                  <c:v>30.5</c:v>
                </c:pt>
                <c:pt idx="277">
                  <c:v>30.5</c:v>
                </c:pt>
                <c:pt idx="278">
                  <c:v>30.5</c:v>
                </c:pt>
                <c:pt idx="279">
                  <c:v>30.5</c:v>
                </c:pt>
                <c:pt idx="280">
                  <c:v>30.5</c:v>
                </c:pt>
                <c:pt idx="281">
                  <c:v>30.5</c:v>
                </c:pt>
                <c:pt idx="282">
                  <c:v>30.5</c:v>
                </c:pt>
                <c:pt idx="283">
                  <c:v>30.5</c:v>
                </c:pt>
                <c:pt idx="284">
                  <c:v>30.5</c:v>
                </c:pt>
                <c:pt idx="285">
                  <c:v>30.5</c:v>
                </c:pt>
                <c:pt idx="286">
                  <c:v>30.5</c:v>
                </c:pt>
                <c:pt idx="287">
                  <c:v>30.5</c:v>
                </c:pt>
                <c:pt idx="288">
                  <c:v>-0.399999999999984</c:v>
                </c:pt>
                <c:pt idx="289">
                  <c:v>-0.399999999999984</c:v>
                </c:pt>
                <c:pt idx="290">
                  <c:v>-0.399999999999984</c:v>
                </c:pt>
                <c:pt idx="291">
                  <c:v>-0.399999999999984</c:v>
                </c:pt>
                <c:pt idx="292">
                  <c:v>-0.399999999999984</c:v>
                </c:pt>
                <c:pt idx="293">
                  <c:v>-0.399999999999984</c:v>
                </c:pt>
                <c:pt idx="294">
                  <c:v>-0.399999999999984</c:v>
                </c:pt>
                <c:pt idx="295">
                  <c:v>-0.399999999999984</c:v>
                </c:pt>
                <c:pt idx="296">
                  <c:v>-0.399999999999984</c:v>
                </c:pt>
                <c:pt idx="297">
                  <c:v>-0.399999999999984</c:v>
                </c:pt>
                <c:pt idx="298">
                  <c:v>-0.399999999999984</c:v>
                </c:pt>
                <c:pt idx="299">
                  <c:v>-0.399999999999984</c:v>
                </c:pt>
                <c:pt idx="300">
                  <c:v>-0.399999999999984</c:v>
                </c:pt>
                <c:pt idx="301">
                  <c:v>-0.399999999999984</c:v>
                </c:pt>
                <c:pt idx="302">
                  <c:v>-0.399999999999984</c:v>
                </c:pt>
                <c:pt idx="303">
                  <c:v>-0.399999999999984</c:v>
                </c:pt>
                <c:pt idx="304">
                  <c:v>-0.399999999999984</c:v>
                </c:pt>
                <c:pt idx="305">
                  <c:v>-0.399999999999984</c:v>
                </c:pt>
                <c:pt idx="306">
                  <c:v>-0.399999999999984</c:v>
                </c:pt>
                <c:pt idx="307">
                  <c:v>-0.399999999999984</c:v>
                </c:pt>
                <c:pt idx="308">
                  <c:v>-0.399999999999984</c:v>
                </c:pt>
                <c:pt idx="309">
                  <c:v>-0.399999999999984</c:v>
                </c:pt>
                <c:pt idx="310">
                  <c:v>-0.399999999999984</c:v>
                </c:pt>
                <c:pt idx="311">
                  <c:v>30.5</c:v>
                </c:pt>
                <c:pt idx="312">
                  <c:v>30.5</c:v>
                </c:pt>
                <c:pt idx="313">
                  <c:v>30.5</c:v>
                </c:pt>
                <c:pt idx="314">
                  <c:v>30.5</c:v>
                </c:pt>
                <c:pt idx="315">
                  <c:v>30.5</c:v>
                </c:pt>
                <c:pt idx="316">
                  <c:v>30.5</c:v>
                </c:pt>
                <c:pt idx="317">
                  <c:v>30.5</c:v>
                </c:pt>
                <c:pt idx="318">
                  <c:v>30.5</c:v>
                </c:pt>
                <c:pt idx="319">
                  <c:v>30.5</c:v>
                </c:pt>
                <c:pt idx="320">
                  <c:v>30.5</c:v>
                </c:pt>
                <c:pt idx="321">
                  <c:v>30.5</c:v>
                </c:pt>
                <c:pt idx="322">
                  <c:v>30.5</c:v>
                </c:pt>
                <c:pt idx="323">
                  <c:v>30.5</c:v>
                </c:pt>
                <c:pt idx="324">
                  <c:v>30.5</c:v>
                </c:pt>
                <c:pt idx="325">
                  <c:v>30.5</c:v>
                </c:pt>
                <c:pt idx="326">
                  <c:v>30.5</c:v>
                </c:pt>
                <c:pt idx="327">
                  <c:v>30.5</c:v>
                </c:pt>
                <c:pt idx="328">
                  <c:v>30.5</c:v>
                </c:pt>
                <c:pt idx="329">
                  <c:v>30.5</c:v>
                </c:pt>
                <c:pt idx="330">
                  <c:v>30.5</c:v>
                </c:pt>
                <c:pt idx="331">
                  <c:v>30.5</c:v>
                </c:pt>
                <c:pt idx="332">
                  <c:v>30.5</c:v>
                </c:pt>
                <c:pt idx="333">
                  <c:v>30.5</c:v>
                </c:pt>
                <c:pt idx="334">
                  <c:v>30.5</c:v>
                </c:pt>
                <c:pt idx="335">
                  <c:v>-0.399999999999984</c:v>
                </c:pt>
                <c:pt idx="336">
                  <c:v>-0.399999999999984</c:v>
                </c:pt>
                <c:pt idx="337">
                  <c:v>-0.399999999999984</c:v>
                </c:pt>
                <c:pt idx="338">
                  <c:v>-0.399999999999984</c:v>
                </c:pt>
                <c:pt idx="339">
                  <c:v>-0.399999999999984</c:v>
                </c:pt>
                <c:pt idx="340">
                  <c:v>-0.399999999999984</c:v>
                </c:pt>
                <c:pt idx="341">
                  <c:v>-0.399999999999984</c:v>
                </c:pt>
                <c:pt idx="342">
                  <c:v>-0.399999999999984</c:v>
                </c:pt>
                <c:pt idx="343">
                  <c:v>-0.399999999999984</c:v>
                </c:pt>
                <c:pt idx="344">
                  <c:v>-0.399999999999984</c:v>
                </c:pt>
                <c:pt idx="345">
                  <c:v>-0.399999999999984</c:v>
                </c:pt>
                <c:pt idx="346">
                  <c:v>-0.399999999999984</c:v>
                </c:pt>
                <c:pt idx="347">
                  <c:v>-0.399999999999984</c:v>
                </c:pt>
                <c:pt idx="348">
                  <c:v>-0.399999999999984</c:v>
                </c:pt>
                <c:pt idx="349">
                  <c:v>-0.399999999999984</c:v>
                </c:pt>
                <c:pt idx="350">
                  <c:v>-0.399999999999984</c:v>
                </c:pt>
                <c:pt idx="351">
                  <c:v>-0.399999999999984</c:v>
                </c:pt>
                <c:pt idx="352">
                  <c:v>-0.399999999999984</c:v>
                </c:pt>
                <c:pt idx="353">
                  <c:v>-0.399999999999984</c:v>
                </c:pt>
                <c:pt idx="354">
                  <c:v>-0.399999999999984</c:v>
                </c:pt>
                <c:pt idx="355">
                  <c:v>-0.399999999999984</c:v>
                </c:pt>
                <c:pt idx="356">
                  <c:v>-0.399999999999984</c:v>
                </c:pt>
                <c:pt idx="357">
                  <c:v>30.5</c:v>
                </c:pt>
                <c:pt idx="358">
                  <c:v>30.5</c:v>
                </c:pt>
                <c:pt idx="359">
                  <c:v>30.5</c:v>
                </c:pt>
                <c:pt idx="360">
                  <c:v>30.5</c:v>
                </c:pt>
                <c:pt idx="361">
                  <c:v>30.5</c:v>
                </c:pt>
                <c:pt idx="362">
                  <c:v>30.5</c:v>
                </c:pt>
                <c:pt idx="363">
                  <c:v>30.5</c:v>
                </c:pt>
                <c:pt idx="364">
                  <c:v>30.5</c:v>
                </c:pt>
                <c:pt idx="365">
                  <c:v>30.5</c:v>
                </c:pt>
                <c:pt idx="366">
                  <c:v>30.5</c:v>
                </c:pt>
                <c:pt idx="367">
                  <c:v>30.5</c:v>
                </c:pt>
                <c:pt idx="368">
                  <c:v>30.5</c:v>
                </c:pt>
                <c:pt idx="369">
                  <c:v>30.5</c:v>
                </c:pt>
                <c:pt idx="370">
                  <c:v>30.5</c:v>
                </c:pt>
                <c:pt idx="371">
                  <c:v>30.5</c:v>
                </c:pt>
                <c:pt idx="372">
                  <c:v>30.5</c:v>
                </c:pt>
                <c:pt idx="373">
                  <c:v>30.5</c:v>
                </c:pt>
                <c:pt idx="374">
                  <c:v>30.5</c:v>
                </c:pt>
                <c:pt idx="375">
                  <c:v>30.5</c:v>
                </c:pt>
                <c:pt idx="376">
                  <c:v>30.5</c:v>
                </c:pt>
                <c:pt idx="377">
                  <c:v>30.5</c:v>
                </c:pt>
                <c:pt idx="378">
                  <c:v>30.5</c:v>
                </c:pt>
                <c:pt idx="379">
                  <c:v>30.5</c:v>
                </c:pt>
                <c:pt idx="380">
                  <c:v>30.5</c:v>
                </c:pt>
                <c:pt idx="381">
                  <c:v>-0.399999999999984</c:v>
                </c:pt>
                <c:pt idx="382">
                  <c:v>-0.399999999999984</c:v>
                </c:pt>
                <c:pt idx="383">
                  <c:v>-0.399999999999984</c:v>
                </c:pt>
                <c:pt idx="384">
                  <c:v>-0.399999999999984</c:v>
                </c:pt>
                <c:pt idx="385">
                  <c:v>-0.399999999999984</c:v>
                </c:pt>
                <c:pt idx="386">
                  <c:v>-0.399999999999984</c:v>
                </c:pt>
                <c:pt idx="387">
                  <c:v>-0.399999999999984</c:v>
                </c:pt>
                <c:pt idx="388">
                  <c:v>-0.399999999999984</c:v>
                </c:pt>
                <c:pt idx="389">
                  <c:v>-0.399999999999984</c:v>
                </c:pt>
                <c:pt idx="390">
                  <c:v>-0.399999999999984</c:v>
                </c:pt>
                <c:pt idx="391">
                  <c:v>-0.399999999999984</c:v>
                </c:pt>
                <c:pt idx="392">
                  <c:v>-0.399999999999984</c:v>
                </c:pt>
                <c:pt idx="393">
                  <c:v>-0.399999999999984</c:v>
                </c:pt>
                <c:pt idx="394">
                  <c:v>-0.399999999999984</c:v>
                </c:pt>
                <c:pt idx="395">
                  <c:v>-0.399999999999984</c:v>
                </c:pt>
                <c:pt idx="396">
                  <c:v>-0.399999999999984</c:v>
                </c:pt>
                <c:pt idx="397">
                  <c:v>-0.399999999999984</c:v>
                </c:pt>
                <c:pt idx="398">
                  <c:v>-0.399999999999984</c:v>
                </c:pt>
                <c:pt idx="399">
                  <c:v>-0.399999999999984</c:v>
                </c:pt>
                <c:pt idx="400">
                  <c:v>-0.399999999999984</c:v>
                </c:pt>
                <c:pt idx="401">
                  <c:v>-0.399999999999984</c:v>
                </c:pt>
                <c:pt idx="402">
                  <c:v>-0.399999999999984</c:v>
                </c:pt>
                <c:pt idx="403">
                  <c:v>-0.399999999999984</c:v>
                </c:pt>
                <c:pt idx="404">
                  <c:v>30.5</c:v>
                </c:pt>
                <c:pt idx="405">
                  <c:v>30.5</c:v>
                </c:pt>
                <c:pt idx="406">
                  <c:v>30.5</c:v>
                </c:pt>
                <c:pt idx="407">
                  <c:v>30.5</c:v>
                </c:pt>
                <c:pt idx="408">
                  <c:v>30.5</c:v>
                </c:pt>
                <c:pt idx="409">
                  <c:v>30.5</c:v>
                </c:pt>
                <c:pt idx="410">
                  <c:v>30.5</c:v>
                </c:pt>
                <c:pt idx="411">
                  <c:v>30.5</c:v>
                </c:pt>
                <c:pt idx="412">
                  <c:v>30.5</c:v>
                </c:pt>
                <c:pt idx="413">
                  <c:v>30.5</c:v>
                </c:pt>
                <c:pt idx="414">
                  <c:v>30.5</c:v>
                </c:pt>
                <c:pt idx="415">
                  <c:v>30.5</c:v>
                </c:pt>
                <c:pt idx="416">
                  <c:v>30.5</c:v>
                </c:pt>
                <c:pt idx="417">
                  <c:v>30.5</c:v>
                </c:pt>
                <c:pt idx="418">
                  <c:v>30.5</c:v>
                </c:pt>
                <c:pt idx="419">
                  <c:v>30.5</c:v>
                </c:pt>
                <c:pt idx="420">
                  <c:v>30.5</c:v>
                </c:pt>
                <c:pt idx="421">
                  <c:v>30.5</c:v>
                </c:pt>
                <c:pt idx="422">
                  <c:v>30.5</c:v>
                </c:pt>
                <c:pt idx="423">
                  <c:v>30.5</c:v>
                </c:pt>
                <c:pt idx="424">
                  <c:v>30.5</c:v>
                </c:pt>
                <c:pt idx="425">
                  <c:v>30.5</c:v>
                </c:pt>
                <c:pt idx="426">
                  <c:v>30.5</c:v>
                </c:pt>
                <c:pt idx="427">
                  <c:v>-0.399999999999984</c:v>
                </c:pt>
                <c:pt idx="428">
                  <c:v>-0.399999999999984</c:v>
                </c:pt>
                <c:pt idx="429">
                  <c:v>-0.399999999999984</c:v>
                </c:pt>
                <c:pt idx="430">
                  <c:v>-0.399999999999984</c:v>
                </c:pt>
                <c:pt idx="431">
                  <c:v>-0.399999999999984</c:v>
                </c:pt>
                <c:pt idx="432">
                  <c:v>-0.399999999999984</c:v>
                </c:pt>
                <c:pt idx="433">
                  <c:v>-0.399999999999984</c:v>
                </c:pt>
                <c:pt idx="434">
                  <c:v>-0.399999999999984</c:v>
                </c:pt>
                <c:pt idx="435">
                  <c:v>-0.399999999999984</c:v>
                </c:pt>
                <c:pt idx="436">
                  <c:v>-0.399999999999984</c:v>
                </c:pt>
                <c:pt idx="437">
                  <c:v>-0.399999999999984</c:v>
                </c:pt>
                <c:pt idx="438">
                  <c:v>-0.399999999999984</c:v>
                </c:pt>
                <c:pt idx="439">
                  <c:v>-0.399999999999984</c:v>
                </c:pt>
                <c:pt idx="440">
                  <c:v>-0.399999999999984</c:v>
                </c:pt>
                <c:pt idx="441">
                  <c:v>-0.399999999999984</c:v>
                </c:pt>
                <c:pt idx="442">
                  <c:v>-0.399999999999984</c:v>
                </c:pt>
                <c:pt idx="443">
                  <c:v>-0.399999999999984</c:v>
                </c:pt>
                <c:pt idx="444">
                  <c:v>-0.399999999999984</c:v>
                </c:pt>
                <c:pt idx="445">
                  <c:v>-0.399999999999984</c:v>
                </c:pt>
                <c:pt idx="446">
                  <c:v>-0.399999999999984</c:v>
                </c:pt>
                <c:pt idx="447">
                  <c:v>-0.399999999999984</c:v>
                </c:pt>
                <c:pt idx="448">
                  <c:v>-0.399999999999984</c:v>
                </c:pt>
                <c:pt idx="449">
                  <c:v>-0.399999999999984</c:v>
                </c:pt>
                <c:pt idx="450">
                  <c:v>30.5</c:v>
                </c:pt>
                <c:pt idx="451">
                  <c:v>30.5</c:v>
                </c:pt>
                <c:pt idx="452">
                  <c:v>30.5</c:v>
                </c:pt>
                <c:pt idx="453">
                  <c:v>30.5</c:v>
                </c:pt>
                <c:pt idx="454">
                  <c:v>30.5</c:v>
                </c:pt>
                <c:pt idx="455">
                  <c:v>30.5</c:v>
                </c:pt>
                <c:pt idx="456">
                  <c:v>30.5</c:v>
                </c:pt>
                <c:pt idx="457">
                  <c:v>30.5</c:v>
                </c:pt>
                <c:pt idx="458">
                  <c:v>30.5</c:v>
                </c:pt>
                <c:pt idx="459">
                  <c:v>30.5</c:v>
                </c:pt>
                <c:pt idx="460">
                  <c:v>30.5</c:v>
                </c:pt>
                <c:pt idx="461">
                  <c:v>30.5</c:v>
                </c:pt>
                <c:pt idx="462">
                  <c:v>30.5</c:v>
                </c:pt>
                <c:pt idx="463">
                  <c:v>30.5</c:v>
                </c:pt>
                <c:pt idx="464">
                  <c:v>30.5</c:v>
                </c:pt>
                <c:pt idx="465">
                  <c:v>30.5</c:v>
                </c:pt>
                <c:pt idx="466">
                  <c:v>30.5</c:v>
                </c:pt>
                <c:pt idx="467">
                  <c:v>30.5</c:v>
                </c:pt>
                <c:pt idx="468">
                  <c:v>30.5</c:v>
                </c:pt>
                <c:pt idx="469">
                  <c:v>30.5</c:v>
                </c:pt>
                <c:pt idx="470">
                  <c:v>30.5</c:v>
                </c:pt>
                <c:pt idx="471">
                  <c:v>30.5</c:v>
                </c:pt>
                <c:pt idx="472">
                  <c:v>30.5</c:v>
                </c:pt>
                <c:pt idx="473">
                  <c:v>30.5</c:v>
                </c:pt>
                <c:pt idx="474">
                  <c:v>-0.399999999999984</c:v>
                </c:pt>
                <c:pt idx="475">
                  <c:v>-0.399999999999984</c:v>
                </c:pt>
                <c:pt idx="476">
                  <c:v>-0.399999999999984</c:v>
                </c:pt>
                <c:pt idx="477">
                  <c:v>-0.399999999999984</c:v>
                </c:pt>
                <c:pt idx="478">
                  <c:v>-0.399999999999984</c:v>
                </c:pt>
                <c:pt idx="479">
                  <c:v>-0.399999999999984</c:v>
                </c:pt>
                <c:pt idx="480">
                  <c:v>-0.399999999999984</c:v>
                </c:pt>
                <c:pt idx="481">
                  <c:v>-0.399999999999984</c:v>
                </c:pt>
                <c:pt idx="482">
                  <c:v>-0.399999999999984</c:v>
                </c:pt>
                <c:pt idx="483">
                  <c:v>-0.399999999999984</c:v>
                </c:pt>
                <c:pt idx="484">
                  <c:v>-0.399999999999984</c:v>
                </c:pt>
                <c:pt idx="485">
                  <c:v>-0.399999999999984</c:v>
                </c:pt>
                <c:pt idx="486">
                  <c:v>-0.399999999999984</c:v>
                </c:pt>
                <c:pt idx="487">
                  <c:v>-0.399999999999984</c:v>
                </c:pt>
                <c:pt idx="488">
                  <c:v>-0.399999999999984</c:v>
                </c:pt>
                <c:pt idx="489">
                  <c:v>-0.399999999999984</c:v>
                </c:pt>
                <c:pt idx="490">
                  <c:v>-0.399999999999984</c:v>
                </c:pt>
                <c:pt idx="491">
                  <c:v>-0.399999999999984</c:v>
                </c:pt>
                <c:pt idx="492">
                  <c:v>-0.399999999999984</c:v>
                </c:pt>
                <c:pt idx="493">
                  <c:v>-0.399999999999984</c:v>
                </c:pt>
                <c:pt idx="494">
                  <c:v>-0.399999999999984</c:v>
                </c:pt>
                <c:pt idx="495">
                  <c:v>-0.399999999999984</c:v>
                </c:pt>
                <c:pt idx="496">
                  <c:v>30.5</c:v>
                </c:pt>
                <c:pt idx="497">
                  <c:v>30.5</c:v>
                </c:pt>
                <c:pt idx="498">
                  <c:v>30.5</c:v>
                </c:pt>
                <c:pt idx="499">
                  <c:v>30.5</c:v>
                </c:pt>
                <c:pt idx="500">
                  <c:v>30.5</c:v>
                </c:pt>
                <c:pt idx="501">
                  <c:v>30.5</c:v>
                </c:pt>
                <c:pt idx="502">
                  <c:v>30.5</c:v>
                </c:pt>
                <c:pt idx="503">
                  <c:v>30.5</c:v>
                </c:pt>
                <c:pt idx="504">
                  <c:v>30.5</c:v>
                </c:pt>
                <c:pt idx="505">
                  <c:v>30.5</c:v>
                </c:pt>
                <c:pt idx="506">
                  <c:v>30.5</c:v>
                </c:pt>
                <c:pt idx="507">
                  <c:v>30.5</c:v>
                </c:pt>
                <c:pt idx="508">
                  <c:v>30.5</c:v>
                </c:pt>
                <c:pt idx="509">
                  <c:v>30.5</c:v>
                </c:pt>
                <c:pt idx="510">
                  <c:v>30.5</c:v>
                </c:pt>
                <c:pt idx="511">
                  <c:v>30.5</c:v>
                </c:pt>
                <c:pt idx="512">
                  <c:v>30.5</c:v>
                </c:pt>
                <c:pt idx="513">
                  <c:v>30.5</c:v>
                </c:pt>
                <c:pt idx="514">
                  <c:v>30.5</c:v>
                </c:pt>
                <c:pt idx="515">
                  <c:v>30.5</c:v>
                </c:pt>
                <c:pt idx="516">
                  <c:v>30.5</c:v>
                </c:pt>
                <c:pt idx="517">
                  <c:v>30.5</c:v>
                </c:pt>
                <c:pt idx="518">
                  <c:v>30.5</c:v>
                </c:pt>
                <c:pt idx="519">
                  <c:v>30.5</c:v>
                </c:pt>
                <c:pt idx="520">
                  <c:v>-0.399999999999984</c:v>
                </c:pt>
                <c:pt idx="521">
                  <c:v>-0.399999999999984</c:v>
                </c:pt>
                <c:pt idx="522">
                  <c:v>-0.399999999999984</c:v>
                </c:pt>
                <c:pt idx="523">
                  <c:v>-0.399999999999984</c:v>
                </c:pt>
                <c:pt idx="524">
                  <c:v>-0.399999999999984</c:v>
                </c:pt>
                <c:pt idx="525">
                  <c:v>-0.399999999999984</c:v>
                </c:pt>
                <c:pt idx="526">
                  <c:v>-0.399999999999984</c:v>
                </c:pt>
                <c:pt idx="527">
                  <c:v>-0.399999999999984</c:v>
                </c:pt>
                <c:pt idx="528">
                  <c:v>-0.399999999999984</c:v>
                </c:pt>
                <c:pt idx="529">
                  <c:v>-0.399999999999984</c:v>
                </c:pt>
                <c:pt idx="530">
                  <c:v>-0.399999999999984</c:v>
                </c:pt>
                <c:pt idx="531">
                  <c:v>-0.399999999999984</c:v>
                </c:pt>
                <c:pt idx="532">
                  <c:v>-0.399999999999984</c:v>
                </c:pt>
                <c:pt idx="533">
                  <c:v>-0.399999999999984</c:v>
                </c:pt>
                <c:pt idx="534">
                  <c:v>-0.399999999999984</c:v>
                </c:pt>
                <c:pt idx="535">
                  <c:v>-0.399999999999984</c:v>
                </c:pt>
                <c:pt idx="536">
                  <c:v>-0.399999999999984</c:v>
                </c:pt>
                <c:pt idx="537">
                  <c:v>-0.399999999999984</c:v>
                </c:pt>
                <c:pt idx="538">
                  <c:v>-0.399999999999984</c:v>
                </c:pt>
                <c:pt idx="539">
                  <c:v>-0.399999999999984</c:v>
                </c:pt>
                <c:pt idx="540">
                  <c:v>-0.399999999999984</c:v>
                </c:pt>
                <c:pt idx="541">
                  <c:v>-0.399999999999984</c:v>
                </c:pt>
                <c:pt idx="542">
                  <c:v>-0.399999999999984</c:v>
                </c:pt>
                <c:pt idx="543">
                  <c:v>30.5</c:v>
                </c:pt>
                <c:pt idx="544">
                  <c:v>30.5</c:v>
                </c:pt>
                <c:pt idx="545">
                  <c:v>30.5</c:v>
                </c:pt>
                <c:pt idx="546">
                  <c:v>30.5</c:v>
                </c:pt>
                <c:pt idx="547">
                  <c:v>30.5</c:v>
                </c:pt>
                <c:pt idx="548">
                  <c:v>30.5</c:v>
                </c:pt>
                <c:pt idx="549">
                  <c:v>30.5</c:v>
                </c:pt>
                <c:pt idx="550">
                  <c:v>30.5</c:v>
                </c:pt>
                <c:pt idx="551">
                  <c:v>30.5</c:v>
                </c:pt>
                <c:pt idx="552">
                  <c:v>30.5</c:v>
                </c:pt>
                <c:pt idx="553">
                  <c:v>30.5</c:v>
                </c:pt>
                <c:pt idx="554">
                  <c:v>30.5</c:v>
                </c:pt>
                <c:pt idx="555">
                  <c:v>30.5</c:v>
                </c:pt>
                <c:pt idx="556">
                  <c:v>30.5</c:v>
                </c:pt>
                <c:pt idx="557">
                  <c:v>30.5</c:v>
                </c:pt>
                <c:pt idx="558">
                  <c:v>30.5</c:v>
                </c:pt>
                <c:pt idx="559">
                  <c:v>30.5</c:v>
                </c:pt>
                <c:pt idx="560">
                  <c:v>30.5</c:v>
                </c:pt>
                <c:pt idx="561">
                  <c:v>30.5</c:v>
                </c:pt>
                <c:pt idx="562">
                  <c:v>30.5</c:v>
                </c:pt>
                <c:pt idx="563">
                  <c:v>30.5</c:v>
                </c:pt>
                <c:pt idx="564">
                  <c:v>30.5</c:v>
                </c:pt>
                <c:pt idx="565">
                  <c:v>30.5</c:v>
                </c:pt>
                <c:pt idx="566">
                  <c:v>30.5</c:v>
                </c:pt>
                <c:pt idx="567">
                  <c:v>-0.399999999999984</c:v>
                </c:pt>
                <c:pt idx="568">
                  <c:v>-0.399999999999984</c:v>
                </c:pt>
                <c:pt idx="569">
                  <c:v>-0.399999999999984</c:v>
                </c:pt>
                <c:pt idx="570">
                  <c:v>-0.399999999999984</c:v>
                </c:pt>
                <c:pt idx="571">
                  <c:v>-0.399999999999984</c:v>
                </c:pt>
                <c:pt idx="572">
                  <c:v>-0.399999999999984</c:v>
                </c:pt>
                <c:pt idx="573">
                  <c:v>-0.399999999999984</c:v>
                </c:pt>
                <c:pt idx="574">
                  <c:v>-0.399999999999984</c:v>
                </c:pt>
                <c:pt idx="575">
                  <c:v>-0.399999999999984</c:v>
                </c:pt>
                <c:pt idx="576">
                  <c:v>-0.399999999999984</c:v>
                </c:pt>
                <c:pt idx="577">
                  <c:v>-0.399999999999984</c:v>
                </c:pt>
                <c:pt idx="578">
                  <c:v>-0.399999999999984</c:v>
                </c:pt>
                <c:pt idx="579">
                  <c:v>-0.399999999999984</c:v>
                </c:pt>
                <c:pt idx="580">
                  <c:v>-0.399999999999984</c:v>
                </c:pt>
                <c:pt idx="581">
                  <c:v>-0.399999999999984</c:v>
                </c:pt>
                <c:pt idx="582">
                  <c:v>-0.399999999999984</c:v>
                </c:pt>
                <c:pt idx="583">
                  <c:v>-0.399999999999984</c:v>
                </c:pt>
                <c:pt idx="584">
                  <c:v>-0.399999999999984</c:v>
                </c:pt>
                <c:pt idx="585">
                  <c:v>-0.399999999999984</c:v>
                </c:pt>
                <c:pt idx="586">
                  <c:v>-0.399999999999984</c:v>
                </c:pt>
                <c:pt idx="587">
                  <c:v>-0.399999999999984</c:v>
                </c:pt>
                <c:pt idx="588">
                  <c:v>-0.399999999999984</c:v>
                </c:pt>
                <c:pt idx="589">
                  <c:v>-0.399999999999984</c:v>
                </c:pt>
                <c:pt idx="590">
                  <c:v>-0.399999999999984</c:v>
                </c:pt>
                <c:pt idx="591">
                  <c:v>-0.399999999999984</c:v>
                </c:pt>
                <c:pt idx="592">
                  <c:v>-0.399999999999984</c:v>
                </c:pt>
                <c:pt idx="593">
                  <c:v>-0.399999999999984</c:v>
                </c:pt>
                <c:pt idx="594">
                  <c:v>-0.399999999999984</c:v>
                </c:pt>
                <c:pt idx="595">
                  <c:v>-0.399999999999984</c:v>
                </c:pt>
                <c:pt idx="596">
                  <c:v>-0.399999999999984</c:v>
                </c:pt>
                <c:pt idx="597">
                  <c:v>-0.399999999999984</c:v>
                </c:pt>
                <c:pt idx="598">
                  <c:v>-0.399999999999984</c:v>
                </c:pt>
                <c:pt idx="599">
                  <c:v>-0.399999999999984</c:v>
                </c:pt>
                <c:pt idx="600">
                  <c:v>-0.399999999999984</c:v>
                </c:pt>
                <c:pt idx="601">
                  <c:v>-0.399999999999984</c:v>
                </c:pt>
                <c:pt idx="602">
                  <c:v>-0.399999999999984</c:v>
                </c:pt>
                <c:pt idx="603">
                  <c:v>-0.399999999999984</c:v>
                </c:pt>
                <c:pt idx="604">
                  <c:v>-0.399999999999984</c:v>
                </c:pt>
                <c:pt idx="605">
                  <c:v>-0.399999999999984</c:v>
                </c:pt>
                <c:pt idx="606">
                  <c:v>-0.399999999999984</c:v>
                </c:pt>
                <c:pt idx="607">
                  <c:v>-0.399999999999984</c:v>
                </c:pt>
                <c:pt idx="608">
                  <c:v>-0.399999999999984</c:v>
                </c:pt>
                <c:pt idx="609">
                  <c:v>-0.399999999999984</c:v>
                </c:pt>
                <c:pt idx="610">
                  <c:v>-0.399999999999984</c:v>
                </c:pt>
                <c:pt idx="611">
                  <c:v>-0.399999999999984</c:v>
                </c:pt>
                <c:pt idx="612">
                  <c:v>-0.399999999999984</c:v>
                </c:pt>
                <c:pt idx="613">
                  <c:v>-0.399999999999984</c:v>
                </c:pt>
                <c:pt idx="614">
                  <c:v>-0.399999999999984</c:v>
                </c:pt>
                <c:pt idx="615">
                  <c:v>-0.399999999999984</c:v>
                </c:pt>
                <c:pt idx="616">
                  <c:v>-0.399999999999984</c:v>
                </c:pt>
                <c:pt idx="617">
                  <c:v>-0.399999999999984</c:v>
                </c:pt>
                <c:pt idx="618">
                  <c:v>-0.399999999999984</c:v>
                </c:pt>
                <c:pt idx="619">
                  <c:v>-0.399999999999984</c:v>
                </c:pt>
                <c:pt idx="620">
                  <c:v>-0.399999999999984</c:v>
                </c:pt>
                <c:pt idx="621">
                  <c:v>-0.399999999999984</c:v>
                </c:pt>
                <c:pt idx="622">
                  <c:v>-0.399999999999984</c:v>
                </c:pt>
                <c:pt idx="623">
                  <c:v>-0.399999999999984</c:v>
                </c:pt>
                <c:pt idx="624">
                  <c:v>-0.399999999999984</c:v>
                </c:pt>
                <c:pt idx="625">
                  <c:v>-0.399999999999984</c:v>
                </c:pt>
                <c:pt idx="626">
                  <c:v>-0.399999999999984</c:v>
                </c:pt>
                <c:pt idx="627">
                  <c:v>-0.399999999999984</c:v>
                </c:pt>
                <c:pt idx="628">
                  <c:v>-0.399999999999984</c:v>
                </c:pt>
                <c:pt idx="629">
                  <c:v>-0.399999999999984</c:v>
                </c:pt>
                <c:pt idx="630">
                  <c:v>-0.399999999999984</c:v>
                </c:pt>
                <c:pt idx="631">
                  <c:v>-0.399999999999984</c:v>
                </c:pt>
                <c:pt idx="632">
                  <c:v>-0.399999999999984</c:v>
                </c:pt>
                <c:pt idx="633">
                  <c:v>-0.399999999999984</c:v>
                </c:pt>
                <c:pt idx="634">
                  <c:v>-0.399999999999984</c:v>
                </c:pt>
                <c:pt idx="635">
                  <c:v>-0.399999999999984</c:v>
                </c:pt>
                <c:pt idx="636">
                  <c:v>-0.399999999999984</c:v>
                </c:pt>
                <c:pt idx="637">
                  <c:v>-0.399999999999984</c:v>
                </c:pt>
                <c:pt idx="638">
                  <c:v>-0.399999999999984</c:v>
                </c:pt>
                <c:pt idx="639">
                  <c:v>-0.399999999999984</c:v>
                </c:pt>
                <c:pt idx="640">
                  <c:v>-0.399999999999984</c:v>
                </c:pt>
                <c:pt idx="641">
                  <c:v>-0.399999999999984</c:v>
                </c:pt>
                <c:pt idx="642">
                  <c:v>-0.399999999999984</c:v>
                </c:pt>
                <c:pt idx="643">
                  <c:v>-0.399999999999984</c:v>
                </c:pt>
                <c:pt idx="644">
                  <c:v>-0.399999999999984</c:v>
                </c:pt>
                <c:pt idx="645">
                  <c:v>-0.399999999999984</c:v>
                </c:pt>
                <c:pt idx="646">
                  <c:v>-0.399999999999984</c:v>
                </c:pt>
                <c:pt idx="647">
                  <c:v>-0.399999999999984</c:v>
                </c:pt>
                <c:pt idx="648">
                  <c:v>-0.399999999999984</c:v>
                </c:pt>
                <c:pt idx="649">
                  <c:v>-0.399999999999984</c:v>
                </c:pt>
                <c:pt idx="650">
                  <c:v>-0.399999999999984</c:v>
                </c:pt>
                <c:pt idx="651">
                  <c:v>-0.399999999999984</c:v>
                </c:pt>
                <c:pt idx="652">
                  <c:v>-0.399999999999984</c:v>
                </c:pt>
                <c:pt idx="653">
                  <c:v>-0.399999999999984</c:v>
                </c:pt>
                <c:pt idx="654">
                  <c:v>-0.399999999999984</c:v>
                </c:pt>
                <c:pt idx="655">
                  <c:v>-0.399999999999984</c:v>
                </c:pt>
                <c:pt idx="656">
                  <c:v>-0.399999999999984</c:v>
                </c:pt>
                <c:pt idx="657">
                  <c:v>-0.399999999999984</c:v>
                </c:pt>
                <c:pt idx="658">
                  <c:v>-0.399999999999984</c:v>
                </c:pt>
                <c:pt idx="659">
                  <c:v>-0.399999999999984</c:v>
                </c:pt>
                <c:pt idx="660">
                  <c:v>-0.399999999999984</c:v>
                </c:pt>
                <c:pt idx="661">
                  <c:v>-0.399999999999984</c:v>
                </c:pt>
                <c:pt idx="662">
                  <c:v>-0.399999999999984</c:v>
                </c:pt>
                <c:pt idx="663">
                  <c:v>-0.399999999999984</c:v>
                </c:pt>
                <c:pt idx="664">
                  <c:v>-0.399999999999984</c:v>
                </c:pt>
                <c:pt idx="665">
                  <c:v>-0.399999999999984</c:v>
                </c:pt>
                <c:pt idx="666">
                  <c:v>-0.399999999999984</c:v>
                </c:pt>
                <c:pt idx="667">
                  <c:v>-0.399999999999984</c:v>
                </c:pt>
                <c:pt idx="668">
                  <c:v>-0.399999999999984</c:v>
                </c:pt>
                <c:pt idx="669">
                  <c:v>-0.399999999999984</c:v>
                </c:pt>
                <c:pt idx="670">
                  <c:v>-0.399999999999984</c:v>
                </c:pt>
                <c:pt idx="671">
                  <c:v>-0.399999999999984</c:v>
                </c:pt>
                <c:pt idx="672">
                  <c:v>-0.399999999999984</c:v>
                </c:pt>
                <c:pt idx="673">
                  <c:v>-0.399999999999984</c:v>
                </c:pt>
                <c:pt idx="674">
                  <c:v>-0.399999999999984</c:v>
                </c:pt>
                <c:pt idx="675">
                  <c:v>-0.399999999999984</c:v>
                </c:pt>
                <c:pt idx="676">
                  <c:v>-0.399999999999984</c:v>
                </c:pt>
                <c:pt idx="677">
                  <c:v>-0.399999999999984</c:v>
                </c:pt>
                <c:pt idx="678">
                  <c:v>-0.399999999999984</c:v>
                </c:pt>
                <c:pt idx="679">
                  <c:v>-0.399999999999984</c:v>
                </c:pt>
                <c:pt idx="680">
                  <c:v>-0.399999999999984</c:v>
                </c:pt>
                <c:pt idx="681">
                  <c:v>-0.399999999999984</c:v>
                </c:pt>
                <c:pt idx="682">
                  <c:v>-0.399999999999984</c:v>
                </c:pt>
                <c:pt idx="683">
                  <c:v>-0.399999999999984</c:v>
                </c:pt>
                <c:pt idx="684">
                  <c:v>-0.399999999999984</c:v>
                </c:pt>
                <c:pt idx="685">
                  <c:v>-0.399999999999984</c:v>
                </c:pt>
                <c:pt idx="686">
                  <c:v>-0.399999999999984</c:v>
                </c:pt>
                <c:pt idx="687">
                  <c:v>-0.399999999999984</c:v>
                </c:pt>
                <c:pt idx="688">
                  <c:v>-0.399999999999984</c:v>
                </c:pt>
                <c:pt idx="689">
                  <c:v>-0.399999999999984</c:v>
                </c:pt>
                <c:pt idx="690">
                  <c:v>-0.399999999999984</c:v>
                </c:pt>
                <c:pt idx="691">
                  <c:v>-0.399999999999984</c:v>
                </c:pt>
                <c:pt idx="692">
                  <c:v>-0.399999999999984</c:v>
                </c:pt>
                <c:pt idx="693">
                  <c:v>-0.399999999999984</c:v>
                </c:pt>
                <c:pt idx="694">
                  <c:v>-0.399999999999984</c:v>
                </c:pt>
                <c:pt idx="695">
                  <c:v>-0.399999999999984</c:v>
                </c:pt>
                <c:pt idx="696">
                  <c:v>-0.399999999999984</c:v>
                </c:pt>
                <c:pt idx="697">
                  <c:v>-0.399999999999984</c:v>
                </c:pt>
                <c:pt idx="698">
                  <c:v>-0.399999999999984</c:v>
                </c:pt>
                <c:pt idx="699">
                  <c:v>-0.399999999999984</c:v>
                </c:pt>
                <c:pt idx="700">
                  <c:v>-0.399999999999984</c:v>
                </c:pt>
                <c:pt idx="701">
                  <c:v>-0.399999999999984</c:v>
                </c:pt>
                <c:pt idx="702">
                  <c:v>-0.399999999999984</c:v>
                </c:pt>
                <c:pt idx="703">
                  <c:v>-0.399999999999984</c:v>
                </c:pt>
                <c:pt idx="704">
                  <c:v>-0.399999999999984</c:v>
                </c:pt>
                <c:pt idx="705">
                  <c:v>-0.399999999999984</c:v>
                </c:pt>
                <c:pt idx="706">
                  <c:v>-0.399999999999984</c:v>
                </c:pt>
                <c:pt idx="707">
                  <c:v>-0.399999999999984</c:v>
                </c:pt>
                <c:pt idx="708">
                  <c:v>-0.399999999999984</c:v>
                </c:pt>
                <c:pt idx="709">
                  <c:v>-0.399999999999984</c:v>
                </c:pt>
                <c:pt idx="710">
                  <c:v>-0.399999999999984</c:v>
                </c:pt>
                <c:pt idx="711">
                  <c:v>-0.399999999999984</c:v>
                </c:pt>
                <c:pt idx="712">
                  <c:v>-0.399999999999984</c:v>
                </c:pt>
                <c:pt idx="713">
                  <c:v>-0.399999999999984</c:v>
                </c:pt>
                <c:pt idx="714">
                  <c:v>-0.399999999999984</c:v>
                </c:pt>
                <c:pt idx="715">
                  <c:v>-0.399999999999984</c:v>
                </c:pt>
                <c:pt idx="716">
                  <c:v>-0.399999999999984</c:v>
                </c:pt>
                <c:pt idx="717">
                  <c:v>-0.399999999999984</c:v>
                </c:pt>
                <c:pt idx="718">
                  <c:v>-0.399999999999984</c:v>
                </c:pt>
                <c:pt idx="719">
                  <c:v>-0.399999999999984</c:v>
                </c:pt>
                <c:pt idx="720">
                  <c:v>-0.399999999999984</c:v>
                </c:pt>
                <c:pt idx="721">
                  <c:v>-0.399999999999984</c:v>
                </c:pt>
                <c:pt idx="722">
                  <c:v>-0.399999999999984</c:v>
                </c:pt>
                <c:pt idx="723">
                  <c:v>-0.399999999999984</c:v>
                </c:pt>
                <c:pt idx="724">
                  <c:v>-0.399999999999984</c:v>
                </c:pt>
                <c:pt idx="725">
                  <c:v>-0.399999999999984</c:v>
                </c:pt>
                <c:pt idx="726">
                  <c:v>-0.399999999999984</c:v>
                </c:pt>
                <c:pt idx="727">
                  <c:v>-0.399999999999984</c:v>
                </c:pt>
                <c:pt idx="728">
                  <c:v>-0.399999999999984</c:v>
                </c:pt>
                <c:pt idx="729">
                  <c:v>-0.399999999999984</c:v>
                </c:pt>
                <c:pt idx="730">
                  <c:v>-0.399999999999984</c:v>
                </c:pt>
                <c:pt idx="731">
                  <c:v>-0.399999999999984</c:v>
                </c:pt>
                <c:pt idx="732">
                  <c:v>-0.399999999999984</c:v>
                </c:pt>
                <c:pt idx="733">
                  <c:v>-0.399999999999984</c:v>
                </c:pt>
                <c:pt idx="734">
                  <c:v>-0.399999999999984</c:v>
                </c:pt>
                <c:pt idx="735">
                  <c:v>-0.399999999999984</c:v>
                </c:pt>
                <c:pt idx="736">
                  <c:v>-0.399999999999984</c:v>
                </c:pt>
                <c:pt idx="737">
                  <c:v>-0.399999999999984</c:v>
                </c:pt>
                <c:pt idx="738">
                  <c:v>-0.399999999999984</c:v>
                </c:pt>
                <c:pt idx="739">
                  <c:v>-0.399999999999984</c:v>
                </c:pt>
                <c:pt idx="740">
                  <c:v>-0.399999999999984</c:v>
                </c:pt>
                <c:pt idx="741">
                  <c:v>-0.399999999999984</c:v>
                </c:pt>
                <c:pt idx="742">
                  <c:v>-0.399999999999984</c:v>
                </c:pt>
                <c:pt idx="743">
                  <c:v>-0.399999999999984</c:v>
                </c:pt>
                <c:pt idx="744">
                  <c:v>-0.399999999999984</c:v>
                </c:pt>
                <c:pt idx="745">
                  <c:v>-0.399999999999984</c:v>
                </c:pt>
                <c:pt idx="746">
                  <c:v>-0.399999999999984</c:v>
                </c:pt>
                <c:pt idx="747">
                  <c:v>-0.399999999999984</c:v>
                </c:pt>
                <c:pt idx="748">
                  <c:v>-0.399999999999984</c:v>
                </c:pt>
                <c:pt idx="749">
                  <c:v>-0.399999999999984</c:v>
                </c:pt>
                <c:pt idx="750">
                  <c:v>-0.399999999999984</c:v>
                </c:pt>
                <c:pt idx="751">
                  <c:v>-0.399999999999984</c:v>
                </c:pt>
                <c:pt idx="752">
                  <c:v>-0.399999999999984</c:v>
                </c:pt>
                <c:pt idx="753">
                  <c:v>-0.399999999999984</c:v>
                </c:pt>
                <c:pt idx="754">
                  <c:v>-0.399999999999984</c:v>
                </c:pt>
                <c:pt idx="755">
                  <c:v>-0.399999999999984</c:v>
                </c:pt>
                <c:pt idx="756">
                  <c:v>-0.399999999999984</c:v>
                </c:pt>
                <c:pt idx="757">
                  <c:v>-0.399999999999984</c:v>
                </c:pt>
                <c:pt idx="758">
                  <c:v>-0.399999999999984</c:v>
                </c:pt>
                <c:pt idx="759">
                  <c:v>-0.399999999999984</c:v>
                </c:pt>
                <c:pt idx="760">
                  <c:v>-0.399999999999984</c:v>
                </c:pt>
                <c:pt idx="761">
                  <c:v>-0.399999999999984</c:v>
                </c:pt>
                <c:pt idx="762">
                  <c:v>-0.399999999999984</c:v>
                </c:pt>
                <c:pt idx="763">
                  <c:v>-0.399999999999984</c:v>
                </c:pt>
                <c:pt idx="764">
                  <c:v>-0.399999999999984</c:v>
                </c:pt>
                <c:pt idx="765">
                  <c:v>-0.399999999999984</c:v>
                </c:pt>
                <c:pt idx="766">
                  <c:v>-0.399999999999984</c:v>
                </c:pt>
                <c:pt idx="767">
                  <c:v>-0.399999999999984</c:v>
                </c:pt>
                <c:pt idx="768">
                  <c:v>-0.399999999999984</c:v>
                </c:pt>
                <c:pt idx="769">
                  <c:v>-0.399999999999984</c:v>
                </c:pt>
                <c:pt idx="770">
                  <c:v>-0.399999999999984</c:v>
                </c:pt>
                <c:pt idx="771">
                  <c:v>-0.399999999999984</c:v>
                </c:pt>
                <c:pt idx="772">
                  <c:v>-0.399999999999984</c:v>
                </c:pt>
                <c:pt idx="773">
                  <c:v>-0.399999999999984</c:v>
                </c:pt>
                <c:pt idx="774">
                  <c:v>-0.399999999999984</c:v>
                </c:pt>
                <c:pt idx="775">
                  <c:v>-0.399999999999984</c:v>
                </c:pt>
                <c:pt idx="776">
                  <c:v>-0.399999999999984</c:v>
                </c:pt>
                <c:pt idx="777">
                  <c:v>-0.399999999999984</c:v>
                </c:pt>
                <c:pt idx="778">
                  <c:v>-0.399999999999984</c:v>
                </c:pt>
                <c:pt idx="779">
                  <c:v>-0.399999999999984</c:v>
                </c:pt>
                <c:pt idx="780">
                  <c:v>-0.399999999999984</c:v>
                </c:pt>
                <c:pt idx="781">
                  <c:v>-0.399999999999984</c:v>
                </c:pt>
                <c:pt idx="782">
                  <c:v>-0.399999999999984</c:v>
                </c:pt>
                <c:pt idx="783">
                  <c:v>-0.399999999999984</c:v>
                </c:pt>
                <c:pt idx="784">
                  <c:v>-0.399999999999984</c:v>
                </c:pt>
                <c:pt idx="785">
                  <c:v>-0.399999999999984</c:v>
                </c:pt>
                <c:pt idx="786">
                  <c:v>-0.399999999999984</c:v>
                </c:pt>
                <c:pt idx="787">
                  <c:v>-0.399999999999984</c:v>
                </c:pt>
                <c:pt idx="788">
                  <c:v>-0.399999999999984</c:v>
                </c:pt>
                <c:pt idx="789">
                  <c:v>-0.399999999999984</c:v>
                </c:pt>
                <c:pt idx="790">
                  <c:v>-0.399999999999984</c:v>
                </c:pt>
                <c:pt idx="791">
                  <c:v>-0.399999999999984</c:v>
                </c:pt>
                <c:pt idx="792">
                  <c:v>-0.399999999999984</c:v>
                </c:pt>
                <c:pt idx="793">
                  <c:v>-0.399999999999984</c:v>
                </c:pt>
                <c:pt idx="794">
                  <c:v>-0.399999999999984</c:v>
                </c:pt>
                <c:pt idx="795">
                  <c:v>-0.399999999999984</c:v>
                </c:pt>
                <c:pt idx="796">
                  <c:v>-0.399999999999984</c:v>
                </c:pt>
                <c:pt idx="797">
                  <c:v>-0.399999999999984</c:v>
                </c:pt>
                <c:pt idx="798">
                  <c:v>-0.399999999999984</c:v>
                </c:pt>
                <c:pt idx="799">
                  <c:v>-0.399999999999984</c:v>
                </c:pt>
                <c:pt idx="800">
                  <c:v>-0.399999999999984</c:v>
                </c:pt>
                <c:pt idx="801">
                  <c:v>-0.399999999999984</c:v>
                </c:pt>
                <c:pt idx="802">
                  <c:v>-0.399999999999984</c:v>
                </c:pt>
                <c:pt idx="803">
                  <c:v>-0.399999999999984</c:v>
                </c:pt>
                <c:pt idx="804">
                  <c:v>-0.399999999999984</c:v>
                </c:pt>
                <c:pt idx="805">
                  <c:v>-0.399999999999984</c:v>
                </c:pt>
                <c:pt idx="806">
                  <c:v>-0.399999999999984</c:v>
                </c:pt>
                <c:pt idx="807">
                  <c:v>-0.399999999999984</c:v>
                </c:pt>
                <c:pt idx="808">
                  <c:v>-0.399999999999984</c:v>
                </c:pt>
                <c:pt idx="809">
                  <c:v>-0.399999999999984</c:v>
                </c:pt>
                <c:pt idx="810">
                  <c:v>-0.399999999999984</c:v>
                </c:pt>
                <c:pt idx="811">
                  <c:v>-0.399999999999984</c:v>
                </c:pt>
                <c:pt idx="812">
                  <c:v>-0.399999999999984</c:v>
                </c:pt>
                <c:pt idx="813">
                  <c:v>-0.399999999999984</c:v>
                </c:pt>
                <c:pt idx="814">
                  <c:v>-0.399999999999984</c:v>
                </c:pt>
                <c:pt idx="815">
                  <c:v>-0.399999999999984</c:v>
                </c:pt>
                <c:pt idx="816">
                  <c:v>-0.399999999999984</c:v>
                </c:pt>
                <c:pt idx="817">
                  <c:v>-0.399999999999984</c:v>
                </c:pt>
                <c:pt idx="818">
                  <c:v>-0.399999999999984</c:v>
                </c:pt>
                <c:pt idx="819">
                  <c:v>-0.399999999999984</c:v>
                </c:pt>
                <c:pt idx="820">
                  <c:v>-0.399999999999984</c:v>
                </c:pt>
                <c:pt idx="821">
                  <c:v>-0.399999999999984</c:v>
                </c:pt>
                <c:pt idx="822">
                  <c:v>-0.399999999999984</c:v>
                </c:pt>
                <c:pt idx="823">
                  <c:v>-0.399999999999984</c:v>
                </c:pt>
                <c:pt idx="824">
                  <c:v>-0.399999999999984</c:v>
                </c:pt>
                <c:pt idx="825">
                  <c:v>-0.399999999999984</c:v>
                </c:pt>
                <c:pt idx="826">
                  <c:v>-0.399999999999984</c:v>
                </c:pt>
                <c:pt idx="827">
                  <c:v>-0.399999999999984</c:v>
                </c:pt>
                <c:pt idx="828">
                  <c:v>-0.399999999999984</c:v>
                </c:pt>
                <c:pt idx="829">
                  <c:v>-0.399999999999984</c:v>
                </c:pt>
                <c:pt idx="830">
                  <c:v>-0.399999999999984</c:v>
                </c:pt>
                <c:pt idx="831">
                  <c:v>-0.399999999999984</c:v>
                </c:pt>
                <c:pt idx="832">
                  <c:v>-0.399999999999984</c:v>
                </c:pt>
                <c:pt idx="833">
                  <c:v>-0.399999999999984</c:v>
                </c:pt>
                <c:pt idx="834">
                  <c:v>-0.399999999999984</c:v>
                </c:pt>
                <c:pt idx="835">
                  <c:v>-0.399999999999984</c:v>
                </c:pt>
                <c:pt idx="836">
                  <c:v>-0.399999999999984</c:v>
                </c:pt>
                <c:pt idx="837">
                  <c:v>-0.399999999999984</c:v>
                </c:pt>
                <c:pt idx="838">
                  <c:v>-0.399999999999984</c:v>
                </c:pt>
                <c:pt idx="839">
                  <c:v>-0.399999999999984</c:v>
                </c:pt>
                <c:pt idx="840">
                  <c:v>-0.399999999999984</c:v>
                </c:pt>
                <c:pt idx="841">
                  <c:v>-0.399999999999984</c:v>
                </c:pt>
                <c:pt idx="842">
                  <c:v>-0.399999999999984</c:v>
                </c:pt>
                <c:pt idx="843">
                  <c:v>-0.399999999999984</c:v>
                </c:pt>
                <c:pt idx="844">
                  <c:v>-0.399999999999984</c:v>
                </c:pt>
                <c:pt idx="845">
                  <c:v>-0.399999999999984</c:v>
                </c:pt>
                <c:pt idx="846">
                  <c:v>-0.399999999999984</c:v>
                </c:pt>
                <c:pt idx="847">
                  <c:v>-0.399999999999984</c:v>
                </c:pt>
                <c:pt idx="848">
                  <c:v>-0.399999999999984</c:v>
                </c:pt>
                <c:pt idx="849">
                  <c:v>-0.399999999999984</c:v>
                </c:pt>
                <c:pt idx="850">
                  <c:v>-0.399999999999984</c:v>
                </c:pt>
                <c:pt idx="851">
                  <c:v>-0.399999999999984</c:v>
                </c:pt>
                <c:pt idx="852">
                  <c:v>-0.399999999999984</c:v>
                </c:pt>
                <c:pt idx="853">
                  <c:v>-0.399999999999984</c:v>
                </c:pt>
                <c:pt idx="854">
                  <c:v>-0.399999999999984</c:v>
                </c:pt>
                <c:pt idx="855">
                  <c:v>-0.399999999999984</c:v>
                </c:pt>
                <c:pt idx="856">
                  <c:v>-0.399999999999984</c:v>
                </c:pt>
                <c:pt idx="857">
                  <c:v>-0.399999999999984</c:v>
                </c:pt>
                <c:pt idx="858">
                  <c:v>-0.399999999999984</c:v>
                </c:pt>
                <c:pt idx="859">
                  <c:v>-0.399999999999984</c:v>
                </c:pt>
                <c:pt idx="860">
                  <c:v>-0.399999999999984</c:v>
                </c:pt>
                <c:pt idx="861">
                  <c:v>-0.399999999999984</c:v>
                </c:pt>
                <c:pt idx="862">
                  <c:v>-0.399999999999984</c:v>
                </c:pt>
                <c:pt idx="863">
                  <c:v>-0.399999999999984</c:v>
                </c:pt>
                <c:pt idx="864">
                  <c:v>-0.399999999999984</c:v>
                </c:pt>
                <c:pt idx="865">
                  <c:v>-0.399999999999984</c:v>
                </c:pt>
                <c:pt idx="866">
                  <c:v>-0.399999999999984</c:v>
                </c:pt>
                <c:pt idx="867">
                  <c:v>-0.399999999999984</c:v>
                </c:pt>
                <c:pt idx="868">
                  <c:v>-0.399999999999984</c:v>
                </c:pt>
                <c:pt idx="869">
                  <c:v>-0.399999999999984</c:v>
                </c:pt>
                <c:pt idx="870">
                  <c:v>-0.399999999999984</c:v>
                </c:pt>
                <c:pt idx="871">
                  <c:v>-0.399999999999984</c:v>
                </c:pt>
                <c:pt idx="872">
                  <c:v>-0.399999999999984</c:v>
                </c:pt>
                <c:pt idx="873">
                  <c:v>-0.399999999999984</c:v>
                </c:pt>
                <c:pt idx="874">
                  <c:v>-0.399999999999984</c:v>
                </c:pt>
                <c:pt idx="875">
                  <c:v>-0.399999999999984</c:v>
                </c:pt>
                <c:pt idx="876">
                  <c:v>-0.399999999999984</c:v>
                </c:pt>
                <c:pt idx="877">
                  <c:v>-0.399999999999984</c:v>
                </c:pt>
                <c:pt idx="878">
                  <c:v>-0.399999999999984</c:v>
                </c:pt>
                <c:pt idx="879">
                  <c:v>-0.399999999999984</c:v>
                </c:pt>
                <c:pt idx="880">
                  <c:v>-0.399999999999984</c:v>
                </c:pt>
                <c:pt idx="881">
                  <c:v>-0.399999999999984</c:v>
                </c:pt>
                <c:pt idx="882">
                  <c:v>-0.399999999999984</c:v>
                </c:pt>
                <c:pt idx="883">
                  <c:v>-0.399999999999984</c:v>
                </c:pt>
                <c:pt idx="884">
                  <c:v>-0.399999999999984</c:v>
                </c:pt>
                <c:pt idx="885">
                  <c:v>-0.399999999999984</c:v>
                </c:pt>
                <c:pt idx="886">
                  <c:v>-0.399999999999984</c:v>
                </c:pt>
                <c:pt idx="887">
                  <c:v>-0.399999999999984</c:v>
                </c:pt>
                <c:pt idx="888">
                  <c:v>-0.399999999999984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9962031"/>
        <c:axId val="935064199"/>
      </c:lineChart>
      <c:catAx>
        <c:axId val="169962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5064199"/>
        <c:crosses val="autoZero"/>
        <c:auto val="1"/>
        <c:lblAlgn val="ctr"/>
        <c:lblOffset val="100"/>
        <c:noMultiLvlLbl val="0"/>
      </c:catAx>
      <c:valAx>
        <c:axId val="93506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96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8874b4-cc5f-41d2-af59-e99bc103c1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A_09_16_04_B!$K$3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A_09_16_04_B!$J$4:$J$1080</c:f>
              <c:numCache>
                <c:formatCode>0.00_);[Red]\(0.00\)</c:formatCode>
                <c:ptCount val="1077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1.136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1.604</c:v>
                </c:pt>
                <c:pt idx="49" c:formatCode="0.00_);[Red]\(0.00\)">
                  <c:v>1.638</c:v>
                </c:pt>
                <c:pt idx="50" c:formatCode="0.00_);[Red]\(0.00\)">
                  <c:v>1.671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1.838</c:v>
                </c:pt>
                <c:pt idx="56" c:formatCode="0.00_);[Red]\(0.00\)">
                  <c:v>1.872</c:v>
                </c:pt>
                <c:pt idx="57" c:formatCode="0.00_);[Red]\(0.00\)">
                  <c:v>1.905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2.072</c:v>
                </c:pt>
                <c:pt idx="63" c:formatCode="0.00_);[Red]\(0.00\)">
                  <c:v>2.106</c:v>
                </c:pt>
                <c:pt idx="64" c:formatCode="0.00_);[Red]\(0.00\)">
                  <c:v>2.139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2.306</c:v>
                </c:pt>
                <c:pt idx="70" c:formatCode="0.00_);[Red]\(0.00\)">
                  <c:v>2.34</c:v>
                </c:pt>
                <c:pt idx="71" c:formatCode="0.00_);[Red]\(0.00\)">
                  <c:v>2.373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</c:v>
                </c:pt>
                <c:pt idx="77" c:formatCode="0.00_);[Red]\(0.00\)">
                  <c:v>2.574</c:v>
                </c:pt>
                <c:pt idx="78" c:formatCode="0.00_);[Red]\(0.00\)">
                  <c:v>2.607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2.774</c:v>
                </c:pt>
                <c:pt idx="84" c:formatCode="0.00_);[Red]\(0.00\)">
                  <c:v>2.808</c:v>
                </c:pt>
                <c:pt idx="85" c:formatCode="0.00_);[Red]\(0.00\)">
                  <c:v>2.841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3.008</c:v>
                </c:pt>
                <c:pt idx="91" c:formatCode="0.00_);[Red]\(0.00\)">
                  <c:v>3.042</c:v>
                </c:pt>
                <c:pt idx="92" c:formatCode="0.00_);[Red]\(0.00\)">
                  <c:v>3.075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3.175</c:v>
                </c:pt>
                <c:pt idx="96" c:formatCode="0.00_);[Red]\(0.00\)">
                  <c:v>3.209</c:v>
                </c:pt>
                <c:pt idx="97" c:formatCode="0.00_);[Red]\(0.00\)">
                  <c:v>3.242</c:v>
                </c:pt>
                <c:pt idx="98" c:formatCode="0.00_);[Red]\(0.00\)">
                  <c:v>3.276</c:v>
                </c:pt>
                <c:pt idx="99" c:formatCode="0.00_);[Red]\(0.00\)">
                  <c:v>3.309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3.409</c:v>
                </c:pt>
                <c:pt idx="103" c:formatCode="0.00_);[Red]\(0.00\)">
                  <c:v>3.443</c:v>
                </c:pt>
                <c:pt idx="104" c:formatCode="0.00_);[Red]\(0.00\)">
                  <c:v>3.476</c:v>
                </c:pt>
                <c:pt idx="105" c:formatCode="0.00_);[Red]\(0.00\)">
                  <c:v>3.51</c:v>
                </c:pt>
                <c:pt idx="106" c:formatCode="0.00_);[Red]\(0.00\)">
                  <c:v>3.543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3.643</c:v>
                </c:pt>
                <c:pt idx="110" c:formatCode="0.00_);[Red]\(0.00\)">
                  <c:v>3.677</c:v>
                </c:pt>
                <c:pt idx="111" c:formatCode="0.00_);[Red]\(0.00\)">
                  <c:v>3.71</c:v>
                </c:pt>
                <c:pt idx="112" c:formatCode="0.00_);[Red]\(0.00\)">
                  <c:v>3.744</c:v>
                </c:pt>
                <c:pt idx="113" c:formatCode="0.00_);[Red]\(0.00\)">
                  <c:v>3.777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3.877</c:v>
                </c:pt>
                <c:pt idx="117" c:formatCode="0.00_);[Red]\(0.00\)">
                  <c:v>3.911</c:v>
                </c:pt>
                <c:pt idx="118" c:formatCode="0.00_);[Red]\(0.00\)">
                  <c:v>3.944</c:v>
                </c:pt>
                <c:pt idx="119" c:formatCode="0.00_);[Red]\(0.00\)">
                  <c:v>3.978</c:v>
                </c:pt>
                <c:pt idx="120" c:formatCode="0.00_);[Red]\(0.00\)">
                  <c:v>4.011</c:v>
                </c:pt>
                <c:pt idx="121" c:formatCode="0.00_);[Red]\(0.00\)">
                  <c:v>4.045</c:v>
                </c:pt>
                <c:pt idx="122" c:formatCode="0.00_);[Red]\(0.00\)">
                  <c:v>4.078</c:v>
                </c:pt>
                <c:pt idx="123" c:formatCode="0.00_);[Red]\(0.00\)">
                  <c:v>4.111</c:v>
                </c:pt>
                <c:pt idx="124" c:formatCode="0.00_);[Red]\(0.00\)">
                  <c:v>4.145</c:v>
                </c:pt>
                <c:pt idx="125" c:formatCode="0.00_);[Red]\(0.00\)">
                  <c:v>4.178</c:v>
                </c:pt>
                <c:pt idx="126" c:formatCode="0.00_);[Red]\(0.00\)">
                  <c:v>4.212</c:v>
                </c:pt>
                <c:pt idx="127" c:formatCode="0.00_);[Red]\(0.00\)">
                  <c:v>4.245</c:v>
                </c:pt>
                <c:pt idx="128" c:formatCode="0.00_);[Red]\(0.00\)">
                  <c:v>4.279</c:v>
                </c:pt>
                <c:pt idx="129" c:formatCode="0.00_);[Red]\(0.00\)">
                  <c:v>4.312</c:v>
                </c:pt>
                <c:pt idx="130" c:formatCode="0.00_);[Red]\(0.00\)">
                  <c:v>4.345</c:v>
                </c:pt>
                <c:pt idx="131" c:formatCode="0.00_);[Red]\(0.00\)">
                  <c:v>4.379</c:v>
                </c:pt>
                <c:pt idx="132" c:formatCode="0.00_);[Red]\(0.00\)">
                  <c:v>4.412</c:v>
                </c:pt>
                <c:pt idx="133" c:formatCode="0.00_);[Red]\(0.00\)">
                  <c:v>4.446</c:v>
                </c:pt>
                <c:pt idx="134" c:formatCode="0.00_);[Red]\(0.00\)">
                  <c:v>4.479</c:v>
                </c:pt>
                <c:pt idx="135" c:formatCode="0.00_);[Red]\(0.00\)">
                  <c:v>4.513</c:v>
                </c:pt>
                <c:pt idx="136" c:formatCode="0.00_);[Red]\(0.00\)">
                  <c:v>4.546</c:v>
                </c:pt>
                <c:pt idx="137" c:formatCode="0.00_);[Red]\(0.00\)">
                  <c:v>4.579</c:v>
                </c:pt>
                <c:pt idx="138" c:formatCode="0.00_);[Red]\(0.00\)">
                  <c:v>4.613</c:v>
                </c:pt>
                <c:pt idx="139" c:formatCode="0.00_);[Red]\(0.00\)">
                  <c:v>4.646</c:v>
                </c:pt>
                <c:pt idx="140" c:formatCode="0.00_);[Red]\(0.00\)">
                  <c:v>4.68</c:v>
                </c:pt>
                <c:pt idx="141" c:formatCode="0.00_);[Red]\(0.00\)">
                  <c:v>4.713</c:v>
                </c:pt>
                <c:pt idx="142" c:formatCode="0.00_);[Red]\(0.00\)">
                  <c:v>4.747</c:v>
                </c:pt>
                <c:pt idx="143" c:formatCode="0.00_);[Red]\(0.00\)">
                  <c:v>4.78</c:v>
                </c:pt>
                <c:pt idx="144" c:formatCode="0.00_);[Red]\(0.00\)">
                  <c:v>4.813</c:v>
                </c:pt>
                <c:pt idx="145" c:formatCode="0.00_);[Red]\(0.00\)">
                  <c:v>4.847</c:v>
                </c:pt>
                <c:pt idx="146" c:formatCode="0.00_);[Red]\(0.00\)">
                  <c:v>4.88</c:v>
                </c:pt>
                <c:pt idx="147" c:formatCode="0.00_);[Red]\(0.00\)">
                  <c:v>4.914</c:v>
                </c:pt>
                <c:pt idx="148" c:formatCode="0.00_);[Red]\(0.00\)">
                  <c:v>4.947</c:v>
                </c:pt>
                <c:pt idx="149" c:formatCode="0.00_);[Red]\(0.00\)">
                  <c:v>4.981</c:v>
                </c:pt>
                <c:pt idx="150" c:formatCode="0.00_);[Red]\(0.00\)">
                  <c:v>5.014</c:v>
                </c:pt>
                <c:pt idx="151" c:formatCode="0.00_);[Red]\(0.00\)">
                  <c:v>5.047</c:v>
                </c:pt>
                <c:pt idx="152" c:formatCode="0.00_);[Red]\(0.00\)">
                  <c:v>5.081</c:v>
                </c:pt>
                <c:pt idx="153" c:formatCode="0.00_);[Red]\(0.00\)">
                  <c:v>5.114</c:v>
                </c:pt>
                <c:pt idx="154" c:formatCode="0.00_);[Red]\(0.00\)">
                  <c:v>5.148</c:v>
                </c:pt>
                <c:pt idx="155" c:formatCode="0.00_);[Red]\(0.00\)">
                  <c:v>5.181</c:v>
                </c:pt>
                <c:pt idx="156" c:formatCode="0.00_);[Red]\(0.00\)">
                  <c:v>5.214</c:v>
                </c:pt>
                <c:pt idx="157" c:formatCode="0.00_);[Red]\(0.00\)">
                  <c:v>5.248</c:v>
                </c:pt>
                <c:pt idx="158" c:formatCode="0.00_);[Red]\(0.00\)">
                  <c:v>5.281</c:v>
                </c:pt>
                <c:pt idx="159" c:formatCode="0.00_);[Red]\(0.00\)">
                  <c:v>5.315</c:v>
                </c:pt>
                <c:pt idx="160" c:formatCode="0.00_);[Red]\(0.00\)">
                  <c:v>5.348</c:v>
                </c:pt>
                <c:pt idx="161" c:formatCode="0.00_);[Red]\(0.00\)">
                  <c:v>5.382</c:v>
                </c:pt>
                <c:pt idx="162" c:formatCode="0.00_);[Red]\(0.00\)">
                  <c:v>5.415</c:v>
                </c:pt>
                <c:pt idx="163" c:formatCode="0.00_);[Red]\(0.00\)">
                  <c:v>5.448</c:v>
                </c:pt>
                <c:pt idx="164" c:formatCode="0.00_);[Red]\(0.00\)">
                  <c:v>5.482</c:v>
                </c:pt>
                <c:pt idx="165" c:formatCode="0.00_);[Red]\(0.00\)">
                  <c:v>5.515</c:v>
                </c:pt>
                <c:pt idx="166" c:formatCode="0.00_);[Red]\(0.00\)">
                  <c:v>5.549</c:v>
                </c:pt>
                <c:pt idx="167" c:formatCode="0.00_);[Red]\(0.00\)">
                  <c:v>5.582</c:v>
                </c:pt>
                <c:pt idx="168" c:formatCode="0.00_);[Red]\(0.00\)">
                  <c:v>5.616</c:v>
                </c:pt>
                <c:pt idx="169" c:formatCode="0.00_);[Red]\(0.00\)">
                  <c:v>5.649</c:v>
                </c:pt>
                <c:pt idx="170" c:formatCode="0.00_);[Red]\(0.00\)">
                  <c:v>5.682</c:v>
                </c:pt>
                <c:pt idx="171" c:formatCode="0.00_);[Red]\(0.00\)">
                  <c:v>5.716</c:v>
                </c:pt>
                <c:pt idx="172" c:formatCode="0.00_);[Red]\(0.00\)">
                  <c:v>5.749</c:v>
                </c:pt>
                <c:pt idx="173" c:formatCode="0.00_);[Red]\(0.00\)">
                  <c:v>5.783</c:v>
                </c:pt>
                <c:pt idx="174" c:formatCode="0.00_);[Red]\(0.00\)">
                  <c:v>5.816</c:v>
                </c:pt>
                <c:pt idx="175" c:formatCode="0.00_);[Red]\(0.00\)">
                  <c:v>5.85</c:v>
                </c:pt>
                <c:pt idx="176" c:formatCode="0.00_);[Red]\(0.00\)">
                  <c:v>5.883</c:v>
                </c:pt>
                <c:pt idx="177" c:formatCode="0.00_);[Red]\(0.00\)">
                  <c:v>5.916</c:v>
                </c:pt>
                <c:pt idx="178" c:formatCode="0.00_);[Red]\(0.00\)">
                  <c:v>5.95</c:v>
                </c:pt>
                <c:pt idx="179" c:formatCode="0.00_);[Red]\(0.00\)">
                  <c:v>5.983</c:v>
                </c:pt>
                <c:pt idx="180" c:formatCode="0.00_);[Red]\(0.00\)">
                  <c:v>6.017</c:v>
                </c:pt>
                <c:pt idx="181" c:formatCode="0.00_);[Red]\(0.00\)">
                  <c:v>6.05</c:v>
                </c:pt>
                <c:pt idx="182" c:formatCode="0.00_);[Red]\(0.00\)">
                  <c:v>6.084</c:v>
                </c:pt>
                <c:pt idx="183" c:formatCode="0.00_);[Red]\(0.00\)">
                  <c:v>6.117</c:v>
                </c:pt>
                <c:pt idx="184" c:formatCode="0.00_);[Red]\(0.00\)">
                  <c:v>6.15</c:v>
                </c:pt>
                <c:pt idx="185" c:formatCode="0.00_);[Red]\(0.00\)">
                  <c:v>6.184</c:v>
                </c:pt>
                <c:pt idx="186" c:formatCode="0.00_);[Red]\(0.00\)">
                  <c:v>6.217</c:v>
                </c:pt>
                <c:pt idx="187" c:formatCode="0.00_);[Red]\(0.00\)">
                  <c:v>6.251</c:v>
                </c:pt>
                <c:pt idx="188" c:formatCode="0.00_);[Red]\(0.00\)">
                  <c:v>6.284</c:v>
                </c:pt>
                <c:pt idx="189" c:formatCode="0.00_);[Red]\(0.00\)">
                  <c:v>6.318</c:v>
                </c:pt>
                <c:pt idx="190" c:formatCode="0.00_);[Red]\(0.00\)">
                  <c:v>6.351</c:v>
                </c:pt>
                <c:pt idx="191" c:formatCode="0.00_);[Red]\(0.00\)">
                  <c:v>6.384</c:v>
                </c:pt>
                <c:pt idx="192" c:formatCode="0.00_);[Red]\(0.00\)">
                  <c:v>6.418</c:v>
                </c:pt>
                <c:pt idx="193" c:formatCode="0.00_);[Red]\(0.00\)">
                  <c:v>6.451</c:v>
                </c:pt>
                <c:pt idx="194" c:formatCode="0.00_);[Red]\(0.00\)">
                  <c:v>6.485</c:v>
                </c:pt>
                <c:pt idx="195" c:formatCode="0.00_);[Red]\(0.00\)">
                  <c:v>6.518</c:v>
                </c:pt>
                <c:pt idx="196" c:formatCode="0.00_);[Red]\(0.00\)">
                  <c:v>6.552</c:v>
                </c:pt>
                <c:pt idx="197" c:formatCode="0.00_);[Red]\(0.00\)">
                  <c:v>6.585</c:v>
                </c:pt>
                <c:pt idx="198" c:formatCode="0.00_);[Red]\(0.00\)">
                  <c:v>6.618</c:v>
                </c:pt>
                <c:pt idx="199" c:formatCode="0.00_);[Red]\(0.00\)">
                  <c:v>6.652</c:v>
                </c:pt>
                <c:pt idx="200" c:formatCode="0.00_);[Red]\(0.00\)">
                  <c:v>6.685</c:v>
                </c:pt>
                <c:pt idx="201" c:formatCode="0.00_);[Red]\(0.00\)">
                  <c:v>6.719</c:v>
                </c:pt>
                <c:pt idx="202" c:formatCode="0.00_);[Red]\(0.00\)">
                  <c:v>6.752</c:v>
                </c:pt>
                <c:pt idx="203" c:formatCode="0.00_);[Red]\(0.00\)">
                  <c:v>6.786</c:v>
                </c:pt>
                <c:pt idx="204" c:formatCode="0.00_);[Red]\(0.00\)">
                  <c:v>6.819</c:v>
                </c:pt>
                <c:pt idx="205" c:formatCode="0.00_);[Red]\(0.00\)">
                  <c:v>6.852</c:v>
                </c:pt>
                <c:pt idx="206" c:formatCode="0.00_);[Red]\(0.00\)">
                  <c:v>6.886</c:v>
                </c:pt>
                <c:pt idx="207" c:formatCode="0.00_);[Red]\(0.00\)">
                  <c:v>6.919</c:v>
                </c:pt>
                <c:pt idx="208" c:formatCode="0.00_);[Red]\(0.00\)">
                  <c:v>6.953</c:v>
                </c:pt>
                <c:pt idx="209" c:formatCode="0.00_);[Red]\(0.00\)">
                  <c:v>6.986</c:v>
                </c:pt>
                <c:pt idx="210" c:formatCode="0.00_);[Red]\(0.00\)">
                  <c:v>7.02</c:v>
                </c:pt>
                <c:pt idx="211" c:formatCode="0.00_);[Red]\(0.00\)">
                  <c:v>7.053</c:v>
                </c:pt>
                <c:pt idx="212" c:formatCode="0.00_);[Red]\(0.00\)">
                  <c:v>7.086</c:v>
                </c:pt>
                <c:pt idx="213" c:formatCode="0.00_);[Red]\(0.00\)">
                  <c:v>7.12</c:v>
                </c:pt>
                <c:pt idx="214" c:formatCode="0.00_);[Red]\(0.00\)">
                  <c:v>7.153</c:v>
                </c:pt>
                <c:pt idx="215" c:formatCode="0.00_);[Red]\(0.00\)">
                  <c:v>7.187</c:v>
                </c:pt>
                <c:pt idx="216" c:formatCode="0.00_);[Red]\(0.00\)">
                  <c:v>7.22</c:v>
                </c:pt>
                <c:pt idx="217" c:formatCode="0.00_);[Red]\(0.00\)">
                  <c:v>7.253</c:v>
                </c:pt>
                <c:pt idx="218" c:formatCode="0.00_);[Red]\(0.00\)">
                  <c:v>7.287</c:v>
                </c:pt>
                <c:pt idx="219" c:formatCode="0.00_);[Red]\(0.00\)">
                  <c:v>7.32</c:v>
                </c:pt>
                <c:pt idx="220" c:formatCode="0.00_);[Red]\(0.00\)">
                  <c:v>7.354</c:v>
                </c:pt>
                <c:pt idx="221" c:formatCode="0.00_);[Red]\(0.00\)">
                  <c:v>7.387</c:v>
                </c:pt>
                <c:pt idx="222" c:formatCode="0.00_);[Red]\(0.00\)">
                  <c:v>7.421</c:v>
                </c:pt>
                <c:pt idx="223" c:formatCode="0.00_);[Red]\(0.00\)">
                  <c:v>7.454</c:v>
                </c:pt>
                <c:pt idx="224" c:formatCode="0.00_);[Red]\(0.00\)">
                  <c:v>7.487</c:v>
                </c:pt>
                <c:pt idx="225" c:formatCode="0.00_);[Red]\(0.00\)">
                  <c:v>7.521</c:v>
                </c:pt>
                <c:pt idx="226" c:formatCode="0.00_);[Red]\(0.00\)">
                  <c:v>7.554</c:v>
                </c:pt>
                <c:pt idx="227" c:formatCode="0.00_);[Red]\(0.00\)">
                  <c:v>7.588</c:v>
                </c:pt>
                <c:pt idx="228" c:formatCode="0.00_);[Red]\(0.00\)">
                  <c:v>7.621</c:v>
                </c:pt>
                <c:pt idx="229" c:formatCode="0.00_);[Red]\(0.00\)">
                  <c:v>7.655</c:v>
                </c:pt>
                <c:pt idx="230" c:formatCode="0.00_);[Red]\(0.00\)">
                  <c:v>7.688</c:v>
                </c:pt>
                <c:pt idx="231" c:formatCode="0.00_);[Red]\(0.00\)">
                  <c:v>7.721</c:v>
                </c:pt>
                <c:pt idx="232" c:formatCode="0.00_);[Red]\(0.00\)">
                  <c:v>7.755</c:v>
                </c:pt>
                <c:pt idx="233" c:formatCode="0.00_);[Red]\(0.00\)">
                  <c:v>7.788</c:v>
                </c:pt>
                <c:pt idx="234" c:formatCode="0.00_);[Red]\(0.00\)">
                  <c:v>7.822</c:v>
                </c:pt>
                <c:pt idx="235" c:formatCode="0.00_);[Red]\(0.00\)">
                  <c:v>7.855</c:v>
                </c:pt>
                <c:pt idx="236" c:formatCode="0.00_);[Red]\(0.00\)">
                  <c:v>7.889</c:v>
                </c:pt>
                <c:pt idx="237" c:formatCode="0.00_);[Red]\(0.00\)">
                  <c:v>7.922</c:v>
                </c:pt>
                <c:pt idx="238" c:formatCode="0.00_);[Red]\(0.00\)">
                  <c:v>7.955</c:v>
                </c:pt>
                <c:pt idx="239" c:formatCode="0.00_);[Red]\(0.00\)">
                  <c:v>7.989</c:v>
                </c:pt>
                <c:pt idx="240" c:formatCode="0.00_);[Red]\(0.00\)">
                  <c:v>8.022</c:v>
                </c:pt>
                <c:pt idx="241" c:formatCode="0.00_);[Red]\(0.00\)">
                  <c:v>8.056</c:v>
                </c:pt>
                <c:pt idx="242" c:formatCode="0.00_);[Red]\(0.00\)">
                  <c:v>8.089</c:v>
                </c:pt>
                <c:pt idx="243" c:formatCode="0.00_);[Red]\(0.00\)">
                  <c:v>8.123</c:v>
                </c:pt>
                <c:pt idx="244" c:formatCode="0.00_);[Red]\(0.00\)">
                  <c:v>8.156</c:v>
                </c:pt>
                <c:pt idx="245" c:formatCode="0.00_);[Red]\(0.00\)">
                  <c:v>8.189</c:v>
                </c:pt>
                <c:pt idx="246" c:formatCode="0.00_);[Red]\(0.00\)">
                  <c:v>8.223</c:v>
                </c:pt>
                <c:pt idx="247" c:formatCode="0.00_);[Red]\(0.00\)">
                  <c:v>8.256</c:v>
                </c:pt>
                <c:pt idx="248" c:formatCode="0.00_);[Red]\(0.00\)">
                  <c:v>8.29</c:v>
                </c:pt>
                <c:pt idx="249" c:formatCode="0.00_);[Red]\(0.00\)">
                  <c:v>8.323</c:v>
                </c:pt>
                <c:pt idx="250" c:formatCode="0.00_);[Red]\(0.00\)">
                  <c:v>8.357</c:v>
                </c:pt>
                <c:pt idx="251" c:formatCode="0.00_);[Red]\(0.00\)">
                  <c:v>8.39</c:v>
                </c:pt>
                <c:pt idx="252" c:formatCode="0.00_);[Red]\(0.00\)">
                  <c:v>8.423</c:v>
                </c:pt>
                <c:pt idx="253" c:formatCode="0.00_);[Red]\(0.00\)">
                  <c:v>8.457</c:v>
                </c:pt>
                <c:pt idx="254" c:formatCode="0.00_);[Red]\(0.00\)">
                  <c:v>8.49</c:v>
                </c:pt>
                <c:pt idx="255" c:formatCode="0.00_);[Red]\(0.00\)">
                  <c:v>8.524</c:v>
                </c:pt>
                <c:pt idx="256" c:formatCode="0.00_);[Red]\(0.00\)">
                  <c:v>8.557</c:v>
                </c:pt>
                <c:pt idx="257" c:formatCode="0.00_);[Red]\(0.00\)">
                  <c:v>8.591</c:v>
                </c:pt>
                <c:pt idx="258" c:formatCode="0.00_);[Red]\(0.00\)">
                  <c:v>8.624</c:v>
                </c:pt>
                <c:pt idx="259" c:formatCode="0.00_);[Red]\(0.00\)">
                  <c:v>8.657</c:v>
                </c:pt>
                <c:pt idx="260" c:formatCode="0.00_);[Red]\(0.00\)">
                  <c:v>8.691</c:v>
                </c:pt>
                <c:pt idx="261" c:formatCode="0.00_);[Red]\(0.00\)">
                  <c:v>8.724</c:v>
                </c:pt>
                <c:pt idx="262" c:formatCode="0.00_);[Red]\(0.00\)">
                  <c:v>8.758</c:v>
                </c:pt>
                <c:pt idx="263" c:formatCode="0.00_);[Red]\(0.00\)">
                  <c:v>8.791</c:v>
                </c:pt>
                <c:pt idx="264" c:formatCode="0.00_);[Red]\(0.00\)">
                  <c:v>8.825</c:v>
                </c:pt>
                <c:pt idx="265" c:formatCode="0.00_);[Red]\(0.00\)">
                  <c:v>8.858</c:v>
                </c:pt>
                <c:pt idx="266" c:formatCode="0.00_);[Red]\(0.00\)">
                  <c:v>8.891</c:v>
                </c:pt>
                <c:pt idx="267" c:formatCode="0.00_);[Red]\(0.00\)">
                  <c:v>8.925</c:v>
                </c:pt>
                <c:pt idx="268" c:formatCode="0.00_);[Red]\(0.00\)">
                  <c:v>8.958</c:v>
                </c:pt>
                <c:pt idx="269" c:formatCode="0.00_);[Red]\(0.00\)">
                  <c:v>8.992</c:v>
                </c:pt>
                <c:pt idx="270" c:formatCode="0.00_);[Red]\(0.00\)">
                  <c:v>9.025</c:v>
                </c:pt>
                <c:pt idx="271" c:formatCode="0.00_);[Red]\(0.00\)">
                  <c:v>9.059</c:v>
                </c:pt>
                <c:pt idx="272" c:formatCode="0.00_);[Red]\(0.00\)">
                  <c:v>9.092</c:v>
                </c:pt>
                <c:pt idx="273" c:formatCode="0.00_);[Red]\(0.00\)">
                  <c:v>9.125</c:v>
                </c:pt>
                <c:pt idx="274" c:formatCode="0.00_);[Red]\(0.00\)">
                  <c:v>9.159</c:v>
                </c:pt>
                <c:pt idx="275" c:formatCode="0.00_);[Red]\(0.00\)">
                  <c:v>9.192</c:v>
                </c:pt>
                <c:pt idx="276" c:formatCode="0.00_);[Red]\(0.00\)">
                  <c:v>9.226</c:v>
                </c:pt>
                <c:pt idx="277" c:formatCode="0.00_);[Red]\(0.00\)">
                  <c:v>9.259</c:v>
                </c:pt>
                <c:pt idx="278" c:formatCode="0.00_);[Red]\(0.00\)">
                  <c:v>9.292</c:v>
                </c:pt>
                <c:pt idx="279" c:formatCode="0.00_);[Red]\(0.00\)">
                  <c:v>9.326</c:v>
                </c:pt>
                <c:pt idx="280" c:formatCode="0.00_);[Red]\(0.00\)">
                  <c:v>9.359</c:v>
                </c:pt>
                <c:pt idx="281" c:formatCode="0.00_);[Red]\(0.00\)">
                  <c:v>9.393</c:v>
                </c:pt>
                <c:pt idx="282" c:formatCode="0.00_);[Red]\(0.00\)">
                  <c:v>9.426</c:v>
                </c:pt>
                <c:pt idx="283" c:formatCode="0.00_);[Red]\(0.00\)">
                  <c:v>9.46</c:v>
                </c:pt>
                <c:pt idx="284" c:formatCode="0.00_);[Red]\(0.00\)">
                  <c:v>9.493</c:v>
                </c:pt>
                <c:pt idx="285" c:formatCode="0.00_);[Red]\(0.00\)">
                  <c:v>9.526</c:v>
                </c:pt>
                <c:pt idx="286" c:formatCode="0.00_);[Red]\(0.00\)">
                  <c:v>9.56</c:v>
                </c:pt>
                <c:pt idx="287" c:formatCode="0.00_);[Red]\(0.00\)">
                  <c:v>9.593</c:v>
                </c:pt>
                <c:pt idx="288" c:formatCode="0.00_);[Red]\(0.00\)">
                  <c:v>9.627</c:v>
                </c:pt>
                <c:pt idx="289" c:formatCode="0.00_);[Red]\(0.00\)">
                  <c:v>9.66</c:v>
                </c:pt>
                <c:pt idx="290" c:formatCode="0.00_);[Red]\(0.00\)">
                  <c:v>9.694</c:v>
                </c:pt>
                <c:pt idx="291" c:formatCode="0.00_);[Red]\(0.00\)">
                  <c:v>9.727</c:v>
                </c:pt>
                <c:pt idx="292" c:formatCode="0.00_);[Red]\(0.00\)">
                  <c:v>9.76</c:v>
                </c:pt>
                <c:pt idx="293" c:formatCode="0.00_);[Red]\(0.00\)">
                  <c:v>9.794</c:v>
                </c:pt>
                <c:pt idx="294" c:formatCode="0.00_);[Red]\(0.00\)">
                  <c:v>9.827</c:v>
                </c:pt>
                <c:pt idx="295" c:formatCode="0.00_);[Red]\(0.00\)">
                  <c:v>9.861</c:v>
                </c:pt>
                <c:pt idx="296" c:formatCode="0.00_);[Red]\(0.00\)">
                  <c:v>9.894</c:v>
                </c:pt>
                <c:pt idx="297" c:formatCode="0.00_);[Red]\(0.00\)">
                  <c:v>9.928</c:v>
                </c:pt>
                <c:pt idx="298" c:formatCode="0.00_);[Red]\(0.00\)">
                  <c:v>9.961</c:v>
                </c:pt>
                <c:pt idx="299" c:formatCode="0.00_);[Red]\(0.00\)">
                  <c:v>9.994</c:v>
                </c:pt>
                <c:pt idx="300" c:formatCode="0.00_);[Red]\(0.00\)">
                  <c:v>10.028</c:v>
                </c:pt>
                <c:pt idx="301" c:formatCode="0.00_);[Red]\(0.00\)">
                  <c:v>10.061</c:v>
                </c:pt>
                <c:pt idx="302" c:formatCode="0.00_);[Red]\(0.00\)">
                  <c:v>10.095</c:v>
                </c:pt>
                <c:pt idx="303" c:formatCode="0.00_);[Red]\(0.00\)">
                  <c:v>10.128</c:v>
                </c:pt>
                <c:pt idx="304" c:formatCode="0.00_);[Red]\(0.00\)">
                  <c:v>10.162</c:v>
                </c:pt>
                <c:pt idx="305" c:formatCode="0.00_);[Red]\(0.00\)">
                  <c:v>10.195</c:v>
                </c:pt>
                <c:pt idx="306" c:formatCode="0.00_);[Red]\(0.00\)">
                  <c:v>10.228</c:v>
                </c:pt>
                <c:pt idx="307" c:formatCode="0.00_);[Red]\(0.00\)">
                  <c:v>10.262</c:v>
                </c:pt>
                <c:pt idx="308" c:formatCode="0.00_);[Red]\(0.00\)">
                  <c:v>10.295</c:v>
                </c:pt>
                <c:pt idx="309" c:formatCode="0.00_);[Red]\(0.00\)">
                  <c:v>10.329</c:v>
                </c:pt>
                <c:pt idx="310" c:formatCode="0.00_);[Red]\(0.00\)">
                  <c:v>10.362</c:v>
                </c:pt>
                <c:pt idx="311" c:formatCode="0.00_);[Red]\(0.00\)">
                  <c:v>10.396</c:v>
                </c:pt>
                <c:pt idx="312" c:formatCode="0.00_);[Red]\(0.00\)">
                  <c:v>10.429</c:v>
                </c:pt>
                <c:pt idx="313" c:formatCode="0.00_);[Red]\(0.00\)">
                  <c:v>10.462</c:v>
                </c:pt>
                <c:pt idx="314" c:formatCode="0.00_);[Red]\(0.00\)">
                  <c:v>10.496</c:v>
                </c:pt>
                <c:pt idx="315" c:formatCode="0.00_);[Red]\(0.00\)">
                  <c:v>10.529</c:v>
                </c:pt>
                <c:pt idx="316" c:formatCode="0.00_);[Red]\(0.00\)">
                  <c:v>10.563</c:v>
                </c:pt>
                <c:pt idx="317" c:formatCode="0.00_);[Red]\(0.00\)">
                  <c:v>10.596</c:v>
                </c:pt>
                <c:pt idx="318" c:formatCode="0.00_);[Red]\(0.00\)">
                  <c:v>10.63</c:v>
                </c:pt>
                <c:pt idx="319" c:formatCode="0.00_);[Red]\(0.00\)">
                  <c:v>10.663</c:v>
                </c:pt>
                <c:pt idx="320" c:formatCode="0.00_);[Red]\(0.00\)">
                  <c:v>10.696</c:v>
                </c:pt>
                <c:pt idx="321" c:formatCode="0.00_);[Red]\(0.00\)">
                  <c:v>10.73</c:v>
                </c:pt>
                <c:pt idx="322" c:formatCode="0.00_);[Red]\(0.00\)">
                  <c:v>10.763</c:v>
                </c:pt>
                <c:pt idx="323" c:formatCode="0.00_);[Red]\(0.00\)">
                  <c:v>10.797</c:v>
                </c:pt>
                <c:pt idx="324" c:formatCode="0.00_);[Red]\(0.00\)">
                  <c:v>10.83</c:v>
                </c:pt>
                <c:pt idx="325" c:formatCode="0.00_);[Red]\(0.00\)">
                  <c:v>10.864</c:v>
                </c:pt>
                <c:pt idx="326" c:formatCode="0.00_);[Red]\(0.00\)">
                  <c:v>10.897</c:v>
                </c:pt>
                <c:pt idx="327" c:formatCode="0.00_);[Red]\(0.00\)">
                  <c:v>10.93</c:v>
                </c:pt>
                <c:pt idx="328" c:formatCode="0.00_);[Red]\(0.00\)">
                  <c:v>10.964</c:v>
                </c:pt>
                <c:pt idx="329" c:formatCode="0.00_);[Red]\(0.00\)">
                  <c:v>10.997</c:v>
                </c:pt>
                <c:pt idx="330" c:formatCode="0.00_);[Red]\(0.00\)">
                  <c:v>11.031</c:v>
                </c:pt>
                <c:pt idx="331" c:formatCode="0.00_);[Red]\(0.00\)">
                  <c:v>11.064</c:v>
                </c:pt>
                <c:pt idx="332" c:formatCode="0.00_);[Red]\(0.00\)">
                  <c:v>11.098</c:v>
                </c:pt>
                <c:pt idx="333" c:formatCode="0.00_);[Red]\(0.00\)">
                  <c:v>11.131</c:v>
                </c:pt>
                <c:pt idx="334" c:formatCode="0.00_);[Red]\(0.00\)">
                  <c:v>11.164</c:v>
                </c:pt>
                <c:pt idx="335" c:formatCode="0.00_);[Red]\(0.00\)">
                  <c:v>11.198</c:v>
                </c:pt>
                <c:pt idx="336" c:formatCode="0.00_);[Red]\(0.00\)">
                  <c:v>11.231</c:v>
                </c:pt>
                <c:pt idx="337" c:formatCode="0.00_);[Red]\(0.00\)">
                  <c:v>11.265</c:v>
                </c:pt>
                <c:pt idx="338" c:formatCode="0.00_);[Red]\(0.00\)">
                  <c:v>11.298</c:v>
                </c:pt>
                <c:pt idx="339" c:formatCode="0.00_);[Red]\(0.00\)">
                  <c:v>11.331</c:v>
                </c:pt>
                <c:pt idx="340" c:formatCode="0.00_);[Red]\(0.00\)">
                  <c:v>11.365</c:v>
                </c:pt>
                <c:pt idx="341" c:formatCode="0.00_);[Red]\(0.00\)">
                  <c:v>11.398</c:v>
                </c:pt>
                <c:pt idx="342" c:formatCode="0.00_);[Red]\(0.00\)">
                  <c:v>11.432</c:v>
                </c:pt>
                <c:pt idx="343" c:formatCode="0.00_);[Red]\(0.00\)">
                  <c:v>11.465</c:v>
                </c:pt>
                <c:pt idx="344" c:formatCode="0.00_);[Red]\(0.00\)">
                  <c:v>11.499</c:v>
                </c:pt>
                <c:pt idx="345" c:formatCode="0.00_);[Red]\(0.00\)">
                  <c:v>11.532</c:v>
                </c:pt>
                <c:pt idx="346" c:formatCode="0.00_);[Red]\(0.00\)">
                  <c:v>11.565</c:v>
                </c:pt>
                <c:pt idx="347" c:formatCode="0.00_);[Red]\(0.00\)">
                  <c:v>11.599</c:v>
                </c:pt>
                <c:pt idx="348" c:formatCode="0.00_);[Red]\(0.00\)">
                  <c:v>11.632</c:v>
                </c:pt>
                <c:pt idx="349" c:formatCode="0.00_);[Red]\(0.00\)">
                  <c:v>11.666</c:v>
                </c:pt>
                <c:pt idx="350" c:formatCode="0.00_);[Red]\(0.00\)">
                  <c:v>11.699</c:v>
                </c:pt>
                <c:pt idx="351" c:formatCode="0.00_);[Red]\(0.00\)">
                  <c:v>11.733</c:v>
                </c:pt>
                <c:pt idx="352" c:formatCode="0.00_);[Red]\(0.00\)">
                  <c:v>11.766</c:v>
                </c:pt>
                <c:pt idx="353" c:formatCode="0.00_);[Red]\(0.00\)">
                  <c:v>11.799</c:v>
                </c:pt>
                <c:pt idx="354" c:formatCode="0.00_);[Red]\(0.00\)">
                  <c:v>11.833</c:v>
                </c:pt>
                <c:pt idx="355" c:formatCode="0.00_);[Red]\(0.00\)">
                  <c:v>11.866</c:v>
                </c:pt>
                <c:pt idx="356" c:formatCode="0.00_);[Red]\(0.00\)">
                  <c:v>11.9</c:v>
                </c:pt>
                <c:pt idx="357" c:formatCode="0.00_);[Red]\(0.00\)">
                  <c:v>11.933</c:v>
                </c:pt>
                <c:pt idx="358" c:formatCode="0.00_);[Red]\(0.00\)">
                  <c:v>11.967</c:v>
                </c:pt>
                <c:pt idx="359" c:formatCode="0.00_);[Red]\(0.00\)">
                  <c:v>12</c:v>
                </c:pt>
                <c:pt idx="360" c:formatCode="0.00_);[Red]\(0.00\)">
                  <c:v>12.033</c:v>
                </c:pt>
                <c:pt idx="361" c:formatCode="0.00_);[Red]\(0.00\)">
                  <c:v>12.067</c:v>
                </c:pt>
                <c:pt idx="362" c:formatCode="0.00_);[Red]\(0.00\)">
                  <c:v>12.1</c:v>
                </c:pt>
                <c:pt idx="363" c:formatCode="0.00_);[Red]\(0.00\)">
                  <c:v>12.134</c:v>
                </c:pt>
                <c:pt idx="364" c:formatCode="0.00_);[Red]\(0.00\)">
                  <c:v>12.167</c:v>
                </c:pt>
                <c:pt idx="365" c:formatCode="0.00_);[Red]\(0.00\)">
                  <c:v>12.201</c:v>
                </c:pt>
                <c:pt idx="366" c:formatCode="0.00_);[Red]\(0.00\)">
                  <c:v>12.234</c:v>
                </c:pt>
                <c:pt idx="367" c:formatCode="0.00_);[Red]\(0.00\)">
                  <c:v>12.267</c:v>
                </c:pt>
                <c:pt idx="368" c:formatCode="0.00_);[Red]\(0.00\)">
                  <c:v>12.301</c:v>
                </c:pt>
                <c:pt idx="369" c:formatCode="0.00_);[Red]\(0.00\)">
                  <c:v>12.334</c:v>
                </c:pt>
                <c:pt idx="370" c:formatCode="0.00_);[Red]\(0.00\)">
                  <c:v>12.368</c:v>
                </c:pt>
                <c:pt idx="371" c:formatCode="0.00_);[Red]\(0.00\)">
                  <c:v>12.401</c:v>
                </c:pt>
                <c:pt idx="372" c:formatCode="0.00_);[Red]\(0.00\)">
                  <c:v>12.435</c:v>
                </c:pt>
                <c:pt idx="373" c:formatCode="0.00_);[Red]\(0.00\)">
                  <c:v>12.468</c:v>
                </c:pt>
                <c:pt idx="374" c:formatCode="0.00_);[Red]\(0.00\)">
                  <c:v>12.501</c:v>
                </c:pt>
                <c:pt idx="375" c:formatCode="0.00_);[Red]\(0.00\)">
                  <c:v>12.535</c:v>
                </c:pt>
                <c:pt idx="376" c:formatCode="0.00_);[Red]\(0.00\)">
                  <c:v>12.568</c:v>
                </c:pt>
                <c:pt idx="377" c:formatCode="0.00_);[Red]\(0.00\)">
                  <c:v>12.602</c:v>
                </c:pt>
                <c:pt idx="378" c:formatCode="0.00_);[Red]\(0.00\)">
                  <c:v>12.635</c:v>
                </c:pt>
                <c:pt idx="379" c:formatCode="0.00_);[Red]\(0.00\)">
                  <c:v>12.669</c:v>
                </c:pt>
                <c:pt idx="380" c:formatCode="0.00_);[Red]\(0.00\)">
                  <c:v>12.702</c:v>
                </c:pt>
                <c:pt idx="381" c:formatCode="0.00_);[Red]\(0.00\)">
                  <c:v>12.735</c:v>
                </c:pt>
                <c:pt idx="382" c:formatCode="0.00_);[Red]\(0.00\)">
                  <c:v>12.769</c:v>
                </c:pt>
                <c:pt idx="383" c:formatCode="0.00_);[Red]\(0.00\)">
                  <c:v>12.802</c:v>
                </c:pt>
                <c:pt idx="384" c:formatCode="0.00_);[Red]\(0.00\)">
                  <c:v>12.836</c:v>
                </c:pt>
                <c:pt idx="385" c:formatCode="0.00_);[Red]\(0.00\)">
                  <c:v>12.869</c:v>
                </c:pt>
                <c:pt idx="386" c:formatCode="0.00_);[Red]\(0.00\)">
                  <c:v>12.903</c:v>
                </c:pt>
                <c:pt idx="387" c:formatCode="0.00_);[Red]\(0.00\)">
                  <c:v>12.936</c:v>
                </c:pt>
                <c:pt idx="388" c:formatCode="0.00_);[Red]\(0.00\)">
                  <c:v>12.969</c:v>
                </c:pt>
                <c:pt idx="389" c:formatCode="0.00_);[Red]\(0.00\)">
                  <c:v>13.003</c:v>
                </c:pt>
                <c:pt idx="390" c:formatCode="0.00_);[Red]\(0.00\)">
                  <c:v>13.036</c:v>
                </c:pt>
                <c:pt idx="391" c:formatCode="0.00_);[Red]\(0.00\)">
                  <c:v>13.07</c:v>
                </c:pt>
                <c:pt idx="392" c:formatCode="0.00_);[Red]\(0.00\)">
                  <c:v>13.103</c:v>
                </c:pt>
                <c:pt idx="393" c:formatCode="0.00_);[Red]\(0.00\)">
                  <c:v>13.137</c:v>
                </c:pt>
                <c:pt idx="394" c:formatCode="0.00_);[Red]\(0.00\)">
                  <c:v>13.17</c:v>
                </c:pt>
                <c:pt idx="395" c:formatCode="0.00_);[Red]\(0.00\)">
                  <c:v>13.203</c:v>
                </c:pt>
                <c:pt idx="396" c:formatCode="0.00_);[Red]\(0.00\)">
                  <c:v>13.237</c:v>
                </c:pt>
                <c:pt idx="397" c:formatCode="0.00_);[Red]\(0.00\)">
                  <c:v>13.27</c:v>
                </c:pt>
                <c:pt idx="398" c:formatCode="0.00_);[Red]\(0.00\)">
                  <c:v>13.304</c:v>
                </c:pt>
                <c:pt idx="399" c:formatCode="0.00_);[Red]\(0.00\)">
                  <c:v>13.337</c:v>
                </c:pt>
                <c:pt idx="400" c:formatCode="0.00_);[Red]\(0.00\)">
                  <c:v>13.37</c:v>
                </c:pt>
                <c:pt idx="401" c:formatCode="0.00_);[Red]\(0.00\)">
                  <c:v>13.404</c:v>
                </c:pt>
                <c:pt idx="402" c:formatCode="0.00_);[Red]\(0.00\)">
                  <c:v>13.437</c:v>
                </c:pt>
                <c:pt idx="403" c:formatCode="0.00_);[Red]\(0.00\)">
                  <c:v>13.471</c:v>
                </c:pt>
                <c:pt idx="404" c:formatCode="0.00_);[Red]\(0.00\)">
                  <c:v>13.504</c:v>
                </c:pt>
                <c:pt idx="405" c:formatCode="0.00_);[Red]\(0.00\)">
                  <c:v>13.538</c:v>
                </c:pt>
                <c:pt idx="406" c:formatCode="0.00_);[Red]\(0.00\)">
                  <c:v>13.571</c:v>
                </c:pt>
                <c:pt idx="407" c:formatCode="0.00_);[Red]\(0.00\)">
                  <c:v>13.604</c:v>
                </c:pt>
                <c:pt idx="408" c:formatCode="0.00_);[Red]\(0.00\)">
                  <c:v>13.638</c:v>
                </c:pt>
                <c:pt idx="409" c:formatCode="0.00_);[Red]\(0.00\)">
                  <c:v>13.671</c:v>
                </c:pt>
                <c:pt idx="410" c:formatCode="0.00_);[Red]\(0.00\)">
                  <c:v>13.705</c:v>
                </c:pt>
                <c:pt idx="411" c:formatCode="0.00_);[Red]\(0.00\)">
                  <c:v>13.738</c:v>
                </c:pt>
                <c:pt idx="412" c:formatCode="0.00_);[Red]\(0.00\)">
                  <c:v>13.772</c:v>
                </c:pt>
                <c:pt idx="413" c:formatCode="0.00_);[Red]\(0.00\)">
                  <c:v>13.805</c:v>
                </c:pt>
                <c:pt idx="414" c:formatCode="0.00_);[Red]\(0.00\)">
                  <c:v>13.838</c:v>
                </c:pt>
                <c:pt idx="415" c:formatCode="0.00_);[Red]\(0.00\)">
                  <c:v>13.872</c:v>
                </c:pt>
                <c:pt idx="416" c:formatCode="0.00_);[Red]\(0.00\)">
                  <c:v>13.905</c:v>
                </c:pt>
                <c:pt idx="417" c:formatCode="0.00_);[Red]\(0.00\)">
                  <c:v>13.939</c:v>
                </c:pt>
                <c:pt idx="418" c:formatCode="0.00_);[Red]\(0.00\)">
                  <c:v>13.972</c:v>
                </c:pt>
                <c:pt idx="419" c:formatCode="0.00_);[Red]\(0.00\)">
                  <c:v>14.006</c:v>
                </c:pt>
                <c:pt idx="420" c:formatCode="0.00_);[Red]\(0.00\)">
                  <c:v>14.039</c:v>
                </c:pt>
                <c:pt idx="421" c:formatCode="0.00_);[Red]\(0.00\)">
                  <c:v>14.072</c:v>
                </c:pt>
                <c:pt idx="422" c:formatCode="0.00_);[Red]\(0.00\)">
                  <c:v>14.106</c:v>
                </c:pt>
                <c:pt idx="423" c:formatCode="0.00_);[Red]\(0.00\)">
                  <c:v>14.139</c:v>
                </c:pt>
                <c:pt idx="424" c:formatCode="0.00_);[Red]\(0.00\)">
                  <c:v>14.173</c:v>
                </c:pt>
                <c:pt idx="425" c:formatCode="0.00_);[Red]\(0.00\)">
                  <c:v>14.206</c:v>
                </c:pt>
                <c:pt idx="426" c:formatCode="0.00_);[Red]\(0.00\)">
                  <c:v>14.24</c:v>
                </c:pt>
                <c:pt idx="427" c:formatCode="0.00_);[Red]\(0.00\)">
                  <c:v>14.273</c:v>
                </c:pt>
                <c:pt idx="428" c:formatCode="0.00_);[Red]\(0.00\)">
                  <c:v>14.306</c:v>
                </c:pt>
                <c:pt idx="429" c:formatCode="0.00_);[Red]\(0.00\)">
                  <c:v>14.34</c:v>
                </c:pt>
                <c:pt idx="430" c:formatCode="0.00_);[Red]\(0.00\)">
                  <c:v>14.373</c:v>
                </c:pt>
                <c:pt idx="431" c:formatCode="0.00_);[Red]\(0.00\)">
                  <c:v>14.407</c:v>
                </c:pt>
                <c:pt idx="432" c:formatCode="0.00_);[Red]\(0.00\)">
                  <c:v>14.44</c:v>
                </c:pt>
                <c:pt idx="433" c:formatCode="0.00_);[Red]\(0.00\)">
                  <c:v>14.474</c:v>
                </c:pt>
                <c:pt idx="434" c:formatCode="0.00_);[Red]\(0.00\)">
                  <c:v>14.507</c:v>
                </c:pt>
                <c:pt idx="435" c:formatCode="0.00_);[Red]\(0.00\)">
                  <c:v>14.54</c:v>
                </c:pt>
                <c:pt idx="436" c:formatCode="0.00_);[Red]\(0.00\)">
                  <c:v>14.574</c:v>
                </c:pt>
                <c:pt idx="437" c:formatCode="0.00_);[Red]\(0.00\)">
                  <c:v>14.607</c:v>
                </c:pt>
                <c:pt idx="438" c:formatCode="0.00_);[Red]\(0.00\)">
                  <c:v>14.641</c:v>
                </c:pt>
                <c:pt idx="439" c:formatCode="0.00_);[Red]\(0.00\)">
                  <c:v>14.674</c:v>
                </c:pt>
                <c:pt idx="440" c:formatCode="0.00_);[Red]\(0.00\)">
                  <c:v>14.708</c:v>
                </c:pt>
                <c:pt idx="441" c:formatCode="0.00_);[Red]\(0.00\)">
                  <c:v>14.741</c:v>
                </c:pt>
                <c:pt idx="442" c:formatCode="0.00_);[Red]\(0.00\)">
                  <c:v>14.774</c:v>
                </c:pt>
                <c:pt idx="443" c:formatCode="0.00_);[Red]\(0.00\)">
                  <c:v>14.808</c:v>
                </c:pt>
                <c:pt idx="444" c:formatCode="0.00_);[Red]\(0.00\)">
                  <c:v>14.841</c:v>
                </c:pt>
                <c:pt idx="445" c:formatCode="0.00_);[Red]\(0.00\)">
                  <c:v>14.875</c:v>
                </c:pt>
                <c:pt idx="446" c:formatCode="0.00_);[Red]\(0.00\)">
                  <c:v>14.908</c:v>
                </c:pt>
                <c:pt idx="447" c:formatCode="0.00_);[Red]\(0.00\)">
                  <c:v>14.942</c:v>
                </c:pt>
                <c:pt idx="448" c:formatCode="0.00_);[Red]\(0.00\)">
                  <c:v>14.975</c:v>
                </c:pt>
                <c:pt idx="449" c:formatCode="0.00_);[Red]\(0.00\)">
                  <c:v>15.008</c:v>
                </c:pt>
                <c:pt idx="450" c:formatCode="0.00_);[Red]\(0.00\)">
                  <c:v>15.042</c:v>
                </c:pt>
                <c:pt idx="451" c:formatCode="0.00_);[Red]\(0.00\)">
                  <c:v>15.075</c:v>
                </c:pt>
                <c:pt idx="452" c:formatCode="0.00_);[Red]\(0.00\)">
                  <c:v>15.109</c:v>
                </c:pt>
                <c:pt idx="453" c:formatCode="0.00_);[Red]\(0.00\)">
                  <c:v>15.142</c:v>
                </c:pt>
                <c:pt idx="454" c:formatCode="0.00_);[Red]\(0.00\)">
                  <c:v>15.176</c:v>
                </c:pt>
                <c:pt idx="455" c:formatCode="0.00_);[Red]\(0.00\)">
                  <c:v>15.209</c:v>
                </c:pt>
                <c:pt idx="456" c:formatCode="0.00_);[Red]\(0.00\)">
                  <c:v>15.242</c:v>
                </c:pt>
                <c:pt idx="457" c:formatCode="0.00_);[Red]\(0.00\)">
                  <c:v>15.276</c:v>
                </c:pt>
                <c:pt idx="458" c:formatCode="0.00_);[Red]\(0.00\)">
                  <c:v>15.309</c:v>
                </c:pt>
                <c:pt idx="459" c:formatCode="0.00_);[Red]\(0.00\)">
                  <c:v>15.343</c:v>
                </c:pt>
                <c:pt idx="460" c:formatCode="0.00_);[Red]\(0.00\)">
                  <c:v>15.376</c:v>
                </c:pt>
                <c:pt idx="461" c:formatCode="0.00_);[Red]\(0.00\)">
                  <c:v>15.409</c:v>
                </c:pt>
                <c:pt idx="462" c:formatCode="0.00_);[Red]\(0.00\)">
                  <c:v>15.443</c:v>
                </c:pt>
                <c:pt idx="463" c:formatCode="0.00_);[Red]\(0.00\)">
                  <c:v>15.476</c:v>
                </c:pt>
                <c:pt idx="464" c:formatCode="0.00_);[Red]\(0.00\)">
                  <c:v>15.51</c:v>
                </c:pt>
                <c:pt idx="465" c:formatCode="0.00_);[Red]\(0.00\)">
                  <c:v>15.543</c:v>
                </c:pt>
                <c:pt idx="466" c:formatCode="0.00_);[Red]\(0.00\)">
                  <c:v>15.577</c:v>
                </c:pt>
                <c:pt idx="467" c:formatCode="0.00_);[Red]\(0.00\)">
                  <c:v>15.61</c:v>
                </c:pt>
                <c:pt idx="468" c:formatCode="0.00_);[Red]\(0.00\)">
                  <c:v>15.643</c:v>
                </c:pt>
                <c:pt idx="469" c:formatCode="0.00_);[Red]\(0.00\)">
                  <c:v>15.677</c:v>
                </c:pt>
                <c:pt idx="470" c:formatCode="0.00_);[Red]\(0.00\)">
                  <c:v>15.71</c:v>
                </c:pt>
                <c:pt idx="471" c:formatCode="0.00_);[Red]\(0.00\)">
                  <c:v>15.744</c:v>
                </c:pt>
                <c:pt idx="472" c:formatCode="0.00_);[Red]\(0.00\)">
                  <c:v>15.777</c:v>
                </c:pt>
                <c:pt idx="473" c:formatCode="0.00_);[Red]\(0.00\)">
                  <c:v>15.811</c:v>
                </c:pt>
                <c:pt idx="474" c:formatCode="0.00_);[Red]\(0.00\)">
                  <c:v>15.844</c:v>
                </c:pt>
                <c:pt idx="475" c:formatCode="0.00_);[Red]\(0.00\)">
                  <c:v>15.877</c:v>
                </c:pt>
                <c:pt idx="476" c:formatCode="0.00_);[Red]\(0.00\)">
                  <c:v>15.911</c:v>
                </c:pt>
                <c:pt idx="477" c:formatCode="0.00_);[Red]\(0.00\)">
                  <c:v>15.944</c:v>
                </c:pt>
                <c:pt idx="478" c:formatCode="0.00_);[Red]\(0.00\)">
                  <c:v>15.978</c:v>
                </c:pt>
                <c:pt idx="479" c:formatCode="0.00_);[Red]\(0.00\)">
                  <c:v>16.011</c:v>
                </c:pt>
                <c:pt idx="480" c:formatCode="0.00_);[Red]\(0.00\)">
                  <c:v>16.045</c:v>
                </c:pt>
                <c:pt idx="481" c:formatCode="0.00_);[Red]\(0.00\)">
                  <c:v>16.078</c:v>
                </c:pt>
                <c:pt idx="482" c:formatCode="0.00_);[Red]\(0.00\)">
                  <c:v>16.111</c:v>
                </c:pt>
                <c:pt idx="483" c:formatCode="0.00_);[Red]\(0.00\)">
                  <c:v>16.145</c:v>
                </c:pt>
                <c:pt idx="484" c:formatCode="0.00_);[Red]\(0.00\)">
                  <c:v>16.178</c:v>
                </c:pt>
                <c:pt idx="485" c:formatCode="0.00_);[Red]\(0.00\)">
                  <c:v>16.212</c:v>
                </c:pt>
                <c:pt idx="486" c:formatCode="0.00_);[Red]\(0.00\)">
                  <c:v>16.245</c:v>
                </c:pt>
                <c:pt idx="487" c:formatCode="0.00_);[Red]\(0.00\)">
                  <c:v>16.279</c:v>
                </c:pt>
                <c:pt idx="488" c:formatCode="0.00_);[Red]\(0.00\)">
                  <c:v>16.312</c:v>
                </c:pt>
                <c:pt idx="489" c:formatCode="0.00_);[Red]\(0.00\)">
                  <c:v>16.345</c:v>
                </c:pt>
                <c:pt idx="490" c:formatCode="0.00_);[Red]\(0.00\)">
                  <c:v>16.379</c:v>
                </c:pt>
                <c:pt idx="491" c:formatCode="0.00_);[Red]\(0.00\)">
                  <c:v>16.412</c:v>
                </c:pt>
                <c:pt idx="492" c:formatCode="0.00_);[Red]\(0.00\)">
                  <c:v>16.446</c:v>
                </c:pt>
                <c:pt idx="493" c:formatCode="0.00_);[Red]\(0.00\)">
                  <c:v>16.479</c:v>
                </c:pt>
                <c:pt idx="494" c:formatCode="0.00_);[Red]\(0.00\)">
                  <c:v>16.513</c:v>
                </c:pt>
                <c:pt idx="495" c:formatCode="0.00_);[Red]\(0.00\)">
                  <c:v>16.546</c:v>
                </c:pt>
                <c:pt idx="496" c:formatCode="0.00_);[Red]\(0.00\)">
                  <c:v>16.579</c:v>
                </c:pt>
                <c:pt idx="497" c:formatCode="0.00_);[Red]\(0.00\)">
                  <c:v>16.613</c:v>
                </c:pt>
                <c:pt idx="498" c:formatCode="0.00_);[Red]\(0.00\)">
                  <c:v>16.646</c:v>
                </c:pt>
                <c:pt idx="499" c:formatCode="0.00_);[Red]\(0.00\)">
                  <c:v>16.68</c:v>
                </c:pt>
                <c:pt idx="500" c:formatCode="0.00_);[Red]\(0.00\)">
                  <c:v>16.713</c:v>
                </c:pt>
                <c:pt idx="501" c:formatCode="0.00_);[Red]\(0.00\)">
                  <c:v>16.747</c:v>
                </c:pt>
                <c:pt idx="502" c:formatCode="0.00_);[Red]\(0.00\)">
                  <c:v>16.78</c:v>
                </c:pt>
                <c:pt idx="503" c:formatCode="0.00_);[Red]\(0.00\)">
                  <c:v>16.813</c:v>
                </c:pt>
                <c:pt idx="504" c:formatCode="0.00_);[Red]\(0.00\)">
                  <c:v>16.847</c:v>
                </c:pt>
                <c:pt idx="505" c:formatCode="0.00_);[Red]\(0.00\)">
                  <c:v>16.88</c:v>
                </c:pt>
                <c:pt idx="506" c:formatCode="0.00_);[Red]\(0.00\)">
                  <c:v>16.914</c:v>
                </c:pt>
                <c:pt idx="507" c:formatCode="0.00_);[Red]\(0.00\)">
                  <c:v>16.947</c:v>
                </c:pt>
                <c:pt idx="508" c:formatCode="0.00_);[Red]\(0.00\)">
                  <c:v>16.981</c:v>
                </c:pt>
                <c:pt idx="509" c:formatCode="0.00_);[Red]\(0.00\)">
                  <c:v>17.014</c:v>
                </c:pt>
                <c:pt idx="510" c:formatCode="0.00_);[Red]\(0.00\)">
                  <c:v>17.047</c:v>
                </c:pt>
                <c:pt idx="511" c:formatCode="0.00_);[Red]\(0.00\)">
                  <c:v>17.081</c:v>
                </c:pt>
                <c:pt idx="512" c:formatCode="0.00_);[Red]\(0.00\)">
                  <c:v>17.114</c:v>
                </c:pt>
                <c:pt idx="513" c:formatCode="0.00_);[Red]\(0.00\)">
                  <c:v>17.148</c:v>
                </c:pt>
                <c:pt idx="514" c:formatCode="0.00_);[Red]\(0.00\)">
                  <c:v>17.181</c:v>
                </c:pt>
                <c:pt idx="515" c:formatCode="0.00_);[Red]\(0.00\)">
                  <c:v>17.215</c:v>
                </c:pt>
                <c:pt idx="516" c:formatCode="0.00_);[Red]\(0.00\)">
                  <c:v>17.248</c:v>
                </c:pt>
                <c:pt idx="517" c:formatCode="0.00_);[Red]\(0.00\)">
                  <c:v>17.281</c:v>
                </c:pt>
                <c:pt idx="518" c:formatCode="0.00_);[Red]\(0.00\)">
                  <c:v>17.315</c:v>
                </c:pt>
                <c:pt idx="519" c:formatCode="0.00_);[Red]\(0.00\)">
                  <c:v>17.348</c:v>
                </c:pt>
                <c:pt idx="520" c:formatCode="0.00_);[Red]\(0.00\)">
                  <c:v>17.382</c:v>
                </c:pt>
                <c:pt idx="521" c:formatCode="0.00_);[Red]\(0.00\)">
                  <c:v>17.415</c:v>
                </c:pt>
                <c:pt idx="522" c:formatCode="0.00_);[Red]\(0.00\)">
                  <c:v>17.449</c:v>
                </c:pt>
                <c:pt idx="523" c:formatCode="0.00_);[Red]\(0.00\)">
                  <c:v>17.482</c:v>
                </c:pt>
                <c:pt idx="524" c:formatCode="0.00_);[Red]\(0.00\)">
                  <c:v>17.515</c:v>
                </c:pt>
                <c:pt idx="525" c:formatCode="0.00_);[Red]\(0.00\)">
                  <c:v>17.549</c:v>
                </c:pt>
                <c:pt idx="526" c:formatCode="0.00_);[Red]\(0.00\)">
                  <c:v>17.582</c:v>
                </c:pt>
                <c:pt idx="527" c:formatCode="0.00_);[Red]\(0.00\)">
                  <c:v>17.616</c:v>
                </c:pt>
                <c:pt idx="528" c:formatCode="0.00_);[Red]\(0.00\)">
                  <c:v>17.649</c:v>
                </c:pt>
                <c:pt idx="529" c:formatCode="0.00_);[Red]\(0.00\)">
                  <c:v>17.682</c:v>
                </c:pt>
                <c:pt idx="530" c:formatCode="0.00_);[Red]\(0.00\)">
                  <c:v>17.716</c:v>
                </c:pt>
                <c:pt idx="531" c:formatCode="0.00_);[Red]\(0.00\)">
                  <c:v>17.749</c:v>
                </c:pt>
                <c:pt idx="532" c:formatCode="0.00_);[Red]\(0.00\)">
                  <c:v>17.783</c:v>
                </c:pt>
                <c:pt idx="533" c:formatCode="0.00_);[Red]\(0.00\)">
                  <c:v>17.816</c:v>
                </c:pt>
                <c:pt idx="534" c:formatCode="0.00_);[Red]\(0.00\)">
                  <c:v>17.85</c:v>
                </c:pt>
                <c:pt idx="535" c:formatCode="0.00_);[Red]\(0.00\)">
                  <c:v>17.883</c:v>
                </c:pt>
                <c:pt idx="536" c:formatCode="0.00_);[Red]\(0.00\)">
                  <c:v>17.916</c:v>
                </c:pt>
                <c:pt idx="537" c:formatCode="0.00_);[Red]\(0.00\)">
                  <c:v>17.95</c:v>
                </c:pt>
                <c:pt idx="538" c:formatCode="0.00_);[Red]\(0.00\)">
                  <c:v>17.983</c:v>
                </c:pt>
                <c:pt idx="539" c:formatCode="0.00_);[Red]\(0.00\)">
                  <c:v>18.017</c:v>
                </c:pt>
                <c:pt idx="540" c:formatCode="0.00_);[Red]\(0.00\)">
                  <c:v>18.05</c:v>
                </c:pt>
                <c:pt idx="541" c:formatCode="0.00_);[Red]\(0.00\)">
                  <c:v>18.084</c:v>
                </c:pt>
                <c:pt idx="542" c:formatCode="0.00_);[Red]\(0.00\)">
                  <c:v>18.117</c:v>
                </c:pt>
                <c:pt idx="543" c:formatCode="0.00_);[Red]\(0.00\)">
                  <c:v>18.15</c:v>
                </c:pt>
                <c:pt idx="544" c:formatCode="0.00_);[Red]\(0.00\)">
                  <c:v>18.184</c:v>
                </c:pt>
                <c:pt idx="545" c:formatCode="0.00_);[Red]\(0.00\)">
                  <c:v>18.217</c:v>
                </c:pt>
                <c:pt idx="546" c:formatCode="0.00_);[Red]\(0.00\)">
                  <c:v>18.251</c:v>
                </c:pt>
                <c:pt idx="547" c:formatCode="0.00_);[Red]\(0.00\)">
                  <c:v>18.284</c:v>
                </c:pt>
                <c:pt idx="548" c:formatCode="0.00_);[Red]\(0.00\)">
                  <c:v>18.318</c:v>
                </c:pt>
                <c:pt idx="549" c:formatCode="0.00_);[Red]\(0.00\)">
                  <c:v>18.351</c:v>
                </c:pt>
                <c:pt idx="550" c:formatCode="0.00_);[Red]\(0.00\)">
                  <c:v>18.384</c:v>
                </c:pt>
                <c:pt idx="551" c:formatCode="0.00_);[Red]\(0.00\)">
                  <c:v>18.418</c:v>
                </c:pt>
                <c:pt idx="552" c:formatCode="0.00_);[Red]\(0.00\)">
                  <c:v>18.451</c:v>
                </c:pt>
                <c:pt idx="553" c:formatCode="0.00_);[Red]\(0.00\)">
                  <c:v>18.485</c:v>
                </c:pt>
                <c:pt idx="554" c:formatCode="0.00_);[Red]\(0.00\)">
                  <c:v>18.518</c:v>
                </c:pt>
                <c:pt idx="555" c:formatCode="0.00_);[Red]\(0.00\)">
                  <c:v>18.552</c:v>
                </c:pt>
                <c:pt idx="556" c:formatCode="0.00_);[Red]\(0.00\)">
                  <c:v>18.585</c:v>
                </c:pt>
                <c:pt idx="557" c:formatCode="0.00_);[Red]\(0.00\)">
                  <c:v>18.618</c:v>
                </c:pt>
                <c:pt idx="558" c:formatCode="0.00_);[Red]\(0.00\)">
                  <c:v>18.652</c:v>
                </c:pt>
                <c:pt idx="559" c:formatCode="0.00_);[Red]\(0.00\)">
                  <c:v>18.685</c:v>
                </c:pt>
                <c:pt idx="560" c:formatCode="0.00_);[Red]\(0.00\)">
                  <c:v>18.719</c:v>
                </c:pt>
                <c:pt idx="561" c:formatCode="0.00_);[Red]\(0.00\)">
                  <c:v>18.752</c:v>
                </c:pt>
                <c:pt idx="562" c:formatCode="0.00_);[Red]\(0.00\)">
                  <c:v>18.786</c:v>
                </c:pt>
                <c:pt idx="563" c:formatCode="0.00_);[Red]\(0.00\)">
                  <c:v>18.819</c:v>
                </c:pt>
                <c:pt idx="564" c:formatCode="0.00_);[Red]\(0.00\)">
                  <c:v>18.852</c:v>
                </c:pt>
                <c:pt idx="565" c:formatCode="0.00_);[Red]\(0.00\)">
                  <c:v>18.886</c:v>
                </c:pt>
                <c:pt idx="566" c:formatCode="0.00_);[Red]\(0.00\)">
                  <c:v>18.919</c:v>
                </c:pt>
                <c:pt idx="567" c:formatCode="0.00_);[Red]\(0.00\)">
                  <c:v>18.953</c:v>
                </c:pt>
                <c:pt idx="568" c:formatCode="0.00_);[Red]\(0.00\)">
                  <c:v>18.986</c:v>
                </c:pt>
                <c:pt idx="569" c:formatCode="0.00_);[Red]\(0.00\)">
                  <c:v>19.02</c:v>
                </c:pt>
                <c:pt idx="570" c:formatCode="0.00_);[Red]\(0.00\)">
                  <c:v>19.053</c:v>
                </c:pt>
                <c:pt idx="571" c:formatCode="0.00_);[Red]\(0.00\)">
                  <c:v>19.086</c:v>
                </c:pt>
                <c:pt idx="572" c:formatCode="0.00_);[Red]\(0.00\)">
                  <c:v>19.12</c:v>
                </c:pt>
                <c:pt idx="573" c:formatCode="0.00_);[Red]\(0.00\)">
                  <c:v>19.153</c:v>
                </c:pt>
                <c:pt idx="574" c:formatCode="0.00_);[Red]\(0.00\)">
                  <c:v>19.187</c:v>
                </c:pt>
                <c:pt idx="575" c:formatCode="0.00_);[Red]\(0.00\)">
                  <c:v>19.22</c:v>
                </c:pt>
                <c:pt idx="576" c:formatCode="0.00_);[Red]\(0.00\)">
                  <c:v>19.254</c:v>
                </c:pt>
                <c:pt idx="577" c:formatCode="0.00_);[Red]\(0.00\)">
                  <c:v>19.287</c:v>
                </c:pt>
                <c:pt idx="578" c:formatCode="0.00_);[Red]\(0.00\)">
                  <c:v>19.32</c:v>
                </c:pt>
                <c:pt idx="579" c:formatCode="0.00_);[Red]\(0.00\)">
                  <c:v>19.354</c:v>
                </c:pt>
                <c:pt idx="580" c:formatCode="0.00_);[Red]\(0.00\)">
                  <c:v>19.387</c:v>
                </c:pt>
                <c:pt idx="581" c:formatCode="0.00_);[Red]\(0.00\)">
                  <c:v>19.421</c:v>
                </c:pt>
                <c:pt idx="582" c:formatCode="0.00_);[Red]\(0.00\)">
                  <c:v>19.454</c:v>
                </c:pt>
                <c:pt idx="583" c:formatCode="0.00_);[Red]\(0.00\)">
                  <c:v>19.488</c:v>
                </c:pt>
                <c:pt idx="584" c:formatCode="0.00_);[Red]\(0.00\)">
                  <c:v>19.521</c:v>
                </c:pt>
                <c:pt idx="585" c:formatCode="0.00_);[Red]\(0.00\)">
                  <c:v>19.554</c:v>
                </c:pt>
                <c:pt idx="586" c:formatCode="0.00_);[Red]\(0.00\)">
                  <c:v>19.588</c:v>
                </c:pt>
                <c:pt idx="587" c:formatCode="0.00_);[Red]\(0.00\)">
                  <c:v>19.621</c:v>
                </c:pt>
                <c:pt idx="588" c:formatCode="0.00_);[Red]\(0.00\)">
                  <c:v>19.655</c:v>
                </c:pt>
                <c:pt idx="589" c:formatCode="0.00_);[Red]\(0.00\)">
                  <c:v>19.688</c:v>
                </c:pt>
                <c:pt idx="590" c:formatCode="0.00_);[Red]\(0.00\)">
                  <c:v>19.721</c:v>
                </c:pt>
                <c:pt idx="591" c:formatCode="0.00_);[Red]\(0.00\)">
                  <c:v>19.755</c:v>
                </c:pt>
                <c:pt idx="592" c:formatCode="0.00_);[Red]\(0.00\)">
                  <c:v>19.788</c:v>
                </c:pt>
                <c:pt idx="593" c:formatCode="0.00_);[Red]\(0.00\)">
                  <c:v>19.822</c:v>
                </c:pt>
                <c:pt idx="594" c:formatCode="0.00_);[Red]\(0.00\)">
                  <c:v>19.855</c:v>
                </c:pt>
                <c:pt idx="595" c:formatCode="0.00_);[Red]\(0.00\)">
                  <c:v>19.889</c:v>
                </c:pt>
                <c:pt idx="596" c:formatCode="0.00_);[Red]\(0.00\)">
                  <c:v>19.922</c:v>
                </c:pt>
                <c:pt idx="597" c:formatCode="0.00_);[Red]\(0.00\)">
                  <c:v>19.955</c:v>
                </c:pt>
                <c:pt idx="598" c:formatCode="0.00_);[Red]\(0.00\)">
                  <c:v>19.989</c:v>
                </c:pt>
                <c:pt idx="599" c:formatCode="0.00_);[Red]\(0.00\)">
                  <c:v>20.022</c:v>
                </c:pt>
                <c:pt idx="600" c:formatCode="0.00_);[Red]\(0.00\)">
                  <c:v>20.056</c:v>
                </c:pt>
                <c:pt idx="601" c:formatCode="0.00_);[Red]\(0.00\)">
                  <c:v>20.089</c:v>
                </c:pt>
                <c:pt idx="602" c:formatCode="0.00_);[Red]\(0.00\)">
                  <c:v>20.123</c:v>
                </c:pt>
                <c:pt idx="603" c:formatCode="0.00_);[Red]\(0.00\)">
                  <c:v>20.156</c:v>
                </c:pt>
                <c:pt idx="604" c:formatCode="0.00_);[Red]\(0.00\)">
                  <c:v>20.189</c:v>
                </c:pt>
                <c:pt idx="605" c:formatCode="0.00_);[Red]\(0.00\)">
                  <c:v>20.223</c:v>
                </c:pt>
                <c:pt idx="606" c:formatCode="0.00_);[Red]\(0.00\)">
                  <c:v>20.256</c:v>
                </c:pt>
                <c:pt idx="607" c:formatCode="0.00_);[Red]\(0.00\)">
                  <c:v>20.29</c:v>
                </c:pt>
                <c:pt idx="608" c:formatCode="0.00_);[Red]\(0.00\)">
                  <c:v>20.323</c:v>
                </c:pt>
                <c:pt idx="609" c:formatCode="0.00_);[Red]\(0.00\)">
                  <c:v>20.357</c:v>
                </c:pt>
                <c:pt idx="610" c:formatCode="0.00_);[Red]\(0.00\)">
                  <c:v>20.39</c:v>
                </c:pt>
                <c:pt idx="611" c:formatCode="0.00_);[Red]\(0.00\)">
                  <c:v>20.423</c:v>
                </c:pt>
                <c:pt idx="612" c:formatCode="0.00_);[Red]\(0.00\)">
                  <c:v>20.457</c:v>
                </c:pt>
                <c:pt idx="613" c:formatCode="0.00_);[Red]\(0.00\)">
                  <c:v>20.49</c:v>
                </c:pt>
                <c:pt idx="614" c:formatCode="0.00_);[Red]\(0.00\)">
                  <c:v>20.524</c:v>
                </c:pt>
                <c:pt idx="615" c:formatCode="0.00_);[Red]\(0.00\)">
                  <c:v>20.557</c:v>
                </c:pt>
                <c:pt idx="616" c:formatCode="0.00_);[Red]\(0.00\)">
                  <c:v>20.591</c:v>
                </c:pt>
                <c:pt idx="617" c:formatCode="0.00_);[Red]\(0.00\)">
                  <c:v>20.624</c:v>
                </c:pt>
                <c:pt idx="618" c:formatCode="0.00_);[Red]\(0.00\)">
                  <c:v>20.657</c:v>
                </c:pt>
                <c:pt idx="619" c:formatCode="0.00_);[Red]\(0.00\)">
                  <c:v>20.691</c:v>
                </c:pt>
                <c:pt idx="620" c:formatCode="0.00_);[Red]\(0.00\)">
                  <c:v>20.724</c:v>
                </c:pt>
                <c:pt idx="621" c:formatCode="0.00_);[Red]\(0.00\)">
                  <c:v>20.758</c:v>
                </c:pt>
                <c:pt idx="622" c:formatCode="0.00_);[Red]\(0.00\)">
                  <c:v>20.791</c:v>
                </c:pt>
                <c:pt idx="623" c:formatCode="0.00_);[Red]\(0.00\)">
                  <c:v>20.825</c:v>
                </c:pt>
                <c:pt idx="624" c:formatCode="0.00_);[Red]\(0.00\)">
                  <c:v>20.858</c:v>
                </c:pt>
                <c:pt idx="625" c:formatCode="0.00_);[Red]\(0.00\)">
                  <c:v>20.891</c:v>
                </c:pt>
                <c:pt idx="626" c:formatCode="0.00_);[Red]\(0.00\)">
                  <c:v>20.925</c:v>
                </c:pt>
                <c:pt idx="627" c:formatCode="0.00_);[Red]\(0.00\)">
                  <c:v>20.958</c:v>
                </c:pt>
                <c:pt idx="628" c:formatCode="0.00_);[Red]\(0.00\)">
                  <c:v>20.992</c:v>
                </c:pt>
                <c:pt idx="629" c:formatCode="0.00_);[Red]\(0.00\)">
                  <c:v>21.025</c:v>
                </c:pt>
                <c:pt idx="630" c:formatCode="0.00_);[Red]\(0.00\)">
                  <c:v>21.059</c:v>
                </c:pt>
                <c:pt idx="631" c:formatCode="0.00_);[Red]\(0.00\)">
                  <c:v>21.092</c:v>
                </c:pt>
                <c:pt idx="632" c:formatCode="0.00_);[Red]\(0.00\)">
                  <c:v>21.125</c:v>
                </c:pt>
                <c:pt idx="633" c:formatCode="0.00_);[Red]\(0.00\)">
                  <c:v>21.159</c:v>
                </c:pt>
                <c:pt idx="634" c:formatCode="0.00_);[Red]\(0.00\)">
                  <c:v>21.192</c:v>
                </c:pt>
                <c:pt idx="635" c:formatCode="0.00_);[Red]\(0.00\)">
                  <c:v>21.226</c:v>
                </c:pt>
                <c:pt idx="636" c:formatCode="0.00_);[Red]\(0.00\)">
                  <c:v>21.259</c:v>
                </c:pt>
                <c:pt idx="637" c:formatCode="0.00_);[Red]\(0.00\)">
                  <c:v>21.293</c:v>
                </c:pt>
                <c:pt idx="638" c:formatCode="0.00_);[Red]\(0.00\)">
                  <c:v>21.326</c:v>
                </c:pt>
                <c:pt idx="639" c:formatCode="0.00_);[Red]\(0.00\)">
                  <c:v>21.359</c:v>
                </c:pt>
                <c:pt idx="640" c:formatCode="0.00_);[Red]\(0.00\)">
                  <c:v>21.393</c:v>
                </c:pt>
                <c:pt idx="641" c:formatCode="0.00_);[Red]\(0.00\)">
                  <c:v>21.426</c:v>
                </c:pt>
                <c:pt idx="642" c:formatCode="0.00_);[Red]\(0.00\)">
                  <c:v>21.46</c:v>
                </c:pt>
                <c:pt idx="643" c:formatCode="0.00_);[Red]\(0.00\)">
                  <c:v>21.493</c:v>
                </c:pt>
                <c:pt idx="644" c:formatCode="0.00_);[Red]\(0.00\)">
                  <c:v>21.527</c:v>
                </c:pt>
                <c:pt idx="645" c:formatCode="0.00_);[Red]\(0.00\)">
                  <c:v>21.56</c:v>
                </c:pt>
                <c:pt idx="646" c:formatCode="0.00_);[Red]\(0.00\)">
                  <c:v>21.593</c:v>
                </c:pt>
                <c:pt idx="647" c:formatCode="0.00_);[Red]\(0.00\)">
                  <c:v>21.627</c:v>
                </c:pt>
                <c:pt idx="648" c:formatCode="0.00_);[Red]\(0.00\)">
                  <c:v>21.66</c:v>
                </c:pt>
                <c:pt idx="649" c:formatCode="0.00_);[Red]\(0.00\)">
                  <c:v>21.694</c:v>
                </c:pt>
                <c:pt idx="650" c:formatCode="0.00_);[Red]\(0.00\)">
                  <c:v>21.727</c:v>
                </c:pt>
                <c:pt idx="651" c:formatCode="0.00_);[Red]\(0.00\)">
                  <c:v>21.76</c:v>
                </c:pt>
                <c:pt idx="652" c:formatCode="0.00_);[Red]\(0.00\)">
                  <c:v>21.794</c:v>
                </c:pt>
                <c:pt idx="653" c:formatCode="0.00_);[Red]\(0.00\)">
                  <c:v>21.827</c:v>
                </c:pt>
                <c:pt idx="654" c:formatCode="0.00_);[Red]\(0.00\)">
                  <c:v>21.861</c:v>
                </c:pt>
                <c:pt idx="655" c:formatCode="0.00_);[Red]\(0.00\)">
                  <c:v>21.894</c:v>
                </c:pt>
                <c:pt idx="656" c:formatCode="0.00_);[Red]\(0.00\)">
                  <c:v>21.928</c:v>
                </c:pt>
                <c:pt idx="657" c:formatCode="0.00_);[Red]\(0.00\)">
                  <c:v>21.961</c:v>
                </c:pt>
                <c:pt idx="658" c:formatCode="0.00_);[Red]\(0.00\)">
                  <c:v>21.994</c:v>
                </c:pt>
                <c:pt idx="659" c:formatCode="0.00_);[Red]\(0.00\)">
                  <c:v>22.028</c:v>
                </c:pt>
                <c:pt idx="660" c:formatCode="0.00_);[Red]\(0.00\)">
                  <c:v>22.061</c:v>
                </c:pt>
                <c:pt idx="661" c:formatCode="0.00_);[Red]\(0.00\)">
                  <c:v>22.095</c:v>
                </c:pt>
                <c:pt idx="662" c:formatCode="0.00_);[Red]\(0.00\)">
                  <c:v>22.128</c:v>
                </c:pt>
                <c:pt idx="663" c:formatCode="0.00_);[Red]\(0.00\)">
                  <c:v>22.162</c:v>
                </c:pt>
                <c:pt idx="664" c:formatCode="0.00_);[Red]\(0.00\)">
                  <c:v>22.195</c:v>
                </c:pt>
                <c:pt idx="665" c:formatCode="0.00_);[Red]\(0.00\)">
                  <c:v>22.228</c:v>
                </c:pt>
                <c:pt idx="666" c:formatCode="0.00_);[Red]\(0.00\)">
                  <c:v>22.262</c:v>
                </c:pt>
                <c:pt idx="667" c:formatCode="0.00_);[Red]\(0.00\)">
                  <c:v>22.295</c:v>
                </c:pt>
                <c:pt idx="668" c:formatCode="0.00_);[Red]\(0.00\)">
                  <c:v>22.329</c:v>
                </c:pt>
                <c:pt idx="669" c:formatCode="0.00_);[Red]\(0.00\)">
                  <c:v>22.362</c:v>
                </c:pt>
                <c:pt idx="670" c:formatCode="0.00_);[Red]\(0.00\)">
                  <c:v>22.396</c:v>
                </c:pt>
                <c:pt idx="671" c:formatCode="0.00_);[Red]\(0.00\)">
                  <c:v>22.429</c:v>
                </c:pt>
                <c:pt idx="672" c:formatCode="0.00_);[Red]\(0.00\)">
                  <c:v>22.462</c:v>
                </c:pt>
                <c:pt idx="673" c:formatCode="0.00_);[Red]\(0.00\)">
                  <c:v>22.496</c:v>
                </c:pt>
                <c:pt idx="674" c:formatCode="0.00_);[Red]\(0.00\)">
                  <c:v>22.529</c:v>
                </c:pt>
                <c:pt idx="675" c:formatCode="0.00_);[Red]\(0.00\)">
                  <c:v>22.563</c:v>
                </c:pt>
                <c:pt idx="676" c:formatCode="0.00_);[Red]\(0.00\)">
                  <c:v>22.596</c:v>
                </c:pt>
                <c:pt idx="677" c:formatCode="0.00_);[Red]\(0.00\)">
                  <c:v>22.63</c:v>
                </c:pt>
                <c:pt idx="678" c:formatCode="0.00_);[Red]\(0.00\)">
                  <c:v>22.663</c:v>
                </c:pt>
                <c:pt idx="679" c:formatCode="0.00_);[Red]\(0.00\)">
                  <c:v>22.696</c:v>
                </c:pt>
                <c:pt idx="680" c:formatCode="0.00_);[Red]\(0.00\)">
                  <c:v>22.73</c:v>
                </c:pt>
                <c:pt idx="681" c:formatCode="0.00_);[Red]\(0.00\)">
                  <c:v>22.763</c:v>
                </c:pt>
                <c:pt idx="682" c:formatCode="0.00_);[Red]\(0.00\)">
                  <c:v>22.797</c:v>
                </c:pt>
                <c:pt idx="683" c:formatCode="0.00_);[Red]\(0.00\)">
                  <c:v>22.83</c:v>
                </c:pt>
                <c:pt idx="684" c:formatCode="0.00_);[Red]\(0.00\)">
                  <c:v>22.864</c:v>
                </c:pt>
                <c:pt idx="685" c:formatCode="0.00_);[Red]\(0.00\)">
                  <c:v>22.897</c:v>
                </c:pt>
                <c:pt idx="686" c:formatCode="0.00_);[Red]\(0.00\)">
                  <c:v>22.93</c:v>
                </c:pt>
                <c:pt idx="687" c:formatCode="0.00_);[Red]\(0.00\)">
                  <c:v>22.964</c:v>
                </c:pt>
                <c:pt idx="688" c:formatCode="0.00_);[Red]\(0.00\)">
                  <c:v>22.997</c:v>
                </c:pt>
                <c:pt idx="689" c:formatCode="0.00_);[Red]\(0.00\)">
                  <c:v>23.031</c:v>
                </c:pt>
                <c:pt idx="690" c:formatCode="0.00_);[Red]\(0.00\)">
                  <c:v>23.064</c:v>
                </c:pt>
                <c:pt idx="691" c:formatCode="0.00_);[Red]\(0.00\)">
                  <c:v>23.098</c:v>
                </c:pt>
                <c:pt idx="692" c:formatCode="0.00_);[Red]\(0.00\)">
                  <c:v>23.131</c:v>
                </c:pt>
                <c:pt idx="693" c:formatCode="0.00_);[Red]\(0.00\)">
                  <c:v>23.164</c:v>
                </c:pt>
                <c:pt idx="694" c:formatCode="0.00_);[Red]\(0.00\)">
                  <c:v>23.198</c:v>
                </c:pt>
                <c:pt idx="695" c:formatCode="0.00_);[Red]\(0.00\)">
                  <c:v>23.231</c:v>
                </c:pt>
                <c:pt idx="696" c:formatCode="0.00_);[Red]\(0.00\)">
                  <c:v>23.265</c:v>
                </c:pt>
                <c:pt idx="697" c:formatCode="0.00_);[Red]\(0.00\)">
                  <c:v>23.298</c:v>
                </c:pt>
                <c:pt idx="698" c:formatCode="0.00_);[Red]\(0.00\)">
                  <c:v>23.332</c:v>
                </c:pt>
                <c:pt idx="699" c:formatCode="0.00_);[Red]\(0.00\)">
                  <c:v>23.365</c:v>
                </c:pt>
                <c:pt idx="700" c:formatCode="0.00_);[Red]\(0.00\)">
                  <c:v>23.398</c:v>
                </c:pt>
                <c:pt idx="701" c:formatCode="0.00_);[Red]\(0.00\)">
                  <c:v>23.432</c:v>
                </c:pt>
                <c:pt idx="702" c:formatCode="0.00_);[Red]\(0.00\)">
                  <c:v>23.465</c:v>
                </c:pt>
                <c:pt idx="703" c:formatCode="0.00_);[Red]\(0.00\)">
                  <c:v>23.499</c:v>
                </c:pt>
                <c:pt idx="704" c:formatCode="0.00_);[Red]\(0.00\)">
                  <c:v>23.532</c:v>
                </c:pt>
                <c:pt idx="705" c:formatCode="0.00_);[Red]\(0.00\)">
                  <c:v>23.566</c:v>
                </c:pt>
                <c:pt idx="706" c:formatCode="0.00_);[Red]\(0.00\)">
                  <c:v>23.599</c:v>
                </c:pt>
                <c:pt idx="707" c:formatCode="0.00_);[Red]\(0.00\)">
                  <c:v>23.632</c:v>
                </c:pt>
                <c:pt idx="708" c:formatCode="0.00_);[Red]\(0.00\)">
                  <c:v>23.666</c:v>
                </c:pt>
                <c:pt idx="709" c:formatCode="0.00_);[Red]\(0.00\)">
                  <c:v>23.699</c:v>
                </c:pt>
                <c:pt idx="710" c:formatCode="0.00_);[Red]\(0.00\)">
                  <c:v>23.733</c:v>
                </c:pt>
                <c:pt idx="711" c:formatCode="0.00_);[Red]\(0.00\)">
                  <c:v>23.766</c:v>
                </c:pt>
                <c:pt idx="712" c:formatCode="0.00_);[Red]\(0.00\)">
                  <c:v>23.799</c:v>
                </c:pt>
                <c:pt idx="713" c:formatCode="0.00_);[Red]\(0.00\)">
                  <c:v>23.833</c:v>
                </c:pt>
                <c:pt idx="714" c:formatCode="0.00_);[Red]\(0.00\)">
                  <c:v>23.866</c:v>
                </c:pt>
                <c:pt idx="715" c:formatCode="0.00_);[Red]\(0.00\)">
                  <c:v>23.9</c:v>
                </c:pt>
                <c:pt idx="716" c:formatCode="0.00_);[Red]\(0.00\)">
                  <c:v>23.933</c:v>
                </c:pt>
                <c:pt idx="717" c:formatCode="0.00_);[Red]\(0.00\)">
                  <c:v>23.967</c:v>
                </c:pt>
                <c:pt idx="718" c:formatCode="0.00_);[Red]\(0.00\)">
                  <c:v>24</c:v>
                </c:pt>
                <c:pt idx="719" c:formatCode="0.00_);[Red]\(0.00\)">
                  <c:v>24.033</c:v>
                </c:pt>
                <c:pt idx="720" c:formatCode="0.00_);[Red]\(0.00\)">
                  <c:v>24.067</c:v>
                </c:pt>
                <c:pt idx="721" c:formatCode="0.00_);[Red]\(0.00\)">
                  <c:v>24.1</c:v>
                </c:pt>
                <c:pt idx="722" c:formatCode="0.00_);[Red]\(0.00\)">
                  <c:v>24.134</c:v>
                </c:pt>
                <c:pt idx="723" c:formatCode="0.00_);[Red]\(0.00\)">
                  <c:v>24.167</c:v>
                </c:pt>
                <c:pt idx="724" c:formatCode="0.00_);[Red]\(0.00\)">
                  <c:v>24.201</c:v>
                </c:pt>
                <c:pt idx="725" c:formatCode="0.00_);[Red]\(0.00\)">
                  <c:v>24.234</c:v>
                </c:pt>
                <c:pt idx="726" c:formatCode="0.00_);[Red]\(0.00\)">
                  <c:v>24.267</c:v>
                </c:pt>
                <c:pt idx="727" c:formatCode="0.00_);[Red]\(0.00\)">
                  <c:v>24.301</c:v>
                </c:pt>
                <c:pt idx="728" c:formatCode="0.00_);[Red]\(0.00\)">
                  <c:v>24.334</c:v>
                </c:pt>
                <c:pt idx="729" c:formatCode="0.00_);[Red]\(0.00\)">
                  <c:v>24.368</c:v>
                </c:pt>
                <c:pt idx="730" c:formatCode="0.00_);[Red]\(0.00\)">
                  <c:v>24.401</c:v>
                </c:pt>
                <c:pt idx="731" c:formatCode="0.00_);[Red]\(0.00\)">
                  <c:v>24.435</c:v>
                </c:pt>
                <c:pt idx="732" c:formatCode="0.00_);[Red]\(0.00\)">
                  <c:v>24.468</c:v>
                </c:pt>
                <c:pt idx="733" c:formatCode="0.00_);[Red]\(0.00\)">
                  <c:v>24.501</c:v>
                </c:pt>
                <c:pt idx="734" c:formatCode="0.00_);[Red]\(0.00\)">
                  <c:v>24.535</c:v>
                </c:pt>
                <c:pt idx="735" c:formatCode="0.00_);[Red]\(0.00\)">
                  <c:v>24.568</c:v>
                </c:pt>
                <c:pt idx="736" c:formatCode="0.00_);[Red]\(0.00\)">
                  <c:v>24.602</c:v>
                </c:pt>
                <c:pt idx="737" c:formatCode="0.00_);[Red]\(0.00\)">
                  <c:v>24.635</c:v>
                </c:pt>
                <c:pt idx="738" c:formatCode="0.00_);[Red]\(0.00\)">
                  <c:v>24.669</c:v>
                </c:pt>
                <c:pt idx="739" c:formatCode="0.00_);[Red]\(0.00\)">
                  <c:v>24.702</c:v>
                </c:pt>
                <c:pt idx="740" c:formatCode="0.00_);[Red]\(0.00\)">
                  <c:v>24.735</c:v>
                </c:pt>
                <c:pt idx="741" c:formatCode="0.00_);[Red]\(0.00\)">
                  <c:v>24.769</c:v>
                </c:pt>
                <c:pt idx="742" c:formatCode="0.00_);[Red]\(0.00\)">
                  <c:v>24.802</c:v>
                </c:pt>
                <c:pt idx="743" c:formatCode="0.00_);[Red]\(0.00\)">
                  <c:v>24.836</c:v>
                </c:pt>
                <c:pt idx="744" c:formatCode="0.00_);[Red]\(0.00\)">
                  <c:v>24.869</c:v>
                </c:pt>
                <c:pt idx="745" c:formatCode="0.00_);[Red]\(0.00\)">
                  <c:v>24.903</c:v>
                </c:pt>
                <c:pt idx="746" c:formatCode="0.00_);[Red]\(0.00\)">
                  <c:v>24.936</c:v>
                </c:pt>
                <c:pt idx="747" c:formatCode="0.00_);[Red]\(0.00\)">
                  <c:v>24.969</c:v>
                </c:pt>
                <c:pt idx="748" c:formatCode="0.00_);[Red]\(0.00\)">
                  <c:v>25.003</c:v>
                </c:pt>
                <c:pt idx="749" c:formatCode="0.00_);[Red]\(0.00\)">
                  <c:v>25.036</c:v>
                </c:pt>
                <c:pt idx="750" c:formatCode="0.00_);[Red]\(0.00\)">
                  <c:v>25.07</c:v>
                </c:pt>
                <c:pt idx="751" c:formatCode="0.00_);[Red]\(0.00\)">
                  <c:v>25.103</c:v>
                </c:pt>
                <c:pt idx="752" c:formatCode="0.00_);[Red]\(0.00\)">
                  <c:v>25.137</c:v>
                </c:pt>
                <c:pt idx="753" c:formatCode="0.00_);[Red]\(0.00\)">
                  <c:v>25.17</c:v>
                </c:pt>
                <c:pt idx="754" c:formatCode="0.00_);[Red]\(0.00\)">
                  <c:v>25.203</c:v>
                </c:pt>
                <c:pt idx="755" c:formatCode="0.00_);[Red]\(0.00\)">
                  <c:v>25.237</c:v>
                </c:pt>
                <c:pt idx="756" c:formatCode="0.00_);[Red]\(0.00\)">
                  <c:v>25.27</c:v>
                </c:pt>
                <c:pt idx="757" c:formatCode="0.00_);[Red]\(0.00\)">
                  <c:v>25.304</c:v>
                </c:pt>
                <c:pt idx="758" c:formatCode="0.00_);[Red]\(0.00\)">
                  <c:v>25.337</c:v>
                </c:pt>
                <c:pt idx="759" c:formatCode="0.00_);[Red]\(0.00\)">
                  <c:v>25.371</c:v>
                </c:pt>
                <c:pt idx="760" c:formatCode="0.00_);[Red]\(0.00\)">
                  <c:v>25.404</c:v>
                </c:pt>
                <c:pt idx="761" c:formatCode="0.00_);[Red]\(0.00\)">
                  <c:v>25.437</c:v>
                </c:pt>
                <c:pt idx="762" c:formatCode="0.00_);[Red]\(0.00\)">
                  <c:v>25.471</c:v>
                </c:pt>
                <c:pt idx="763" c:formatCode="0.00_);[Red]\(0.00\)">
                  <c:v>25.504</c:v>
                </c:pt>
                <c:pt idx="764" c:formatCode="0.00_);[Red]\(0.00\)">
                  <c:v>25.538</c:v>
                </c:pt>
                <c:pt idx="765" c:formatCode="0.00_);[Red]\(0.00\)">
                  <c:v>25.571</c:v>
                </c:pt>
                <c:pt idx="766" c:formatCode="0.00_);[Red]\(0.00\)">
                  <c:v>25.605</c:v>
                </c:pt>
                <c:pt idx="767" c:formatCode="0.00_);[Red]\(0.00\)">
                  <c:v>25.638</c:v>
                </c:pt>
                <c:pt idx="768" c:formatCode="0.00_);[Red]\(0.00\)">
                  <c:v>25.671</c:v>
                </c:pt>
                <c:pt idx="769" c:formatCode="0.00_);[Red]\(0.00\)">
                  <c:v>25.705</c:v>
                </c:pt>
                <c:pt idx="770" c:formatCode="0.00_);[Red]\(0.00\)">
                  <c:v>25.738</c:v>
                </c:pt>
                <c:pt idx="771" c:formatCode="0.00_);[Red]\(0.00\)">
                  <c:v>25.772</c:v>
                </c:pt>
                <c:pt idx="772" c:formatCode="0.00_);[Red]\(0.00\)">
                  <c:v>25.805</c:v>
                </c:pt>
                <c:pt idx="773" c:formatCode="0.00_);[Red]\(0.00\)">
                  <c:v>25.838</c:v>
                </c:pt>
                <c:pt idx="774" c:formatCode="0.00_);[Red]\(0.00\)">
                  <c:v>25.872</c:v>
                </c:pt>
                <c:pt idx="775" c:formatCode="0.00_);[Red]\(0.00\)">
                  <c:v>25.905</c:v>
                </c:pt>
                <c:pt idx="776" c:formatCode="0.00_);[Red]\(0.00\)">
                  <c:v>25.939</c:v>
                </c:pt>
                <c:pt idx="777" c:formatCode="0.00_);[Red]\(0.00\)">
                  <c:v>25.972</c:v>
                </c:pt>
                <c:pt idx="778" c:formatCode="0.00_);[Red]\(0.00\)">
                  <c:v>26.006</c:v>
                </c:pt>
                <c:pt idx="779" c:formatCode="0.00_);[Red]\(0.00\)">
                  <c:v>26.039</c:v>
                </c:pt>
                <c:pt idx="780" c:formatCode="0.00_);[Red]\(0.00\)">
                  <c:v>26.072</c:v>
                </c:pt>
                <c:pt idx="781" c:formatCode="0.00_);[Red]\(0.00\)">
                  <c:v>26.106</c:v>
                </c:pt>
                <c:pt idx="782" c:formatCode="0.00_);[Red]\(0.00\)">
                  <c:v>26.139</c:v>
                </c:pt>
                <c:pt idx="783" c:formatCode="0.00_);[Red]\(0.00\)">
                  <c:v>26.173</c:v>
                </c:pt>
                <c:pt idx="784" c:formatCode="0.00_);[Red]\(0.00\)">
                  <c:v>26.206</c:v>
                </c:pt>
                <c:pt idx="785" c:formatCode="0.00_);[Red]\(0.00\)">
                  <c:v>26.24</c:v>
                </c:pt>
                <c:pt idx="786" c:formatCode="0.00_);[Red]\(0.00\)">
                  <c:v>26.273</c:v>
                </c:pt>
                <c:pt idx="787" c:formatCode="0.00_);[Red]\(0.00\)">
                  <c:v>26.306</c:v>
                </c:pt>
                <c:pt idx="788" c:formatCode="0.00_);[Red]\(0.00\)">
                  <c:v>26.34</c:v>
                </c:pt>
                <c:pt idx="789" c:formatCode="0.00_);[Red]\(0.00\)">
                  <c:v>26.373</c:v>
                </c:pt>
                <c:pt idx="790" c:formatCode="0.00_);[Red]\(0.00\)">
                  <c:v>26.407</c:v>
                </c:pt>
                <c:pt idx="791" c:formatCode="0.00_);[Red]\(0.00\)">
                  <c:v>26.44</c:v>
                </c:pt>
                <c:pt idx="792" c:formatCode="0.00_);[Red]\(0.00\)">
                  <c:v>26.474</c:v>
                </c:pt>
                <c:pt idx="793" c:formatCode="0.00_);[Red]\(0.00\)">
                  <c:v>26.507</c:v>
                </c:pt>
                <c:pt idx="794" c:formatCode="0.00_);[Red]\(0.00\)">
                  <c:v>26.54</c:v>
                </c:pt>
                <c:pt idx="795" c:formatCode="0.00_);[Red]\(0.00\)">
                  <c:v>26.574</c:v>
                </c:pt>
                <c:pt idx="796" c:formatCode="0.00_);[Red]\(0.00\)">
                  <c:v>26.607</c:v>
                </c:pt>
                <c:pt idx="797" c:formatCode="0.00_);[Red]\(0.00\)">
                  <c:v>26.641</c:v>
                </c:pt>
                <c:pt idx="798" c:formatCode="0.00_);[Red]\(0.00\)">
                  <c:v>26.674</c:v>
                </c:pt>
                <c:pt idx="799" c:formatCode="0.00_);[Red]\(0.00\)">
                  <c:v>26.708</c:v>
                </c:pt>
                <c:pt idx="800" c:formatCode="0.00_);[Red]\(0.00\)">
                  <c:v>26.741</c:v>
                </c:pt>
                <c:pt idx="801" c:formatCode="0.00_);[Red]\(0.00\)">
                  <c:v>26.774</c:v>
                </c:pt>
                <c:pt idx="802" c:formatCode="0.00_);[Red]\(0.00\)">
                  <c:v>26.808</c:v>
                </c:pt>
                <c:pt idx="803" c:formatCode="0.00_);[Red]\(0.00\)">
                  <c:v>26.841</c:v>
                </c:pt>
                <c:pt idx="804" c:formatCode="0.00_);[Red]\(0.00\)">
                  <c:v>26.875</c:v>
                </c:pt>
                <c:pt idx="805" c:formatCode="0.00_);[Red]\(0.00\)">
                  <c:v>26.908</c:v>
                </c:pt>
                <c:pt idx="806" c:formatCode="0.00_);[Red]\(0.00\)">
                  <c:v>26.942</c:v>
                </c:pt>
                <c:pt idx="807" c:formatCode="0.00_);[Red]\(0.00\)">
                  <c:v>26.975</c:v>
                </c:pt>
                <c:pt idx="808" c:formatCode="0.00_);[Red]\(0.00\)">
                  <c:v>27.008</c:v>
                </c:pt>
                <c:pt idx="809" c:formatCode="0.00_);[Red]\(0.00\)">
                  <c:v>27.042</c:v>
                </c:pt>
                <c:pt idx="810" c:formatCode="0.00_);[Red]\(0.00\)">
                  <c:v>27.075</c:v>
                </c:pt>
                <c:pt idx="811" c:formatCode="0.00_);[Red]\(0.00\)">
                  <c:v>27.109</c:v>
                </c:pt>
                <c:pt idx="812" c:formatCode="0.00_);[Red]\(0.00\)">
                  <c:v>27.142</c:v>
                </c:pt>
                <c:pt idx="813" c:formatCode="0.00_);[Red]\(0.00\)">
                  <c:v>27.176</c:v>
                </c:pt>
                <c:pt idx="814" c:formatCode="0.00_);[Red]\(0.00\)">
                  <c:v>27.209</c:v>
                </c:pt>
                <c:pt idx="815" c:formatCode="0.00_);[Red]\(0.00\)">
                  <c:v>27.242</c:v>
                </c:pt>
                <c:pt idx="816" c:formatCode="0.00_);[Red]\(0.00\)">
                  <c:v>27.276</c:v>
                </c:pt>
                <c:pt idx="817" c:formatCode="0.00_);[Red]\(0.00\)">
                  <c:v>27.309</c:v>
                </c:pt>
                <c:pt idx="818" c:formatCode="0.00_);[Red]\(0.00\)">
                  <c:v>27.343</c:v>
                </c:pt>
                <c:pt idx="819" c:formatCode="0.00_);[Red]\(0.00\)">
                  <c:v>27.376</c:v>
                </c:pt>
                <c:pt idx="820" c:formatCode="0.00_);[Red]\(0.00\)">
                  <c:v>27.41</c:v>
                </c:pt>
                <c:pt idx="821" c:formatCode="0.00_);[Red]\(0.00\)">
                  <c:v>27.443</c:v>
                </c:pt>
                <c:pt idx="822" c:formatCode="0.00_);[Red]\(0.00\)">
                  <c:v>27.476</c:v>
                </c:pt>
                <c:pt idx="823" c:formatCode="0.00_);[Red]\(0.00\)">
                  <c:v>27.51</c:v>
                </c:pt>
                <c:pt idx="824" c:formatCode="0.00_);[Red]\(0.00\)">
                  <c:v>27.543</c:v>
                </c:pt>
                <c:pt idx="825" c:formatCode="0.00_);[Red]\(0.00\)">
                  <c:v>27.577</c:v>
                </c:pt>
                <c:pt idx="826" c:formatCode="0.00_);[Red]\(0.00\)">
                  <c:v>27.61</c:v>
                </c:pt>
                <c:pt idx="827" c:formatCode="0.00_);[Red]\(0.00\)">
                  <c:v>27.644</c:v>
                </c:pt>
                <c:pt idx="828" c:formatCode="0.00_);[Red]\(0.00\)">
                  <c:v>27.677</c:v>
                </c:pt>
                <c:pt idx="829" c:formatCode="0.00_);[Red]\(0.00\)">
                  <c:v>27.71</c:v>
                </c:pt>
                <c:pt idx="830" c:formatCode="0.00_);[Red]\(0.00\)">
                  <c:v>27.744</c:v>
                </c:pt>
                <c:pt idx="831" c:formatCode="0.00_);[Red]\(0.00\)">
                  <c:v>27.777</c:v>
                </c:pt>
                <c:pt idx="832" c:formatCode="0.00_);[Red]\(0.00\)">
                  <c:v>27.811</c:v>
                </c:pt>
                <c:pt idx="833" c:formatCode="0.00_);[Red]\(0.00\)">
                  <c:v>27.844</c:v>
                </c:pt>
                <c:pt idx="834" c:formatCode="0.00_);[Red]\(0.00\)">
                  <c:v>27.877</c:v>
                </c:pt>
                <c:pt idx="835" c:formatCode="0.00_);[Red]\(0.00\)">
                  <c:v>27.911</c:v>
                </c:pt>
                <c:pt idx="836" c:formatCode="0.00_);[Red]\(0.00\)">
                  <c:v>27.944</c:v>
                </c:pt>
                <c:pt idx="837" c:formatCode="0.00_);[Red]\(0.00\)">
                  <c:v>27.978</c:v>
                </c:pt>
                <c:pt idx="838" c:formatCode="0.00_);[Red]\(0.00\)">
                  <c:v>28.011</c:v>
                </c:pt>
                <c:pt idx="839" c:formatCode="0.00_);[Red]\(0.00\)">
                  <c:v>28.045</c:v>
                </c:pt>
                <c:pt idx="840" c:formatCode="0.00_);[Red]\(0.00\)">
                  <c:v>28.078</c:v>
                </c:pt>
                <c:pt idx="841" c:formatCode="0.00_);[Red]\(0.00\)">
                  <c:v>28.111</c:v>
                </c:pt>
                <c:pt idx="842" c:formatCode="0.00_);[Red]\(0.00\)">
                  <c:v>28.145</c:v>
                </c:pt>
                <c:pt idx="843" c:formatCode="0.00_);[Red]\(0.00\)">
                  <c:v>28.178</c:v>
                </c:pt>
                <c:pt idx="844" c:formatCode="0.00_);[Red]\(0.00\)">
                  <c:v>28.212</c:v>
                </c:pt>
                <c:pt idx="845" c:formatCode="0.00_);[Red]\(0.00\)">
                  <c:v>28.245</c:v>
                </c:pt>
                <c:pt idx="846" c:formatCode="0.00_);[Red]\(0.00\)">
                  <c:v>28.279</c:v>
                </c:pt>
                <c:pt idx="847" c:formatCode="0.00_);[Red]\(0.00\)">
                  <c:v>28.312</c:v>
                </c:pt>
                <c:pt idx="848" c:formatCode="0.00_);[Red]\(0.00\)">
                  <c:v>28.345</c:v>
                </c:pt>
                <c:pt idx="849" c:formatCode="0.00_);[Red]\(0.00\)">
                  <c:v>28.379</c:v>
                </c:pt>
                <c:pt idx="850" c:formatCode="0.00_);[Red]\(0.00\)">
                  <c:v>28.412</c:v>
                </c:pt>
                <c:pt idx="851" c:formatCode="0.00_);[Red]\(0.00\)">
                  <c:v>28.446</c:v>
                </c:pt>
                <c:pt idx="852" c:formatCode="0.00_);[Red]\(0.00\)">
                  <c:v>28.479</c:v>
                </c:pt>
                <c:pt idx="853" c:formatCode="0.00_);[Red]\(0.00\)">
                  <c:v>28.513</c:v>
                </c:pt>
                <c:pt idx="854" c:formatCode="0.00_);[Red]\(0.00\)">
                  <c:v>28.546</c:v>
                </c:pt>
                <c:pt idx="855" c:formatCode="0.00_);[Red]\(0.00\)">
                  <c:v>28.579</c:v>
                </c:pt>
                <c:pt idx="856" c:formatCode="0.00_);[Red]\(0.00\)">
                  <c:v>28.613</c:v>
                </c:pt>
                <c:pt idx="857" c:formatCode="0.00_);[Red]\(0.00\)">
                  <c:v>28.646</c:v>
                </c:pt>
                <c:pt idx="858" c:formatCode="0.00_);[Red]\(0.00\)">
                  <c:v>28.68</c:v>
                </c:pt>
                <c:pt idx="859" c:formatCode="0.00_);[Red]\(0.00\)">
                  <c:v>28.713</c:v>
                </c:pt>
                <c:pt idx="860" c:formatCode="0.00_);[Red]\(0.00\)">
                  <c:v>28.747</c:v>
                </c:pt>
                <c:pt idx="861" c:formatCode="0.00_);[Red]\(0.00\)">
                  <c:v>28.78</c:v>
                </c:pt>
                <c:pt idx="862" c:formatCode="0.00_);[Red]\(0.00\)">
                  <c:v>28.813</c:v>
                </c:pt>
                <c:pt idx="863" c:formatCode="0.00_);[Red]\(0.00\)">
                  <c:v>28.847</c:v>
                </c:pt>
                <c:pt idx="864" c:formatCode="0.00_);[Red]\(0.00\)">
                  <c:v>28.88</c:v>
                </c:pt>
                <c:pt idx="865" c:formatCode="0.00_);[Red]\(0.00\)">
                  <c:v>28.914</c:v>
                </c:pt>
                <c:pt idx="866" c:formatCode="0.00_);[Red]\(0.00\)">
                  <c:v>28.947</c:v>
                </c:pt>
                <c:pt idx="867" c:formatCode="0.00_);[Red]\(0.00\)">
                  <c:v>28.981</c:v>
                </c:pt>
                <c:pt idx="868" c:formatCode="0.00_);[Red]\(0.00\)">
                  <c:v>29.014</c:v>
                </c:pt>
                <c:pt idx="869" c:formatCode="0.00_);[Red]\(0.00\)">
                  <c:v>29.047</c:v>
                </c:pt>
                <c:pt idx="870" c:formatCode="0.00_);[Red]\(0.00\)">
                  <c:v>29.081</c:v>
                </c:pt>
                <c:pt idx="871" c:formatCode="0.00_);[Red]\(0.00\)">
                  <c:v>29.114</c:v>
                </c:pt>
                <c:pt idx="872" c:formatCode="0.00_);[Red]\(0.00\)">
                  <c:v>29.148</c:v>
                </c:pt>
                <c:pt idx="873" c:formatCode="0.00_);[Red]\(0.00\)">
                  <c:v>29.181</c:v>
                </c:pt>
                <c:pt idx="874" c:formatCode="0.00_);[Red]\(0.00\)">
                  <c:v>29.215</c:v>
                </c:pt>
                <c:pt idx="875" c:formatCode="0.00_);[Red]\(0.00\)">
                  <c:v>29.248</c:v>
                </c:pt>
                <c:pt idx="876" c:formatCode="0.00_);[Red]\(0.00\)">
                  <c:v>29.281</c:v>
                </c:pt>
                <c:pt idx="877" c:formatCode="0.00_);[Red]\(0.00\)">
                  <c:v>29.315</c:v>
                </c:pt>
                <c:pt idx="878" c:formatCode="0.00_);[Red]\(0.00\)">
                  <c:v>29.348</c:v>
                </c:pt>
                <c:pt idx="879" c:formatCode="0.00_);[Red]\(0.00\)">
                  <c:v>29.382</c:v>
                </c:pt>
                <c:pt idx="880" c:formatCode="0.00_);[Red]\(0.00\)">
                  <c:v>29.415</c:v>
                </c:pt>
                <c:pt idx="881" c:formatCode="0.00_);[Red]\(0.00\)">
                  <c:v>29.449</c:v>
                </c:pt>
                <c:pt idx="882" c:formatCode="0.00_);[Red]\(0.00\)">
                  <c:v>29.482</c:v>
                </c:pt>
                <c:pt idx="883" c:formatCode="0.00_);[Red]\(0.00\)">
                  <c:v>29.515</c:v>
                </c:pt>
                <c:pt idx="884" c:formatCode="0.00_);[Red]\(0.00\)">
                  <c:v>29.549</c:v>
                </c:pt>
                <c:pt idx="885" c:formatCode="0.00_);[Red]\(0.00\)">
                  <c:v>29.582</c:v>
                </c:pt>
                <c:pt idx="886" c:formatCode="0.00_);[Red]\(0.00\)">
                  <c:v>29.616</c:v>
                </c:pt>
                <c:pt idx="887" c:formatCode="0.00_);[Red]\(0.00\)">
                  <c:v>29.649</c:v>
                </c:pt>
                <c:pt idx="888" c:formatCode="0.00_);[Red]\(0.00\)">
                  <c:v>29.683</c:v>
                </c:pt>
                <c:pt idx="889" c:formatCode="0.00_);[Red]\(0.00\)">
                  <c:v>29.716</c:v>
                </c:pt>
                <c:pt idx="890" c:formatCode="0.00_);[Red]\(0.00\)">
                  <c:v>29.749</c:v>
                </c:pt>
                <c:pt idx="891" c:formatCode="0.00_);[Red]\(0.00\)">
                  <c:v>29.783</c:v>
                </c:pt>
                <c:pt idx="892" c:formatCode="0.00_);[Red]\(0.00\)">
                  <c:v>29.816</c:v>
                </c:pt>
                <c:pt idx="893" c:formatCode="0.00_);[Red]\(0.00\)">
                  <c:v>29.85</c:v>
                </c:pt>
                <c:pt idx="894" c:formatCode="0.00_);[Red]\(0.00\)">
                  <c:v>29.883</c:v>
                </c:pt>
                <c:pt idx="895" c:formatCode="0.00_);[Red]\(0.00\)">
                  <c:v>29.916</c:v>
                </c:pt>
                <c:pt idx="896" c:formatCode="0.00_);[Red]\(0.00\)">
                  <c:v>29.95</c:v>
                </c:pt>
                <c:pt idx="897" c:formatCode="0.00_);[Red]\(0.00\)">
                  <c:v>29.983</c:v>
                </c:pt>
                <c:pt idx="898" c:formatCode="0.00_);[Red]\(0.00\)">
                  <c:v>30.017</c:v>
                </c:pt>
                <c:pt idx="899" c:formatCode="0.00_);[Red]\(0.00\)">
                  <c:v>30.05</c:v>
                </c:pt>
                <c:pt idx="900" c:formatCode="0.00_);[Red]\(0.00\)">
                  <c:v>30.084</c:v>
                </c:pt>
                <c:pt idx="901" c:formatCode="0.00_);[Red]\(0.00\)">
                  <c:v>30.117</c:v>
                </c:pt>
                <c:pt idx="902" c:formatCode="0.00_);[Red]\(0.00\)">
                  <c:v>30.15</c:v>
                </c:pt>
                <c:pt idx="903" c:formatCode="0.00_);[Red]\(0.00\)">
                  <c:v>30.184</c:v>
                </c:pt>
                <c:pt idx="904" c:formatCode="0.00_);[Red]\(0.00\)">
                  <c:v>30.217</c:v>
                </c:pt>
                <c:pt idx="905" c:formatCode="0.00_);[Red]\(0.00\)">
                  <c:v>30.251</c:v>
                </c:pt>
                <c:pt idx="906" c:formatCode="0.00_);[Red]\(0.00\)">
                  <c:v>30.284</c:v>
                </c:pt>
                <c:pt idx="907" c:formatCode="0.00_);[Red]\(0.00\)">
                  <c:v>30.318</c:v>
                </c:pt>
                <c:pt idx="908" c:formatCode="0.00_);[Red]\(0.00\)">
                  <c:v>30.351</c:v>
                </c:pt>
                <c:pt idx="909" c:formatCode="0.00_);[Red]\(0.00\)">
                  <c:v>30.384</c:v>
                </c:pt>
                <c:pt idx="910" c:formatCode="0.00_);[Red]\(0.00\)">
                  <c:v>30.418</c:v>
                </c:pt>
                <c:pt idx="911" c:formatCode="0.00_);[Red]\(0.00\)">
                  <c:v>30.451</c:v>
                </c:pt>
                <c:pt idx="912" c:formatCode="0.00_);[Red]\(0.00\)">
                  <c:v>30.485</c:v>
                </c:pt>
                <c:pt idx="913" c:formatCode="0.00_);[Red]\(0.00\)">
                  <c:v>30.518</c:v>
                </c:pt>
                <c:pt idx="914" c:formatCode="0.00_);[Red]\(0.00\)">
                  <c:v>30.552</c:v>
                </c:pt>
                <c:pt idx="915" c:formatCode="0.00_);[Red]\(0.00\)">
                  <c:v>30.585</c:v>
                </c:pt>
                <c:pt idx="916" c:formatCode="0.00_);[Red]\(0.00\)">
                  <c:v>30.618</c:v>
                </c:pt>
                <c:pt idx="917" c:formatCode="0.00_);[Red]\(0.00\)">
                  <c:v>30.652</c:v>
                </c:pt>
                <c:pt idx="918" c:formatCode="0.00_);[Red]\(0.00\)">
                  <c:v>30.685</c:v>
                </c:pt>
                <c:pt idx="919" c:formatCode="0.00_);[Red]\(0.00\)">
                  <c:v>30.719</c:v>
                </c:pt>
                <c:pt idx="920" c:formatCode="0.00_);[Red]\(0.00\)">
                  <c:v>30.752</c:v>
                </c:pt>
                <c:pt idx="921" c:formatCode="0.00_);[Red]\(0.00\)">
                  <c:v>30.786</c:v>
                </c:pt>
                <c:pt idx="922" c:formatCode="0.00_);[Red]\(0.00\)">
                  <c:v>30.819</c:v>
                </c:pt>
                <c:pt idx="923" c:formatCode="0.00_);[Red]\(0.00\)">
                  <c:v>30.852</c:v>
                </c:pt>
                <c:pt idx="924" c:formatCode="0.00_);[Red]\(0.00\)">
                  <c:v>30.886</c:v>
                </c:pt>
                <c:pt idx="925" c:formatCode="0.00_);[Red]\(0.00\)">
                  <c:v>30.919</c:v>
                </c:pt>
                <c:pt idx="926" c:formatCode="0.00_);[Red]\(0.00\)">
                  <c:v>30.953</c:v>
                </c:pt>
                <c:pt idx="927" c:formatCode="0.00_);[Red]\(0.00\)">
                  <c:v>30.986</c:v>
                </c:pt>
                <c:pt idx="928" c:formatCode="0.00_);[Red]\(0.00\)">
                  <c:v>31.02</c:v>
                </c:pt>
                <c:pt idx="929" c:formatCode="0.00_);[Red]\(0.00\)">
                  <c:v>31.053</c:v>
                </c:pt>
                <c:pt idx="930" c:formatCode="0.00_);[Red]\(0.00\)">
                  <c:v>31.086</c:v>
                </c:pt>
                <c:pt idx="931" c:formatCode="0.00_);[Red]\(0.00\)">
                  <c:v>31.12</c:v>
                </c:pt>
                <c:pt idx="932" c:formatCode="0.00_);[Red]\(0.00\)">
                  <c:v>31.153</c:v>
                </c:pt>
                <c:pt idx="933" c:formatCode="0.00_);[Red]\(0.00\)">
                  <c:v>31.187</c:v>
                </c:pt>
                <c:pt idx="934" c:formatCode="0.00_);[Red]\(0.00\)">
                  <c:v>31.22</c:v>
                </c:pt>
                <c:pt idx="935" c:formatCode="0.00_);[Red]\(0.00\)">
                  <c:v>31.254</c:v>
                </c:pt>
                <c:pt idx="936" c:formatCode="0.00_);[Red]\(0.00\)">
                  <c:v>31.287</c:v>
                </c:pt>
                <c:pt idx="937" c:formatCode="0.00_);[Red]\(0.00\)">
                  <c:v>31.32</c:v>
                </c:pt>
                <c:pt idx="938" c:formatCode="0.00_);[Red]\(0.00\)">
                  <c:v>31.354</c:v>
                </c:pt>
                <c:pt idx="939" c:formatCode="0.00_);[Red]\(0.00\)">
                  <c:v>31.387</c:v>
                </c:pt>
                <c:pt idx="940" c:formatCode="0.00_);[Red]\(0.00\)">
                  <c:v>31.421</c:v>
                </c:pt>
                <c:pt idx="941" c:formatCode="0.00_);[Red]\(0.00\)">
                  <c:v>31.454</c:v>
                </c:pt>
                <c:pt idx="942" c:formatCode="0.00_);[Red]\(0.00\)">
                  <c:v>31.488</c:v>
                </c:pt>
                <c:pt idx="943" c:formatCode="0.00_);[Red]\(0.00\)">
                  <c:v>31.521</c:v>
                </c:pt>
                <c:pt idx="944" c:formatCode="0.00_);[Red]\(0.00\)">
                  <c:v>31.554</c:v>
                </c:pt>
                <c:pt idx="945" c:formatCode="0.00_);[Red]\(0.00\)">
                  <c:v>31.588</c:v>
                </c:pt>
                <c:pt idx="946" c:formatCode="0.00_);[Red]\(0.00\)">
                  <c:v>31.621</c:v>
                </c:pt>
                <c:pt idx="947" c:formatCode="0.00_);[Red]\(0.00\)">
                  <c:v>31.655</c:v>
                </c:pt>
                <c:pt idx="948" c:formatCode="0.00_);[Red]\(0.00\)">
                  <c:v>31.688</c:v>
                </c:pt>
                <c:pt idx="949" c:formatCode="0.00_);[Red]\(0.00\)">
                  <c:v>31.722</c:v>
                </c:pt>
                <c:pt idx="950" c:formatCode="0.00_);[Red]\(0.00\)">
                  <c:v>31.755</c:v>
                </c:pt>
                <c:pt idx="951" c:formatCode="0.00_);[Red]\(0.00\)">
                  <c:v>31.788</c:v>
                </c:pt>
                <c:pt idx="952" c:formatCode="0.00_);[Red]\(0.00\)">
                  <c:v>31.822</c:v>
                </c:pt>
                <c:pt idx="953" c:formatCode="0.00_);[Red]\(0.00\)">
                  <c:v>31.855</c:v>
                </c:pt>
                <c:pt idx="954" c:formatCode="0.00_);[Red]\(0.00\)">
                  <c:v>31.889</c:v>
                </c:pt>
                <c:pt idx="955" c:formatCode="0.00_);[Red]\(0.00\)">
                  <c:v>31.922</c:v>
                </c:pt>
                <c:pt idx="956" c:formatCode="0.00_);[Red]\(0.00\)">
                  <c:v>31.955</c:v>
                </c:pt>
                <c:pt idx="957" c:formatCode="0.00_);[Red]\(0.00\)">
                  <c:v>31.989</c:v>
                </c:pt>
                <c:pt idx="958" c:formatCode="0.00_);[Red]\(0.00\)">
                  <c:v>32.022</c:v>
                </c:pt>
                <c:pt idx="959" c:formatCode="0.00_);[Red]\(0.00\)">
                  <c:v>32.056</c:v>
                </c:pt>
                <c:pt idx="960" c:formatCode="0.00_);[Red]\(0.00\)">
                  <c:v>32.089</c:v>
                </c:pt>
                <c:pt idx="961" c:formatCode="0.00_);[Red]\(0.00\)">
                  <c:v>32.123</c:v>
                </c:pt>
                <c:pt idx="962" c:formatCode="0.00_);[Red]\(0.00\)">
                  <c:v>32.156</c:v>
                </c:pt>
                <c:pt idx="963" c:formatCode="0.00_);[Red]\(0.00\)">
                  <c:v>32.189</c:v>
                </c:pt>
                <c:pt idx="964" c:formatCode="0.00_);[Red]\(0.00\)">
                  <c:v>32.223</c:v>
                </c:pt>
                <c:pt idx="965" c:formatCode="0.00_);[Red]\(0.00\)">
                  <c:v>32.256</c:v>
                </c:pt>
                <c:pt idx="966" c:formatCode="0.00_);[Red]\(0.00\)">
                  <c:v>32.29</c:v>
                </c:pt>
                <c:pt idx="967" c:formatCode="0.00_);[Red]\(0.00\)">
                  <c:v>32.323</c:v>
                </c:pt>
                <c:pt idx="968" c:formatCode="0.00_);[Red]\(0.00\)">
                  <c:v>32.357</c:v>
                </c:pt>
                <c:pt idx="969" c:formatCode="0.00_);[Red]\(0.00\)">
                  <c:v>32.39</c:v>
                </c:pt>
                <c:pt idx="970" c:formatCode="0.00_);[Red]\(0.00\)">
                  <c:v>32.423</c:v>
                </c:pt>
                <c:pt idx="971" c:formatCode="0.00_);[Red]\(0.00\)">
                  <c:v>32.457</c:v>
                </c:pt>
                <c:pt idx="972" c:formatCode="0.00_);[Red]\(0.00\)">
                  <c:v>32.49</c:v>
                </c:pt>
                <c:pt idx="973" c:formatCode="0.00_);[Red]\(0.00\)">
                  <c:v>32.524</c:v>
                </c:pt>
                <c:pt idx="974" c:formatCode="0.00_);[Red]\(0.00\)">
                  <c:v>32.557</c:v>
                </c:pt>
                <c:pt idx="975" c:formatCode="0.00_);[Red]\(0.00\)">
                  <c:v>32.591</c:v>
                </c:pt>
                <c:pt idx="976" c:formatCode="0.00_);[Red]\(0.00\)">
                  <c:v>32.624</c:v>
                </c:pt>
                <c:pt idx="977" c:formatCode="0.00_);[Red]\(0.00\)">
                  <c:v>32.657</c:v>
                </c:pt>
                <c:pt idx="978" c:formatCode="0.00_);[Red]\(0.00\)">
                  <c:v>32.691</c:v>
                </c:pt>
                <c:pt idx="979" c:formatCode="0.00_);[Red]\(0.00\)">
                  <c:v>32.724</c:v>
                </c:pt>
                <c:pt idx="980" c:formatCode="0.00_);[Red]\(0.00\)">
                  <c:v>32.758</c:v>
                </c:pt>
                <c:pt idx="981" c:formatCode="0.00_);[Red]\(0.00\)">
                  <c:v>32.791</c:v>
                </c:pt>
                <c:pt idx="982" c:formatCode="0.00_);[Red]\(0.00\)">
                  <c:v>32.825</c:v>
                </c:pt>
                <c:pt idx="983" c:formatCode="0.00_);[Red]\(0.00\)">
                  <c:v>32.858</c:v>
                </c:pt>
                <c:pt idx="984" c:formatCode="0.00_);[Red]\(0.00\)">
                  <c:v>32.891</c:v>
                </c:pt>
                <c:pt idx="985" c:formatCode="0.00_);[Red]\(0.00\)">
                  <c:v>32.925</c:v>
                </c:pt>
                <c:pt idx="986" c:formatCode="0.00_);[Red]\(0.00\)">
                  <c:v>32.958</c:v>
                </c:pt>
                <c:pt idx="987" c:formatCode="0.00_);[Red]\(0.00\)">
                  <c:v>32.992</c:v>
                </c:pt>
                <c:pt idx="988" c:formatCode="0.00_);[Red]\(0.00\)">
                  <c:v>33.025</c:v>
                </c:pt>
                <c:pt idx="989" c:formatCode="0.00_);[Red]\(0.00\)">
                  <c:v>33.059</c:v>
                </c:pt>
                <c:pt idx="990" c:formatCode="0.00_);[Red]\(0.00\)">
                  <c:v>33.092</c:v>
                </c:pt>
                <c:pt idx="991" c:formatCode="0.00_);[Red]\(0.00\)">
                  <c:v>33.125</c:v>
                </c:pt>
                <c:pt idx="992" c:formatCode="0.00_);[Red]\(0.00\)">
                  <c:v>33.159</c:v>
                </c:pt>
                <c:pt idx="993" c:formatCode="0.00_);[Red]\(0.00\)">
                  <c:v>33.192</c:v>
                </c:pt>
                <c:pt idx="994" c:formatCode="0.00_);[Red]\(0.00\)">
                  <c:v>33.226</c:v>
                </c:pt>
                <c:pt idx="995" c:formatCode="0.00_);[Red]\(0.00\)">
                  <c:v>33.259</c:v>
                </c:pt>
                <c:pt idx="996" c:formatCode="0.00_);[Red]\(0.00\)">
                  <c:v>33.293</c:v>
                </c:pt>
                <c:pt idx="997" c:formatCode="0.00_);[Red]\(0.00\)">
                  <c:v>33.326</c:v>
                </c:pt>
                <c:pt idx="998" c:formatCode="0.00_);[Red]\(0.00\)">
                  <c:v>33.359</c:v>
                </c:pt>
                <c:pt idx="999" c:formatCode="0.00_);[Red]\(0.00\)">
                  <c:v>33.393</c:v>
                </c:pt>
                <c:pt idx="1000" c:formatCode="0.00_);[Red]\(0.00\)">
                  <c:v>33.426</c:v>
                </c:pt>
                <c:pt idx="1001" c:formatCode="0.00_);[Red]\(0.00\)">
                  <c:v>33.46</c:v>
                </c:pt>
                <c:pt idx="1002" c:formatCode="0.00_);[Red]\(0.00\)">
                  <c:v>33.493</c:v>
                </c:pt>
                <c:pt idx="1003" c:formatCode="0.00_);[Red]\(0.00\)">
                  <c:v>33.527</c:v>
                </c:pt>
                <c:pt idx="1004" c:formatCode="0.00_);[Red]\(0.00\)">
                  <c:v>33.56</c:v>
                </c:pt>
                <c:pt idx="1005" c:formatCode="0.00_);[Red]\(0.00\)">
                  <c:v>33.593</c:v>
                </c:pt>
                <c:pt idx="1006" c:formatCode="0.00_);[Red]\(0.00\)">
                  <c:v>33.627</c:v>
                </c:pt>
                <c:pt idx="1007" c:formatCode="0.00_);[Red]\(0.00\)">
                  <c:v>33.66</c:v>
                </c:pt>
                <c:pt idx="1008" c:formatCode="0.00_);[Red]\(0.00\)">
                  <c:v>33.694</c:v>
                </c:pt>
                <c:pt idx="1009" c:formatCode="0.00_);[Red]\(0.00\)">
                  <c:v>33.727</c:v>
                </c:pt>
                <c:pt idx="1010" c:formatCode="0.00_);[Red]\(0.00\)">
                  <c:v>33.761</c:v>
                </c:pt>
                <c:pt idx="1011" c:formatCode="0.00_);[Red]\(0.00\)">
                  <c:v>33.794</c:v>
                </c:pt>
                <c:pt idx="1012" c:formatCode="0.00_);[Red]\(0.00\)">
                  <c:v>33.827</c:v>
                </c:pt>
                <c:pt idx="1013" c:formatCode="0.00_);[Red]\(0.00\)">
                  <c:v>33.861</c:v>
                </c:pt>
                <c:pt idx="1014" c:formatCode="0.00_);[Red]\(0.00\)">
                  <c:v>33.894</c:v>
                </c:pt>
                <c:pt idx="1015" c:formatCode="0.00_);[Red]\(0.00\)">
                  <c:v>33.928</c:v>
                </c:pt>
                <c:pt idx="1016" c:formatCode="0.00_);[Red]\(0.00\)">
                  <c:v>33.961</c:v>
                </c:pt>
                <c:pt idx="1017" c:formatCode="0.00_);[Red]\(0.00\)">
                  <c:v>33.994</c:v>
                </c:pt>
                <c:pt idx="1018" c:formatCode="0.00_);[Red]\(0.00\)">
                  <c:v>34.028</c:v>
                </c:pt>
                <c:pt idx="1019" c:formatCode="0.00_);[Red]\(0.00\)">
                  <c:v>34.061</c:v>
                </c:pt>
                <c:pt idx="1020" c:formatCode="0.00_);[Red]\(0.00\)">
                  <c:v>34.095</c:v>
                </c:pt>
                <c:pt idx="1021" c:formatCode="0.00_);[Red]\(0.00\)">
                  <c:v>34.128</c:v>
                </c:pt>
                <c:pt idx="1022" c:formatCode="0.00_);[Red]\(0.00\)">
                  <c:v>34.162</c:v>
                </c:pt>
                <c:pt idx="1023" c:formatCode="0.00_);[Red]\(0.00\)">
                  <c:v>34.195</c:v>
                </c:pt>
                <c:pt idx="1024" c:formatCode="0.00_);[Red]\(0.00\)">
                  <c:v>34.228</c:v>
                </c:pt>
                <c:pt idx="1025" c:formatCode="0.00_);[Red]\(0.00\)">
                  <c:v>34.262</c:v>
                </c:pt>
                <c:pt idx="1026" c:formatCode="0.00_);[Red]\(0.00\)">
                  <c:v>34.295</c:v>
                </c:pt>
                <c:pt idx="1027" c:formatCode="0.00_);[Red]\(0.00\)">
                  <c:v>34.329</c:v>
                </c:pt>
                <c:pt idx="1028" c:formatCode="0.00_);[Red]\(0.00\)">
                  <c:v>34.362</c:v>
                </c:pt>
                <c:pt idx="1029" c:formatCode="0.00_);[Red]\(0.00\)">
                  <c:v>34.396</c:v>
                </c:pt>
                <c:pt idx="1030" c:formatCode="0.00_);[Red]\(0.00\)">
                  <c:v>34.429</c:v>
                </c:pt>
                <c:pt idx="1031" c:formatCode="0.00_);[Red]\(0.00\)">
                  <c:v>34.462</c:v>
                </c:pt>
                <c:pt idx="1032" c:formatCode="0.00_);[Red]\(0.00\)">
                  <c:v>34.496</c:v>
                </c:pt>
                <c:pt idx="1033" c:formatCode="0.00_);[Red]\(0.00\)">
                  <c:v>34.529</c:v>
                </c:pt>
                <c:pt idx="1034" c:formatCode="0.00_);[Red]\(0.00\)">
                  <c:v>34.563</c:v>
                </c:pt>
                <c:pt idx="1035" c:formatCode="0.00_);[Red]\(0.00\)">
                  <c:v>34.596</c:v>
                </c:pt>
                <c:pt idx="1036" c:formatCode="0.00_);[Red]\(0.00\)">
                  <c:v>34.63</c:v>
                </c:pt>
                <c:pt idx="1037" c:formatCode="0.00_);[Red]\(0.00\)">
                  <c:v>34.663</c:v>
                </c:pt>
                <c:pt idx="1038" c:formatCode="0.00_);[Red]\(0.00\)">
                  <c:v>34.696</c:v>
                </c:pt>
                <c:pt idx="1039" c:formatCode="0.00_);[Red]\(0.00\)">
                  <c:v>34.73</c:v>
                </c:pt>
                <c:pt idx="1040" c:formatCode="0.00_);[Red]\(0.00\)">
                  <c:v>34.763</c:v>
                </c:pt>
                <c:pt idx="1041" c:formatCode="0.00_);[Red]\(0.00\)">
                  <c:v>34.797</c:v>
                </c:pt>
                <c:pt idx="1042" c:formatCode="0.00_);[Red]\(0.00\)">
                  <c:v>34.83</c:v>
                </c:pt>
                <c:pt idx="1043" c:formatCode="0.00_);[Red]\(0.00\)">
                  <c:v>34.864</c:v>
                </c:pt>
                <c:pt idx="1044" c:formatCode="0.00_);[Red]\(0.00\)">
                  <c:v>34.897</c:v>
                </c:pt>
                <c:pt idx="1045" c:formatCode="0.00_);[Red]\(0.00\)">
                  <c:v>34.93</c:v>
                </c:pt>
                <c:pt idx="1046" c:formatCode="0.00_);[Red]\(0.00\)">
                  <c:v>34.964</c:v>
                </c:pt>
                <c:pt idx="1047" c:formatCode="0.00_);[Red]\(0.00\)">
                  <c:v>34.997</c:v>
                </c:pt>
                <c:pt idx="1048" c:formatCode="0.00_);[Red]\(0.00\)">
                  <c:v>35.031</c:v>
                </c:pt>
                <c:pt idx="1049" c:formatCode="0.00_);[Red]\(0.00\)">
                  <c:v>35.064</c:v>
                </c:pt>
                <c:pt idx="1050" c:formatCode="0.00_);[Red]\(0.00\)">
                  <c:v>35.098</c:v>
                </c:pt>
                <c:pt idx="1051" c:formatCode="0.00_);[Red]\(0.00\)">
                  <c:v>35.131</c:v>
                </c:pt>
                <c:pt idx="1052" c:formatCode="0.00_);[Red]\(0.00\)">
                  <c:v>35.164</c:v>
                </c:pt>
                <c:pt idx="1053" c:formatCode="0.00_);[Red]\(0.00\)">
                  <c:v>35.198</c:v>
                </c:pt>
                <c:pt idx="1054" c:formatCode="0.00_);[Red]\(0.00\)">
                  <c:v>35.231</c:v>
                </c:pt>
                <c:pt idx="1055" c:formatCode="0.00_);[Red]\(0.00\)">
                  <c:v>35.265</c:v>
                </c:pt>
                <c:pt idx="1056" c:formatCode="0.00_);[Red]\(0.00\)">
                  <c:v>35.298</c:v>
                </c:pt>
                <c:pt idx="1057" c:formatCode="0.00_);[Red]\(0.00\)">
                  <c:v>35.332</c:v>
                </c:pt>
                <c:pt idx="1058" c:formatCode="0.00_);[Red]\(0.00\)">
                  <c:v>35.365</c:v>
                </c:pt>
                <c:pt idx="1059" c:formatCode="0.00_);[Red]\(0.00\)">
                  <c:v>35.398</c:v>
                </c:pt>
                <c:pt idx="1060" c:formatCode="0.00_);[Red]\(0.00\)">
                  <c:v>35.432</c:v>
                </c:pt>
                <c:pt idx="1061" c:formatCode="0.00_);[Red]\(0.00\)">
                  <c:v>35.465</c:v>
                </c:pt>
                <c:pt idx="1062" c:formatCode="0.00_);[Red]\(0.00\)">
                  <c:v>35.499</c:v>
                </c:pt>
                <c:pt idx="1063" c:formatCode="0.00_);[Red]\(0.00\)">
                  <c:v>35.532</c:v>
                </c:pt>
                <c:pt idx="1064" c:formatCode="0.00_);[Red]\(0.00\)">
                  <c:v>35.566</c:v>
                </c:pt>
                <c:pt idx="1065" c:formatCode="0.00_);[Red]\(0.00\)">
                  <c:v>35.599</c:v>
                </c:pt>
                <c:pt idx="1066" c:formatCode="0.00_);[Red]\(0.00\)">
                  <c:v>35.632</c:v>
                </c:pt>
                <c:pt idx="1067" c:formatCode="0.00_);[Red]\(0.00\)">
                  <c:v>35.666</c:v>
                </c:pt>
                <c:pt idx="1068" c:formatCode="0.00_);[Red]\(0.00\)">
                  <c:v>35.699</c:v>
                </c:pt>
                <c:pt idx="1069" c:formatCode="0.00_);[Red]\(0.00\)">
                  <c:v>35.733</c:v>
                </c:pt>
                <c:pt idx="1070" c:formatCode="0.00_);[Red]\(0.00\)">
                  <c:v>35.766</c:v>
                </c:pt>
                <c:pt idx="1071" c:formatCode="0.00_);[Red]\(0.00\)">
                  <c:v>35.8</c:v>
                </c:pt>
                <c:pt idx="1072" c:formatCode="0.00_);[Red]\(0.00\)">
                  <c:v>35.833</c:v>
                </c:pt>
                <c:pt idx="1073" c:formatCode="0.00_);[Red]\(0.00\)">
                  <c:v>35.866</c:v>
                </c:pt>
                <c:pt idx="1074" c:formatCode="0.00_);[Red]\(0.00\)">
                  <c:v>35.9</c:v>
                </c:pt>
                <c:pt idx="1075" c:formatCode="0.00_);[Red]\(0.00\)">
                  <c:v>35.933</c:v>
                </c:pt>
                <c:pt idx="1076" c:formatCode="0.00_);[Red]\(0.00\)">
                  <c:v>35.967</c:v>
                </c:pt>
              </c:numCache>
            </c:numRef>
          </c:cat>
          <c:val>
            <c:numRef>
              <c:f>A_09_16_04_B!$K$4:$K$1080</c:f>
              <c:numCache>
                <c:formatCode>0.000_ </c:formatCode>
                <c:ptCount val="1077"/>
                <c:pt idx="0">
                  <c:v>0</c:v>
                </c:pt>
                <c:pt idx="1">
                  <c:v>0.0999999999999612</c:v>
                </c:pt>
                <c:pt idx="2">
                  <c:v>0.199999999999992</c:v>
                </c:pt>
                <c:pt idx="3">
                  <c:v>0.300000000000022</c:v>
                </c:pt>
                <c:pt idx="4">
                  <c:v>0.399999999999984</c:v>
                </c:pt>
                <c:pt idx="5">
                  <c:v>0.300000000000022</c:v>
                </c:pt>
                <c:pt idx="6">
                  <c:v>0.300000000000022</c:v>
                </c:pt>
                <c:pt idx="7">
                  <c:v>0.300000000000022</c:v>
                </c:pt>
                <c:pt idx="8">
                  <c:v>0.399999999999984</c:v>
                </c:pt>
                <c:pt idx="9">
                  <c:v>0.399999999999984</c:v>
                </c:pt>
                <c:pt idx="10">
                  <c:v>0.399999999999984</c:v>
                </c:pt>
                <c:pt idx="11">
                  <c:v>0.399999999999984</c:v>
                </c:pt>
                <c:pt idx="12">
                  <c:v>0.300000000000022</c:v>
                </c:pt>
                <c:pt idx="13">
                  <c:v>0.300000000000022</c:v>
                </c:pt>
                <c:pt idx="14">
                  <c:v>0.300000000000022</c:v>
                </c:pt>
                <c:pt idx="15">
                  <c:v>0.199999999999992</c:v>
                </c:pt>
                <c:pt idx="16">
                  <c:v>0.199999999999992</c:v>
                </c:pt>
                <c:pt idx="17">
                  <c:v>0.199999999999992</c:v>
                </c:pt>
                <c:pt idx="18">
                  <c:v>0.0999999999999612</c:v>
                </c:pt>
                <c:pt idx="19">
                  <c:v>0.199999999999992</c:v>
                </c:pt>
                <c:pt idx="20">
                  <c:v>-0.199999999999992</c:v>
                </c:pt>
                <c:pt idx="21">
                  <c:v>-0.100000000000031</c:v>
                </c:pt>
                <c:pt idx="22">
                  <c:v>-0.100000000000031</c:v>
                </c:pt>
                <c:pt idx="23">
                  <c:v>-0.100000000000031</c:v>
                </c:pt>
                <c:pt idx="24">
                  <c:v>-0.100000000000031</c:v>
                </c:pt>
                <c:pt idx="25">
                  <c:v>-0.199999999999992</c:v>
                </c:pt>
                <c:pt idx="26">
                  <c:v>-0.199999999999992</c:v>
                </c:pt>
                <c:pt idx="27">
                  <c:v>-0.300000000000022</c:v>
                </c:pt>
                <c:pt idx="28">
                  <c:v>-0.300000000000022</c:v>
                </c:pt>
                <c:pt idx="29">
                  <c:v>-0.199999999999992</c:v>
                </c:pt>
                <c:pt idx="30">
                  <c:v>-0.300000000000022</c:v>
                </c:pt>
                <c:pt idx="31">
                  <c:v>-0.199999999999992</c:v>
                </c:pt>
                <c:pt idx="32">
                  <c:v>-0.100000000000031</c:v>
                </c:pt>
                <c:pt idx="33">
                  <c:v>-0.100000000000031</c:v>
                </c:pt>
                <c:pt idx="34">
                  <c:v>-0.100000000000031</c:v>
                </c:pt>
                <c:pt idx="35">
                  <c:v>0.0999999999999612</c:v>
                </c:pt>
                <c:pt idx="36">
                  <c:v>0</c:v>
                </c:pt>
                <c:pt idx="37">
                  <c:v>0</c:v>
                </c:pt>
                <c:pt idx="38">
                  <c:v>0.0999999999999612</c:v>
                </c:pt>
                <c:pt idx="39">
                  <c:v>0.0999999999999612</c:v>
                </c:pt>
                <c:pt idx="40">
                  <c:v>0.199999999999992</c:v>
                </c:pt>
                <c:pt idx="41">
                  <c:v>0.300000000000022</c:v>
                </c:pt>
                <c:pt idx="42">
                  <c:v>0.300000000000022</c:v>
                </c:pt>
                <c:pt idx="43">
                  <c:v>0.399999999999984</c:v>
                </c:pt>
                <c:pt idx="44">
                  <c:v>0.399999999999984</c:v>
                </c:pt>
                <c:pt idx="45">
                  <c:v>0.399999999999984</c:v>
                </c:pt>
                <c:pt idx="46">
                  <c:v>0.399999999999984</c:v>
                </c:pt>
                <c:pt idx="47">
                  <c:v>0.300000000000022</c:v>
                </c:pt>
                <c:pt idx="48">
                  <c:v>0.399999999999984</c:v>
                </c:pt>
                <c:pt idx="49">
                  <c:v>0.399999999999984</c:v>
                </c:pt>
                <c:pt idx="50">
                  <c:v>0.300000000000022</c:v>
                </c:pt>
                <c:pt idx="51">
                  <c:v>0.399999999999984</c:v>
                </c:pt>
                <c:pt idx="52">
                  <c:v>0.300000000000022</c:v>
                </c:pt>
                <c:pt idx="53">
                  <c:v>0.199999999999992</c:v>
                </c:pt>
                <c:pt idx="54">
                  <c:v>0.300000000000022</c:v>
                </c:pt>
                <c:pt idx="55">
                  <c:v>0.199999999999992</c:v>
                </c:pt>
                <c:pt idx="56">
                  <c:v>0.0999999999999612</c:v>
                </c:pt>
                <c:pt idx="57">
                  <c:v>0.0999999999999612</c:v>
                </c:pt>
                <c:pt idx="58">
                  <c:v>0.0999999999999612</c:v>
                </c:pt>
                <c:pt idx="59">
                  <c:v>-0.100000000000031</c:v>
                </c:pt>
                <c:pt idx="60">
                  <c:v>0</c:v>
                </c:pt>
                <c:pt idx="61">
                  <c:v>-0.100000000000031</c:v>
                </c:pt>
                <c:pt idx="62">
                  <c:v>-0.100000000000031</c:v>
                </c:pt>
                <c:pt idx="63">
                  <c:v>-0.100000000000031</c:v>
                </c:pt>
                <c:pt idx="64">
                  <c:v>-0.199999999999992</c:v>
                </c:pt>
                <c:pt idx="65">
                  <c:v>-0.300000000000022</c:v>
                </c:pt>
                <c:pt idx="66">
                  <c:v>-0.199999999999992</c:v>
                </c:pt>
                <c:pt idx="67">
                  <c:v>-0.300000000000022</c:v>
                </c:pt>
                <c:pt idx="68">
                  <c:v>-0.199999999999992</c:v>
                </c:pt>
                <c:pt idx="69">
                  <c:v>-0.199999999999992</c:v>
                </c:pt>
                <c:pt idx="70">
                  <c:v>-0.199999999999992</c:v>
                </c:pt>
                <c:pt idx="71">
                  <c:v>-0.199999999999992</c:v>
                </c:pt>
                <c:pt idx="72">
                  <c:v>-0.100000000000031</c:v>
                </c:pt>
                <c:pt idx="73">
                  <c:v>-0.100000000000031</c:v>
                </c:pt>
                <c:pt idx="74">
                  <c:v>-0.100000000000031</c:v>
                </c:pt>
                <c:pt idx="75">
                  <c:v>0</c:v>
                </c:pt>
                <c:pt idx="76">
                  <c:v>0</c:v>
                </c:pt>
                <c:pt idx="77">
                  <c:v>0.0999999999999612</c:v>
                </c:pt>
                <c:pt idx="78">
                  <c:v>0.199999999999992</c:v>
                </c:pt>
                <c:pt idx="79">
                  <c:v>0.300000000000022</c:v>
                </c:pt>
                <c:pt idx="80">
                  <c:v>0.300000000000022</c:v>
                </c:pt>
                <c:pt idx="81">
                  <c:v>0.300000000000022</c:v>
                </c:pt>
                <c:pt idx="82">
                  <c:v>0.199999999999992</c:v>
                </c:pt>
                <c:pt idx="83">
                  <c:v>0.399999999999984</c:v>
                </c:pt>
                <c:pt idx="84">
                  <c:v>0.300000000000022</c:v>
                </c:pt>
                <c:pt idx="85">
                  <c:v>0.199999999999992</c:v>
                </c:pt>
                <c:pt idx="86">
                  <c:v>0.300000000000022</c:v>
                </c:pt>
                <c:pt idx="87">
                  <c:v>0.399999999999984</c:v>
                </c:pt>
                <c:pt idx="88">
                  <c:v>0.399999999999984</c:v>
                </c:pt>
                <c:pt idx="89">
                  <c:v>0.300000000000022</c:v>
                </c:pt>
                <c:pt idx="90">
                  <c:v>0.199999999999992</c:v>
                </c:pt>
                <c:pt idx="91">
                  <c:v>0.300000000000022</c:v>
                </c:pt>
                <c:pt idx="92">
                  <c:v>0.300000000000022</c:v>
                </c:pt>
                <c:pt idx="93">
                  <c:v>0.300000000000022</c:v>
                </c:pt>
                <c:pt idx="94">
                  <c:v>0.0999999999999612</c:v>
                </c:pt>
                <c:pt idx="95">
                  <c:v>0.199999999999992</c:v>
                </c:pt>
                <c:pt idx="96">
                  <c:v>0.0999999999999612</c:v>
                </c:pt>
                <c:pt idx="97">
                  <c:v>0.0999999999999612</c:v>
                </c:pt>
                <c:pt idx="98">
                  <c:v>0</c:v>
                </c:pt>
                <c:pt idx="99">
                  <c:v>0</c:v>
                </c:pt>
                <c:pt idx="100">
                  <c:v>-0.100000000000031</c:v>
                </c:pt>
                <c:pt idx="101">
                  <c:v>-0.100000000000031</c:v>
                </c:pt>
                <c:pt idx="102">
                  <c:v>-0.100000000000031</c:v>
                </c:pt>
                <c:pt idx="103">
                  <c:v>-0.100000000000031</c:v>
                </c:pt>
                <c:pt idx="104">
                  <c:v>-0.300000000000022</c:v>
                </c:pt>
                <c:pt idx="105">
                  <c:v>-0.199999999999992</c:v>
                </c:pt>
                <c:pt idx="106">
                  <c:v>-0.199999999999992</c:v>
                </c:pt>
                <c:pt idx="107">
                  <c:v>-0.300000000000022</c:v>
                </c:pt>
                <c:pt idx="108">
                  <c:v>-0.300000000000022</c:v>
                </c:pt>
                <c:pt idx="109">
                  <c:v>-0.199999999999992</c:v>
                </c:pt>
                <c:pt idx="110">
                  <c:v>-0.199999999999992</c:v>
                </c:pt>
                <c:pt idx="111">
                  <c:v>-0.199999999999992</c:v>
                </c:pt>
                <c:pt idx="112">
                  <c:v>-0.100000000000031</c:v>
                </c:pt>
                <c:pt idx="113">
                  <c:v>-0.100000000000031</c:v>
                </c:pt>
                <c:pt idx="114">
                  <c:v>-0.100000000000031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0.199999999999992</c:v>
                </c:pt>
                <c:pt idx="121">
                  <c:v>0.199999999999992</c:v>
                </c:pt>
                <c:pt idx="122">
                  <c:v>0.300000000000022</c:v>
                </c:pt>
                <c:pt idx="123">
                  <c:v>0.300000000000022</c:v>
                </c:pt>
                <c:pt idx="124">
                  <c:v>0.500000000000014</c:v>
                </c:pt>
                <c:pt idx="125">
                  <c:v>0.700000000000006</c:v>
                </c:pt>
                <c:pt idx="126">
                  <c:v>0.899999999999998</c:v>
                </c:pt>
                <c:pt idx="127">
                  <c:v>1.09999999999999</c:v>
                </c:pt>
                <c:pt idx="128">
                  <c:v>1.40000000000001</c:v>
                </c:pt>
                <c:pt idx="129">
                  <c:v>1.6</c:v>
                </c:pt>
                <c:pt idx="130">
                  <c:v>2.79999999999996</c:v>
                </c:pt>
                <c:pt idx="131">
                  <c:v>3.70000000000002</c:v>
                </c:pt>
                <c:pt idx="132">
                  <c:v>4.3</c:v>
                </c:pt>
                <c:pt idx="133">
                  <c:v>4.89999999999997</c:v>
                </c:pt>
                <c:pt idx="134">
                  <c:v>5.99999999999996</c:v>
                </c:pt>
                <c:pt idx="135">
                  <c:v>6.60000000000001</c:v>
                </c:pt>
                <c:pt idx="136">
                  <c:v>7.30000000000001</c:v>
                </c:pt>
                <c:pt idx="137">
                  <c:v>7.59999999999997</c:v>
                </c:pt>
                <c:pt idx="138">
                  <c:v>7.89999999999999</c:v>
                </c:pt>
                <c:pt idx="139">
                  <c:v>8.90000000000002</c:v>
                </c:pt>
                <c:pt idx="140">
                  <c:v>9.39999999999996</c:v>
                </c:pt>
                <c:pt idx="141">
                  <c:v>9.80000000000002</c:v>
                </c:pt>
                <c:pt idx="142">
                  <c:v>10.1</c:v>
                </c:pt>
                <c:pt idx="143">
                  <c:v>10.2</c:v>
                </c:pt>
                <c:pt idx="144">
                  <c:v>10.4</c:v>
                </c:pt>
                <c:pt idx="145">
                  <c:v>10.2</c:v>
                </c:pt>
                <c:pt idx="146">
                  <c:v>10</c:v>
                </c:pt>
                <c:pt idx="147">
                  <c:v>9.89999999999998</c:v>
                </c:pt>
                <c:pt idx="148">
                  <c:v>9.69999999999999</c:v>
                </c:pt>
                <c:pt idx="149">
                  <c:v>9.39999999999996</c:v>
                </c:pt>
                <c:pt idx="150">
                  <c:v>9.19999999999997</c:v>
                </c:pt>
                <c:pt idx="151">
                  <c:v>8.99999999999998</c:v>
                </c:pt>
                <c:pt idx="152">
                  <c:v>8.69999999999996</c:v>
                </c:pt>
                <c:pt idx="153">
                  <c:v>8.49999999999997</c:v>
                </c:pt>
                <c:pt idx="154">
                  <c:v>8.29999999999997</c:v>
                </c:pt>
                <c:pt idx="155">
                  <c:v>7.79999999999996</c:v>
                </c:pt>
                <c:pt idx="156">
                  <c:v>7.59999999999997</c:v>
                </c:pt>
                <c:pt idx="157">
                  <c:v>7.19999999999998</c:v>
                </c:pt>
                <c:pt idx="158">
                  <c:v>6.29999999999999</c:v>
                </c:pt>
                <c:pt idx="159">
                  <c:v>5.70000000000001</c:v>
                </c:pt>
                <c:pt idx="160">
                  <c:v>5.29999999999996</c:v>
                </c:pt>
                <c:pt idx="161">
                  <c:v>4.89999999999997</c:v>
                </c:pt>
                <c:pt idx="162">
                  <c:v>4.89999999999997</c:v>
                </c:pt>
                <c:pt idx="163">
                  <c:v>4.80000000000001</c:v>
                </c:pt>
                <c:pt idx="164">
                  <c:v>4.80000000000001</c:v>
                </c:pt>
                <c:pt idx="165">
                  <c:v>4.80000000000001</c:v>
                </c:pt>
                <c:pt idx="166">
                  <c:v>5</c:v>
                </c:pt>
                <c:pt idx="167">
                  <c:v>5.2</c:v>
                </c:pt>
                <c:pt idx="168">
                  <c:v>5.39999999999999</c:v>
                </c:pt>
                <c:pt idx="169">
                  <c:v>5.50000000000002</c:v>
                </c:pt>
                <c:pt idx="170">
                  <c:v>5.70000000000001</c:v>
                </c:pt>
                <c:pt idx="171">
                  <c:v>5.9</c:v>
                </c:pt>
                <c:pt idx="172">
                  <c:v>6.40000000000002</c:v>
                </c:pt>
                <c:pt idx="173">
                  <c:v>6.60000000000001</c:v>
                </c:pt>
                <c:pt idx="174">
                  <c:v>6.99999999999999</c:v>
                </c:pt>
                <c:pt idx="175">
                  <c:v>7.39999999999998</c:v>
                </c:pt>
                <c:pt idx="176">
                  <c:v>7.79999999999996</c:v>
                </c:pt>
                <c:pt idx="177">
                  <c:v>9.19999999999997</c:v>
                </c:pt>
                <c:pt idx="178">
                  <c:v>10.1</c:v>
                </c:pt>
                <c:pt idx="179">
                  <c:v>10.6</c:v>
                </c:pt>
                <c:pt idx="180">
                  <c:v>12.1</c:v>
                </c:pt>
                <c:pt idx="181">
                  <c:v>13.1</c:v>
                </c:pt>
                <c:pt idx="182">
                  <c:v>13.8</c:v>
                </c:pt>
                <c:pt idx="183">
                  <c:v>15.5</c:v>
                </c:pt>
                <c:pt idx="184">
                  <c:v>16.4</c:v>
                </c:pt>
                <c:pt idx="185">
                  <c:v>17</c:v>
                </c:pt>
                <c:pt idx="186">
                  <c:v>18.4</c:v>
                </c:pt>
                <c:pt idx="187">
                  <c:v>19.2</c:v>
                </c:pt>
                <c:pt idx="188">
                  <c:v>19.6</c:v>
                </c:pt>
                <c:pt idx="189">
                  <c:v>20</c:v>
                </c:pt>
                <c:pt idx="190">
                  <c:v>21.2</c:v>
                </c:pt>
                <c:pt idx="191">
                  <c:v>21.8</c:v>
                </c:pt>
                <c:pt idx="192">
                  <c:v>22.2</c:v>
                </c:pt>
                <c:pt idx="193">
                  <c:v>22.3</c:v>
                </c:pt>
                <c:pt idx="194">
                  <c:v>22.1</c:v>
                </c:pt>
                <c:pt idx="195">
                  <c:v>21.9</c:v>
                </c:pt>
                <c:pt idx="196">
                  <c:v>21.8</c:v>
                </c:pt>
                <c:pt idx="197">
                  <c:v>21.6</c:v>
                </c:pt>
                <c:pt idx="198">
                  <c:v>21.4</c:v>
                </c:pt>
                <c:pt idx="199">
                  <c:v>21</c:v>
                </c:pt>
                <c:pt idx="200">
                  <c:v>20.6</c:v>
                </c:pt>
                <c:pt idx="201">
                  <c:v>20.1</c:v>
                </c:pt>
                <c:pt idx="202">
                  <c:v>19.6</c:v>
                </c:pt>
                <c:pt idx="203">
                  <c:v>18.4</c:v>
                </c:pt>
                <c:pt idx="204">
                  <c:v>17.4</c:v>
                </c:pt>
                <c:pt idx="205">
                  <c:v>16.4</c:v>
                </c:pt>
                <c:pt idx="206">
                  <c:v>15.2</c:v>
                </c:pt>
                <c:pt idx="207">
                  <c:v>14.3</c:v>
                </c:pt>
                <c:pt idx="208">
                  <c:v>13.6</c:v>
                </c:pt>
                <c:pt idx="209">
                  <c:v>12.2</c:v>
                </c:pt>
                <c:pt idx="210">
                  <c:v>11.5</c:v>
                </c:pt>
                <c:pt idx="211">
                  <c:v>11.1</c:v>
                </c:pt>
                <c:pt idx="212">
                  <c:v>10.8</c:v>
                </c:pt>
                <c:pt idx="213">
                  <c:v>10.8</c:v>
                </c:pt>
                <c:pt idx="214">
                  <c:v>10.8</c:v>
                </c:pt>
                <c:pt idx="215">
                  <c:v>10.9</c:v>
                </c:pt>
                <c:pt idx="216">
                  <c:v>11.1</c:v>
                </c:pt>
                <c:pt idx="217">
                  <c:v>11.2</c:v>
                </c:pt>
                <c:pt idx="218">
                  <c:v>11.4</c:v>
                </c:pt>
                <c:pt idx="219">
                  <c:v>11.6</c:v>
                </c:pt>
                <c:pt idx="220">
                  <c:v>11.9</c:v>
                </c:pt>
                <c:pt idx="221">
                  <c:v>12.2</c:v>
                </c:pt>
                <c:pt idx="222">
                  <c:v>12.5</c:v>
                </c:pt>
                <c:pt idx="223">
                  <c:v>12.8</c:v>
                </c:pt>
                <c:pt idx="224">
                  <c:v>13.3</c:v>
                </c:pt>
                <c:pt idx="225">
                  <c:v>13.9</c:v>
                </c:pt>
                <c:pt idx="226">
                  <c:v>15.5</c:v>
                </c:pt>
                <c:pt idx="227">
                  <c:v>16.4</c:v>
                </c:pt>
                <c:pt idx="228">
                  <c:v>17.2</c:v>
                </c:pt>
                <c:pt idx="229">
                  <c:v>18.7</c:v>
                </c:pt>
                <c:pt idx="230">
                  <c:v>19.8</c:v>
                </c:pt>
                <c:pt idx="231">
                  <c:v>21.4</c:v>
                </c:pt>
                <c:pt idx="232">
                  <c:v>22.5</c:v>
                </c:pt>
                <c:pt idx="233">
                  <c:v>23.4</c:v>
                </c:pt>
                <c:pt idx="234">
                  <c:v>24.6</c:v>
                </c:pt>
                <c:pt idx="235">
                  <c:v>25.1</c:v>
                </c:pt>
                <c:pt idx="236">
                  <c:v>25.4</c:v>
                </c:pt>
                <c:pt idx="237">
                  <c:v>26.1</c:v>
                </c:pt>
                <c:pt idx="238">
                  <c:v>27</c:v>
                </c:pt>
                <c:pt idx="239">
                  <c:v>27.6</c:v>
                </c:pt>
                <c:pt idx="240">
                  <c:v>27.8</c:v>
                </c:pt>
                <c:pt idx="241">
                  <c:v>27.7</c:v>
                </c:pt>
                <c:pt idx="242">
                  <c:v>27.8</c:v>
                </c:pt>
                <c:pt idx="243">
                  <c:v>27.6</c:v>
                </c:pt>
                <c:pt idx="244">
                  <c:v>27.3</c:v>
                </c:pt>
                <c:pt idx="245">
                  <c:v>26.9</c:v>
                </c:pt>
                <c:pt idx="246">
                  <c:v>26.6</c:v>
                </c:pt>
                <c:pt idx="247">
                  <c:v>26.2</c:v>
                </c:pt>
                <c:pt idx="248">
                  <c:v>25.8</c:v>
                </c:pt>
                <c:pt idx="249">
                  <c:v>25.6</c:v>
                </c:pt>
                <c:pt idx="250">
                  <c:v>24.2</c:v>
                </c:pt>
                <c:pt idx="251">
                  <c:v>23.2</c:v>
                </c:pt>
                <c:pt idx="252">
                  <c:v>22.3</c:v>
                </c:pt>
                <c:pt idx="253">
                  <c:v>20.6</c:v>
                </c:pt>
                <c:pt idx="254">
                  <c:v>19.8</c:v>
                </c:pt>
                <c:pt idx="255">
                  <c:v>19</c:v>
                </c:pt>
                <c:pt idx="256">
                  <c:v>17.7</c:v>
                </c:pt>
                <c:pt idx="257">
                  <c:v>16.8</c:v>
                </c:pt>
                <c:pt idx="258">
                  <c:v>16.2</c:v>
                </c:pt>
                <c:pt idx="259">
                  <c:v>15.2</c:v>
                </c:pt>
                <c:pt idx="260">
                  <c:v>14.5</c:v>
                </c:pt>
                <c:pt idx="261">
                  <c:v>14.3</c:v>
                </c:pt>
                <c:pt idx="262">
                  <c:v>14.2</c:v>
                </c:pt>
                <c:pt idx="263">
                  <c:v>14.3</c:v>
                </c:pt>
                <c:pt idx="264">
                  <c:v>14.5</c:v>
                </c:pt>
                <c:pt idx="265">
                  <c:v>14.7</c:v>
                </c:pt>
                <c:pt idx="266">
                  <c:v>14.8</c:v>
                </c:pt>
                <c:pt idx="267">
                  <c:v>15.1</c:v>
                </c:pt>
                <c:pt idx="268">
                  <c:v>15.4</c:v>
                </c:pt>
                <c:pt idx="269">
                  <c:v>15.7</c:v>
                </c:pt>
                <c:pt idx="270">
                  <c:v>16</c:v>
                </c:pt>
                <c:pt idx="271">
                  <c:v>16.6</c:v>
                </c:pt>
                <c:pt idx="272">
                  <c:v>17</c:v>
                </c:pt>
                <c:pt idx="273">
                  <c:v>18.6</c:v>
                </c:pt>
                <c:pt idx="274">
                  <c:v>19.2</c:v>
                </c:pt>
                <c:pt idx="275">
                  <c:v>20</c:v>
                </c:pt>
                <c:pt idx="276">
                  <c:v>21.6</c:v>
                </c:pt>
                <c:pt idx="277">
                  <c:v>22.6</c:v>
                </c:pt>
                <c:pt idx="278">
                  <c:v>23.2</c:v>
                </c:pt>
                <c:pt idx="279">
                  <c:v>24.4</c:v>
                </c:pt>
                <c:pt idx="280">
                  <c:v>25</c:v>
                </c:pt>
                <c:pt idx="281">
                  <c:v>25.5</c:v>
                </c:pt>
                <c:pt idx="282">
                  <c:v>26.3</c:v>
                </c:pt>
                <c:pt idx="283">
                  <c:v>27.2</c:v>
                </c:pt>
                <c:pt idx="284">
                  <c:v>27.7</c:v>
                </c:pt>
                <c:pt idx="285">
                  <c:v>28</c:v>
                </c:pt>
                <c:pt idx="286">
                  <c:v>27.9</c:v>
                </c:pt>
                <c:pt idx="287">
                  <c:v>27.9</c:v>
                </c:pt>
                <c:pt idx="288">
                  <c:v>27.7</c:v>
                </c:pt>
                <c:pt idx="289">
                  <c:v>27.6</c:v>
                </c:pt>
                <c:pt idx="290">
                  <c:v>27.4</c:v>
                </c:pt>
                <c:pt idx="291">
                  <c:v>27.3</c:v>
                </c:pt>
                <c:pt idx="292">
                  <c:v>27</c:v>
                </c:pt>
                <c:pt idx="293">
                  <c:v>26.7</c:v>
                </c:pt>
                <c:pt idx="294">
                  <c:v>26.3</c:v>
                </c:pt>
                <c:pt idx="295">
                  <c:v>26.1</c:v>
                </c:pt>
                <c:pt idx="296">
                  <c:v>25.5</c:v>
                </c:pt>
                <c:pt idx="297">
                  <c:v>24.6</c:v>
                </c:pt>
                <c:pt idx="298">
                  <c:v>23.9</c:v>
                </c:pt>
                <c:pt idx="299">
                  <c:v>23.3</c:v>
                </c:pt>
                <c:pt idx="300">
                  <c:v>23</c:v>
                </c:pt>
                <c:pt idx="301">
                  <c:v>22.3</c:v>
                </c:pt>
                <c:pt idx="302">
                  <c:v>21.1</c:v>
                </c:pt>
                <c:pt idx="303">
                  <c:v>20.4</c:v>
                </c:pt>
                <c:pt idx="304">
                  <c:v>20.1</c:v>
                </c:pt>
                <c:pt idx="305">
                  <c:v>19.7</c:v>
                </c:pt>
                <c:pt idx="306">
                  <c:v>19.7</c:v>
                </c:pt>
                <c:pt idx="307">
                  <c:v>18.7</c:v>
                </c:pt>
                <c:pt idx="308">
                  <c:v>18</c:v>
                </c:pt>
                <c:pt idx="309">
                  <c:v>17.8</c:v>
                </c:pt>
                <c:pt idx="310">
                  <c:v>17.8</c:v>
                </c:pt>
                <c:pt idx="311">
                  <c:v>17.9</c:v>
                </c:pt>
                <c:pt idx="312">
                  <c:v>18</c:v>
                </c:pt>
                <c:pt idx="313">
                  <c:v>18.2</c:v>
                </c:pt>
                <c:pt idx="314">
                  <c:v>18.5</c:v>
                </c:pt>
                <c:pt idx="315">
                  <c:v>18.7</c:v>
                </c:pt>
                <c:pt idx="316">
                  <c:v>18.8</c:v>
                </c:pt>
                <c:pt idx="317">
                  <c:v>19.1</c:v>
                </c:pt>
                <c:pt idx="318">
                  <c:v>19.3</c:v>
                </c:pt>
                <c:pt idx="319">
                  <c:v>19.4</c:v>
                </c:pt>
                <c:pt idx="320">
                  <c:v>19.6</c:v>
                </c:pt>
                <c:pt idx="321">
                  <c:v>19.8</c:v>
                </c:pt>
                <c:pt idx="322">
                  <c:v>21.2</c:v>
                </c:pt>
                <c:pt idx="323">
                  <c:v>21.9</c:v>
                </c:pt>
                <c:pt idx="324">
                  <c:v>22.4</c:v>
                </c:pt>
                <c:pt idx="325">
                  <c:v>22.5</c:v>
                </c:pt>
                <c:pt idx="326">
                  <c:v>22.6</c:v>
                </c:pt>
                <c:pt idx="327">
                  <c:v>22.7</c:v>
                </c:pt>
                <c:pt idx="328">
                  <c:v>23.7</c:v>
                </c:pt>
                <c:pt idx="329">
                  <c:v>24.4</c:v>
                </c:pt>
                <c:pt idx="330">
                  <c:v>24.7</c:v>
                </c:pt>
                <c:pt idx="331">
                  <c:v>24.8</c:v>
                </c:pt>
                <c:pt idx="332">
                  <c:v>25.1</c:v>
                </c:pt>
                <c:pt idx="333">
                  <c:v>25</c:v>
                </c:pt>
                <c:pt idx="334">
                  <c:v>24.9</c:v>
                </c:pt>
                <c:pt idx="335">
                  <c:v>24.9</c:v>
                </c:pt>
                <c:pt idx="336">
                  <c:v>24.7</c:v>
                </c:pt>
                <c:pt idx="337">
                  <c:v>24.6</c:v>
                </c:pt>
                <c:pt idx="338">
                  <c:v>24.5</c:v>
                </c:pt>
                <c:pt idx="339">
                  <c:v>24.4</c:v>
                </c:pt>
                <c:pt idx="340">
                  <c:v>24.3</c:v>
                </c:pt>
                <c:pt idx="341">
                  <c:v>24.2</c:v>
                </c:pt>
                <c:pt idx="342">
                  <c:v>24.1</c:v>
                </c:pt>
                <c:pt idx="343">
                  <c:v>24</c:v>
                </c:pt>
                <c:pt idx="344">
                  <c:v>24</c:v>
                </c:pt>
                <c:pt idx="345">
                  <c:v>23.8</c:v>
                </c:pt>
                <c:pt idx="346">
                  <c:v>23.7</c:v>
                </c:pt>
                <c:pt idx="347">
                  <c:v>23.7</c:v>
                </c:pt>
                <c:pt idx="348">
                  <c:v>23.7</c:v>
                </c:pt>
                <c:pt idx="349">
                  <c:v>23.6</c:v>
                </c:pt>
                <c:pt idx="350">
                  <c:v>23.6</c:v>
                </c:pt>
                <c:pt idx="351">
                  <c:v>23.5</c:v>
                </c:pt>
                <c:pt idx="352">
                  <c:v>23.4</c:v>
                </c:pt>
                <c:pt idx="353">
                  <c:v>23.2</c:v>
                </c:pt>
                <c:pt idx="354">
                  <c:v>23.4</c:v>
                </c:pt>
                <c:pt idx="355">
                  <c:v>23.2</c:v>
                </c:pt>
                <c:pt idx="356">
                  <c:v>23.2</c:v>
                </c:pt>
                <c:pt idx="357">
                  <c:v>23.4</c:v>
                </c:pt>
                <c:pt idx="358">
                  <c:v>23.3</c:v>
                </c:pt>
                <c:pt idx="359">
                  <c:v>23.4</c:v>
                </c:pt>
                <c:pt idx="360">
                  <c:v>23.5</c:v>
                </c:pt>
                <c:pt idx="361">
                  <c:v>23.5</c:v>
                </c:pt>
                <c:pt idx="362">
                  <c:v>23.8</c:v>
                </c:pt>
                <c:pt idx="363">
                  <c:v>23.8</c:v>
                </c:pt>
                <c:pt idx="364">
                  <c:v>23.8</c:v>
                </c:pt>
                <c:pt idx="365">
                  <c:v>24</c:v>
                </c:pt>
                <c:pt idx="366">
                  <c:v>23.9</c:v>
                </c:pt>
                <c:pt idx="367">
                  <c:v>24.1</c:v>
                </c:pt>
                <c:pt idx="368">
                  <c:v>24.1</c:v>
                </c:pt>
                <c:pt idx="369">
                  <c:v>24.2</c:v>
                </c:pt>
                <c:pt idx="370">
                  <c:v>24.2</c:v>
                </c:pt>
                <c:pt idx="371">
                  <c:v>24.2</c:v>
                </c:pt>
                <c:pt idx="372">
                  <c:v>24.3</c:v>
                </c:pt>
                <c:pt idx="373">
                  <c:v>24.3</c:v>
                </c:pt>
                <c:pt idx="374">
                  <c:v>24.5</c:v>
                </c:pt>
                <c:pt idx="375">
                  <c:v>24.7</c:v>
                </c:pt>
                <c:pt idx="376">
                  <c:v>24.6</c:v>
                </c:pt>
                <c:pt idx="377">
                  <c:v>24.7</c:v>
                </c:pt>
                <c:pt idx="378">
                  <c:v>24.7</c:v>
                </c:pt>
                <c:pt idx="379">
                  <c:v>24.7</c:v>
                </c:pt>
                <c:pt idx="380">
                  <c:v>24.8</c:v>
                </c:pt>
                <c:pt idx="381">
                  <c:v>24.9</c:v>
                </c:pt>
                <c:pt idx="382">
                  <c:v>24.9</c:v>
                </c:pt>
                <c:pt idx="383">
                  <c:v>25.1</c:v>
                </c:pt>
                <c:pt idx="384">
                  <c:v>25.1</c:v>
                </c:pt>
                <c:pt idx="385">
                  <c:v>25.2</c:v>
                </c:pt>
                <c:pt idx="386">
                  <c:v>25</c:v>
                </c:pt>
                <c:pt idx="387">
                  <c:v>25</c:v>
                </c:pt>
                <c:pt idx="388">
                  <c:v>25.2</c:v>
                </c:pt>
                <c:pt idx="389">
                  <c:v>25.1</c:v>
                </c:pt>
                <c:pt idx="390">
                  <c:v>25.1</c:v>
                </c:pt>
                <c:pt idx="391">
                  <c:v>24.9</c:v>
                </c:pt>
                <c:pt idx="392">
                  <c:v>25</c:v>
                </c:pt>
                <c:pt idx="393">
                  <c:v>24.9</c:v>
                </c:pt>
                <c:pt idx="394">
                  <c:v>24.7</c:v>
                </c:pt>
                <c:pt idx="395">
                  <c:v>24.7</c:v>
                </c:pt>
                <c:pt idx="396">
                  <c:v>24.5</c:v>
                </c:pt>
                <c:pt idx="397">
                  <c:v>24.6</c:v>
                </c:pt>
                <c:pt idx="398">
                  <c:v>24.4</c:v>
                </c:pt>
                <c:pt idx="399">
                  <c:v>24.3</c:v>
                </c:pt>
                <c:pt idx="400">
                  <c:v>24</c:v>
                </c:pt>
                <c:pt idx="401">
                  <c:v>24</c:v>
                </c:pt>
                <c:pt idx="402">
                  <c:v>23.8</c:v>
                </c:pt>
                <c:pt idx="403">
                  <c:v>23.7</c:v>
                </c:pt>
                <c:pt idx="404">
                  <c:v>23.5</c:v>
                </c:pt>
                <c:pt idx="405">
                  <c:v>23.4</c:v>
                </c:pt>
                <c:pt idx="406">
                  <c:v>23.2</c:v>
                </c:pt>
                <c:pt idx="407">
                  <c:v>23.4</c:v>
                </c:pt>
                <c:pt idx="408">
                  <c:v>23</c:v>
                </c:pt>
                <c:pt idx="409">
                  <c:v>23</c:v>
                </c:pt>
                <c:pt idx="410">
                  <c:v>23</c:v>
                </c:pt>
                <c:pt idx="411">
                  <c:v>22.7</c:v>
                </c:pt>
                <c:pt idx="412">
                  <c:v>21.9</c:v>
                </c:pt>
                <c:pt idx="413">
                  <c:v>21.4</c:v>
                </c:pt>
                <c:pt idx="414">
                  <c:v>21.1</c:v>
                </c:pt>
                <c:pt idx="415">
                  <c:v>20.9</c:v>
                </c:pt>
                <c:pt idx="416">
                  <c:v>20.9</c:v>
                </c:pt>
                <c:pt idx="417">
                  <c:v>20.9</c:v>
                </c:pt>
                <c:pt idx="418">
                  <c:v>20.8</c:v>
                </c:pt>
                <c:pt idx="419">
                  <c:v>20.8</c:v>
                </c:pt>
                <c:pt idx="420">
                  <c:v>21</c:v>
                </c:pt>
                <c:pt idx="421">
                  <c:v>21.1</c:v>
                </c:pt>
                <c:pt idx="422">
                  <c:v>21.4</c:v>
                </c:pt>
                <c:pt idx="423">
                  <c:v>21.5</c:v>
                </c:pt>
                <c:pt idx="424">
                  <c:v>21.8</c:v>
                </c:pt>
                <c:pt idx="425">
                  <c:v>21.9</c:v>
                </c:pt>
                <c:pt idx="426">
                  <c:v>22.3</c:v>
                </c:pt>
                <c:pt idx="427">
                  <c:v>22.6</c:v>
                </c:pt>
                <c:pt idx="428">
                  <c:v>22.8</c:v>
                </c:pt>
                <c:pt idx="429">
                  <c:v>23.9</c:v>
                </c:pt>
                <c:pt idx="430">
                  <c:v>24.5</c:v>
                </c:pt>
                <c:pt idx="431">
                  <c:v>25.2</c:v>
                </c:pt>
                <c:pt idx="432">
                  <c:v>25.4</c:v>
                </c:pt>
                <c:pt idx="433">
                  <c:v>25.6</c:v>
                </c:pt>
                <c:pt idx="434">
                  <c:v>25.9</c:v>
                </c:pt>
                <c:pt idx="435">
                  <c:v>26.8</c:v>
                </c:pt>
                <c:pt idx="436">
                  <c:v>27.3</c:v>
                </c:pt>
                <c:pt idx="437">
                  <c:v>27.5</c:v>
                </c:pt>
                <c:pt idx="438">
                  <c:v>27.9</c:v>
                </c:pt>
                <c:pt idx="439">
                  <c:v>27.9</c:v>
                </c:pt>
                <c:pt idx="440">
                  <c:v>28</c:v>
                </c:pt>
                <c:pt idx="441">
                  <c:v>27.8</c:v>
                </c:pt>
                <c:pt idx="442">
                  <c:v>27.8</c:v>
                </c:pt>
                <c:pt idx="443">
                  <c:v>27.6</c:v>
                </c:pt>
                <c:pt idx="444">
                  <c:v>27.4</c:v>
                </c:pt>
                <c:pt idx="445">
                  <c:v>27.3</c:v>
                </c:pt>
                <c:pt idx="446">
                  <c:v>27</c:v>
                </c:pt>
                <c:pt idx="447">
                  <c:v>27</c:v>
                </c:pt>
                <c:pt idx="448">
                  <c:v>26.7</c:v>
                </c:pt>
                <c:pt idx="449">
                  <c:v>26.3</c:v>
                </c:pt>
                <c:pt idx="450">
                  <c:v>26.1</c:v>
                </c:pt>
                <c:pt idx="451">
                  <c:v>25.8</c:v>
                </c:pt>
                <c:pt idx="452">
                  <c:v>25.4</c:v>
                </c:pt>
                <c:pt idx="453">
                  <c:v>24.3</c:v>
                </c:pt>
                <c:pt idx="454">
                  <c:v>23.7</c:v>
                </c:pt>
                <c:pt idx="455">
                  <c:v>23</c:v>
                </c:pt>
                <c:pt idx="456">
                  <c:v>22.7</c:v>
                </c:pt>
                <c:pt idx="457">
                  <c:v>21.5</c:v>
                </c:pt>
                <c:pt idx="458">
                  <c:v>20.8</c:v>
                </c:pt>
                <c:pt idx="459">
                  <c:v>20.5</c:v>
                </c:pt>
                <c:pt idx="460">
                  <c:v>20.4</c:v>
                </c:pt>
                <c:pt idx="461">
                  <c:v>20.2</c:v>
                </c:pt>
                <c:pt idx="462">
                  <c:v>20.3</c:v>
                </c:pt>
                <c:pt idx="463">
                  <c:v>20.5</c:v>
                </c:pt>
                <c:pt idx="464">
                  <c:v>20.4</c:v>
                </c:pt>
                <c:pt idx="465">
                  <c:v>20.6</c:v>
                </c:pt>
                <c:pt idx="466">
                  <c:v>20.8</c:v>
                </c:pt>
                <c:pt idx="467">
                  <c:v>21</c:v>
                </c:pt>
                <c:pt idx="468">
                  <c:v>21.1</c:v>
                </c:pt>
                <c:pt idx="469">
                  <c:v>21.4</c:v>
                </c:pt>
                <c:pt idx="470">
                  <c:v>21.6</c:v>
                </c:pt>
                <c:pt idx="471">
                  <c:v>21.7</c:v>
                </c:pt>
                <c:pt idx="472">
                  <c:v>22.2</c:v>
                </c:pt>
                <c:pt idx="473">
                  <c:v>22.5</c:v>
                </c:pt>
                <c:pt idx="474">
                  <c:v>23.1</c:v>
                </c:pt>
                <c:pt idx="475">
                  <c:v>24.1</c:v>
                </c:pt>
                <c:pt idx="476">
                  <c:v>24.8</c:v>
                </c:pt>
                <c:pt idx="477">
                  <c:v>25.3</c:v>
                </c:pt>
                <c:pt idx="478">
                  <c:v>25.7</c:v>
                </c:pt>
                <c:pt idx="479">
                  <c:v>26.3</c:v>
                </c:pt>
                <c:pt idx="480">
                  <c:v>27</c:v>
                </c:pt>
                <c:pt idx="481">
                  <c:v>27.7</c:v>
                </c:pt>
                <c:pt idx="482">
                  <c:v>27.8</c:v>
                </c:pt>
                <c:pt idx="483">
                  <c:v>28.1</c:v>
                </c:pt>
                <c:pt idx="484">
                  <c:v>28.4</c:v>
                </c:pt>
                <c:pt idx="485">
                  <c:v>28.1</c:v>
                </c:pt>
                <c:pt idx="486">
                  <c:v>28.1</c:v>
                </c:pt>
                <c:pt idx="487">
                  <c:v>28</c:v>
                </c:pt>
                <c:pt idx="488">
                  <c:v>27.8</c:v>
                </c:pt>
                <c:pt idx="489">
                  <c:v>27.7</c:v>
                </c:pt>
                <c:pt idx="490">
                  <c:v>27.5</c:v>
                </c:pt>
                <c:pt idx="491">
                  <c:v>27.3</c:v>
                </c:pt>
                <c:pt idx="492">
                  <c:v>27</c:v>
                </c:pt>
                <c:pt idx="493">
                  <c:v>26.8</c:v>
                </c:pt>
                <c:pt idx="494">
                  <c:v>26.6</c:v>
                </c:pt>
                <c:pt idx="495">
                  <c:v>26.5</c:v>
                </c:pt>
                <c:pt idx="496">
                  <c:v>26.3</c:v>
                </c:pt>
                <c:pt idx="497">
                  <c:v>25.8</c:v>
                </c:pt>
                <c:pt idx="498">
                  <c:v>25.4</c:v>
                </c:pt>
                <c:pt idx="499">
                  <c:v>24.4</c:v>
                </c:pt>
                <c:pt idx="500">
                  <c:v>23.8</c:v>
                </c:pt>
                <c:pt idx="501">
                  <c:v>23.3</c:v>
                </c:pt>
                <c:pt idx="502">
                  <c:v>22.7</c:v>
                </c:pt>
                <c:pt idx="503">
                  <c:v>21.6</c:v>
                </c:pt>
                <c:pt idx="504">
                  <c:v>20.9</c:v>
                </c:pt>
                <c:pt idx="505">
                  <c:v>20.6</c:v>
                </c:pt>
                <c:pt idx="506">
                  <c:v>20.5</c:v>
                </c:pt>
                <c:pt idx="507">
                  <c:v>20.6</c:v>
                </c:pt>
                <c:pt idx="508">
                  <c:v>20.5</c:v>
                </c:pt>
                <c:pt idx="509">
                  <c:v>20.6</c:v>
                </c:pt>
                <c:pt idx="510">
                  <c:v>20.5</c:v>
                </c:pt>
                <c:pt idx="511">
                  <c:v>20.8</c:v>
                </c:pt>
                <c:pt idx="512">
                  <c:v>21</c:v>
                </c:pt>
                <c:pt idx="513">
                  <c:v>21.1</c:v>
                </c:pt>
                <c:pt idx="514">
                  <c:v>21.2</c:v>
                </c:pt>
                <c:pt idx="515">
                  <c:v>21.3</c:v>
                </c:pt>
                <c:pt idx="516">
                  <c:v>21.6</c:v>
                </c:pt>
                <c:pt idx="517">
                  <c:v>21.7</c:v>
                </c:pt>
                <c:pt idx="518">
                  <c:v>22</c:v>
                </c:pt>
                <c:pt idx="519">
                  <c:v>22.5</c:v>
                </c:pt>
                <c:pt idx="520">
                  <c:v>22.7</c:v>
                </c:pt>
                <c:pt idx="521">
                  <c:v>23</c:v>
                </c:pt>
                <c:pt idx="522">
                  <c:v>23.8</c:v>
                </c:pt>
                <c:pt idx="523">
                  <c:v>24.5</c:v>
                </c:pt>
                <c:pt idx="524">
                  <c:v>24.9</c:v>
                </c:pt>
                <c:pt idx="525">
                  <c:v>25.1</c:v>
                </c:pt>
                <c:pt idx="526">
                  <c:v>25.4</c:v>
                </c:pt>
                <c:pt idx="527">
                  <c:v>25.7</c:v>
                </c:pt>
                <c:pt idx="528">
                  <c:v>25.6</c:v>
                </c:pt>
                <c:pt idx="529">
                  <c:v>25.5</c:v>
                </c:pt>
                <c:pt idx="530">
                  <c:v>25.4</c:v>
                </c:pt>
                <c:pt idx="531">
                  <c:v>25.3</c:v>
                </c:pt>
                <c:pt idx="532">
                  <c:v>25.1</c:v>
                </c:pt>
                <c:pt idx="533">
                  <c:v>25</c:v>
                </c:pt>
                <c:pt idx="534">
                  <c:v>24.8</c:v>
                </c:pt>
                <c:pt idx="535">
                  <c:v>24.7</c:v>
                </c:pt>
                <c:pt idx="536">
                  <c:v>24.6</c:v>
                </c:pt>
                <c:pt idx="537">
                  <c:v>24.3</c:v>
                </c:pt>
                <c:pt idx="538">
                  <c:v>24.4</c:v>
                </c:pt>
                <c:pt idx="539">
                  <c:v>24.3</c:v>
                </c:pt>
                <c:pt idx="540">
                  <c:v>24</c:v>
                </c:pt>
                <c:pt idx="541">
                  <c:v>23.9</c:v>
                </c:pt>
                <c:pt idx="542">
                  <c:v>23.8</c:v>
                </c:pt>
                <c:pt idx="543">
                  <c:v>23.6</c:v>
                </c:pt>
                <c:pt idx="544">
                  <c:v>23.6</c:v>
                </c:pt>
                <c:pt idx="545">
                  <c:v>23.4</c:v>
                </c:pt>
                <c:pt idx="546">
                  <c:v>23.5</c:v>
                </c:pt>
                <c:pt idx="547">
                  <c:v>23.3</c:v>
                </c:pt>
                <c:pt idx="548">
                  <c:v>23.3</c:v>
                </c:pt>
                <c:pt idx="549">
                  <c:v>23.2</c:v>
                </c:pt>
                <c:pt idx="550">
                  <c:v>23.2</c:v>
                </c:pt>
                <c:pt idx="551">
                  <c:v>23.2</c:v>
                </c:pt>
                <c:pt idx="552">
                  <c:v>23.2</c:v>
                </c:pt>
                <c:pt idx="553">
                  <c:v>23.3</c:v>
                </c:pt>
                <c:pt idx="554">
                  <c:v>23.3</c:v>
                </c:pt>
                <c:pt idx="555">
                  <c:v>23.5</c:v>
                </c:pt>
                <c:pt idx="556">
                  <c:v>23.5</c:v>
                </c:pt>
                <c:pt idx="557">
                  <c:v>23.6</c:v>
                </c:pt>
                <c:pt idx="558">
                  <c:v>23.7</c:v>
                </c:pt>
                <c:pt idx="559">
                  <c:v>23.9</c:v>
                </c:pt>
                <c:pt idx="560">
                  <c:v>23.9</c:v>
                </c:pt>
                <c:pt idx="561">
                  <c:v>24</c:v>
                </c:pt>
                <c:pt idx="562">
                  <c:v>24.1</c:v>
                </c:pt>
                <c:pt idx="563">
                  <c:v>24.2</c:v>
                </c:pt>
                <c:pt idx="564">
                  <c:v>24.3</c:v>
                </c:pt>
                <c:pt idx="565">
                  <c:v>24.4</c:v>
                </c:pt>
                <c:pt idx="566">
                  <c:v>24.4</c:v>
                </c:pt>
                <c:pt idx="567">
                  <c:v>24.6</c:v>
                </c:pt>
                <c:pt idx="568">
                  <c:v>24.6</c:v>
                </c:pt>
                <c:pt idx="569">
                  <c:v>24.7</c:v>
                </c:pt>
                <c:pt idx="570">
                  <c:v>24.7</c:v>
                </c:pt>
                <c:pt idx="571">
                  <c:v>24.7</c:v>
                </c:pt>
                <c:pt idx="572">
                  <c:v>24.7</c:v>
                </c:pt>
                <c:pt idx="573">
                  <c:v>24.7</c:v>
                </c:pt>
                <c:pt idx="574">
                  <c:v>24.7</c:v>
                </c:pt>
                <c:pt idx="575">
                  <c:v>24.7</c:v>
                </c:pt>
                <c:pt idx="576">
                  <c:v>24.7</c:v>
                </c:pt>
                <c:pt idx="577">
                  <c:v>24.8</c:v>
                </c:pt>
                <c:pt idx="578">
                  <c:v>24.8</c:v>
                </c:pt>
                <c:pt idx="579">
                  <c:v>24.8</c:v>
                </c:pt>
                <c:pt idx="580">
                  <c:v>24.8</c:v>
                </c:pt>
                <c:pt idx="581">
                  <c:v>24.7</c:v>
                </c:pt>
                <c:pt idx="582">
                  <c:v>24.7</c:v>
                </c:pt>
                <c:pt idx="583">
                  <c:v>24.7</c:v>
                </c:pt>
                <c:pt idx="584">
                  <c:v>24.6</c:v>
                </c:pt>
                <c:pt idx="585">
                  <c:v>24.6</c:v>
                </c:pt>
                <c:pt idx="586">
                  <c:v>24.5</c:v>
                </c:pt>
                <c:pt idx="587">
                  <c:v>24.5</c:v>
                </c:pt>
                <c:pt idx="588">
                  <c:v>24.5</c:v>
                </c:pt>
                <c:pt idx="589">
                  <c:v>24.5</c:v>
                </c:pt>
                <c:pt idx="590">
                  <c:v>24.5</c:v>
                </c:pt>
                <c:pt idx="591">
                  <c:v>24.4</c:v>
                </c:pt>
                <c:pt idx="592">
                  <c:v>24.4</c:v>
                </c:pt>
                <c:pt idx="593">
                  <c:v>24.3</c:v>
                </c:pt>
                <c:pt idx="594">
                  <c:v>24.3</c:v>
                </c:pt>
                <c:pt idx="595">
                  <c:v>24.2</c:v>
                </c:pt>
                <c:pt idx="596">
                  <c:v>24.2</c:v>
                </c:pt>
                <c:pt idx="597">
                  <c:v>24.2</c:v>
                </c:pt>
                <c:pt idx="598">
                  <c:v>24.1</c:v>
                </c:pt>
                <c:pt idx="599">
                  <c:v>24.1</c:v>
                </c:pt>
                <c:pt idx="600">
                  <c:v>24</c:v>
                </c:pt>
                <c:pt idx="601">
                  <c:v>23.9</c:v>
                </c:pt>
                <c:pt idx="602">
                  <c:v>23.9</c:v>
                </c:pt>
                <c:pt idx="603">
                  <c:v>23.8</c:v>
                </c:pt>
                <c:pt idx="604">
                  <c:v>23.7</c:v>
                </c:pt>
                <c:pt idx="605">
                  <c:v>23.6</c:v>
                </c:pt>
                <c:pt idx="606">
                  <c:v>23.5</c:v>
                </c:pt>
                <c:pt idx="607">
                  <c:v>23.5</c:v>
                </c:pt>
                <c:pt idx="608">
                  <c:v>23.5</c:v>
                </c:pt>
                <c:pt idx="609">
                  <c:v>23.3</c:v>
                </c:pt>
                <c:pt idx="610">
                  <c:v>23.4</c:v>
                </c:pt>
                <c:pt idx="611">
                  <c:v>23.4</c:v>
                </c:pt>
                <c:pt idx="612">
                  <c:v>23.4</c:v>
                </c:pt>
                <c:pt idx="613">
                  <c:v>23.5</c:v>
                </c:pt>
                <c:pt idx="614">
                  <c:v>23.5</c:v>
                </c:pt>
                <c:pt idx="615">
                  <c:v>23.5</c:v>
                </c:pt>
                <c:pt idx="616">
                  <c:v>23.6</c:v>
                </c:pt>
                <c:pt idx="617">
                  <c:v>23.5</c:v>
                </c:pt>
                <c:pt idx="618">
                  <c:v>23.7</c:v>
                </c:pt>
                <c:pt idx="619">
                  <c:v>23.7</c:v>
                </c:pt>
                <c:pt idx="620">
                  <c:v>23.7</c:v>
                </c:pt>
                <c:pt idx="621">
                  <c:v>23.9</c:v>
                </c:pt>
                <c:pt idx="622">
                  <c:v>23.9</c:v>
                </c:pt>
                <c:pt idx="623">
                  <c:v>24</c:v>
                </c:pt>
                <c:pt idx="624">
                  <c:v>24</c:v>
                </c:pt>
                <c:pt idx="625">
                  <c:v>23.9</c:v>
                </c:pt>
                <c:pt idx="626">
                  <c:v>24</c:v>
                </c:pt>
                <c:pt idx="627">
                  <c:v>24</c:v>
                </c:pt>
                <c:pt idx="628">
                  <c:v>24.2</c:v>
                </c:pt>
                <c:pt idx="629">
                  <c:v>24</c:v>
                </c:pt>
                <c:pt idx="630">
                  <c:v>24.1</c:v>
                </c:pt>
                <c:pt idx="631">
                  <c:v>24</c:v>
                </c:pt>
                <c:pt idx="632">
                  <c:v>24.2</c:v>
                </c:pt>
                <c:pt idx="633">
                  <c:v>24</c:v>
                </c:pt>
                <c:pt idx="634">
                  <c:v>24</c:v>
                </c:pt>
                <c:pt idx="635">
                  <c:v>23.9</c:v>
                </c:pt>
                <c:pt idx="636">
                  <c:v>23.9</c:v>
                </c:pt>
                <c:pt idx="637">
                  <c:v>23.9</c:v>
                </c:pt>
                <c:pt idx="638">
                  <c:v>23.8</c:v>
                </c:pt>
                <c:pt idx="639">
                  <c:v>23.7</c:v>
                </c:pt>
                <c:pt idx="640">
                  <c:v>23.8</c:v>
                </c:pt>
                <c:pt idx="641">
                  <c:v>23.7</c:v>
                </c:pt>
                <c:pt idx="642">
                  <c:v>23.6</c:v>
                </c:pt>
                <c:pt idx="643">
                  <c:v>23.7</c:v>
                </c:pt>
                <c:pt idx="644">
                  <c:v>23.5</c:v>
                </c:pt>
                <c:pt idx="645">
                  <c:v>23.5</c:v>
                </c:pt>
                <c:pt idx="646">
                  <c:v>23.3</c:v>
                </c:pt>
                <c:pt idx="647">
                  <c:v>23.3</c:v>
                </c:pt>
                <c:pt idx="648">
                  <c:v>23.3</c:v>
                </c:pt>
                <c:pt idx="649">
                  <c:v>23.3</c:v>
                </c:pt>
                <c:pt idx="650">
                  <c:v>23.3</c:v>
                </c:pt>
                <c:pt idx="651">
                  <c:v>23.2</c:v>
                </c:pt>
                <c:pt idx="652">
                  <c:v>23.3</c:v>
                </c:pt>
                <c:pt idx="653">
                  <c:v>23.3</c:v>
                </c:pt>
                <c:pt idx="654">
                  <c:v>23.4</c:v>
                </c:pt>
                <c:pt idx="655">
                  <c:v>23.3</c:v>
                </c:pt>
                <c:pt idx="656">
                  <c:v>23.4</c:v>
                </c:pt>
                <c:pt idx="657">
                  <c:v>23.5</c:v>
                </c:pt>
                <c:pt idx="658">
                  <c:v>23.5</c:v>
                </c:pt>
                <c:pt idx="659">
                  <c:v>23.5</c:v>
                </c:pt>
                <c:pt idx="660">
                  <c:v>23.7</c:v>
                </c:pt>
                <c:pt idx="661">
                  <c:v>23.6</c:v>
                </c:pt>
                <c:pt idx="662">
                  <c:v>23.7</c:v>
                </c:pt>
                <c:pt idx="663">
                  <c:v>23.7</c:v>
                </c:pt>
                <c:pt idx="664">
                  <c:v>23.8</c:v>
                </c:pt>
                <c:pt idx="665">
                  <c:v>23.9</c:v>
                </c:pt>
                <c:pt idx="666">
                  <c:v>23.8</c:v>
                </c:pt>
                <c:pt idx="667">
                  <c:v>23.9</c:v>
                </c:pt>
                <c:pt idx="668">
                  <c:v>23.9</c:v>
                </c:pt>
                <c:pt idx="669">
                  <c:v>23.9</c:v>
                </c:pt>
                <c:pt idx="670">
                  <c:v>23.9</c:v>
                </c:pt>
                <c:pt idx="671">
                  <c:v>24</c:v>
                </c:pt>
                <c:pt idx="672">
                  <c:v>23.9</c:v>
                </c:pt>
                <c:pt idx="673">
                  <c:v>24</c:v>
                </c:pt>
                <c:pt idx="674">
                  <c:v>23.8</c:v>
                </c:pt>
                <c:pt idx="675">
                  <c:v>23.8</c:v>
                </c:pt>
                <c:pt idx="676">
                  <c:v>23.7</c:v>
                </c:pt>
                <c:pt idx="677">
                  <c:v>23.6</c:v>
                </c:pt>
                <c:pt idx="678">
                  <c:v>23.6</c:v>
                </c:pt>
                <c:pt idx="679">
                  <c:v>23.6</c:v>
                </c:pt>
                <c:pt idx="680">
                  <c:v>23.5</c:v>
                </c:pt>
                <c:pt idx="681">
                  <c:v>23.5</c:v>
                </c:pt>
                <c:pt idx="682">
                  <c:v>23.5</c:v>
                </c:pt>
                <c:pt idx="683">
                  <c:v>23.5</c:v>
                </c:pt>
                <c:pt idx="684">
                  <c:v>23.4</c:v>
                </c:pt>
                <c:pt idx="685">
                  <c:v>23.3</c:v>
                </c:pt>
                <c:pt idx="686">
                  <c:v>23.2</c:v>
                </c:pt>
                <c:pt idx="687">
                  <c:v>23.1</c:v>
                </c:pt>
                <c:pt idx="688">
                  <c:v>23.2</c:v>
                </c:pt>
                <c:pt idx="689">
                  <c:v>23.2</c:v>
                </c:pt>
                <c:pt idx="690">
                  <c:v>23.1</c:v>
                </c:pt>
                <c:pt idx="691">
                  <c:v>23.2</c:v>
                </c:pt>
                <c:pt idx="692">
                  <c:v>23.2</c:v>
                </c:pt>
                <c:pt idx="693">
                  <c:v>23.3</c:v>
                </c:pt>
                <c:pt idx="694">
                  <c:v>23.4</c:v>
                </c:pt>
                <c:pt idx="695">
                  <c:v>23.3</c:v>
                </c:pt>
                <c:pt idx="696">
                  <c:v>23.5</c:v>
                </c:pt>
                <c:pt idx="697">
                  <c:v>23.6</c:v>
                </c:pt>
                <c:pt idx="698">
                  <c:v>23.6</c:v>
                </c:pt>
                <c:pt idx="699">
                  <c:v>23.7</c:v>
                </c:pt>
                <c:pt idx="700">
                  <c:v>23.8</c:v>
                </c:pt>
                <c:pt idx="701">
                  <c:v>23.8</c:v>
                </c:pt>
                <c:pt idx="702">
                  <c:v>23.7</c:v>
                </c:pt>
                <c:pt idx="703">
                  <c:v>23.9</c:v>
                </c:pt>
                <c:pt idx="704">
                  <c:v>23.9</c:v>
                </c:pt>
                <c:pt idx="705">
                  <c:v>23.9</c:v>
                </c:pt>
                <c:pt idx="706">
                  <c:v>23.9</c:v>
                </c:pt>
                <c:pt idx="707">
                  <c:v>24</c:v>
                </c:pt>
                <c:pt idx="708">
                  <c:v>24</c:v>
                </c:pt>
                <c:pt idx="709">
                  <c:v>23.8</c:v>
                </c:pt>
                <c:pt idx="710">
                  <c:v>24</c:v>
                </c:pt>
                <c:pt idx="711">
                  <c:v>23.8</c:v>
                </c:pt>
                <c:pt idx="712">
                  <c:v>23.8</c:v>
                </c:pt>
                <c:pt idx="713">
                  <c:v>23.9</c:v>
                </c:pt>
                <c:pt idx="714">
                  <c:v>23.8</c:v>
                </c:pt>
                <c:pt idx="715">
                  <c:v>23.7</c:v>
                </c:pt>
                <c:pt idx="716">
                  <c:v>23.6</c:v>
                </c:pt>
                <c:pt idx="717">
                  <c:v>23.6</c:v>
                </c:pt>
                <c:pt idx="718">
                  <c:v>23.6</c:v>
                </c:pt>
                <c:pt idx="719">
                  <c:v>23.5</c:v>
                </c:pt>
                <c:pt idx="720">
                  <c:v>23.4</c:v>
                </c:pt>
                <c:pt idx="721">
                  <c:v>23.5</c:v>
                </c:pt>
                <c:pt idx="722">
                  <c:v>23.4</c:v>
                </c:pt>
                <c:pt idx="723">
                  <c:v>23.4</c:v>
                </c:pt>
                <c:pt idx="724">
                  <c:v>23.3</c:v>
                </c:pt>
                <c:pt idx="725">
                  <c:v>23.3</c:v>
                </c:pt>
                <c:pt idx="726">
                  <c:v>23.2</c:v>
                </c:pt>
                <c:pt idx="727">
                  <c:v>23.3</c:v>
                </c:pt>
                <c:pt idx="728">
                  <c:v>23.3</c:v>
                </c:pt>
                <c:pt idx="729">
                  <c:v>23.3</c:v>
                </c:pt>
                <c:pt idx="730">
                  <c:v>23.2</c:v>
                </c:pt>
                <c:pt idx="731">
                  <c:v>23.4</c:v>
                </c:pt>
                <c:pt idx="732">
                  <c:v>23.3</c:v>
                </c:pt>
                <c:pt idx="733">
                  <c:v>23.4</c:v>
                </c:pt>
                <c:pt idx="734">
                  <c:v>23.4</c:v>
                </c:pt>
                <c:pt idx="735">
                  <c:v>23.5</c:v>
                </c:pt>
                <c:pt idx="736">
                  <c:v>23.5</c:v>
                </c:pt>
                <c:pt idx="737">
                  <c:v>23.5</c:v>
                </c:pt>
                <c:pt idx="738">
                  <c:v>23.7</c:v>
                </c:pt>
                <c:pt idx="739">
                  <c:v>23.6</c:v>
                </c:pt>
                <c:pt idx="740">
                  <c:v>23.7</c:v>
                </c:pt>
                <c:pt idx="741">
                  <c:v>23.7</c:v>
                </c:pt>
                <c:pt idx="742">
                  <c:v>23.8</c:v>
                </c:pt>
                <c:pt idx="743">
                  <c:v>23.9</c:v>
                </c:pt>
                <c:pt idx="744">
                  <c:v>24</c:v>
                </c:pt>
                <c:pt idx="745">
                  <c:v>23.8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23.9</c:v>
                </c:pt>
                <c:pt idx="750">
                  <c:v>23.9</c:v>
                </c:pt>
                <c:pt idx="751">
                  <c:v>23.9</c:v>
                </c:pt>
                <c:pt idx="752">
                  <c:v>23.9</c:v>
                </c:pt>
                <c:pt idx="753">
                  <c:v>23.8</c:v>
                </c:pt>
                <c:pt idx="754">
                  <c:v>23.8</c:v>
                </c:pt>
                <c:pt idx="755">
                  <c:v>23.7</c:v>
                </c:pt>
                <c:pt idx="756">
                  <c:v>23.8</c:v>
                </c:pt>
                <c:pt idx="757">
                  <c:v>23.8</c:v>
                </c:pt>
                <c:pt idx="758">
                  <c:v>23.8</c:v>
                </c:pt>
                <c:pt idx="759">
                  <c:v>23.6</c:v>
                </c:pt>
                <c:pt idx="760">
                  <c:v>23.6</c:v>
                </c:pt>
                <c:pt idx="761">
                  <c:v>23.6</c:v>
                </c:pt>
                <c:pt idx="762">
                  <c:v>23.4</c:v>
                </c:pt>
                <c:pt idx="763">
                  <c:v>23.4</c:v>
                </c:pt>
                <c:pt idx="764">
                  <c:v>23.2</c:v>
                </c:pt>
                <c:pt idx="765">
                  <c:v>23.2</c:v>
                </c:pt>
                <c:pt idx="766">
                  <c:v>23</c:v>
                </c:pt>
                <c:pt idx="767">
                  <c:v>23</c:v>
                </c:pt>
                <c:pt idx="768">
                  <c:v>22.9</c:v>
                </c:pt>
                <c:pt idx="769">
                  <c:v>23.1</c:v>
                </c:pt>
                <c:pt idx="770">
                  <c:v>23.1</c:v>
                </c:pt>
                <c:pt idx="771">
                  <c:v>23.3</c:v>
                </c:pt>
                <c:pt idx="772">
                  <c:v>23.2</c:v>
                </c:pt>
                <c:pt idx="773">
                  <c:v>23.3</c:v>
                </c:pt>
                <c:pt idx="774">
                  <c:v>23.4</c:v>
                </c:pt>
                <c:pt idx="775">
                  <c:v>23.6</c:v>
                </c:pt>
                <c:pt idx="776">
                  <c:v>23.6</c:v>
                </c:pt>
                <c:pt idx="777">
                  <c:v>23.6</c:v>
                </c:pt>
                <c:pt idx="778">
                  <c:v>23.6</c:v>
                </c:pt>
                <c:pt idx="779">
                  <c:v>23.7</c:v>
                </c:pt>
                <c:pt idx="780">
                  <c:v>23.8</c:v>
                </c:pt>
                <c:pt idx="781">
                  <c:v>23.8</c:v>
                </c:pt>
                <c:pt idx="782">
                  <c:v>23.8</c:v>
                </c:pt>
                <c:pt idx="783">
                  <c:v>23.8</c:v>
                </c:pt>
                <c:pt idx="784">
                  <c:v>23.9</c:v>
                </c:pt>
                <c:pt idx="785">
                  <c:v>23.9</c:v>
                </c:pt>
                <c:pt idx="786">
                  <c:v>24.1</c:v>
                </c:pt>
                <c:pt idx="787">
                  <c:v>24.1</c:v>
                </c:pt>
                <c:pt idx="788">
                  <c:v>24</c:v>
                </c:pt>
                <c:pt idx="789">
                  <c:v>23.9</c:v>
                </c:pt>
                <c:pt idx="790">
                  <c:v>24.1</c:v>
                </c:pt>
                <c:pt idx="791">
                  <c:v>23.9</c:v>
                </c:pt>
                <c:pt idx="792">
                  <c:v>23.9</c:v>
                </c:pt>
                <c:pt idx="793">
                  <c:v>23.8</c:v>
                </c:pt>
                <c:pt idx="794">
                  <c:v>23.7</c:v>
                </c:pt>
                <c:pt idx="795">
                  <c:v>23.7</c:v>
                </c:pt>
                <c:pt idx="796">
                  <c:v>23.5</c:v>
                </c:pt>
                <c:pt idx="797">
                  <c:v>23.5</c:v>
                </c:pt>
                <c:pt idx="798">
                  <c:v>23.5</c:v>
                </c:pt>
                <c:pt idx="799">
                  <c:v>23.4</c:v>
                </c:pt>
                <c:pt idx="800">
                  <c:v>23.4</c:v>
                </c:pt>
                <c:pt idx="801">
                  <c:v>23.3</c:v>
                </c:pt>
                <c:pt idx="802">
                  <c:v>23.2</c:v>
                </c:pt>
                <c:pt idx="803">
                  <c:v>23.2</c:v>
                </c:pt>
                <c:pt idx="804">
                  <c:v>23.4</c:v>
                </c:pt>
                <c:pt idx="805">
                  <c:v>23.3</c:v>
                </c:pt>
                <c:pt idx="806">
                  <c:v>23.2</c:v>
                </c:pt>
                <c:pt idx="807">
                  <c:v>23.2</c:v>
                </c:pt>
                <c:pt idx="808">
                  <c:v>23.3</c:v>
                </c:pt>
                <c:pt idx="809">
                  <c:v>23.2</c:v>
                </c:pt>
                <c:pt idx="810">
                  <c:v>23.3</c:v>
                </c:pt>
                <c:pt idx="811">
                  <c:v>23.3</c:v>
                </c:pt>
                <c:pt idx="812">
                  <c:v>23.4</c:v>
                </c:pt>
                <c:pt idx="813">
                  <c:v>23.4</c:v>
                </c:pt>
                <c:pt idx="814">
                  <c:v>23.4</c:v>
                </c:pt>
                <c:pt idx="815">
                  <c:v>23.5</c:v>
                </c:pt>
                <c:pt idx="816">
                  <c:v>23.5</c:v>
                </c:pt>
                <c:pt idx="817">
                  <c:v>23.8</c:v>
                </c:pt>
                <c:pt idx="818">
                  <c:v>23.8</c:v>
                </c:pt>
                <c:pt idx="819">
                  <c:v>23.8</c:v>
                </c:pt>
                <c:pt idx="820">
                  <c:v>23.7</c:v>
                </c:pt>
                <c:pt idx="821">
                  <c:v>23.9</c:v>
                </c:pt>
                <c:pt idx="822">
                  <c:v>23.9</c:v>
                </c:pt>
                <c:pt idx="823">
                  <c:v>23.8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23.9</c:v>
                </c:pt>
                <c:pt idx="828">
                  <c:v>23.9</c:v>
                </c:pt>
                <c:pt idx="829">
                  <c:v>23.9</c:v>
                </c:pt>
                <c:pt idx="830">
                  <c:v>24</c:v>
                </c:pt>
                <c:pt idx="831">
                  <c:v>23.9</c:v>
                </c:pt>
                <c:pt idx="832">
                  <c:v>23.8</c:v>
                </c:pt>
                <c:pt idx="833">
                  <c:v>23.8</c:v>
                </c:pt>
                <c:pt idx="834">
                  <c:v>23.8</c:v>
                </c:pt>
                <c:pt idx="835">
                  <c:v>23.7</c:v>
                </c:pt>
                <c:pt idx="836">
                  <c:v>23.6</c:v>
                </c:pt>
                <c:pt idx="837">
                  <c:v>23.5</c:v>
                </c:pt>
                <c:pt idx="838">
                  <c:v>23.6</c:v>
                </c:pt>
                <c:pt idx="839">
                  <c:v>23.4</c:v>
                </c:pt>
                <c:pt idx="840">
                  <c:v>23.4</c:v>
                </c:pt>
                <c:pt idx="841">
                  <c:v>23.4</c:v>
                </c:pt>
                <c:pt idx="842">
                  <c:v>23.3</c:v>
                </c:pt>
                <c:pt idx="843">
                  <c:v>23.2</c:v>
                </c:pt>
                <c:pt idx="844">
                  <c:v>23.2</c:v>
                </c:pt>
                <c:pt idx="845">
                  <c:v>23.3</c:v>
                </c:pt>
                <c:pt idx="846">
                  <c:v>23.3</c:v>
                </c:pt>
                <c:pt idx="847">
                  <c:v>23.2</c:v>
                </c:pt>
                <c:pt idx="848">
                  <c:v>23.1</c:v>
                </c:pt>
                <c:pt idx="849">
                  <c:v>23.3</c:v>
                </c:pt>
                <c:pt idx="850">
                  <c:v>23.3</c:v>
                </c:pt>
                <c:pt idx="851">
                  <c:v>23.5</c:v>
                </c:pt>
                <c:pt idx="852">
                  <c:v>23.6</c:v>
                </c:pt>
                <c:pt idx="853">
                  <c:v>23.6</c:v>
                </c:pt>
                <c:pt idx="854">
                  <c:v>23.5</c:v>
                </c:pt>
                <c:pt idx="855">
                  <c:v>23.6</c:v>
                </c:pt>
                <c:pt idx="856">
                  <c:v>23.7</c:v>
                </c:pt>
                <c:pt idx="857">
                  <c:v>23.6</c:v>
                </c:pt>
                <c:pt idx="858">
                  <c:v>23.8</c:v>
                </c:pt>
                <c:pt idx="859">
                  <c:v>23.7</c:v>
                </c:pt>
                <c:pt idx="860">
                  <c:v>23.9</c:v>
                </c:pt>
                <c:pt idx="861">
                  <c:v>23.9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23.9</c:v>
                </c:pt>
                <c:pt idx="868">
                  <c:v>23.9</c:v>
                </c:pt>
                <c:pt idx="869">
                  <c:v>24</c:v>
                </c:pt>
                <c:pt idx="870">
                  <c:v>24</c:v>
                </c:pt>
                <c:pt idx="871">
                  <c:v>23.8</c:v>
                </c:pt>
                <c:pt idx="872">
                  <c:v>23.8</c:v>
                </c:pt>
                <c:pt idx="873">
                  <c:v>23.8</c:v>
                </c:pt>
                <c:pt idx="874">
                  <c:v>23.8</c:v>
                </c:pt>
                <c:pt idx="875">
                  <c:v>23.8</c:v>
                </c:pt>
                <c:pt idx="876">
                  <c:v>23.7</c:v>
                </c:pt>
                <c:pt idx="877">
                  <c:v>23.6</c:v>
                </c:pt>
                <c:pt idx="878">
                  <c:v>23.6</c:v>
                </c:pt>
                <c:pt idx="879">
                  <c:v>23.3</c:v>
                </c:pt>
                <c:pt idx="880">
                  <c:v>23.3</c:v>
                </c:pt>
                <c:pt idx="881">
                  <c:v>23.4</c:v>
                </c:pt>
                <c:pt idx="882">
                  <c:v>23.4</c:v>
                </c:pt>
                <c:pt idx="883">
                  <c:v>23.2</c:v>
                </c:pt>
                <c:pt idx="884">
                  <c:v>23.4</c:v>
                </c:pt>
                <c:pt idx="885">
                  <c:v>23.4</c:v>
                </c:pt>
                <c:pt idx="886">
                  <c:v>23.4</c:v>
                </c:pt>
                <c:pt idx="887">
                  <c:v>23.3</c:v>
                </c:pt>
                <c:pt idx="888">
                  <c:v>23.3</c:v>
                </c:pt>
                <c:pt idx="889">
                  <c:v>23.5</c:v>
                </c:pt>
                <c:pt idx="890">
                  <c:v>23.4</c:v>
                </c:pt>
                <c:pt idx="891">
                  <c:v>23.4</c:v>
                </c:pt>
                <c:pt idx="892">
                  <c:v>23.4</c:v>
                </c:pt>
                <c:pt idx="893">
                  <c:v>23.5</c:v>
                </c:pt>
                <c:pt idx="894">
                  <c:v>23.6</c:v>
                </c:pt>
                <c:pt idx="895">
                  <c:v>23.5</c:v>
                </c:pt>
                <c:pt idx="896">
                  <c:v>23.8</c:v>
                </c:pt>
                <c:pt idx="897">
                  <c:v>23.7</c:v>
                </c:pt>
                <c:pt idx="898">
                  <c:v>23.8</c:v>
                </c:pt>
                <c:pt idx="899">
                  <c:v>23.9</c:v>
                </c:pt>
                <c:pt idx="900">
                  <c:v>23.8</c:v>
                </c:pt>
                <c:pt idx="901">
                  <c:v>23.8</c:v>
                </c:pt>
                <c:pt idx="902">
                  <c:v>23.9</c:v>
                </c:pt>
                <c:pt idx="903">
                  <c:v>23.8</c:v>
                </c:pt>
                <c:pt idx="904">
                  <c:v>23.9</c:v>
                </c:pt>
                <c:pt idx="905">
                  <c:v>23.9</c:v>
                </c:pt>
                <c:pt idx="906">
                  <c:v>24.1</c:v>
                </c:pt>
                <c:pt idx="907">
                  <c:v>23.8</c:v>
                </c:pt>
                <c:pt idx="908">
                  <c:v>23.8</c:v>
                </c:pt>
                <c:pt idx="909">
                  <c:v>24</c:v>
                </c:pt>
                <c:pt idx="910">
                  <c:v>23.8</c:v>
                </c:pt>
                <c:pt idx="911">
                  <c:v>23.8</c:v>
                </c:pt>
                <c:pt idx="912">
                  <c:v>23.8</c:v>
                </c:pt>
                <c:pt idx="913">
                  <c:v>23.7</c:v>
                </c:pt>
                <c:pt idx="914">
                  <c:v>23.7</c:v>
                </c:pt>
                <c:pt idx="915">
                  <c:v>23.7</c:v>
                </c:pt>
                <c:pt idx="916">
                  <c:v>23.7</c:v>
                </c:pt>
                <c:pt idx="917">
                  <c:v>23.7</c:v>
                </c:pt>
                <c:pt idx="918">
                  <c:v>23.6</c:v>
                </c:pt>
                <c:pt idx="919">
                  <c:v>23.5</c:v>
                </c:pt>
                <c:pt idx="920">
                  <c:v>23.6</c:v>
                </c:pt>
                <c:pt idx="921">
                  <c:v>23.5</c:v>
                </c:pt>
                <c:pt idx="922">
                  <c:v>23.3</c:v>
                </c:pt>
                <c:pt idx="923">
                  <c:v>23.4</c:v>
                </c:pt>
                <c:pt idx="924">
                  <c:v>23.4</c:v>
                </c:pt>
                <c:pt idx="925">
                  <c:v>23.4</c:v>
                </c:pt>
                <c:pt idx="926">
                  <c:v>23.3</c:v>
                </c:pt>
                <c:pt idx="927">
                  <c:v>23.5</c:v>
                </c:pt>
                <c:pt idx="928">
                  <c:v>23.3</c:v>
                </c:pt>
                <c:pt idx="929">
                  <c:v>23.5</c:v>
                </c:pt>
                <c:pt idx="930">
                  <c:v>23.4</c:v>
                </c:pt>
                <c:pt idx="931">
                  <c:v>23.4</c:v>
                </c:pt>
                <c:pt idx="932">
                  <c:v>23.6</c:v>
                </c:pt>
                <c:pt idx="933">
                  <c:v>23.6</c:v>
                </c:pt>
                <c:pt idx="934">
                  <c:v>23.7</c:v>
                </c:pt>
                <c:pt idx="935">
                  <c:v>23.6</c:v>
                </c:pt>
                <c:pt idx="936">
                  <c:v>23.6</c:v>
                </c:pt>
                <c:pt idx="937">
                  <c:v>23.6</c:v>
                </c:pt>
                <c:pt idx="938">
                  <c:v>23.9</c:v>
                </c:pt>
                <c:pt idx="939">
                  <c:v>23.9</c:v>
                </c:pt>
                <c:pt idx="940">
                  <c:v>23.9</c:v>
                </c:pt>
                <c:pt idx="941">
                  <c:v>23.9</c:v>
                </c:pt>
                <c:pt idx="942">
                  <c:v>23.9</c:v>
                </c:pt>
                <c:pt idx="943">
                  <c:v>23.9</c:v>
                </c:pt>
                <c:pt idx="944">
                  <c:v>23.9</c:v>
                </c:pt>
                <c:pt idx="945">
                  <c:v>23.9</c:v>
                </c:pt>
                <c:pt idx="946">
                  <c:v>24</c:v>
                </c:pt>
                <c:pt idx="947">
                  <c:v>23.9</c:v>
                </c:pt>
                <c:pt idx="948">
                  <c:v>23.9</c:v>
                </c:pt>
                <c:pt idx="949">
                  <c:v>23.9</c:v>
                </c:pt>
                <c:pt idx="950">
                  <c:v>23.8</c:v>
                </c:pt>
                <c:pt idx="951">
                  <c:v>23.8</c:v>
                </c:pt>
                <c:pt idx="952">
                  <c:v>23.8</c:v>
                </c:pt>
                <c:pt idx="953">
                  <c:v>23.8</c:v>
                </c:pt>
                <c:pt idx="954">
                  <c:v>23.7</c:v>
                </c:pt>
                <c:pt idx="955">
                  <c:v>23.6</c:v>
                </c:pt>
                <c:pt idx="956">
                  <c:v>23.6</c:v>
                </c:pt>
                <c:pt idx="957">
                  <c:v>23.7</c:v>
                </c:pt>
                <c:pt idx="958">
                  <c:v>23.5</c:v>
                </c:pt>
                <c:pt idx="959">
                  <c:v>23.4</c:v>
                </c:pt>
                <c:pt idx="960">
                  <c:v>23.5</c:v>
                </c:pt>
                <c:pt idx="961">
                  <c:v>23.3</c:v>
                </c:pt>
                <c:pt idx="962">
                  <c:v>23.4</c:v>
                </c:pt>
                <c:pt idx="963">
                  <c:v>23.4</c:v>
                </c:pt>
                <c:pt idx="964">
                  <c:v>23.4</c:v>
                </c:pt>
                <c:pt idx="965">
                  <c:v>23.2</c:v>
                </c:pt>
                <c:pt idx="966">
                  <c:v>23.3</c:v>
                </c:pt>
                <c:pt idx="967">
                  <c:v>23.3</c:v>
                </c:pt>
                <c:pt idx="968">
                  <c:v>23.5</c:v>
                </c:pt>
                <c:pt idx="969">
                  <c:v>23.4</c:v>
                </c:pt>
                <c:pt idx="970">
                  <c:v>23.3</c:v>
                </c:pt>
                <c:pt idx="971">
                  <c:v>23.4</c:v>
                </c:pt>
                <c:pt idx="972">
                  <c:v>23.4</c:v>
                </c:pt>
                <c:pt idx="973">
                  <c:v>23.5</c:v>
                </c:pt>
                <c:pt idx="974">
                  <c:v>23.7</c:v>
                </c:pt>
                <c:pt idx="975">
                  <c:v>23.6</c:v>
                </c:pt>
                <c:pt idx="976">
                  <c:v>23.6</c:v>
                </c:pt>
                <c:pt idx="977">
                  <c:v>23.8</c:v>
                </c:pt>
                <c:pt idx="978">
                  <c:v>23.7</c:v>
                </c:pt>
                <c:pt idx="979">
                  <c:v>23.7</c:v>
                </c:pt>
                <c:pt idx="980">
                  <c:v>23.7</c:v>
                </c:pt>
                <c:pt idx="981">
                  <c:v>23.8</c:v>
                </c:pt>
                <c:pt idx="982">
                  <c:v>23.8</c:v>
                </c:pt>
                <c:pt idx="983">
                  <c:v>23.8</c:v>
                </c:pt>
                <c:pt idx="984">
                  <c:v>23.9</c:v>
                </c:pt>
                <c:pt idx="985">
                  <c:v>23.9</c:v>
                </c:pt>
                <c:pt idx="986">
                  <c:v>23.8</c:v>
                </c:pt>
                <c:pt idx="987">
                  <c:v>23.9</c:v>
                </c:pt>
                <c:pt idx="988">
                  <c:v>23.8</c:v>
                </c:pt>
                <c:pt idx="989">
                  <c:v>23.8</c:v>
                </c:pt>
                <c:pt idx="990">
                  <c:v>23.8</c:v>
                </c:pt>
                <c:pt idx="991">
                  <c:v>23.7</c:v>
                </c:pt>
                <c:pt idx="992">
                  <c:v>23.7</c:v>
                </c:pt>
                <c:pt idx="993">
                  <c:v>23.7</c:v>
                </c:pt>
                <c:pt idx="994">
                  <c:v>23.6</c:v>
                </c:pt>
                <c:pt idx="995">
                  <c:v>23.6</c:v>
                </c:pt>
                <c:pt idx="996">
                  <c:v>23.5</c:v>
                </c:pt>
                <c:pt idx="997">
                  <c:v>23.5</c:v>
                </c:pt>
                <c:pt idx="998">
                  <c:v>23.4</c:v>
                </c:pt>
                <c:pt idx="999">
                  <c:v>23.5</c:v>
                </c:pt>
                <c:pt idx="1000">
                  <c:v>23.3</c:v>
                </c:pt>
                <c:pt idx="1001">
                  <c:v>23.3</c:v>
                </c:pt>
                <c:pt idx="1002">
                  <c:v>23.4</c:v>
                </c:pt>
                <c:pt idx="1003">
                  <c:v>23.3</c:v>
                </c:pt>
                <c:pt idx="1004">
                  <c:v>23.3</c:v>
                </c:pt>
                <c:pt idx="1005">
                  <c:v>23.2</c:v>
                </c:pt>
                <c:pt idx="1006">
                  <c:v>23.4</c:v>
                </c:pt>
                <c:pt idx="1007">
                  <c:v>23.3</c:v>
                </c:pt>
                <c:pt idx="1008">
                  <c:v>23.2</c:v>
                </c:pt>
                <c:pt idx="1009">
                  <c:v>23.4</c:v>
                </c:pt>
                <c:pt idx="1010">
                  <c:v>23.3</c:v>
                </c:pt>
                <c:pt idx="1011">
                  <c:v>23.3</c:v>
                </c:pt>
                <c:pt idx="1012">
                  <c:v>23.4</c:v>
                </c:pt>
                <c:pt idx="1013">
                  <c:v>23.5</c:v>
                </c:pt>
                <c:pt idx="1014">
                  <c:v>23.6</c:v>
                </c:pt>
                <c:pt idx="1015">
                  <c:v>23.6</c:v>
                </c:pt>
                <c:pt idx="1016">
                  <c:v>23.6</c:v>
                </c:pt>
                <c:pt idx="1017">
                  <c:v>23.6</c:v>
                </c:pt>
                <c:pt idx="1018">
                  <c:v>23.7</c:v>
                </c:pt>
                <c:pt idx="1019">
                  <c:v>23.8</c:v>
                </c:pt>
                <c:pt idx="1020">
                  <c:v>23.7</c:v>
                </c:pt>
                <c:pt idx="1021">
                  <c:v>23.7</c:v>
                </c:pt>
                <c:pt idx="1022">
                  <c:v>23.8</c:v>
                </c:pt>
                <c:pt idx="1023">
                  <c:v>23.8</c:v>
                </c:pt>
                <c:pt idx="1024">
                  <c:v>23.9</c:v>
                </c:pt>
                <c:pt idx="1025">
                  <c:v>23.8</c:v>
                </c:pt>
                <c:pt idx="1026">
                  <c:v>23.9</c:v>
                </c:pt>
                <c:pt idx="1027">
                  <c:v>23.8</c:v>
                </c:pt>
                <c:pt idx="1028">
                  <c:v>23.8</c:v>
                </c:pt>
                <c:pt idx="1029">
                  <c:v>23.7</c:v>
                </c:pt>
                <c:pt idx="1030">
                  <c:v>23.8</c:v>
                </c:pt>
                <c:pt idx="1031">
                  <c:v>23.8</c:v>
                </c:pt>
                <c:pt idx="1032">
                  <c:v>23.7</c:v>
                </c:pt>
                <c:pt idx="1033">
                  <c:v>23.6</c:v>
                </c:pt>
                <c:pt idx="1034">
                  <c:v>23.5</c:v>
                </c:pt>
                <c:pt idx="1035">
                  <c:v>23.5</c:v>
                </c:pt>
                <c:pt idx="1036">
                  <c:v>23.4</c:v>
                </c:pt>
                <c:pt idx="1037">
                  <c:v>23.4</c:v>
                </c:pt>
                <c:pt idx="1038">
                  <c:v>23.4</c:v>
                </c:pt>
                <c:pt idx="1039">
                  <c:v>23.2</c:v>
                </c:pt>
                <c:pt idx="1040">
                  <c:v>23.2</c:v>
                </c:pt>
                <c:pt idx="1041">
                  <c:v>23.3</c:v>
                </c:pt>
                <c:pt idx="1042">
                  <c:v>23.3</c:v>
                </c:pt>
                <c:pt idx="1043">
                  <c:v>23.3</c:v>
                </c:pt>
                <c:pt idx="1044">
                  <c:v>23.1</c:v>
                </c:pt>
                <c:pt idx="1045">
                  <c:v>23.2</c:v>
                </c:pt>
                <c:pt idx="1046">
                  <c:v>23.2</c:v>
                </c:pt>
                <c:pt idx="1047">
                  <c:v>23.3</c:v>
                </c:pt>
                <c:pt idx="1048">
                  <c:v>23.2</c:v>
                </c:pt>
                <c:pt idx="1049">
                  <c:v>23.3</c:v>
                </c:pt>
                <c:pt idx="1050">
                  <c:v>23.3</c:v>
                </c:pt>
                <c:pt idx="1051">
                  <c:v>23.5</c:v>
                </c:pt>
                <c:pt idx="1052">
                  <c:v>23.4</c:v>
                </c:pt>
                <c:pt idx="1053">
                  <c:v>23.5</c:v>
                </c:pt>
                <c:pt idx="1054">
                  <c:v>23.6</c:v>
                </c:pt>
                <c:pt idx="1055">
                  <c:v>23.6</c:v>
                </c:pt>
                <c:pt idx="1056">
                  <c:v>23.6</c:v>
                </c:pt>
                <c:pt idx="1057">
                  <c:v>23.7</c:v>
                </c:pt>
                <c:pt idx="1058">
                  <c:v>23.8</c:v>
                </c:pt>
                <c:pt idx="1059">
                  <c:v>23.8</c:v>
                </c:pt>
                <c:pt idx="1060">
                  <c:v>23.8</c:v>
                </c:pt>
                <c:pt idx="1061">
                  <c:v>23.8</c:v>
                </c:pt>
                <c:pt idx="1062">
                  <c:v>23.7</c:v>
                </c:pt>
                <c:pt idx="1063">
                  <c:v>23.8</c:v>
                </c:pt>
                <c:pt idx="1064">
                  <c:v>23.7</c:v>
                </c:pt>
                <c:pt idx="1065">
                  <c:v>23.8</c:v>
                </c:pt>
                <c:pt idx="1066">
                  <c:v>23.8</c:v>
                </c:pt>
                <c:pt idx="1067">
                  <c:v>23.6</c:v>
                </c:pt>
                <c:pt idx="1068">
                  <c:v>23.7</c:v>
                </c:pt>
                <c:pt idx="1069">
                  <c:v>23.6</c:v>
                </c:pt>
                <c:pt idx="1070">
                  <c:v>23.7</c:v>
                </c:pt>
                <c:pt idx="1071">
                  <c:v>23.6</c:v>
                </c:pt>
                <c:pt idx="1072">
                  <c:v>23.6</c:v>
                </c:pt>
                <c:pt idx="1073">
                  <c:v>23.5</c:v>
                </c:pt>
                <c:pt idx="1074">
                  <c:v>23.5</c:v>
                </c:pt>
                <c:pt idx="1075">
                  <c:v>23.4</c:v>
                </c:pt>
                <c:pt idx="1076">
                  <c:v>23.5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A_09_16_04_B!$L$3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A_09_16_04_B!$J$4:$J$1080</c:f>
              <c:numCache>
                <c:formatCode>0.00_);[Red]\(0.00\)</c:formatCode>
                <c:ptCount val="1077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1.136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1.604</c:v>
                </c:pt>
                <c:pt idx="49" c:formatCode="0.00_);[Red]\(0.00\)">
                  <c:v>1.638</c:v>
                </c:pt>
                <c:pt idx="50" c:formatCode="0.00_);[Red]\(0.00\)">
                  <c:v>1.671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1.838</c:v>
                </c:pt>
                <c:pt idx="56" c:formatCode="0.00_);[Red]\(0.00\)">
                  <c:v>1.872</c:v>
                </c:pt>
                <c:pt idx="57" c:formatCode="0.00_);[Red]\(0.00\)">
                  <c:v>1.905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2.072</c:v>
                </c:pt>
                <c:pt idx="63" c:formatCode="0.00_);[Red]\(0.00\)">
                  <c:v>2.106</c:v>
                </c:pt>
                <c:pt idx="64" c:formatCode="0.00_);[Red]\(0.00\)">
                  <c:v>2.139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2.306</c:v>
                </c:pt>
                <c:pt idx="70" c:formatCode="0.00_);[Red]\(0.00\)">
                  <c:v>2.34</c:v>
                </c:pt>
                <c:pt idx="71" c:formatCode="0.00_);[Red]\(0.00\)">
                  <c:v>2.373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</c:v>
                </c:pt>
                <c:pt idx="77" c:formatCode="0.00_);[Red]\(0.00\)">
                  <c:v>2.574</c:v>
                </c:pt>
                <c:pt idx="78" c:formatCode="0.00_);[Red]\(0.00\)">
                  <c:v>2.607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2.774</c:v>
                </c:pt>
                <c:pt idx="84" c:formatCode="0.00_);[Red]\(0.00\)">
                  <c:v>2.808</c:v>
                </c:pt>
                <c:pt idx="85" c:formatCode="0.00_);[Red]\(0.00\)">
                  <c:v>2.841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3.008</c:v>
                </c:pt>
                <c:pt idx="91" c:formatCode="0.00_);[Red]\(0.00\)">
                  <c:v>3.042</c:v>
                </c:pt>
                <c:pt idx="92" c:formatCode="0.00_);[Red]\(0.00\)">
                  <c:v>3.075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3.175</c:v>
                </c:pt>
                <c:pt idx="96" c:formatCode="0.00_);[Red]\(0.00\)">
                  <c:v>3.209</c:v>
                </c:pt>
                <c:pt idx="97" c:formatCode="0.00_);[Red]\(0.00\)">
                  <c:v>3.242</c:v>
                </c:pt>
                <c:pt idx="98" c:formatCode="0.00_);[Red]\(0.00\)">
                  <c:v>3.276</c:v>
                </c:pt>
                <c:pt idx="99" c:formatCode="0.00_);[Red]\(0.00\)">
                  <c:v>3.309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3.409</c:v>
                </c:pt>
                <c:pt idx="103" c:formatCode="0.00_);[Red]\(0.00\)">
                  <c:v>3.443</c:v>
                </c:pt>
                <c:pt idx="104" c:formatCode="0.00_);[Red]\(0.00\)">
                  <c:v>3.476</c:v>
                </c:pt>
                <c:pt idx="105" c:formatCode="0.00_);[Red]\(0.00\)">
                  <c:v>3.51</c:v>
                </c:pt>
                <c:pt idx="106" c:formatCode="0.00_);[Red]\(0.00\)">
                  <c:v>3.543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3.643</c:v>
                </c:pt>
                <c:pt idx="110" c:formatCode="0.00_);[Red]\(0.00\)">
                  <c:v>3.677</c:v>
                </c:pt>
                <c:pt idx="111" c:formatCode="0.00_);[Red]\(0.00\)">
                  <c:v>3.71</c:v>
                </c:pt>
                <c:pt idx="112" c:formatCode="0.00_);[Red]\(0.00\)">
                  <c:v>3.744</c:v>
                </c:pt>
                <c:pt idx="113" c:formatCode="0.00_);[Red]\(0.00\)">
                  <c:v>3.777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3.877</c:v>
                </c:pt>
                <c:pt idx="117" c:formatCode="0.00_);[Red]\(0.00\)">
                  <c:v>3.911</c:v>
                </c:pt>
                <c:pt idx="118" c:formatCode="0.00_);[Red]\(0.00\)">
                  <c:v>3.944</c:v>
                </c:pt>
                <c:pt idx="119" c:formatCode="0.00_);[Red]\(0.00\)">
                  <c:v>3.978</c:v>
                </c:pt>
                <c:pt idx="120" c:formatCode="0.00_);[Red]\(0.00\)">
                  <c:v>4.011</c:v>
                </c:pt>
                <c:pt idx="121" c:formatCode="0.00_);[Red]\(0.00\)">
                  <c:v>4.045</c:v>
                </c:pt>
                <c:pt idx="122" c:formatCode="0.00_);[Red]\(0.00\)">
                  <c:v>4.078</c:v>
                </c:pt>
                <c:pt idx="123" c:formatCode="0.00_);[Red]\(0.00\)">
                  <c:v>4.111</c:v>
                </c:pt>
                <c:pt idx="124" c:formatCode="0.00_);[Red]\(0.00\)">
                  <c:v>4.145</c:v>
                </c:pt>
                <c:pt idx="125" c:formatCode="0.00_);[Red]\(0.00\)">
                  <c:v>4.178</c:v>
                </c:pt>
                <c:pt idx="126" c:formatCode="0.00_);[Red]\(0.00\)">
                  <c:v>4.212</c:v>
                </c:pt>
                <c:pt idx="127" c:formatCode="0.00_);[Red]\(0.00\)">
                  <c:v>4.245</c:v>
                </c:pt>
                <c:pt idx="128" c:formatCode="0.00_);[Red]\(0.00\)">
                  <c:v>4.279</c:v>
                </c:pt>
                <c:pt idx="129" c:formatCode="0.00_);[Red]\(0.00\)">
                  <c:v>4.312</c:v>
                </c:pt>
                <c:pt idx="130" c:formatCode="0.00_);[Red]\(0.00\)">
                  <c:v>4.345</c:v>
                </c:pt>
                <c:pt idx="131" c:formatCode="0.00_);[Red]\(0.00\)">
                  <c:v>4.379</c:v>
                </c:pt>
                <c:pt idx="132" c:formatCode="0.00_);[Red]\(0.00\)">
                  <c:v>4.412</c:v>
                </c:pt>
                <c:pt idx="133" c:formatCode="0.00_);[Red]\(0.00\)">
                  <c:v>4.446</c:v>
                </c:pt>
                <c:pt idx="134" c:formatCode="0.00_);[Red]\(0.00\)">
                  <c:v>4.479</c:v>
                </c:pt>
                <c:pt idx="135" c:formatCode="0.00_);[Red]\(0.00\)">
                  <c:v>4.513</c:v>
                </c:pt>
                <c:pt idx="136" c:formatCode="0.00_);[Red]\(0.00\)">
                  <c:v>4.546</c:v>
                </c:pt>
                <c:pt idx="137" c:formatCode="0.00_);[Red]\(0.00\)">
                  <c:v>4.579</c:v>
                </c:pt>
                <c:pt idx="138" c:formatCode="0.00_);[Red]\(0.00\)">
                  <c:v>4.613</c:v>
                </c:pt>
                <c:pt idx="139" c:formatCode="0.00_);[Red]\(0.00\)">
                  <c:v>4.646</c:v>
                </c:pt>
                <c:pt idx="140" c:formatCode="0.00_);[Red]\(0.00\)">
                  <c:v>4.68</c:v>
                </c:pt>
                <c:pt idx="141" c:formatCode="0.00_);[Red]\(0.00\)">
                  <c:v>4.713</c:v>
                </c:pt>
                <c:pt idx="142" c:formatCode="0.00_);[Red]\(0.00\)">
                  <c:v>4.747</c:v>
                </c:pt>
                <c:pt idx="143" c:formatCode="0.00_);[Red]\(0.00\)">
                  <c:v>4.78</c:v>
                </c:pt>
                <c:pt idx="144" c:formatCode="0.00_);[Red]\(0.00\)">
                  <c:v>4.813</c:v>
                </c:pt>
                <c:pt idx="145" c:formatCode="0.00_);[Red]\(0.00\)">
                  <c:v>4.847</c:v>
                </c:pt>
                <c:pt idx="146" c:formatCode="0.00_);[Red]\(0.00\)">
                  <c:v>4.88</c:v>
                </c:pt>
                <c:pt idx="147" c:formatCode="0.00_);[Red]\(0.00\)">
                  <c:v>4.914</c:v>
                </c:pt>
                <c:pt idx="148" c:formatCode="0.00_);[Red]\(0.00\)">
                  <c:v>4.947</c:v>
                </c:pt>
                <c:pt idx="149" c:formatCode="0.00_);[Red]\(0.00\)">
                  <c:v>4.981</c:v>
                </c:pt>
                <c:pt idx="150" c:formatCode="0.00_);[Red]\(0.00\)">
                  <c:v>5.014</c:v>
                </c:pt>
                <c:pt idx="151" c:formatCode="0.00_);[Red]\(0.00\)">
                  <c:v>5.047</c:v>
                </c:pt>
                <c:pt idx="152" c:formatCode="0.00_);[Red]\(0.00\)">
                  <c:v>5.081</c:v>
                </c:pt>
                <c:pt idx="153" c:formatCode="0.00_);[Red]\(0.00\)">
                  <c:v>5.114</c:v>
                </c:pt>
                <c:pt idx="154" c:formatCode="0.00_);[Red]\(0.00\)">
                  <c:v>5.148</c:v>
                </c:pt>
                <c:pt idx="155" c:formatCode="0.00_);[Red]\(0.00\)">
                  <c:v>5.181</c:v>
                </c:pt>
                <c:pt idx="156" c:formatCode="0.00_);[Red]\(0.00\)">
                  <c:v>5.214</c:v>
                </c:pt>
                <c:pt idx="157" c:formatCode="0.00_);[Red]\(0.00\)">
                  <c:v>5.248</c:v>
                </c:pt>
                <c:pt idx="158" c:formatCode="0.00_);[Red]\(0.00\)">
                  <c:v>5.281</c:v>
                </c:pt>
                <c:pt idx="159" c:formatCode="0.00_);[Red]\(0.00\)">
                  <c:v>5.315</c:v>
                </c:pt>
                <c:pt idx="160" c:formatCode="0.00_);[Red]\(0.00\)">
                  <c:v>5.348</c:v>
                </c:pt>
                <c:pt idx="161" c:formatCode="0.00_);[Red]\(0.00\)">
                  <c:v>5.382</c:v>
                </c:pt>
                <c:pt idx="162" c:formatCode="0.00_);[Red]\(0.00\)">
                  <c:v>5.415</c:v>
                </c:pt>
                <c:pt idx="163" c:formatCode="0.00_);[Red]\(0.00\)">
                  <c:v>5.448</c:v>
                </c:pt>
                <c:pt idx="164" c:formatCode="0.00_);[Red]\(0.00\)">
                  <c:v>5.482</c:v>
                </c:pt>
                <c:pt idx="165" c:formatCode="0.00_);[Red]\(0.00\)">
                  <c:v>5.515</c:v>
                </c:pt>
                <c:pt idx="166" c:formatCode="0.00_);[Red]\(0.00\)">
                  <c:v>5.549</c:v>
                </c:pt>
                <c:pt idx="167" c:formatCode="0.00_);[Red]\(0.00\)">
                  <c:v>5.582</c:v>
                </c:pt>
                <c:pt idx="168" c:formatCode="0.00_);[Red]\(0.00\)">
                  <c:v>5.616</c:v>
                </c:pt>
                <c:pt idx="169" c:formatCode="0.00_);[Red]\(0.00\)">
                  <c:v>5.649</c:v>
                </c:pt>
                <c:pt idx="170" c:formatCode="0.00_);[Red]\(0.00\)">
                  <c:v>5.682</c:v>
                </c:pt>
                <c:pt idx="171" c:formatCode="0.00_);[Red]\(0.00\)">
                  <c:v>5.716</c:v>
                </c:pt>
                <c:pt idx="172" c:formatCode="0.00_);[Red]\(0.00\)">
                  <c:v>5.749</c:v>
                </c:pt>
                <c:pt idx="173" c:formatCode="0.00_);[Red]\(0.00\)">
                  <c:v>5.783</c:v>
                </c:pt>
                <c:pt idx="174" c:formatCode="0.00_);[Red]\(0.00\)">
                  <c:v>5.816</c:v>
                </c:pt>
                <c:pt idx="175" c:formatCode="0.00_);[Red]\(0.00\)">
                  <c:v>5.85</c:v>
                </c:pt>
                <c:pt idx="176" c:formatCode="0.00_);[Red]\(0.00\)">
                  <c:v>5.883</c:v>
                </c:pt>
                <c:pt idx="177" c:formatCode="0.00_);[Red]\(0.00\)">
                  <c:v>5.916</c:v>
                </c:pt>
                <c:pt idx="178" c:formatCode="0.00_);[Red]\(0.00\)">
                  <c:v>5.95</c:v>
                </c:pt>
                <c:pt idx="179" c:formatCode="0.00_);[Red]\(0.00\)">
                  <c:v>5.983</c:v>
                </c:pt>
                <c:pt idx="180" c:formatCode="0.00_);[Red]\(0.00\)">
                  <c:v>6.017</c:v>
                </c:pt>
                <c:pt idx="181" c:formatCode="0.00_);[Red]\(0.00\)">
                  <c:v>6.05</c:v>
                </c:pt>
                <c:pt idx="182" c:formatCode="0.00_);[Red]\(0.00\)">
                  <c:v>6.084</c:v>
                </c:pt>
                <c:pt idx="183" c:formatCode="0.00_);[Red]\(0.00\)">
                  <c:v>6.117</c:v>
                </c:pt>
                <c:pt idx="184" c:formatCode="0.00_);[Red]\(0.00\)">
                  <c:v>6.15</c:v>
                </c:pt>
                <c:pt idx="185" c:formatCode="0.00_);[Red]\(0.00\)">
                  <c:v>6.184</c:v>
                </c:pt>
                <c:pt idx="186" c:formatCode="0.00_);[Red]\(0.00\)">
                  <c:v>6.217</c:v>
                </c:pt>
                <c:pt idx="187" c:formatCode="0.00_);[Red]\(0.00\)">
                  <c:v>6.251</c:v>
                </c:pt>
                <c:pt idx="188" c:formatCode="0.00_);[Red]\(0.00\)">
                  <c:v>6.284</c:v>
                </c:pt>
                <c:pt idx="189" c:formatCode="0.00_);[Red]\(0.00\)">
                  <c:v>6.318</c:v>
                </c:pt>
                <c:pt idx="190" c:formatCode="0.00_);[Red]\(0.00\)">
                  <c:v>6.351</c:v>
                </c:pt>
                <c:pt idx="191" c:formatCode="0.00_);[Red]\(0.00\)">
                  <c:v>6.384</c:v>
                </c:pt>
                <c:pt idx="192" c:formatCode="0.00_);[Red]\(0.00\)">
                  <c:v>6.418</c:v>
                </c:pt>
                <c:pt idx="193" c:formatCode="0.00_);[Red]\(0.00\)">
                  <c:v>6.451</c:v>
                </c:pt>
                <c:pt idx="194" c:formatCode="0.00_);[Red]\(0.00\)">
                  <c:v>6.485</c:v>
                </c:pt>
                <c:pt idx="195" c:formatCode="0.00_);[Red]\(0.00\)">
                  <c:v>6.518</c:v>
                </c:pt>
                <c:pt idx="196" c:formatCode="0.00_);[Red]\(0.00\)">
                  <c:v>6.552</c:v>
                </c:pt>
                <c:pt idx="197" c:formatCode="0.00_);[Red]\(0.00\)">
                  <c:v>6.585</c:v>
                </c:pt>
                <c:pt idx="198" c:formatCode="0.00_);[Red]\(0.00\)">
                  <c:v>6.618</c:v>
                </c:pt>
                <c:pt idx="199" c:formatCode="0.00_);[Red]\(0.00\)">
                  <c:v>6.652</c:v>
                </c:pt>
                <c:pt idx="200" c:formatCode="0.00_);[Red]\(0.00\)">
                  <c:v>6.685</c:v>
                </c:pt>
                <c:pt idx="201" c:formatCode="0.00_);[Red]\(0.00\)">
                  <c:v>6.719</c:v>
                </c:pt>
                <c:pt idx="202" c:formatCode="0.00_);[Red]\(0.00\)">
                  <c:v>6.752</c:v>
                </c:pt>
                <c:pt idx="203" c:formatCode="0.00_);[Red]\(0.00\)">
                  <c:v>6.786</c:v>
                </c:pt>
                <c:pt idx="204" c:formatCode="0.00_);[Red]\(0.00\)">
                  <c:v>6.819</c:v>
                </c:pt>
                <c:pt idx="205" c:formatCode="0.00_);[Red]\(0.00\)">
                  <c:v>6.852</c:v>
                </c:pt>
                <c:pt idx="206" c:formatCode="0.00_);[Red]\(0.00\)">
                  <c:v>6.886</c:v>
                </c:pt>
                <c:pt idx="207" c:formatCode="0.00_);[Red]\(0.00\)">
                  <c:v>6.919</c:v>
                </c:pt>
                <c:pt idx="208" c:formatCode="0.00_);[Red]\(0.00\)">
                  <c:v>6.953</c:v>
                </c:pt>
                <c:pt idx="209" c:formatCode="0.00_);[Red]\(0.00\)">
                  <c:v>6.986</c:v>
                </c:pt>
                <c:pt idx="210" c:formatCode="0.00_);[Red]\(0.00\)">
                  <c:v>7.02</c:v>
                </c:pt>
                <c:pt idx="211" c:formatCode="0.00_);[Red]\(0.00\)">
                  <c:v>7.053</c:v>
                </c:pt>
                <c:pt idx="212" c:formatCode="0.00_);[Red]\(0.00\)">
                  <c:v>7.086</c:v>
                </c:pt>
                <c:pt idx="213" c:formatCode="0.00_);[Red]\(0.00\)">
                  <c:v>7.12</c:v>
                </c:pt>
                <c:pt idx="214" c:formatCode="0.00_);[Red]\(0.00\)">
                  <c:v>7.153</c:v>
                </c:pt>
                <c:pt idx="215" c:formatCode="0.00_);[Red]\(0.00\)">
                  <c:v>7.187</c:v>
                </c:pt>
                <c:pt idx="216" c:formatCode="0.00_);[Red]\(0.00\)">
                  <c:v>7.22</c:v>
                </c:pt>
                <c:pt idx="217" c:formatCode="0.00_);[Red]\(0.00\)">
                  <c:v>7.253</c:v>
                </c:pt>
                <c:pt idx="218" c:formatCode="0.00_);[Red]\(0.00\)">
                  <c:v>7.287</c:v>
                </c:pt>
                <c:pt idx="219" c:formatCode="0.00_);[Red]\(0.00\)">
                  <c:v>7.32</c:v>
                </c:pt>
                <c:pt idx="220" c:formatCode="0.00_);[Red]\(0.00\)">
                  <c:v>7.354</c:v>
                </c:pt>
                <c:pt idx="221" c:formatCode="0.00_);[Red]\(0.00\)">
                  <c:v>7.387</c:v>
                </c:pt>
                <c:pt idx="222" c:formatCode="0.00_);[Red]\(0.00\)">
                  <c:v>7.421</c:v>
                </c:pt>
                <c:pt idx="223" c:formatCode="0.00_);[Red]\(0.00\)">
                  <c:v>7.454</c:v>
                </c:pt>
                <c:pt idx="224" c:formatCode="0.00_);[Red]\(0.00\)">
                  <c:v>7.487</c:v>
                </c:pt>
                <c:pt idx="225" c:formatCode="0.00_);[Red]\(0.00\)">
                  <c:v>7.521</c:v>
                </c:pt>
                <c:pt idx="226" c:formatCode="0.00_);[Red]\(0.00\)">
                  <c:v>7.554</c:v>
                </c:pt>
                <c:pt idx="227" c:formatCode="0.00_);[Red]\(0.00\)">
                  <c:v>7.588</c:v>
                </c:pt>
                <c:pt idx="228" c:formatCode="0.00_);[Red]\(0.00\)">
                  <c:v>7.621</c:v>
                </c:pt>
                <c:pt idx="229" c:formatCode="0.00_);[Red]\(0.00\)">
                  <c:v>7.655</c:v>
                </c:pt>
                <c:pt idx="230" c:formatCode="0.00_);[Red]\(0.00\)">
                  <c:v>7.688</c:v>
                </c:pt>
                <c:pt idx="231" c:formatCode="0.00_);[Red]\(0.00\)">
                  <c:v>7.721</c:v>
                </c:pt>
                <c:pt idx="232" c:formatCode="0.00_);[Red]\(0.00\)">
                  <c:v>7.755</c:v>
                </c:pt>
                <c:pt idx="233" c:formatCode="0.00_);[Red]\(0.00\)">
                  <c:v>7.788</c:v>
                </c:pt>
                <c:pt idx="234" c:formatCode="0.00_);[Red]\(0.00\)">
                  <c:v>7.822</c:v>
                </c:pt>
                <c:pt idx="235" c:formatCode="0.00_);[Red]\(0.00\)">
                  <c:v>7.855</c:v>
                </c:pt>
                <c:pt idx="236" c:formatCode="0.00_);[Red]\(0.00\)">
                  <c:v>7.889</c:v>
                </c:pt>
                <c:pt idx="237" c:formatCode="0.00_);[Red]\(0.00\)">
                  <c:v>7.922</c:v>
                </c:pt>
                <c:pt idx="238" c:formatCode="0.00_);[Red]\(0.00\)">
                  <c:v>7.955</c:v>
                </c:pt>
                <c:pt idx="239" c:formatCode="0.00_);[Red]\(0.00\)">
                  <c:v>7.989</c:v>
                </c:pt>
                <c:pt idx="240" c:formatCode="0.00_);[Red]\(0.00\)">
                  <c:v>8.022</c:v>
                </c:pt>
                <c:pt idx="241" c:formatCode="0.00_);[Red]\(0.00\)">
                  <c:v>8.056</c:v>
                </c:pt>
                <c:pt idx="242" c:formatCode="0.00_);[Red]\(0.00\)">
                  <c:v>8.089</c:v>
                </c:pt>
                <c:pt idx="243" c:formatCode="0.00_);[Red]\(0.00\)">
                  <c:v>8.123</c:v>
                </c:pt>
                <c:pt idx="244" c:formatCode="0.00_);[Red]\(0.00\)">
                  <c:v>8.156</c:v>
                </c:pt>
                <c:pt idx="245" c:formatCode="0.00_);[Red]\(0.00\)">
                  <c:v>8.189</c:v>
                </c:pt>
                <c:pt idx="246" c:formatCode="0.00_);[Red]\(0.00\)">
                  <c:v>8.223</c:v>
                </c:pt>
                <c:pt idx="247" c:formatCode="0.00_);[Red]\(0.00\)">
                  <c:v>8.256</c:v>
                </c:pt>
                <c:pt idx="248" c:formatCode="0.00_);[Red]\(0.00\)">
                  <c:v>8.29</c:v>
                </c:pt>
                <c:pt idx="249" c:formatCode="0.00_);[Red]\(0.00\)">
                  <c:v>8.323</c:v>
                </c:pt>
                <c:pt idx="250" c:formatCode="0.00_);[Red]\(0.00\)">
                  <c:v>8.357</c:v>
                </c:pt>
                <c:pt idx="251" c:formatCode="0.00_);[Red]\(0.00\)">
                  <c:v>8.39</c:v>
                </c:pt>
                <c:pt idx="252" c:formatCode="0.00_);[Red]\(0.00\)">
                  <c:v>8.423</c:v>
                </c:pt>
                <c:pt idx="253" c:formatCode="0.00_);[Red]\(0.00\)">
                  <c:v>8.457</c:v>
                </c:pt>
                <c:pt idx="254" c:formatCode="0.00_);[Red]\(0.00\)">
                  <c:v>8.49</c:v>
                </c:pt>
                <c:pt idx="255" c:formatCode="0.00_);[Red]\(0.00\)">
                  <c:v>8.524</c:v>
                </c:pt>
                <c:pt idx="256" c:formatCode="0.00_);[Red]\(0.00\)">
                  <c:v>8.557</c:v>
                </c:pt>
                <c:pt idx="257" c:formatCode="0.00_);[Red]\(0.00\)">
                  <c:v>8.591</c:v>
                </c:pt>
                <c:pt idx="258" c:formatCode="0.00_);[Red]\(0.00\)">
                  <c:v>8.624</c:v>
                </c:pt>
                <c:pt idx="259" c:formatCode="0.00_);[Red]\(0.00\)">
                  <c:v>8.657</c:v>
                </c:pt>
                <c:pt idx="260" c:formatCode="0.00_);[Red]\(0.00\)">
                  <c:v>8.691</c:v>
                </c:pt>
                <c:pt idx="261" c:formatCode="0.00_);[Red]\(0.00\)">
                  <c:v>8.724</c:v>
                </c:pt>
                <c:pt idx="262" c:formatCode="0.00_);[Red]\(0.00\)">
                  <c:v>8.758</c:v>
                </c:pt>
                <c:pt idx="263" c:formatCode="0.00_);[Red]\(0.00\)">
                  <c:v>8.791</c:v>
                </c:pt>
                <c:pt idx="264" c:formatCode="0.00_);[Red]\(0.00\)">
                  <c:v>8.825</c:v>
                </c:pt>
                <c:pt idx="265" c:formatCode="0.00_);[Red]\(0.00\)">
                  <c:v>8.858</c:v>
                </c:pt>
                <c:pt idx="266" c:formatCode="0.00_);[Red]\(0.00\)">
                  <c:v>8.891</c:v>
                </c:pt>
                <c:pt idx="267" c:formatCode="0.00_);[Red]\(0.00\)">
                  <c:v>8.925</c:v>
                </c:pt>
                <c:pt idx="268" c:formatCode="0.00_);[Red]\(0.00\)">
                  <c:v>8.958</c:v>
                </c:pt>
                <c:pt idx="269" c:formatCode="0.00_);[Red]\(0.00\)">
                  <c:v>8.992</c:v>
                </c:pt>
                <c:pt idx="270" c:formatCode="0.00_);[Red]\(0.00\)">
                  <c:v>9.025</c:v>
                </c:pt>
                <c:pt idx="271" c:formatCode="0.00_);[Red]\(0.00\)">
                  <c:v>9.059</c:v>
                </c:pt>
                <c:pt idx="272" c:formatCode="0.00_);[Red]\(0.00\)">
                  <c:v>9.092</c:v>
                </c:pt>
                <c:pt idx="273" c:formatCode="0.00_);[Red]\(0.00\)">
                  <c:v>9.125</c:v>
                </c:pt>
                <c:pt idx="274" c:formatCode="0.00_);[Red]\(0.00\)">
                  <c:v>9.159</c:v>
                </c:pt>
                <c:pt idx="275" c:formatCode="0.00_);[Red]\(0.00\)">
                  <c:v>9.192</c:v>
                </c:pt>
                <c:pt idx="276" c:formatCode="0.00_);[Red]\(0.00\)">
                  <c:v>9.226</c:v>
                </c:pt>
                <c:pt idx="277" c:formatCode="0.00_);[Red]\(0.00\)">
                  <c:v>9.259</c:v>
                </c:pt>
                <c:pt idx="278" c:formatCode="0.00_);[Red]\(0.00\)">
                  <c:v>9.292</c:v>
                </c:pt>
                <c:pt idx="279" c:formatCode="0.00_);[Red]\(0.00\)">
                  <c:v>9.326</c:v>
                </c:pt>
                <c:pt idx="280" c:formatCode="0.00_);[Red]\(0.00\)">
                  <c:v>9.359</c:v>
                </c:pt>
                <c:pt idx="281" c:formatCode="0.00_);[Red]\(0.00\)">
                  <c:v>9.393</c:v>
                </c:pt>
                <c:pt idx="282" c:formatCode="0.00_);[Red]\(0.00\)">
                  <c:v>9.426</c:v>
                </c:pt>
                <c:pt idx="283" c:formatCode="0.00_);[Red]\(0.00\)">
                  <c:v>9.46</c:v>
                </c:pt>
                <c:pt idx="284" c:formatCode="0.00_);[Red]\(0.00\)">
                  <c:v>9.493</c:v>
                </c:pt>
                <c:pt idx="285" c:formatCode="0.00_);[Red]\(0.00\)">
                  <c:v>9.526</c:v>
                </c:pt>
                <c:pt idx="286" c:formatCode="0.00_);[Red]\(0.00\)">
                  <c:v>9.56</c:v>
                </c:pt>
                <c:pt idx="287" c:formatCode="0.00_);[Red]\(0.00\)">
                  <c:v>9.593</c:v>
                </c:pt>
                <c:pt idx="288" c:formatCode="0.00_);[Red]\(0.00\)">
                  <c:v>9.627</c:v>
                </c:pt>
                <c:pt idx="289" c:formatCode="0.00_);[Red]\(0.00\)">
                  <c:v>9.66</c:v>
                </c:pt>
                <c:pt idx="290" c:formatCode="0.00_);[Red]\(0.00\)">
                  <c:v>9.694</c:v>
                </c:pt>
                <c:pt idx="291" c:formatCode="0.00_);[Red]\(0.00\)">
                  <c:v>9.727</c:v>
                </c:pt>
                <c:pt idx="292" c:formatCode="0.00_);[Red]\(0.00\)">
                  <c:v>9.76</c:v>
                </c:pt>
                <c:pt idx="293" c:formatCode="0.00_);[Red]\(0.00\)">
                  <c:v>9.794</c:v>
                </c:pt>
                <c:pt idx="294" c:formatCode="0.00_);[Red]\(0.00\)">
                  <c:v>9.827</c:v>
                </c:pt>
                <c:pt idx="295" c:formatCode="0.00_);[Red]\(0.00\)">
                  <c:v>9.861</c:v>
                </c:pt>
                <c:pt idx="296" c:formatCode="0.00_);[Red]\(0.00\)">
                  <c:v>9.894</c:v>
                </c:pt>
                <c:pt idx="297" c:formatCode="0.00_);[Red]\(0.00\)">
                  <c:v>9.928</c:v>
                </c:pt>
                <c:pt idx="298" c:formatCode="0.00_);[Red]\(0.00\)">
                  <c:v>9.961</c:v>
                </c:pt>
                <c:pt idx="299" c:formatCode="0.00_);[Red]\(0.00\)">
                  <c:v>9.994</c:v>
                </c:pt>
                <c:pt idx="300" c:formatCode="0.00_);[Red]\(0.00\)">
                  <c:v>10.028</c:v>
                </c:pt>
                <c:pt idx="301" c:formatCode="0.00_);[Red]\(0.00\)">
                  <c:v>10.061</c:v>
                </c:pt>
                <c:pt idx="302" c:formatCode="0.00_);[Red]\(0.00\)">
                  <c:v>10.095</c:v>
                </c:pt>
                <c:pt idx="303" c:formatCode="0.00_);[Red]\(0.00\)">
                  <c:v>10.128</c:v>
                </c:pt>
                <c:pt idx="304" c:formatCode="0.00_);[Red]\(0.00\)">
                  <c:v>10.162</c:v>
                </c:pt>
                <c:pt idx="305" c:formatCode="0.00_);[Red]\(0.00\)">
                  <c:v>10.195</c:v>
                </c:pt>
                <c:pt idx="306" c:formatCode="0.00_);[Red]\(0.00\)">
                  <c:v>10.228</c:v>
                </c:pt>
                <c:pt idx="307" c:formatCode="0.00_);[Red]\(0.00\)">
                  <c:v>10.262</c:v>
                </c:pt>
                <c:pt idx="308" c:formatCode="0.00_);[Red]\(0.00\)">
                  <c:v>10.295</c:v>
                </c:pt>
                <c:pt idx="309" c:formatCode="0.00_);[Red]\(0.00\)">
                  <c:v>10.329</c:v>
                </c:pt>
                <c:pt idx="310" c:formatCode="0.00_);[Red]\(0.00\)">
                  <c:v>10.362</c:v>
                </c:pt>
                <c:pt idx="311" c:formatCode="0.00_);[Red]\(0.00\)">
                  <c:v>10.396</c:v>
                </c:pt>
                <c:pt idx="312" c:formatCode="0.00_);[Red]\(0.00\)">
                  <c:v>10.429</c:v>
                </c:pt>
                <c:pt idx="313" c:formatCode="0.00_);[Red]\(0.00\)">
                  <c:v>10.462</c:v>
                </c:pt>
                <c:pt idx="314" c:formatCode="0.00_);[Red]\(0.00\)">
                  <c:v>10.496</c:v>
                </c:pt>
                <c:pt idx="315" c:formatCode="0.00_);[Red]\(0.00\)">
                  <c:v>10.529</c:v>
                </c:pt>
                <c:pt idx="316" c:formatCode="0.00_);[Red]\(0.00\)">
                  <c:v>10.563</c:v>
                </c:pt>
                <c:pt idx="317" c:formatCode="0.00_);[Red]\(0.00\)">
                  <c:v>10.596</c:v>
                </c:pt>
                <c:pt idx="318" c:formatCode="0.00_);[Red]\(0.00\)">
                  <c:v>10.63</c:v>
                </c:pt>
                <c:pt idx="319" c:formatCode="0.00_);[Red]\(0.00\)">
                  <c:v>10.663</c:v>
                </c:pt>
                <c:pt idx="320" c:formatCode="0.00_);[Red]\(0.00\)">
                  <c:v>10.696</c:v>
                </c:pt>
                <c:pt idx="321" c:formatCode="0.00_);[Red]\(0.00\)">
                  <c:v>10.73</c:v>
                </c:pt>
                <c:pt idx="322" c:formatCode="0.00_);[Red]\(0.00\)">
                  <c:v>10.763</c:v>
                </c:pt>
                <c:pt idx="323" c:formatCode="0.00_);[Red]\(0.00\)">
                  <c:v>10.797</c:v>
                </c:pt>
                <c:pt idx="324" c:formatCode="0.00_);[Red]\(0.00\)">
                  <c:v>10.83</c:v>
                </c:pt>
                <c:pt idx="325" c:formatCode="0.00_);[Red]\(0.00\)">
                  <c:v>10.864</c:v>
                </c:pt>
                <c:pt idx="326" c:formatCode="0.00_);[Red]\(0.00\)">
                  <c:v>10.897</c:v>
                </c:pt>
                <c:pt idx="327" c:formatCode="0.00_);[Red]\(0.00\)">
                  <c:v>10.93</c:v>
                </c:pt>
                <c:pt idx="328" c:formatCode="0.00_);[Red]\(0.00\)">
                  <c:v>10.964</c:v>
                </c:pt>
                <c:pt idx="329" c:formatCode="0.00_);[Red]\(0.00\)">
                  <c:v>10.997</c:v>
                </c:pt>
                <c:pt idx="330" c:formatCode="0.00_);[Red]\(0.00\)">
                  <c:v>11.031</c:v>
                </c:pt>
                <c:pt idx="331" c:formatCode="0.00_);[Red]\(0.00\)">
                  <c:v>11.064</c:v>
                </c:pt>
                <c:pt idx="332" c:formatCode="0.00_);[Red]\(0.00\)">
                  <c:v>11.098</c:v>
                </c:pt>
                <c:pt idx="333" c:formatCode="0.00_);[Red]\(0.00\)">
                  <c:v>11.131</c:v>
                </c:pt>
                <c:pt idx="334" c:formatCode="0.00_);[Red]\(0.00\)">
                  <c:v>11.164</c:v>
                </c:pt>
                <c:pt idx="335" c:formatCode="0.00_);[Red]\(0.00\)">
                  <c:v>11.198</c:v>
                </c:pt>
                <c:pt idx="336" c:formatCode="0.00_);[Red]\(0.00\)">
                  <c:v>11.231</c:v>
                </c:pt>
                <c:pt idx="337" c:formatCode="0.00_);[Red]\(0.00\)">
                  <c:v>11.265</c:v>
                </c:pt>
                <c:pt idx="338" c:formatCode="0.00_);[Red]\(0.00\)">
                  <c:v>11.298</c:v>
                </c:pt>
                <c:pt idx="339" c:formatCode="0.00_);[Red]\(0.00\)">
                  <c:v>11.331</c:v>
                </c:pt>
                <c:pt idx="340" c:formatCode="0.00_);[Red]\(0.00\)">
                  <c:v>11.365</c:v>
                </c:pt>
                <c:pt idx="341" c:formatCode="0.00_);[Red]\(0.00\)">
                  <c:v>11.398</c:v>
                </c:pt>
                <c:pt idx="342" c:formatCode="0.00_);[Red]\(0.00\)">
                  <c:v>11.432</c:v>
                </c:pt>
                <c:pt idx="343" c:formatCode="0.00_);[Red]\(0.00\)">
                  <c:v>11.465</c:v>
                </c:pt>
                <c:pt idx="344" c:formatCode="0.00_);[Red]\(0.00\)">
                  <c:v>11.499</c:v>
                </c:pt>
                <c:pt idx="345" c:formatCode="0.00_);[Red]\(0.00\)">
                  <c:v>11.532</c:v>
                </c:pt>
                <c:pt idx="346" c:formatCode="0.00_);[Red]\(0.00\)">
                  <c:v>11.565</c:v>
                </c:pt>
                <c:pt idx="347" c:formatCode="0.00_);[Red]\(0.00\)">
                  <c:v>11.599</c:v>
                </c:pt>
                <c:pt idx="348" c:formatCode="0.00_);[Red]\(0.00\)">
                  <c:v>11.632</c:v>
                </c:pt>
                <c:pt idx="349" c:formatCode="0.00_);[Red]\(0.00\)">
                  <c:v>11.666</c:v>
                </c:pt>
                <c:pt idx="350" c:formatCode="0.00_);[Red]\(0.00\)">
                  <c:v>11.699</c:v>
                </c:pt>
                <c:pt idx="351" c:formatCode="0.00_);[Red]\(0.00\)">
                  <c:v>11.733</c:v>
                </c:pt>
                <c:pt idx="352" c:formatCode="0.00_);[Red]\(0.00\)">
                  <c:v>11.766</c:v>
                </c:pt>
                <c:pt idx="353" c:formatCode="0.00_);[Red]\(0.00\)">
                  <c:v>11.799</c:v>
                </c:pt>
                <c:pt idx="354" c:formatCode="0.00_);[Red]\(0.00\)">
                  <c:v>11.833</c:v>
                </c:pt>
                <c:pt idx="355" c:formatCode="0.00_);[Red]\(0.00\)">
                  <c:v>11.866</c:v>
                </c:pt>
                <c:pt idx="356" c:formatCode="0.00_);[Red]\(0.00\)">
                  <c:v>11.9</c:v>
                </c:pt>
                <c:pt idx="357" c:formatCode="0.00_);[Red]\(0.00\)">
                  <c:v>11.933</c:v>
                </c:pt>
                <c:pt idx="358" c:formatCode="0.00_);[Red]\(0.00\)">
                  <c:v>11.967</c:v>
                </c:pt>
                <c:pt idx="359" c:formatCode="0.00_);[Red]\(0.00\)">
                  <c:v>12</c:v>
                </c:pt>
                <c:pt idx="360" c:formatCode="0.00_);[Red]\(0.00\)">
                  <c:v>12.033</c:v>
                </c:pt>
                <c:pt idx="361" c:formatCode="0.00_);[Red]\(0.00\)">
                  <c:v>12.067</c:v>
                </c:pt>
                <c:pt idx="362" c:formatCode="0.00_);[Red]\(0.00\)">
                  <c:v>12.1</c:v>
                </c:pt>
                <c:pt idx="363" c:formatCode="0.00_);[Red]\(0.00\)">
                  <c:v>12.134</c:v>
                </c:pt>
                <c:pt idx="364" c:formatCode="0.00_);[Red]\(0.00\)">
                  <c:v>12.167</c:v>
                </c:pt>
                <c:pt idx="365" c:formatCode="0.00_);[Red]\(0.00\)">
                  <c:v>12.201</c:v>
                </c:pt>
                <c:pt idx="366" c:formatCode="0.00_);[Red]\(0.00\)">
                  <c:v>12.234</c:v>
                </c:pt>
                <c:pt idx="367" c:formatCode="0.00_);[Red]\(0.00\)">
                  <c:v>12.267</c:v>
                </c:pt>
                <c:pt idx="368" c:formatCode="0.00_);[Red]\(0.00\)">
                  <c:v>12.301</c:v>
                </c:pt>
                <c:pt idx="369" c:formatCode="0.00_);[Red]\(0.00\)">
                  <c:v>12.334</c:v>
                </c:pt>
                <c:pt idx="370" c:formatCode="0.00_);[Red]\(0.00\)">
                  <c:v>12.368</c:v>
                </c:pt>
                <c:pt idx="371" c:formatCode="0.00_);[Red]\(0.00\)">
                  <c:v>12.401</c:v>
                </c:pt>
                <c:pt idx="372" c:formatCode="0.00_);[Red]\(0.00\)">
                  <c:v>12.435</c:v>
                </c:pt>
                <c:pt idx="373" c:formatCode="0.00_);[Red]\(0.00\)">
                  <c:v>12.468</c:v>
                </c:pt>
                <c:pt idx="374" c:formatCode="0.00_);[Red]\(0.00\)">
                  <c:v>12.501</c:v>
                </c:pt>
                <c:pt idx="375" c:formatCode="0.00_);[Red]\(0.00\)">
                  <c:v>12.535</c:v>
                </c:pt>
                <c:pt idx="376" c:formatCode="0.00_);[Red]\(0.00\)">
                  <c:v>12.568</c:v>
                </c:pt>
                <c:pt idx="377" c:formatCode="0.00_);[Red]\(0.00\)">
                  <c:v>12.602</c:v>
                </c:pt>
                <c:pt idx="378" c:formatCode="0.00_);[Red]\(0.00\)">
                  <c:v>12.635</c:v>
                </c:pt>
                <c:pt idx="379" c:formatCode="0.00_);[Red]\(0.00\)">
                  <c:v>12.669</c:v>
                </c:pt>
                <c:pt idx="380" c:formatCode="0.00_);[Red]\(0.00\)">
                  <c:v>12.702</c:v>
                </c:pt>
                <c:pt idx="381" c:formatCode="0.00_);[Red]\(0.00\)">
                  <c:v>12.735</c:v>
                </c:pt>
                <c:pt idx="382" c:formatCode="0.00_);[Red]\(0.00\)">
                  <c:v>12.769</c:v>
                </c:pt>
                <c:pt idx="383" c:formatCode="0.00_);[Red]\(0.00\)">
                  <c:v>12.802</c:v>
                </c:pt>
                <c:pt idx="384" c:formatCode="0.00_);[Red]\(0.00\)">
                  <c:v>12.836</c:v>
                </c:pt>
                <c:pt idx="385" c:formatCode="0.00_);[Red]\(0.00\)">
                  <c:v>12.869</c:v>
                </c:pt>
                <c:pt idx="386" c:formatCode="0.00_);[Red]\(0.00\)">
                  <c:v>12.903</c:v>
                </c:pt>
                <c:pt idx="387" c:formatCode="0.00_);[Red]\(0.00\)">
                  <c:v>12.936</c:v>
                </c:pt>
                <c:pt idx="388" c:formatCode="0.00_);[Red]\(0.00\)">
                  <c:v>12.969</c:v>
                </c:pt>
                <c:pt idx="389" c:formatCode="0.00_);[Red]\(0.00\)">
                  <c:v>13.003</c:v>
                </c:pt>
                <c:pt idx="390" c:formatCode="0.00_);[Red]\(0.00\)">
                  <c:v>13.036</c:v>
                </c:pt>
                <c:pt idx="391" c:formatCode="0.00_);[Red]\(0.00\)">
                  <c:v>13.07</c:v>
                </c:pt>
                <c:pt idx="392" c:formatCode="0.00_);[Red]\(0.00\)">
                  <c:v>13.103</c:v>
                </c:pt>
                <c:pt idx="393" c:formatCode="0.00_);[Red]\(0.00\)">
                  <c:v>13.137</c:v>
                </c:pt>
                <c:pt idx="394" c:formatCode="0.00_);[Red]\(0.00\)">
                  <c:v>13.17</c:v>
                </c:pt>
                <c:pt idx="395" c:formatCode="0.00_);[Red]\(0.00\)">
                  <c:v>13.203</c:v>
                </c:pt>
                <c:pt idx="396" c:formatCode="0.00_);[Red]\(0.00\)">
                  <c:v>13.237</c:v>
                </c:pt>
                <c:pt idx="397" c:formatCode="0.00_);[Red]\(0.00\)">
                  <c:v>13.27</c:v>
                </c:pt>
                <c:pt idx="398" c:formatCode="0.00_);[Red]\(0.00\)">
                  <c:v>13.304</c:v>
                </c:pt>
                <c:pt idx="399" c:formatCode="0.00_);[Red]\(0.00\)">
                  <c:v>13.337</c:v>
                </c:pt>
                <c:pt idx="400" c:formatCode="0.00_);[Red]\(0.00\)">
                  <c:v>13.37</c:v>
                </c:pt>
                <c:pt idx="401" c:formatCode="0.00_);[Red]\(0.00\)">
                  <c:v>13.404</c:v>
                </c:pt>
                <c:pt idx="402" c:formatCode="0.00_);[Red]\(0.00\)">
                  <c:v>13.437</c:v>
                </c:pt>
                <c:pt idx="403" c:formatCode="0.00_);[Red]\(0.00\)">
                  <c:v>13.471</c:v>
                </c:pt>
                <c:pt idx="404" c:formatCode="0.00_);[Red]\(0.00\)">
                  <c:v>13.504</c:v>
                </c:pt>
                <c:pt idx="405" c:formatCode="0.00_);[Red]\(0.00\)">
                  <c:v>13.538</c:v>
                </c:pt>
                <c:pt idx="406" c:formatCode="0.00_);[Red]\(0.00\)">
                  <c:v>13.571</c:v>
                </c:pt>
                <c:pt idx="407" c:formatCode="0.00_);[Red]\(0.00\)">
                  <c:v>13.604</c:v>
                </c:pt>
                <c:pt idx="408" c:formatCode="0.00_);[Red]\(0.00\)">
                  <c:v>13.638</c:v>
                </c:pt>
                <c:pt idx="409" c:formatCode="0.00_);[Red]\(0.00\)">
                  <c:v>13.671</c:v>
                </c:pt>
                <c:pt idx="410" c:formatCode="0.00_);[Red]\(0.00\)">
                  <c:v>13.705</c:v>
                </c:pt>
                <c:pt idx="411" c:formatCode="0.00_);[Red]\(0.00\)">
                  <c:v>13.738</c:v>
                </c:pt>
                <c:pt idx="412" c:formatCode="0.00_);[Red]\(0.00\)">
                  <c:v>13.772</c:v>
                </c:pt>
                <c:pt idx="413" c:formatCode="0.00_);[Red]\(0.00\)">
                  <c:v>13.805</c:v>
                </c:pt>
                <c:pt idx="414" c:formatCode="0.00_);[Red]\(0.00\)">
                  <c:v>13.838</c:v>
                </c:pt>
                <c:pt idx="415" c:formatCode="0.00_);[Red]\(0.00\)">
                  <c:v>13.872</c:v>
                </c:pt>
                <c:pt idx="416" c:formatCode="0.00_);[Red]\(0.00\)">
                  <c:v>13.905</c:v>
                </c:pt>
                <c:pt idx="417" c:formatCode="0.00_);[Red]\(0.00\)">
                  <c:v>13.939</c:v>
                </c:pt>
                <c:pt idx="418" c:formatCode="0.00_);[Red]\(0.00\)">
                  <c:v>13.972</c:v>
                </c:pt>
                <c:pt idx="419" c:formatCode="0.00_);[Red]\(0.00\)">
                  <c:v>14.006</c:v>
                </c:pt>
                <c:pt idx="420" c:formatCode="0.00_);[Red]\(0.00\)">
                  <c:v>14.039</c:v>
                </c:pt>
                <c:pt idx="421" c:formatCode="0.00_);[Red]\(0.00\)">
                  <c:v>14.072</c:v>
                </c:pt>
                <c:pt idx="422" c:formatCode="0.00_);[Red]\(0.00\)">
                  <c:v>14.106</c:v>
                </c:pt>
                <c:pt idx="423" c:formatCode="0.00_);[Red]\(0.00\)">
                  <c:v>14.139</c:v>
                </c:pt>
                <c:pt idx="424" c:formatCode="0.00_);[Red]\(0.00\)">
                  <c:v>14.173</c:v>
                </c:pt>
                <c:pt idx="425" c:formatCode="0.00_);[Red]\(0.00\)">
                  <c:v>14.206</c:v>
                </c:pt>
                <c:pt idx="426" c:formatCode="0.00_);[Red]\(0.00\)">
                  <c:v>14.24</c:v>
                </c:pt>
                <c:pt idx="427" c:formatCode="0.00_);[Red]\(0.00\)">
                  <c:v>14.273</c:v>
                </c:pt>
                <c:pt idx="428" c:formatCode="0.00_);[Red]\(0.00\)">
                  <c:v>14.306</c:v>
                </c:pt>
                <c:pt idx="429" c:formatCode="0.00_);[Red]\(0.00\)">
                  <c:v>14.34</c:v>
                </c:pt>
                <c:pt idx="430" c:formatCode="0.00_);[Red]\(0.00\)">
                  <c:v>14.373</c:v>
                </c:pt>
                <c:pt idx="431" c:formatCode="0.00_);[Red]\(0.00\)">
                  <c:v>14.407</c:v>
                </c:pt>
                <c:pt idx="432" c:formatCode="0.00_);[Red]\(0.00\)">
                  <c:v>14.44</c:v>
                </c:pt>
                <c:pt idx="433" c:formatCode="0.00_);[Red]\(0.00\)">
                  <c:v>14.474</c:v>
                </c:pt>
                <c:pt idx="434" c:formatCode="0.00_);[Red]\(0.00\)">
                  <c:v>14.507</c:v>
                </c:pt>
                <c:pt idx="435" c:formatCode="0.00_);[Red]\(0.00\)">
                  <c:v>14.54</c:v>
                </c:pt>
                <c:pt idx="436" c:formatCode="0.00_);[Red]\(0.00\)">
                  <c:v>14.574</c:v>
                </c:pt>
                <c:pt idx="437" c:formatCode="0.00_);[Red]\(0.00\)">
                  <c:v>14.607</c:v>
                </c:pt>
                <c:pt idx="438" c:formatCode="0.00_);[Red]\(0.00\)">
                  <c:v>14.641</c:v>
                </c:pt>
                <c:pt idx="439" c:formatCode="0.00_);[Red]\(0.00\)">
                  <c:v>14.674</c:v>
                </c:pt>
                <c:pt idx="440" c:formatCode="0.00_);[Red]\(0.00\)">
                  <c:v>14.708</c:v>
                </c:pt>
                <c:pt idx="441" c:formatCode="0.00_);[Red]\(0.00\)">
                  <c:v>14.741</c:v>
                </c:pt>
                <c:pt idx="442" c:formatCode="0.00_);[Red]\(0.00\)">
                  <c:v>14.774</c:v>
                </c:pt>
                <c:pt idx="443" c:formatCode="0.00_);[Red]\(0.00\)">
                  <c:v>14.808</c:v>
                </c:pt>
                <c:pt idx="444" c:formatCode="0.00_);[Red]\(0.00\)">
                  <c:v>14.841</c:v>
                </c:pt>
                <c:pt idx="445" c:formatCode="0.00_);[Red]\(0.00\)">
                  <c:v>14.875</c:v>
                </c:pt>
                <c:pt idx="446" c:formatCode="0.00_);[Red]\(0.00\)">
                  <c:v>14.908</c:v>
                </c:pt>
                <c:pt idx="447" c:formatCode="0.00_);[Red]\(0.00\)">
                  <c:v>14.942</c:v>
                </c:pt>
                <c:pt idx="448" c:formatCode="0.00_);[Red]\(0.00\)">
                  <c:v>14.975</c:v>
                </c:pt>
                <c:pt idx="449" c:formatCode="0.00_);[Red]\(0.00\)">
                  <c:v>15.008</c:v>
                </c:pt>
                <c:pt idx="450" c:formatCode="0.00_);[Red]\(0.00\)">
                  <c:v>15.042</c:v>
                </c:pt>
                <c:pt idx="451" c:formatCode="0.00_);[Red]\(0.00\)">
                  <c:v>15.075</c:v>
                </c:pt>
                <c:pt idx="452" c:formatCode="0.00_);[Red]\(0.00\)">
                  <c:v>15.109</c:v>
                </c:pt>
                <c:pt idx="453" c:formatCode="0.00_);[Red]\(0.00\)">
                  <c:v>15.142</c:v>
                </c:pt>
                <c:pt idx="454" c:formatCode="0.00_);[Red]\(0.00\)">
                  <c:v>15.176</c:v>
                </c:pt>
                <c:pt idx="455" c:formatCode="0.00_);[Red]\(0.00\)">
                  <c:v>15.209</c:v>
                </c:pt>
                <c:pt idx="456" c:formatCode="0.00_);[Red]\(0.00\)">
                  <c:v>15.242</c:v>
                </c:pt>
                <c:pt idx="457" c:formatCode="0.00_);[Red]\(0.00\)">
                  <c:v>15.276</c:v>
                </c:pt>
                <c:pt idx="458" c:formatCode="0.00_);[Red]\(0.00\)">
                  <c:v>15.309</c:v>
                </c:pt>
                <c:pt idx="459" c:formatCode="0.00_);[Red]\(0.00\)">
                  <c:v>15.343</c:v>
                </c:pt>
                <c:pt idx="460" c:formatCode="0.00_);[Red]\(0.00\)">
                  <c:v>15.376</c:v>
                </c:pt>
                <c:pt idx="461" c:formatCode="0.00_);[Red]\(0.00\)">
                  <c:v>15.409</c:v>
                </c:pt>
                <c:pt idx="462" c:formatCode="0.00_);[Red]\(0.00\)">
                  <c:v>15.443</c:v>
                </c:pt>
                <c:pt idx="463" c:formatCode="0.00_);[Red]\(0.00\)">
                  <c:v>15.476</c:v>
                </c:pt>
                <c:pt idx="464" c:formatCode="0.00_);[Red]\(0.00\)">
                  <c:v>15.51</c:v>
                </c:pt>
                <c:pt idx="465" c:formatCode="0.00_);[Red]\(0.00\)">
                  <c:v>15.543</c:v>
                </c:pt>
                <c:pt idx="466" c:formatCode="0.00_);[Red]\(0.00\)">
                  <c:v>15.577</c:v>
                </c:pt>
                <c:pt idx="467" c:formatCode="0.00_);[Red]\(0.00\)">
                  <c:v>15.61</c:v>
                </c:pt>
                <c:pt idx="468" c:formatCode="0.00_);[Red]\(0.00\)">
                  <c:v>15.643</c:v>
                </c:pt>
                <c:pt idx="469" c:formatCode="0.00_);[Red]\(0.00\)">
                  <c:v>15.677</c:v>
                </c:pt>
                <c:pt idx="470" c:formatCode="0.00_);[Red]\(0.00\)">
                  <c:v>15.71</c:v>
                </c:pt>
                <c:pt idx="471" c:formatCode="0.00_);[Red]\(0.00\)">
                  <c:v>15.744</c:v>
                </c:pt>
                <c:pt idx="472" c:formatCode="0.00_);[Red]\(0.00\)">
                  <c:v>15.777</c:v>
                </c:pt>
                <c:pt idx="473" c:formatCode="0.00_);[Red]\(0.00\)">
                  <c:v>15.811</c:v>
                </c:pt>
                <c:pt idx="474" c:formatCode="0.00_);[Red]\(0.00\)">
                  <c:v>15.844</c:v>
                </c:pt>
                <c:pt idx="475" c:formatCode="0.00_);[Red]\(0.00\)">
                  <c:v>15.877</c:v>
                </c:pt>
                <c:pt idx="476" c:formatCode="0.00_);[Red]\(0.00\)">
                  <c:v>15.911</c:v>
                </c:pt>
                <c:pt idx="477" c:formatCode="0.00_);[Red]\(0.00\)">
                  <c:v>15.944</c:v>
                </c:pt>
                <c:pt idx="478" c:formatCode="0.00_);[Red]\(0.00\)">
                  <c:v>15.978</c:v>
                </c:pt>
                <c:pt idx="479" c:formatCode="0.00_);[Red]\(0.00\)">
                  <c:v>16.011</c:v>
                </c:pt>
                <c:pt idx="480" c:formatCode="0.00_);[Red]\(0.00\)">
                  <c:v>16.045</c:v>
                </c:pt>
                <c:pt idx="481" c:formatCode="0.00_);[Red]\(0.00\)">
                  <c:v>16.078</c:v>
                </c:pt>
                <c:pt idx="482" c:formatCode="0.00_);[Red]\(0.00\)">
                  <c:v>16.111</c:v>
                </c:pt>
                <c:pt idx="483" c:formatCode="0.00_);[Red]\(0.00\)">
                  <c:v>16.145</c:v>
                </c:pt>
                <c:pt idx="484" c:formatCode="0.00_);[Red]\(0.00\)">
                  <c:v>16.178</c:v>
                </c:pt>
                <c:pt idx="485" c:formatCode="0.00_);[Red]\(0.00\)">
                  <c:v>16.212</c:v>
                </c:pt>
                <c:pt idx="486" c:formatCode="0.00_);[Red]\(0.00\)">
                  <c:v>16.245</c:v>
                </c:pt>
                <c:pt idx="487" c:formatCode="0.00_);[Red]\(0.00\)">
                  <c:v>16.279</c:v>
                </c:pt>
                <c:pt idx="488" c:formatCode="0.00_);[Red]\(0.00\)">
                  <c:v>16.312</c:v>
                </c:pt>
                <c:pt idx="489" c:formatCode="0.00_);[Red]\(0.00\)">
                  <c:v>16.345</c:v>
                </c:pt>
                <c:pt idx="490" c:formatCode="0.00_);[Red]\(0.00\)">
                  <c:v>16.379</c:v>
                </c:pt>
                <c:pt idx="491" c:formatCode="0.00_);[Red]\(0.00\)">
                  <c:v>16.412</c:v>
                </c:pt>
                <c:pt idx="492" c:formatCode="0.00_);[Red]\(0.00\)">
                  <c:v>16.446</c:v>
                </c:pt>
                <c:pt idx="493" c:formatCode="0.00_);[Red]\(0.00\)">
                  <c:v>16.479</c:v>
                </c:pt>
                <c:pt idx="494" c:formatCode="0.00_);[Red]\(0.00\)">
                  <c:v>16.513</c:v>
                </c:pt>
                <c:pt idx="495" c:formatCode="0.00_);[Red]\(0.00\)">
                  <c:v>16.546</c:v>
                </c:pt>
                <c:pt idx="496" c:formatCode="0.00_);[Red]\(0.00\)">
                  <c:v>16.579</c:v>
                </c:pt>
                <c:pt idx="497" c:formatCode="0.00_);[Red]\(0.00\)">
                  <c:v>16.613</c:v>
                </c:pt>
                <c:pt idx="498" c:formatCode="0.00_);[Red]\(0.00\)">
                  <c:v>16.646</c:v>
                </c:pt>
                <c:pt idx="499" c:formatCode="0.00_);[Red]\(0.00\)">
                  <c:v>16.68</c:v>
                </c:pt>
                <c:pt idx="500" c:formatCode="0.00_);[Red]\(0.00\)">
                  <c:v>16.713</c:v>
                </c:pt>
                <c:pt idx="501" c:formatCode="0.00_);[Red]\(0.00\)">
                  <c:v>16.747</c:v>
                </c:pt>
                <c:pt idx="502" c:formatCode="0.00_);[Red]\(0.00\)">
                  <c:v>16.78</c:v>
                </c:pt>
                <c:pt idx="503" c:formatCode="0.00_);[Red]\(0.00\)">
                  <c:v>16.813</c:v>
                </c:pt>
                <c:pt idx="504" c:formatCode="0.00_);[Red]\(0.00\)">
                  <c:v>16.847</c:v>
                </c:pt>
                <c:pt idx="505" c:formatCode="0.00_);[Red]\(0.00\)">
                  <c:v>16.88</c:v>
                </c:pt>
                <c:pt idx="506" c:formatCode="0.00_);[Red]\(0.00\)">
                  <c:v>16.914</c:v>
                </c:pt>
                <c:pt idx="507" c:formatCode="0.00_);[Red]\(0.00\)">
                  <c:v>16.947</c:v>
                </c:pt>
                <c:pt idx="508" c:formatCode="0.00_);[Red]\(0.00\)">
                  <c:v>16.981</c:v>
                </c:pt>
                <c:pt idx="509" c:formatCode="0.00_);[Red]\(0.00\)">
                  <c:v>17.014</c:v>
                </c:pt>
                <c:pt idx="510" c:formatCode="0.00_);[Red]\(0.00\)">
                  <c:v>17.047</c:v>
                </c:pt>
                <c:pt idx="511" c:formatCode="0.00_);[Red]\(0.00\)">
                  <c:v>17.081</c:v>
                </c:pt>
                <c:pt idx="512" c:formatCode="0.00_);[Red]\(0.00\)">
                  <c:v>17.114</c:v>
                </c:pt>
                <c:pt idx="513" c:formatCode="0.00_);[Red]\(0.00\)">
                  <c:v>17.148</c:v>
                </c:pt>
                <c:pt idx="514" c:formatCode="0.00_);[Red]\(0.00\)">
                  <c:v>17.181</c:v>
                </c:pt>
                <c:pt idx="515" c:formatCode="0.00_);[Red]\(0.00\)">
                  <c:v>17.215</c:v>
                </c:pt>
                <c:pt idx="516" c:formatCode="0.00_);[Red]\(0.00\)">
                  <c:v>17.248</c:v>
                </c:pt>
                <c:pt idx="517" c:formatCode="0.00_);[Red]\(0.00\)">
                  <c:v>17.281</c:v>
                </c:pt>
                <c:pt idx="518" c:formatCode="0.00_);[Red]\(0.00\)">
                  <c:v>17.315</c:v>
                </c:pt>
                <c:pt idx="519" c:formatCode="0.00_);[Red]\(0.00\)">
                  <c:v>17.348</c:v>
                </c:pt>
                <c:pt idx="520" c:formatCode="0.00_);[Red]\(0.00\)">
                  <c:v>17.382</c:v>
                </c:pt>
                <c:pt idx="521" c:formatCode="0.00_);[Red]\(0.00\)">
                  <c:v>17.415</c:v>
                </c:pt>
                <c:pt idx="522" c:formatCode="0.00_);[Red]\(0.00\)">
                  <c:v>17.449</c:v>
                </c:pt>
                <c:pt idx="523" c:formatCode="0.00_);[Red]\(0.00\)">
                  <c:v>17.482</c:v>
                </c:pt>
                <c:pt idx="524" c:formatCode="0.00_);[Red]\(0.00\)">
                  <c:v>17.515</c:v>
                </c:pt>
                <c:pt idx="525" c:formatCode="0.00_);[Red]\(0.00\)">
                  <c:v>17.549</c:v>
                </c:pt>
                <c:pt idx="526" c:formatCode="0.00_);[Red]\(0.00\)">
                  <c:v>17.582</c:v>
                </c:pt>
                <c:pt idx="527" c:formatCode="0.00_);[Red]\(0.00\)">
                  <c:v>17.616</c:v>
                </c:pt>
                <c:pt idx="528" c:formatCode="0.00_);[Red]\(0.00\)">
                  <c:v>17.649</c:v>
                </c:pt>
                <c:pt idx="529" c:formatCode="0.00_);[Red]\(0.00\)">
                  <c:v>17.682</c:v>
                </c:pt>
                <c:pt idx="530" c:formatCode="0.00_);[Red]\(0.00\)">
                  <c:v>17.716</c:v>
                </c:pt>
                <c:pt idx="531" c:formatCode="0.00_);[Red]\(0.00\)">
                  <c:v>17.749</c:v>
                </c:pt>
                <c:pt idx="532" c:formatCode="0.00_);[Red]\(0.00\)">
                  <c:v>17.783</c:v>
                </c:pt>
                <c:pt idx="533" c:formatCode="0.00_);[Red]\(0.00\)">
                  <c:v>17.816</c:v>
                </c:pt>
                <c:pt idx="534" c:formatCode="0.00_);[Red]\(0.00\)">
                  <c:v>17.85</c:v>
                </c:pt>
                <c:pt idx="535" c:formatCode="0.00_);[Red]\(0.00\)">
                  <c:v>17.883</c:v>
                </c:pt>
                <c:pt idx="536" c:formatCode="0.00_);[Red]\(0.00\)">
                  <c:v>17.916</c:v>
                </c:pt>
                <c:pt idx="537" c:formatCode="0.00_);[Red]\(0.00\)">
                  <c:v>17.95</c:v>
                </c:pt>
                <c:pt idx="538" c:formatCode="0.00_);[Red]\(0.00\)">
                  <c:v>17.983</c:v>
                </c:pt>
                <c:pt idx="539" c:formatCode="0.00_);[Red]\(0.00\)">
                  <c:v>18.017</c:v>
                </c:pt>
                <c:pt idx="540" c:formatCode="0.00_);[Red]\(0.00\)">
                  <c:v>18.05</c:v>
                </c:pt>
                <c:pt idx="541" c:formatCode="0.00_);[Red]\(0.00\)">
                  <c:v>18.084</c:v>
                </c:pt>
                <c:pt idx="542" c:formatCode="0.00_);[Red]\(0.00\)">
                  <c:v>18.117</c:v>
                </c:pt>
                <c:pt idx="543" c:formatCode="0.00_);[Red]\(0.00\)">
                  <c:v>18.15</c:v>
                </c:pt>
                <c:pt idx="544" c:formatCode="0.00_);[Red]\(0.00\)">
                  <c:v>18.184</c:v>
                </c:pt>
                <c:pt idx="545" c:formatCode="0.00_);[Red]\(0.00\)">
                  <c:v>18.217</c:v>
                </c:pt>
                <c:pt idx="546" c:formatCode="0.00_);[Red]\(0.00\)">
                  <c:v>18.251</c:v>
                </c:pt>
                <c:pt idx="547" c:formatCode="0.00_);[Red]\(0.00\)">
                  <c:v>18.284</c:v>
                </c:pt>
                <c:pt idx="548" c:formatCode="0.00_);[Red]\(0.00\)">
                  <c:v>18.318</c:v>
                </c:pt>
                <c:pt idx="549" c:formatCode="0.00_);[Red]\(0.00\)">
                  <c:v>18.351</c:v>
                </c:pt>
                <c:pt idx="550" c:formatCode="0.00_);[Red]\(0.00\)">
                  <c:v>18.384</c:v>
                </c:pt>
                <c:pt idx="551" c:formatCode="0.00_);[Red]\(0.00\)">
                  <c:v>18.418</c:v>
                </c:pt>
                <c:pt idx="552" c:formatCode="0.00_);[Red]\(0.00\)">
                  <c:v>18.451</c:v>
                </c:pt>
                <c:pt idx="553" c:formatCode="0.00_);[Red]\(0.00\)">
                  <c:v>18.485</c:v>
                </c:pt>
                <c:pt idx="554" c:formatCode="0.00_);[Red]\(0.00\)">
                  <c:v>18.518</c:v>
                </c:pt>
                <c:pt idx="555" c:formatCode="0.00_);[Red]\(0.00\)">
                  <c:v>18.552</c:v>
                </c:pt>
                <c:pt idx="556" c:formatCode="0.00_);[Red]\(0.00\)">
                  <c:v>18.585</c:v>
                </c:pt>
                <c:pt idx="557" c:formatCode="0.00_);[Red]\(0.00\)">
                  <c:v>18.618</c:v>
                </c:pt>
                <c:pt idx="558" c:formatCode="0.00_);[Red]\(0.00\)">
                  <c:v>18.652</c:v>
                </c:pt>
                <c:pt idx="559" c:formatCode="0.00_);[Red]\(0.00\)">
                  <c:v>18.685</c:v>
                </c:pt>
                <c:pt idx="560" c:formatCode="0.00_);[Red]\(0.00\)">
                  <c:v>18.719</c:v>
                </c:pt>
                <c:pt idx="561" c:formatCode="0.00_);[Red]\(0.00\)">
                  <c:v>18.752</c:v>
                </c:pt>
                <c:pt idx="562" c:formatCode="0.00_);[Red]\(0.00\)">
                  <c:v>18.786</c:v>
                </c:pt>
                <c:pt idx="563" c:formatCode="0.00_);[Red]\(0.00\)">
                  <c:v>18.819</c:v>
                </c:pt>
                <c:pt idx="564" c:formatCode="0.00_);[Red]\(0.00\)">
                  <c:v>18.852</c:v>
                </c:pt>
                <c:pt idx="565" c:formatCode="0.00_);[Red]\(0.00\)">
                  <c:v>18.886</c:v>
                </c:pt>
                <c:pt idx="566" c:formatCode="0.00_);[Red]\(0.00\)">
                  <c:v>18.919</c:v>
                </c:pt>
                <c:pt idx="567" c:formatCode="0.00_);[Red]\(0.00\)">
                  <c:v>18.953</c:v>
                </c:pt>
                <c:pt idx="568" c:formatCode="0.00_);[Red]\(0.00\)">
                  <c:v>18.986</c:v>
                </c:pt>
                <c:pt idx="569" c:formatCode="0.00_);[Red]\(0.00\)">
                  <c:v>19.02</c:v>
                </c:pt>
                <c:pt idx="570" c:formatCode="0.00_);[Red]\(0.00\)">
                  <c:v>19.053</c:v>
                </c:pt>
                <c:pt idx="571" c:formatCode="0.00_);[Red]\(0.00\)">
                  <c:v>19.086</c:v>
                </c:pt>
                <c:pt idx="572" c:formatCode="0.00_);[Red]\(0.00\)">
                  <c:v>19.12</c:v>
                </c:pt>
                <c:pt idx="573" c:formatCode="0.00_);[Red]\(0.00\)">
                  <c:v>19.153</c:v>
                </c:pt>
                <c:pt idx="574" c:formatCode="0.00_);[Red]\(0.00\)">
                  <c:v>19.187</c:v>
                </c:pt>
                <c:pt idx="575" c:formatCode="0.00_);[Red]\(0.00\)">
                  <c:v>19.22</c:v>
                </c:pt>
                <c:pt idx="576" c:formatCode="0.00_);[Red]\(0.00\)">
                  <c:v>19.254</c:v>
                </c:pt>
                <c:pt idx="577" c:formatCode="0.00_);[Red]\(0.00\)">
                  <c:v>19.287</c:v>
                </c:pt>
                <c:pt idx="578" c:formatCode="0.00_);[Red]\(0.00\)">
                  <c:v>19.32</c:v>
                </c:pt>
                <c:pt idx="579" c:formatCode="0.00_);[Red]\(0.00\)">
                  <c:v>19.354</c:v>
                </c:pt>
                <c:pt idx="580" c:formatCode="0.00_);[Red]\(0.00\)">
                  <c:v>19.387</c:v>
                </c:pt>
                <c:pt idx="581" c:formatCode="0.00_);[Red]\(0.00\)">
                  <c:v>19.421</c:v>
                </c:pt>
                <c:pt idx="582" c:formatCode="0.00_);[Red]\(0.00\)">
                  <c:v>19.454</c:v>
                </c:pt>
                <c:pt idx="583" c:formatCode="0.00_);[Red]\(0.00\)">
                  <c:v>19.488</c:v>
                </c:pt>
                <c:pt idx="584" c:formatCode="0.00_);[Red]\(0.00\)">
                  <c:v>19.521</c:v>
                </c:pt>
                <c:pt idx="585" c:formatCode="0.00_);[Red]\(0.00\)">
                  <c:v>19.554</c:v>
                </c:pt>
                <c:pt idx="586" c:formatCode="0.00_);[Red]\(0.00\)">
                  <c:v>19.588</c:v>
                </c:pt>
                <c:pt idx="587" c:formatCode="0.00_);[Red]\(0.00\)">
                  <c:v>19.621</c:v>
                </c:pt>
                <c:pt idx="588" c:formatCode="0.00_);[Red]\(0.00\)">
                  <c:v>19.655</c:v>
                </c:pt>
                <c:pt idx="589" c:formatCode="0.00_);[Red]\(0.00\)">
                  <c:v>19.688</c:v>
                </c:pt>
                <c:pt idx="590" c:formatCode="0.00_);[Red]\(0.00\)">
                  <c:v>19.721</c:v>
                </c:pt>
                <c:pt idx="591" c:formatCode="0.00_);[Red]\(0.00\)">
                  <c:v>19.755</c:v>
                </c:pt>
                <c:pt idx="592" c:formatCode="0.00_);[Red]\(0.00\)">
                  <c:v>19.788</c:v>
                </c:pt>
                <c:pt idx="593" c:formatCode="0.00_);[Red]\(0.00\)">
                  <c:v>19.822</c:v>
                </c:pt>
                <c:pt idx="594" c:formatCode="0.00_);[Red]\(0.00\)">
                  <c:v>19.855</c:v>
                </c:pt>
                <c:pt idx="595" c:formatCode="0.00_);[Red]\(0.00\)">
                  <c:v>19.889</c:v>
                </c:pt>
                <c:pt idx="596" c:formatCode="0.00_);[Red]\(0.00\)">
                  <c:v>19.922</c:v>
                </c:pt>
                <c:pt idx="597" c:formatCode="0.00_);[Red]\(0.00\)">
                  <c:v>19.955</c:v>
                </c:pt>
                <c:pt idx="598" c:formatCode="0.00_);[Red]\(0.00\)">
                  <c:v>19.989</c:v>
                </c:pt>
                <c:pt idx="599" c:formatCode="0.00_);[Red]\(0.00\)">
                  <c:v>20.022</c:v>
                </c:pt>
                <c:pt idx="600" c:formatCode="0.00_);[Red]\(0.00\)">
                  <c:v>20.056</c:v>
                </c:pt>
                <c:pt idx="601" c:formatCode="0.00_);[Red]\(0.00\)">
                  <c:v>20.089</c:v>
                </c:pt>
                <c:pt idx="602" c:formatCode="0.00_);[Red]\(0.00\)">
                  <c:v>20.123</c:v>
                </c:pt>
                <c:pt idx="603" c:formatCode="0.00_);[Red]\(0.00\)">
                  <c:v>20.156</c:v>
                </c:pt>
                <c:pt idx="604" c:formatCode="0.00_);[Red]\(0.00\)">
                  <c:v>20.189</c:v>
                </c:pt>
                <c:pt idx="605" c:formatCode="0.00_);[Red]\(0.00\)">
                  <c:v>20.223</c:v>
                </c:pt>
                <c:pt idx="606" c:formatCode="0.00_);[Red]\(0.00\)">
                  <c:v>20.256</c:v>
                </c:pt>
                <c:pt idx="607" c:formatCode="0.00_);[Red]\(0.00\)">
                  <c:v>20.29</c:v>
                </c:pt>
                <c:pt idx="608" c:formatCode="0.00_);[Red]\(0.00\)">
                  <c:v>20.323</c:v>
                </c:pt>
                <c:pt idx="609" c:formatCode="0.00_);[Red]\(0.00\)">
                  <c:v>20.357</c:v>
                </c:pt>
                <c:pt idx="610" c:formatCode="0.00_);[Red]\(0.00\)">
                  <c:v>20.39</c:v>
                </c:pt>
                <c:pt idx="611" c:formatCode="0.00_);[Red]\(0.00\)">
                  <c:v>20.423</c:v>
                </c:pt>
                <c:pt idx="612" c:formatCode="0.00_);[Red]\(0.00\)">
                  <c:v>20.457</c:v>
                </c:pt>
                <c:pt idx="613" c:formatCode="0.00_);[Red]\(0.00\)">
                  <c:v>20.49</c:v>
                </c:pt>
                <c:pt idx="614" c:formatCode="0.00_);[Red]\(0.00\)">
                  <c:v>20.524</c:v>
                </c:pt>
                <c:pt idx="615" c:formatCode="0.00_);[Red]\(0.00\)">
                  <c:v>20.557</c:v>
                </c:pt>
                <c:pt idx="616" c:formatCode="0.00_);[Red]\(0.00\)">
                  <c:v>20.591</c:v>
                </c:pt>
                <c:pt idx="617" c:formatCode="0.00_);[Red]\(0.00\)">
                  <c:v>20.624</c:v>
                </c:pt>
                <c:pt idx="618" c:formatCode="0.00_);[Red]\(0.00\)">
                  <c:v>20.657</c:v>
                </c:pt>
                <c:pt idx="619" c:formatCode="0.00_);[Red]\(0.00\)">
                  <c:v>20.691</c:v>
                </c:pt>
                <c:pt idx="620" c:formatCode="0.00_);[Red]\(0.00\)">
                  <c:v>20.724</c:v>
                </c:pt>
                <c:pt idx="621" c:formatCode="0.00_);[Red]\(0.00\)">
                  <c:v>20.758</c:v>
                </c:pt>
                <c:pt idx="622" c:formatCode="0.00_);[Red]\(0.00\)">
                  <c:v>20.791</c:v>
                </c:pt>
                <c:pt idx="623" c:formatCode="0.00_);[Red]\(0.00\)">
                  <c:v>20.825</c:v>
                </c:pt>
                <c:pt idx="624" c:formatCode="0.00_);[Red]\(0.00\)">
                  <c:v>20.858</c:v>
                </c:pt>
                <c:pt idx="625" c:formatCode="0.00_);[Red]\(0.00\)">
                  <c:v>20.891</c:v>
                </c:pt>
                <c:pt idx="626" c:formatCode="0.00_);[Red]\(0.00\)">
                  <c:v>20.925</c:v>
                </c:pt>
                <c:pt idx="627" c:formatCode="0.00_);[Red]\(0.00\)">
                  <c:v>20.958</c:v>
                </c:pt>
                <c:pt idx="628" c:formatCode="0.00_);[Red]\(0.00\)">
                  <c:v>20.992</c:v>
                </c:pt>
                <c:pt idx="629" c:formatCode="0.00_);[Red]\(0.00\)">
                  <c:v>21.025</c:v>
                </c:pt>
                <c:pt idx="630" c:formatCode="0.00_);[Red]\(0.00\)">
                  <c:v>21.059</c:v>
                </c:pt>
                <c:pt idx="631" c:formatCode="0.00_);[Red]\(0.00\)">
                  <c:v>21.092</c:v>
                </c:pt>
                <c:pt idx="632" c:formatCode="0.00_);[Red]\(0.00\)">
                  <c:v>21.125</c:v>
                </c:pt>
                <c:pt idx="633" c:formatCode="0.00_);[Red]\(0.00\)">
                  <c:v>21.159</c:v>
                </c:pt>
                <c:pt idx="634" c:formatCode="0.00_);[Red]\(0.00\)">
                  <c:v>21.192</c:v>
                </c:pt>
                <c:pt idx="635" c:formatCode="0.00_);[Red]\(0.00\)">
                  <c:v>21.226</c:v>
                </c:pt>
                <c:pt idx="636" c:formatCode="0.00_);[Red]\(0.00\)">
                  <c:v>21.259</c:v>
                </c:pt>
                <c:pt idx="637" c:formatCode="0.00_);[Red]\(0.00\)">
                  <c:v>21.293</c:v>
                </c:pt>
                <c:pt idx="638" c:formatCode="0.00_);[Red]\(0.00\)">
                  <c:v>21.326</c:v>
                </c:pt>
                <c:pt idx="639" c:formatCode="0.00_);[Red]\(0.00\)">
                  <c:v>21.359</c:v>
                </c:pt>
                <c:pt idx="640" c:formatCode="0.00_);[Red]\(0.00\)">
                  <c:v>21.393</c:v>
                </c:pt>
                <c:pt idx="641" c:formatCode="0.00_);[Red]\(0.00\)">
                  <c:v>21.426</c:v>
                </c:pt>
                <c:pt idx="642" c:formatCode="0.00_);[Red]\(0.00\)">
                  <c:v>21.46</c:v>
                </c:pt>
                <c:pt idx="643" c:formatCode="0.00_);[Red]\(0.00\)">
                  <c:v>21.493</c:v>
                </c:pt>
                <c:pt idx="644" c:formatCode="0.00_);[Red]\(0.00\)">
                  <c:v>21.527</c:v>
                </c:pt>
                <c:pt idx="645" c:formatCode="0.00_);[Red]\(0.00\)">
                  <c:v>21.56</c:v>
                </c:pt>
                <c:pt idx="646" c:formatCode="0.00_);[Red]\(0.00\)">
                  <c:v>21.593</c:v>
                </c:pt>
                <c:pt idx="647" c:formatCode="0.00_);[Red]\(0.00\)">
                  <c:v>21.627</c:v>
                </c:pt>
                <c:pt idx="648" c:formatCode="0.00_);[Red]\(0.00\)">
                  <c:v>21.66</c:v>
                </c:pt>
                <c:pt idx="649" c:formatCode="0.00_);[Red]\(0.00\)">
                  <c:v>21.694</c:v>
                </c:pt>
                <c:pt idx="650" c:formatCode="0.00_);[Red]\(0.00\)">
                  <c:v>21.727</c:v>
                </c:pt>
                <c:pt idx="651" c:formatCode="0.00_);[Red]\(0.00\)">
                  <c:v>21.76</c:v>
                </c:pt>
                <c:pt idx="652" c:formatCode="0.00_);[Red]\(0.00\)">
                  <c:v>21.794</c:v>
                </c:pt>
                <c:pt idx="653" c:formatCode="0.00_);[Red]\(0.00\)">
                  <c:v>21.827</c:v>
                </c:pt>
                <c:pt idx="654" c:formatCode="0.00_);[Red]\(0.00\)">
                  <c:v>21.861</c:v>
                </c:pt>
                <c:pt idx="655" c:formatCode="0.00_);[Red]\(0.00\)">
                  <c:v>21.894</c:v>
                </c:pt>
                <c:pt idx="656" c:formatCode="0.00_);[Red]\(0.00\)">
                  <c:v>21.928</c:v>
                </c:pt>
                <c:pt idx="657" c:formatCode="0.00_);[Red]\(0.00\)">
                  <c:v>21.961</c:v>
                </c:pt>
                <c:pt idx="658" c:formatCode="0.00_);[Red]\(0.00\)">
                  <c:v>21.994</c:v>
                </c:pt>
                <c:pt idx="659" c:formatCode="0.00_);[Red]\(0.00\)">
                  <c:v>22.028</c:v>
                </c:pt>
                <c:pt idx="660" c:formatCode="0.00_);[Red]\(0.00\)">
                  <c:v>22.061</c:v>
                </c:pt>
                <c:pt idx="661" c:formatCode="0.00_);[Red]\(0.00\)">
                  <c:v>22.095</c:v>
                </c:pt>
                <c:pt idx="662" c:formatCode="0.00_);[Red]\(0.00\)">
                  <c:v>22.128</c:v>
                </c:pt>
                <c:pt idx="663" c:formatCode="0.00_);[Red]\(0.00\)">
                  <c:v>22.162</c:v>
                </c:pt>
                <c:pt idx="664" c:formatCode="0.00_);[Red]\(0.00\)">
                  <c:v>22.195</c:v>
                </c:pt>
                <c:pt idx="665" c:formatCode="0.00_);[Red]\(0.00\)">
                  <c:v>22.228</c:v>
                </c:pt>
                <c:pt idx="666" c:formatCode="0.00_);[Red]\(0.00\)">
                  <c:v>22.262</c:v>
                </c:pt>
                <c:pt idx="667" c:formatCode="0.00_);[Red]\(0.00\)">
                  <c:v>22.295</c:v>
                </c:pt>
                <c:pt idx="668" c:formatCode="0.00_);[Red]\(0.00\)">
                  <c:v>22.329</c:v>
                </c:pt>
                <c:pt idx="669" c:formatCode="0.00_);[Red]\(0.00\)">
                  <c:v>22.362</c:v>
                </c:pt>
                <c:pt idx="670" c:formatCode="0.00_);[Red]\(0.00\)">
                  <c:v>22.396</c:v>
                </c:pt>
                <c:pt idx="671" c:formatCode="0.00_);[Red]\(0.00\)">
                  <c:v>22.429</c:v>
                </c:pt>
                <c:pt idx="672" c:formatCode="0.00_);[Red]\(0.00\)">
                  <c:v>22.462</c:v>
                </c:pt>
                <c:pt idx="673" c:formatCode="0.00_);[Red]\(0.00\)">
                  <c:v>22.496</c:v>
                </c:pt>
                <c:pt idx="674" c:formatCode="0.00_);[Red]\(0.00\)">
                  <c:v>22.529</c:v>
                </c:pt>
                <c:pt idx="675" c:formatCode="0.00_);[Red]\(0.00\)">
                  <c:v>22.563</c:v>
                </c:pt>
                <c:pt idx="676" c:formatCode="0.00_);[Red]\(0.00\)">
                  <c:v>22.596</c:v>
                </c:pt>
                <c:pt idx="677" c:formatCode="0.00_);[Red]\(0.00\)">
                  <c:v>22.63</c:v>
                </c:pt>
                <c:pt idx="678" c:formatCode="0.00_);[Red]\(0.00\)">
                  <c:v>22.663</c:v>
                </c:pt>
                <c:pt idx="679" c:formatCode="0.00_);[Red]\(0.00\)">
                  <c:v>22.696</c:v>
                </c:pt>
                <c:pt idx="680" c:formatCode="0.00_);[Red]\(0.00\)">
                  <c:v>22.73</c:v>
                </c:pt>
                <c:pt idx="681" c:formatCode="0.00_);[Red]\(0.00\)">
                  <c:v>22.763</c:v>
                </c:pt>
                <c:pt idx="682" c:formatCode="0.00_);[Red]\(0.00\)">
                  <c:v>22.797</c:v>
                </c:pt>
                <c:pt idx="683" c:formatCode="0.00_);[Red]\(0.00\)">
                  <c:v>22.83</c:v>
                </c:pt>
                <c:pt idx="684" c:formatCode="0.00_);[Red]\(0.00\)">
                  <c:v>22.864</c:v>
                </c:pt>
                <c:pt idx="685" c:formatCode="0.00_);[Red]\(0.00\)">
                  <c:v>22.897</c:v>
                </c:pt>
                <c:pt idx="686" c:formatCode="0.00_);[Red]\(0.00\)">
                  <c:v>22.93</c:v>
                </c:pt>
                <c:pt idx="687" c:formatCode="0.00_);[Red]\(0.00\)">
                  <c:v>22.964</c:v>
                </c:pt>
                <c:pt idx="688" c:formatCode="0.00_);[Red]\(0.00\)">
                  <c:v>22.997</c:v>
                </c:pt>
                <c:pt idx="689" c:formatCode="0.00_);[Red]\(0.00\)">
                  <c:v>23.031</c:v>
                </c:pt>
                <c:pt idx="690" c:formatCode="0.00_);[Red]\(0.00\)">
                  <c:v>23.064</c:v>
                </c:pt>
                <c:pt idx="691" c:formatCode="0.00_);[Red]\(0.00\)">
                  <c:v>23.098</c:v>
                </c:pt>
                <c:pt idx="692" c:formatCode="0.00_);[Red]\(0.00\)">
                  <c:v>23.131</c:v>
                </c:pt>
                <c:pt idx="693" c:formatCode="0.00_);[Red]\(0.00\)">
                  <c:v>23.164</c:v>
                </c:pt>
                <c:pt idx="694" c:formatCode="0.00_);[Red]\(0.00\)">
                  <c:v>23.198</c:v>
                </c:pt>
                <c:pt idx="695" c:formatCode="0.00_);[Red]\(0.00\)">
                  <c:v>23.231</c:v>
                </c:pt>
                <c:pt idx="696" c:formatCode="0.00_);[Red]\(0.00\)">
                  <c:v>23.265</c:v>
                </c:pt>
                <c:pt idx="697" c:formatCode="0.00_);[Red]\(0.00\)">
                  <c:v>23.298</c:v>
                </c:pt>
                <c:pt idx="698" c:formatCode="0.00_);[Red]\(0.00\)">
                  <c:v>23.332</c:v>
                </c:pt>
                <c:pt idx="699" c:formatCode="0.00_);[Red]\(0.00\)">
                  <c:v>23.365</c:v>
                </c:pt>
                <c:pt idx="700" c:formatCode="0.00_);[Red]\(0.00\)">
                  <c:v>23.398</c:v>
                </c:pt>
                <c:pt idx="701" c:formatCode="0.00_);[Red]\(0.00\)">
                  <c:v>23.432</c:v>
                </c:pt>
                <c:pt idx="702" c:formatCode="0.00_);[Red]\(0.00\)">
                  <c:v>23.465</c:v>
                </c:pt>
                <c:pt idx="703" c:formatCode="0.00_);[Red]\(0.00\)">
                  <c:v>23.499</c:v>
                </c:pt>
                <c:pt idx="704" c:formatCode="0.00_);[Red]\(0.00\)">
                  <c:v>23.532</c:v>
                </c:pt>
                <c:pt idx="705" c:formatCode="0.00_);[Red]\(0.00\)">
                  <c:v>23.566</c:v>
                </c:pt>
                <c:pt idx="706" c:formatCode="0.00_);[Red]\(0.00\)">
                  <c:v>23.599</c:v>
                </c:pt>
                <c:pt idx="707" c:formatCode="0.00_);[Red]\(0.00\)">
                  <c:v>23.632</c:v>
                </c:pt>
                <c:pt idx="708" c:formatCode="0.00_);[Red]\(0.00\)">
                  <c:v>23.666</c:v>
                </c:pt>
                <c:pt idx="709" c:formatCode="0.00_);[Red]\(0.00\)">
                  <c:v>23.699</c:v>
                </c:pt>
                <c:pt idx="710" c:formatCode="0.00_);[Red]\(0.00\)">
                  <c:v>23.733</c:v>
                </c:pt>
                <c:pt idx="711" c:formatCode="0.00_);[Red]\(0.00\)">
                  <c:v>23.766</c:v>
                </c:pt>
                <c:pt idx="712" c:formatCode="0.00_);[Red]\(0.00\)">
                  <c:v>23.799</c:v>
                </c:pt>
                <c:pt idx="713" c:formatCode="0.00_);[Red]\(0.00\)">
                  <c:v>23.833</c:v>
                </c:pt>
                <c:pt idx="714" c:formatCode="0.00_);[Red]\(0.00\)">
                  <c:v>23.866</c:v>
                </c:pt>
                <c:pt idx="715" c:formatCode="0.00_);[Red]\(0.00\)">
                  <c:v>23.9</c:v>
                </c:pt>
                <c:pt idx="716" c:formatCode="0.00_);[Red]\(0.00\)">
                  <c:v>23.933</c:v>
                </c:pt>
                <c:pt idx="717" c:formatCode="0.00_);[Red]\(0.00\)">
                  <c:v>23.967</c:v>
                </c:pt>
                <c:pt idx="718" c:formatCode="0.00_);[Red]\(0.00\)">
                  <c:v>24</c:v>
                </c:pt>
                <c:pt idx="719" c:formatCode="0.00_);[Red]\(0.00\)">
                  <c:v>24.033</c:v>
                </c:pt>
                <c:pt idx="720" c:formatCode="0.00_);[Red]\(0.00\)">
                  <c:v>24.067</c:v>
                </c:pt>
                <c:pt idx="721" c:formatCode="0.00_);[Red]\(0.00\)">
                  <c:v>24.1</c:v>
                </c:pt>
                <c:pt idx="722" c:formatCode="0.00_);[Red]\(0.00\)">
                  <c:v>24.134</c:v>
                </c:pt>
                <c:pt idx="723" c:formatCode="0.00_);[Red]\(0.00\)">
                  <c:v>24.167</c:v>
                </c:pt>
                <c:pt idx="724" c:formatCode="0.00_);[Red]\(0.00\)">
                  <c:v>24.201</c:v>
                </c:pt>
                <c:pt idx="725" c:formatCode="0.00_);[Red]\(0.00\)">
                  <c:v>24.234</c:v>
                </c:pt>
                <c:pt idx="726" c:formatCode="0.00_);[Red]\(0.00\)">
                  <c:v>24.267</c:v>
                </c:pt>
                <c:pt idx="727" c:formatCode="0.00_);[Red]\(0.00\)">
                  <c:v>24.301</c:v>
                </c:pt>
                <c:pt idx="728" c:formatCode="0.00_);[Red]\(0.00\)">
                  <c:v>24.334</c:v>
                </c:pt>
                <c:pt idx="729" c:formatCode="0.00_);[Red]\(0.00\)">
                  <c:v>24.368</c:v>
                </c:pt>
                <c:pt idx="730" c:formatCode="0.00_);[Red]\(0.00\)">
                  <c:v>24.401</c:v>
                </c:pt>
                <c:pt idx="731" c:formatCode="0.00_);[Red]\(0.00\)">
                  <c:v>24.435</c:v>
                </c:pt>
                <c:pt idx="732" c:formatCode="0.00_);[Red]\(0.00\)">
                  <c:v>24.468</c:v>
                </c:pt>
                <c:pt idx="733" c:formatCode="0.00_);[Red]\(0.00\)">
                  <c:v>24.501</c:v>
                </c:pt>
                <c:pt idx="734" c:formatCode="0.00_);[Red]\(0.00\)">
                  <c:v>24.535</c:v>
                </c:pt>
                <c:pt idx="735" c:formatCode="0.00_);[Red]\(0.00\)">
                  <c:v>24.568</c:v>
                </c:pt>
                <c:pt idx="736" c:formatCode="0.00_);[Red]\(0.00\)">
                  <c:v>24.602</c:v>
                </c:pt>
                <c:pt idx="737" c:formatCode="0.00_);[Red]\(0.00\)">
                  <c:v>24.635</c:v>
                </c:pt>
                <c:pt idx="738" c:formatCode="0.00_);[Red]\(0.00\)">
                  <c:v>24.669</c:v>
                </c:pt>
                <c:pt idx="739" c:formatCode="0.00_);[Red]\(0.00\)">
                  <c:v>24.702</c:v>
                </c:pt>
                <c:pt idx="740" c:formatCode="0.00_);[Red]\(0.00\)">
                  <c:v>24.735</c:v>
                </c:pt>
                <c:pt idx="741" c:formatCode="0.00_);[Red]\(0.00\)">
                  <c:v>24.769</c:v>
                </c:pt>
                <c:pt idx="742" c:formatCode="0.00_);[Red]\(0.00\)">
                  <c:v>24.802</c:v>
                </c:pt>
                <c:pt idx="743" c:formatCode="0.00_);[Red]\(0.00\)">
                  <c:v>24.836</c:v>
                </c:pt>
                <c:pt idx="744" c:formatCode="0.00_);[Red]\(0.00\)">
                  <c:v>24.869</c:v>
                </c:pt>
                <c:pt idx="745" c:formatCode="0.00_);[Red]\(0.00\)">
                  <c:v>24.903</c:v>
                </c:pt>
                <c:pt idx="746" c:formatCode="0.00_);[Red]\(0.00\)">
                  <c:v>24.936</c:v>
                </c:pt>
                <c:pt idx="747" c:formatCode="0.00_);[Red]\(0.00\)">
                  <c:v>24.969</c:v>
                </c:pt>
                <c:pt idx="748" c:formatCode="0.00_);[Red]\(0.00\)">
                  <c:v>25.003</c:v>
                </c:pt>
                <c:pt idx="749" c:formatCode="0.00_);[Red]\(0.00\)">
                  <c:v>25.036</c:v>
                </c:pt>
                <c:pt idx="750" c:formatCode="0.00_);[Red]\(0.00\)">
                  <c:v>25.07</c:v>
                </c:pt>
                <c:pt idx="751" c:formatCode="0.00_);[Red]\(0.00\)">
                  <c:v>25.103</c:v>
                </c:pt>
                <c:pt idx="752" c:formatCode="0.00_);[Red]\(0.00\)">
                  <c:v>25.137</c:v>
                </c:pt>
                <c:pt idx="753" c:formatCode="0.00_);[Red]\(0.00\)">
                  <c:v>25.17</c:v>
                </c:pt>
                <c:pt idx="754" c:formatCode="0.00_);[Red]\(0.00\)">
                  <c:v>25.203</c:v>
                </c:pt>
                <c:pt idx="755" c:formatCode="0.00_);[Red]\(0.00\)">
                  <c:v>25.237</c:v>
                </c:pt>
                <c:pt idx="756" c:formatCode="0.00_);[Red]\(0.00\)">
                  <c:v>25.27</c:v>
                </c:pt>
                <c:pt idx="757" c:formatCode="0.00_);[Red]\(0.00\)">
                  <c:v>25.304</c:v>
                </c:pt>
                <c:pt idx="758" c:formatCode="0.00_);[Red]\(0.00\)">
                  <c:v>25.337</c:v>
                </c:pt>
                <c:pt idx="759" c:formatCode="0.00_);[Red]\(0.00\)">
                  <c:v>25.371</c:v>
                </c:pt>
                <c:pt idx="760" c:formatCode="0.00_);[Red]\(0.00\)">
                  <c:v>25.404</c:v>
                </c:pt>
                <c:pt idx="761" c:formatCode="0.00_);[Red]\(0.00\)">
                  <c:v>25.437</c:v>
                </c:pt>
                <c:pt idx="762" c:formatCode="0.00_);[Red]\(0.00\)">
                  <c:v>25.471</c:v>
                </c:pt>
                <c:pt idx="763" c:formatCode="0.00_);[Red]\(0.00\)">
                  <c:v>25.504</c:v>
                </c:pt>
                <c:pt idx="764" c:formatCode="0.00_);[Red]\(0.00\)">
                  <c:v>25.538</c:v>
                </c:pt>
                <c:pt idx="765" c:formatCode="0.00_);[Red]\(0.00\)">
                  <c:v>25.571</c:v>
                </c:pt>
                <c:pt idx="766" c:formatCode="0.00_);[Red]\(0.00\)">
                  <c:v>25.605</c:v>
                </c:pt>
                <c:pt idx="767" c:formatCode="0.00_);[Red]\(0.00\)">
                  <c:v>25.638</c:v>
                </c:pt>
                <c:pt idx="768" c:formatCode="0.00_);[Red]\(0.00\)">
                  <c:v>25.671</c:v>
                </c:pt>
                <c:pt idx="769" c:formatCode="0.00_);[Red]\(0.00\)">
                  <c:v>25.705</c:v>
                </c:pt>
                <c:pt idx="770" c:formatCode="0.00_);[Red]\(0.00\)">
                  <c:v>25.738</c:v>
                </c:pt>
                <c:pt idx="771" c:formatCode="0.00_);[Red]\(0.00\)">
                  <c:v>25.772</c:v>
                </c:pt>
                <c:pt idx="772" c:formatCode="0.00_);[Red]\(0.00\)">
                  <c:v>25.805</c:v>
                </c:pt>
                <c:pt idx="773" c:formatCode="0.00_);[Red]\(0.00\)">
                  <c:v>25.838</c:v>
                </c:pt>
                <c:pt idx="774" c:formatCode="0.00_);[Red]\(0.00\)">
                  <c:v>25.872</c:v>
                </c:pt>
                <c:pt idx="775" c:formatCode="0.00_);[Red]\(0.00\)">
                  <c:v>25.905</c:v>
                </c:pt>
                <c:pt idx="776" c:formatCode="0.00_);[Red]\(0.00\)">
                  <c:v>25.939</c:v>
                </c:pt>
                <c:pt idx="777" c:formatCode="0.00_);[Red]\(0.00\)">
                  <c:v>25.972</c:v>
                </c:pt>
                <c:pt idx="778" c:formatCode="0.00_);[Red]\(0.00\)">
                  <c:v>26.006</c:v>
                </c:pt>
                <c:pt idx="779" c:formatCode="0.00_);[Red]\(0.00\)">
                  <c:v>26.039</c:v>
                </c:pt>
                <c:pt idx="780" c:formatCode="0.00_);[Red]\(0.00\)">
                  <c:v>26.072</c:v>
                </c:pt>
                <c:pt idx="781" c:formatCode="0.00_);[Red]\(0.00\)">
                  <c:v>26.106</c:v>
                </c:pt>
                <c:pt idx="782" c:formatCode="0.00_);[Red]\(0.00\)">
                  <c:v>26.139</c:v>
                </c:pt>
                <c:pt idx="783" c:formatCode="0.00_);[Red]\(0.00\)">
                  <c:v>26.173</c:v>
                </c:pt>
                <c:pt idx="784" c:formatCode="0.00_);[Red]\(0.00\)">
                  <c:v>26.206</c:v>
                </c:pt>
                <c:pt idx="785" c:formatCode="0.00_);[Red]\(0.00\)">
                  <c:v>26.24</c:v>
                </c:pt>
                <c:pt idx="786" c:formatCode="0.00_);[Red]\(0.00\)">
                  <c:v>26.273</c:v>
                </c:pt>
                <c:pt idx="787" c:formatCode="0.00_);[Red]\(0.00\)">
                  <c:v>26.306</c:v>
                </c:pt>
                <c:pt idx="788" c:formatCode="0.00_);[Red]\(0.00\)">
                  <c:v>26.34</c:v>
                </c:pt>
                <c:pt idx="789" c:formatCode="0.00_);[Red]\(0.00\)">
                  <c:v>26.373</c:v>
                </c:pt>
                <c:pt idx="790" c:formatCode="0.00_);[Red]\(0.00\)">
                  <c:v>26.407</c:v>
                </c:pt>
                <c:pt idx="791" c:formatCode="0.00_);[Red]\(0.00\)">
                  <c:v>26.44</c:v>
                </c:pt>
                <c:pt idx="792" c:formatCode="0.00_);[Red]\(0.00\)">
                  <c:v>26.474</c:v>
                </c:pt>
                <c:pt idx="793" c:formatCode="0.00_);[Red]\(0.00\)">
                  <c:v>26.507</c:v>
                </c:pt>
                <c:pt idx="794" c:formatCode="0.00_);[Red]\(0.00\)">
                  <c:v>26.54</c:v>
                </c:pt>
                <c:pt idx="795" c:formatCode="0.00_);[Red]\(0.00\)">
                  <c:v>26.574</c:v>
                </c:pt>
                <c:pt idx="796" c:formatCode="0.00_);[Red]\(0.00\)">
                  <c:v>26.607</c:v>
                </c:pt>
                <c:pt idx="797" c:formatCode="0.00_);[Red]\(0.00\)">
                  <c:v>26.641</c:v>
                </c:pt>
                <c:pt idx="798" c:formatCode="0.00_);[Red]\(0.00\)">
                  <c:v>26.674</c:v>
                </c:pt>
                <c:pt idx="799" c:formatCode="0.00_);[Red]\(0.00\)">
                  <c:v>26.708</c:v>
                </c:pt>
                <c:pt idx="800" c:formatCode="0.00_);[Red]\(0.00\)">
                  <c:v>26.741</c:v>
                </c:pt>
                <c:pt idx="801" c:formatCode="0.00_);[Red]\(0.00\)">
                  <c:v>26.774</c:v>
                </c:pt>
                <c:pt idx="802" c:formatCode="0.00_);[Red]\(0.00\)">
                  <c:v>26.808</c:v>
                </c:pt>
                <c:pt idx="803" c:formatCode="0.00_);[Red]\(0.00\)">
                  <c:v>26.841</c:v>
                </c:pt>
                <c:pt idx="804" c:formatCode="0.00_);[Red]\(0.00\)">
                  <c:v>26.875</c:v>
                </c:pt>
                <c:pt idx="805" c:formatCode="0.00_);[Red]\(0.00\)">
                  <c:v>26.908</c:v>
                </c:pt>
                <c:pt idx="806" c:formatCode="0.00_);[Red]\(0.00\)">
                  <c:v>26.942</c:v>
                </c:pt>
                <c:pt idx="807" c:formatCode="0.00_);[Red]\(0.00\)">
                  <c:v>26.975</c:v>
                </c:pt>
                <c:pt idx="808" c:formatCode="0.00_);[Red]\(0.00\)">
                  <c:v>27.008</c:v>
                </c:pt>
                <c:pt idx="809" c:formatCode="0.00_);[Red]\(0.00\)">
                  <c:v>27.042</c:v>
                </c:pt>
                <c:pt idx="810" c:formatCode="0.00_);[Red]\(0.00\)">
                  <c:v>27.075</c:v>
                </c:pt>
                <c:pt idx="811" c:formatCode="0.00_);[Red]\(0.00\)">
                  <c:v>27.109</c:v>
                </c:pt>
                <c:pt idx="812" c:formatCode="0.00_);[Red]\(0.00\)">
                  <c:v>27.142</c:v>
                </c:pt>
                <c:pt idx="813" c:formatCode="0.00_);[Red]\(0.00\)">
                  <c:v>27.176</c:v>
                </c:pt>
                <c:pt idx="814" c:formatCode="0.00_);[Red]\(0.00\)">
                  <c:v>27.209</c:v>
                </c:pt>
                <c:pt idx="815" c:formatCode="0.00_);[Red]\(0.00\)">
                  <c:v>27.242</c:v>
                </c:pt>
                <c:pt idx="816" c:formatCode="0.00_);[Red]\(0.00\)">
                  <c:v>27.276</c:v>
                </c:pt>
                <c:pt idx="817" c:formatCode="0.00_);[Red]\(0.00\)">
                  <c:v>27.309</c:v>
                </c:pt>
                <c:pt idx="818" c:formatCode="0.00_);[Red]\(0.00\)">
                  <c:v>27.343</c:v>
                </c:pt>
                <c:pt idx="819" c:formatCode="0.00_);[Red]\(0.00\)">
                  <c:v>27.376</c:v>
                </c:pt>
                <c:pt idx="820" c:formatCode="0.00_);[Red]\(0.00\)">
                  <c:v>27.41</c:v>
                </c:pt>
                <c:pt idx="821" c:formatCode="0.00_);[Red]\(0.00\)">
                  <c:v>27.443</c:v>
                </c:pt>
                <c:pt idx="822" c:formatCode="0.00_);[Red]\(0.00\)">
                  <c:v>27.476</c:v>
                </c:pt>
                <c:pt idx="823" c:formatCode="0.00_);[Red]\(0.00\)">
                  <c:v>27.51</c:v>
                </c:pt>
                <c:pt idx="824" c:formatCode="0.00_);[Red]\(0.00\)">
                  <c:v>27.543</c:v>
                </c:pt>
                <c:pt idx="825" c:formatCode="0.00_);[Red]\(0.00\)">
                  <c:v>27.577</c:v>
                </c:pt>
                <c:pt idx="826" c:formatCode="0.00_);[Red]\(0.00\)">
                  <c:v>27.61</c:v>
                </c:pt>
                <c:pt idx="827" c:formatCode="0.00_);[Red]\(0.00\)">
                  <c:v>27.644</c:v>
                </c:pt>
                <c:pt idx="828" c:formatCode="0.00_);[Red]\(0.00\)">
                  <c:v>27.677</c:v>
                </c:pt>
                <c:pt idx="829" c:formatCode="0.00_);[Red]\(0.00\)">
                  <c:v>27.71</c:v>
                </c:pt>
                <c:pt idx="830" c:formatCode="0.00_);[Red]\(0.00\)">
                  <c:v>27.744</c:v>
                </c:pt>
                <c:pt idx="831" c:formatCode="0.00_);[Red]\(0.00\)">
                  <c:v>27.777</c:v>
                </c:pt>
                <c:pt idx="832" c:formatCode="0.00_);[Red]\(0.00\)">
                  <c:v>27.811</c:v>
                </c:pt>
                <c:pt idx="833" c:formatCode="0.00_);[Red]\(0.00\)">
                  <c:v>27.844</c:v>
                </c:pt>
                <c:pt idx="834" c:formatCode="0.00_);[Red]\(0.00\)">
                  <c:v>27.877</c:v>
                </c:pt>
                <c:pt idx="835" c:formatCode="0.00_);[Red]\(0.00\)">
                  <c:v>27.911</c:v>
                </c:pt>
                <c:pt idx="836" c:formatCode="0.00_);[Red]\(0.00\)">
                  <c:v>27.944</c:v>
                </c:pt>
                <c:pt idx="837" c:formatCode="0.00_);[Red]\(0.00\)">
                  <c:v>27.978</c:v>
                </c:pt>
                <c:pt idx="838" c:formatCode="0.00_);[Red]\(0.00\)">
                  <c:v>28.011</c:v>
                </c:pt>
                <c:pt idx="839" c:formatCode="0.00_);[Red]\(0.00\)">
                  <c:v>28.045</c:v>
                </c:pt>
                <c:pt idx="840" c:formatCode="0.00_);[Red]\(0.00\)">
                  <c:v>28.078</c:v>
                </c:pt>
                <c:pt idx="841" c:formatCode="0.00_);[Red]\(0.00\)">
                  <c:v>28.111</c:v>
                </c:pt>
                <c:pt idx="842" c:formatCode="0.00_);[Red]\(0.00\)">
                  <c:v>28.145</c:v>
                </c:pt>
                <c:pt idx="843" c:formatCode="0.00_);[Red]\(0.00\)">
                  <c:v>28.178</c:v>
                </c:pt>
                <c:pt idx="844" c:formatCode="0.00_);[Red]\(0.00\)">
                  <c:v>28.212</c:v>
                </c:pt>
                <c:pt idx="845" c:formatCode="0.00_);[Red]\(0.00\)">
                  <c:v>28.245</c:v>
                </c:pt>
                <c:pt idx="846" c:formatCode="0.00_);[Red]\(0.00\)">
                  <c:v>28.279</c:v>
                </c:pt>
                <c:pt idx="847" c:formatCode="0.00_);[Red]\(0.00\)">
                  <c:v>28.312</c:v>
                </c:pt>
                <c:pt idx="848" c:formatCode="0.00_);[Red]\(0.00\)">
                  <c:v>28.345</c:v>
                </c:pt>
                <c:pt idx="849" c:formatCode="0.00_);[Red]\(0.00\)">
                  <c:v>28.379</c:v>
                </c:pt>
                <c:pt idx="850" c:formatCode="0.00_);[Red]\(0.00\)">
                  <c:v>28.412</c:v>
                </c:pt>
                <c:pt idx="851" c:formatCode="0.00_);[Red]\(0.00\)">
                  <c:v>28.446</c:v>
                </c:pt>
                <c:pt idx="852" c:formatCode="0.00_);[Red]\(0.00\)">
                  <c:v>28.479</c:v>
                </c:pt>
                <c:pt idx="853" c:formatCode="0.00_);[Red]\(0.00\)">
                  <c:v>28.513</c:v>
                </c:pt>
                <c:pt idx="854" c:formatCode="0.00_);[Red]\(0.00\)">
                  <c:v>28.546</c:v>
                </c:pt>
                <c:pt idx="855" c:formatCode="0.00_);[Red]\(0.00\)">
                  <c:v>28.579</c:v>
                </c:pt>
                <c:pt idx="856" c:formatCode="0.00_);[Red]\(0.00\)">
                  <c:v>28.613</c:v>
                </c:pt>
                <c:pt idx="857" c:formatCode="0.00_);[Red]\(0.00\)">
                  <c:v>28.646</c:v>
                </c:pt>
                <c:pt idx="858" c:formatCode="0.00_);[Red]\(0.00\)">
                  <c:v>28.68</c:v>
                </c:pt>
                <c:pt idx="859" c:formatCode="0.00_);[Red]\(0.00\)">
                  <c:v>28.713</c:v>
                </c:pt>
                <c:pt idx="860" c:formatCode="0.00_);[Red]\(0.00\)">
                  <c:v>28.747</c:v>
                </c:pt>
                <c:pt idx="861" c:formatCode="0.00_);[Red]\(0.00\)">
                  <c:v>28.78</c:v>
                </c:pt>
                <c:pt idx="862" c:formatCode="0.00_);[Red]\(0.00\)">
                  <c:v>28.813</c:v>
                </c:pt>
                <c:pt idx="863" c:formatCode="0.00_);[Red]\(0.00\)">
                  <c:v>28.847</c:v>
                </c:pt>
                <c:pt idx="864" c:formatCode="0.00_);[Red]\(0.00\)">
                  <c:v>28.88</c:v>
                </c:pt>
                <c:pt idx="865" c:formatCode="0.00_);[Red]\(0.00\)">
                  <c:v>28.914</c:v>
                </c:pt>
                <c:pt idx="866" c:formatCode="0.00_);[Red]\(0.00\)">
                  <c:v>28.947</c:v>
                </c:pt>
                <c:pt idx="867" c:formatCode="0.00_);[Red]\(0.00\)">
                  <c:v>28.981</c:v>
                </c:pt>
                <c:pt idx="868" c:formatCode="0.00_);[Red]\(0.00\)">
                  <c:v>29.014</c:v>
                </c:pt>
                <c:pt idx="869" c:formatCode="0.00_);[Red]\(0.00\)">
                  <c:v>29.047</c:v>
                </c:pt>
                <c:pt idx="870" c:formatCode="0.00_);[Red]\(0.00\)">
                  <c:v>29.081</c:v>
                </c:pt>
                <c:pt idx="871" c:formatCode="0.00_);[Red]\(0.00\)">
                  <c:v>29.114</c:v>
                </c:pt>
                <c:pt idx="872" c:formatCode="0.00_);[Red]\(0.00\)">
                  <c:v>29.148</c:v>
                </c:pt>
                <c:pt idx="873" c:formatCode="0.00_);[Red]\(0.00\)">
                  <c:v>29.181</c:v>
                </c:pt>
                <c:pt idx="874" c:formatCode="0.00_);[Red]\(0.00\)">
                  <c:v>29.215</c:v>
                </c:pt>
                <c:pt idx="875" c:formatCode="0.00_);[Red]\(0.00\)">
                  <c:v>29.248</c:v>
                </c:pt>
                <c:pt idx="876" c:formatCode="0.00_);[Red]\(0.00\)">
                  <c:v>29.281</c:v>
                </c:pt>
                <c:pt idx="877" c:formatCode="0.00_);[Red]\(0.00\)">
                  <c:v>29.315</c:v>
                </c:pt>
                <c:pt idx="878" c:formatCode="0.00_);[Red]\(0.00\)">
                  <c:v>29.348</c:v>
                </c:pt>
                <c:pt idx="879" c:formatCode="0.00_);[Red]\(0.00\)">
                  <c:v>29.382</c:v>
                </c:pt>
                <c:pt idx="880" c:formatCode="0.00_);[Red]\(0.00\)">
                  <c:v>29.415</c:v>
                </c:pt>
                <c:pt idx="881" c:formatCode="0.00_);[Red]\(0.00\)">
                  <c:v>29.449</c:v>
                </c:pt>
                <c:pt idx="882" c:formatCode="0.00_);[Red]\(0.00\)">
                  <c:v>29.482</c:v>
                </c:pt>
                <c:pt idx="883" c:formatCode="0.00_);[Red]\(0.00\)">
                  <c:v>29.515</c:v>
                </c:pt>
                <c:pt idx="884" c:formatCode="0.00_);[Red]\(0.00\)">
                  <c:v>29.549</c:v>
                </c:pt>
                <c:pt idx="885" c:formatCode="0.00_);[Red]\(0.00\)">
                  <c:v>29.582</c:v>
                </c:pt>
                <c:pt idx="886" c:formatCode="0.00_);[Red]\(0.00\)">
                  <c:v>29.616</c:v>
                </c:pt>
                <c:pt idx="887" c:formatCode="0.00_);[Red]\(0.00\)">
                  <c:v>29.649</c:v>
                </c:pt>
                <c:pt idx="888" c:formatCode="0.00_);[Red]\(0.00\)">
                  <c:v>29.683</c:v>
                </c:pt>
                <c:pt idx="889" c:formatCode="0.00_);[Red]\(0.00\)">
                  <c:v>29.716</c:v>
                </c:pt>
                <c:pt idx="890" c:formatCode="0.00_);[Red]\(0.00\)">
                  <c:v>29.749</c:v>
                </c:pt>
                <c:pt idx="891" c:formatCode="0.00_);[Red]\(0.00\)">
                  <c:v>29.783</c:v>
                </c:pt>
                <c:pt idx="892" c:formatCode="0.00_);[Red]\(0.00\)">
                  <c:v>29.816</c:v>
                </c:pt>
                <c:pt idx="893" c:formatCode="0.00_);[Red]\(0.00\)">
                  <c:v>29.85</c:v>
                </c:pt>
                <c:pt idx="894" c:formatCode="0.00_);[Red]\(0.00\)">
                  <c:v>29.883</c:v>
                </c:pt>
                <c:pt idx="895" c:formatCode="0.00_);[Red]\(0.00\)">
                  <c:v>29.916</c:v>
                </c:pt>
                <c:pt idx="896" c:formatCode="0.00_);[Red]\(0.00\)">
                  <c:v>29.95</c:v>
                </c:pt>
                <c:pt idx="897" c:formatCode="0.00_);[Red]\(0.00\)">
                  <c:v>29.983</c:v>
                </c:pt>
                <c:pt idx="898" c:formatCode="0.00_);[Red]\(0.00\)">
                  <c:v>30.017</c:v>
                </c:pt>
                <c:pt idx="899" c:formatCode="0.00_);[Red]\(0.00\)">
                  <c:v>30.05</c:v>
                </c:pt>
                <c:pt idx="900" c:formatCode="0.00_);[Red]\(0.00\)">
                  <c:v>30.084</c:v>
                </c:pt>
                <c:pt idx="901" c:formatCode="0.00_);[Red]\(0.00\)">
                  <c:v>30.117</c:v>
                </c:pt>
                <c:pt idx="902" c:formatCode="0.00_);[Red]\(0.00\)">
                  <c:v>30.15</c:v>
                </c:pt>
                <c:pt idx="903" c:formatCode="0.00_);[Red]\(0.00\)">
                  <c:v>30.184</c:v>
                </c:pt>
                <c:pt idx="904" c:formatCode="0.00_);[Red]\(0.00\)">
                  <c:v>30.217</c:v>
                </c:pt>
                <c:pt idx="905" c:formatCode="0.00_);[Red]\(0.00\)">
                  <c:v>30.251</c:v>
                </c:pt>
                <c:pt idx="906" c:formatCode="0.00_);[Red]\(0.00\)">
                  <c:v>30.284</c:v>
                </c:pt>
                <c:pt idx="907" c:formatCode="0.00_);[Red]\(0.00\)">
                  <c:v>30.318</c:v>
                </c:pt>
                <c:pt idx="908" c:formatCode="0.00_);[Red]\(0.00\)">
                  <c:v>30.351</c:v>
                </c:pt>
                <c:pt idx="909" c:formatCode="0.00_);[Red]\(0.00\)">
                  <c:v>30.384</c:v>
                </c:pt>
                <c:pt idx="910" c:formatCode="0.00_);[Red]\(0.00\)">
                  <c:v>30.418</c:v>
                </c:pt>
                <c:pt idx="911" c:formatCode="0.00_);[Red]\(0.00\)">
                  <c:v>30.451</c:v>
                </c:pt>
                <c:pt idx="912" c:formatCode="0.00_);[Red]\(0.00\)">
                  <c:v>30.485</c:v>
                </c:pt>
                <c:pt idx="913" c:formatCode="0.00_);[Red]\(0.00\)">
                  <c:v>30.518</c:v>
                </c:pt>
                <c:pt idx="914" c:formatCode="0.00_);[Red]\(0.00\)">
                  <c:v>30.552</c:v>
                </c:pt>
                <c:pt idx="915" c:formatCode="0.00_);[Red]\(0.00\)">
                  <c:v>30.585</c:v>
                </c:pt>
                <c:pt idx="916" c:formatCode="0.00_);[Red]\(0.00\)">
                  <c:v>30.618</c:v>
                </c:pt>
                <c:pt idx="917" c:formatCode="0.00_);[Red]\(0.00\)">
                  <c:v>30.652</c:v>
                </c:pt>
                <c:pt idx="918" c:formatCode="0.00_);[Red]\(0.00\)">
                  <c:v>30.685</c:v>
                </c:pt>
                <c:pt idx="919" c:formatCode="0.00_);[Red]\(0.00\)">
                  <c:v>30.719</c:v>
                </c:pt>
                <c:pt idx="920" c:formatCode="0.00_);[Red]\(0.00\)">
                  <c:v>30.752</c:v>
                </c:pt>
                <c:pt idx="921" c:formatCode="0.00_);[Red]\(0.00\)">
                  <c:v>30.786</c:v>
                </c:pt>
                <c:pt idx="922" c:formatCode="0.00_);[Red]\(0.00\)">
                  <c:v>30.819</c:v>
                </c:pt>
                <c:pt idx="923" c:formatCode="0.00_);[Red]\(0.00\)">
                  <c:v>30.852</c:v>
                </c:pt>
                <c:pt idx="924" c:formatCode="0.00_);[Red]\(0.00\)">
                  <c:v>30.886</c:v>
                </c:pt>
                <c:pt idx="925" c:formatCode="0.00_);[Red]\(0.00\)">
                  <c:v>30.919</c:v>
                </c:pt>
                <c:pt idx="926" c:formatCode="0.00_);[Red]\(0.00\)">
                  <c:v>30.953</c:v>
                </c:pt>
                <c:pt idx="927" c:formatCode="0.00_);[Red]\(0.00\)">
                  <c:v>30.986</c:v>
                </c:pt>
                <c:pt idx="928" c:formatCode="0.00_);[Red]\(0.00\)">
                  <c:v>31.02</c:v>
                </c:pt>
                <c:pt idx="929" c:formatCode="0.00_);[Red]\(0.00\)">
                  <c:v>31.053</c:v>
                </c:pt>
                <c:pt idx="930" c:formatCode="0.00_);[Red]\(0.00\)">
                  <c:v>31.086</c:v>
                </c:pt>
                <c:pt idx="931" c:formatCode="0.00_);[Red]\(0.00\)">
                  <c:v>31.12</c:v>
                </c:pt>
                <c:pt idx="932" c:formatCode="0.00_);[Red]\(0.00\)">
                  <c:v>31.153</c:v>
                </c:pt>
                <c:pt idx="933" c:formatCode="0.00_);[Red]\(0.00\)">
                  <c:v>31.187</c:v>
                </c:pt>
                <c:pt idx="934" c:formatCode="0.00_);[Red]\(0.00\)">
                  <c:v>31.22</c:v>
                </c:pt>
                <c:pt idx="935" c:formatCode="0.00_);[Red]\(0.00\)">
                  <c:v>31.254</c:v>
                </c:pt>
                <c:pt idx="936" c:formatCode="0.00_);[Red]\(0.00\)">
                  <c:v>31.287</c:v>
                </c:pt>
                <c:pt idx="937" c:formatCode="0.00_);[Red]\(0.00\)">
                  <c:v>31.32</c:v>
                </c:pt>
                <c:pt idx="938" c:formatCode="0.00_);[Red]\(0.00\)">
                  <c:v>31.354</c:v>
                </c:pt>
                <c:pt idx="939" c:formatCode="0.00_);[Red]\(0.00\)">
                  <c:v>31.387</c:v>
                </c:pt>
                <c:pt idx="940" c:formatCode="0.00_);[Red]\(0.00\)">
                  <c:v>31.421</c:v>
                </c:pt>
                <c:pt idx="941" c:formatCode="0.00_);[Red]\(0.00\)">
                  <c:v>31.454</c:v>
                </c:pt>
                <c:pt idx="942" c:formatCode="0.00_);[Red]\(0.00\)">
                  <c:v>31.488</c:v>
                </c:pt>
                <c:pt idx="943" c:formatCode="0.00_);[Red]\(0.00\)">
                  <c:v>31.521</c:v>
                </c:pt>
                <c:pt idx="944" c:formatCode="0.00_);[Red]\(0.00\)">
                  <c:v>31.554</c:v>
                </c:pt>
                <c:pt idx="945" c:formatCode="0.00_);[Red]\(0.00\)">
                  <c:v>31.588</c:v>
                </c:pt>
                <c:pt idx="946" c:formatCode="0.00_);[Red]\(0.00\)">
                  <c:v>31.621</c:v>
                </c:pt>
                <c:pt idx="947" c:formatCode="0.00_);[Red]\(0.00\)">
                  <c:v>31.655</c:v>
                </c:pt>
                <c:pt idx="948" c:formatCode="0.00_);[Red]\(0.00\)">
                  <c:v>31.688</c:v>
                </c:pt>
                <c:pt idx="949" c:formatCode="0.00_);[Red]\(0.00\)">
                  <c:v>31.722</c:v>
                </c:pt>
                <c:pt idx="950" c:formatCode="0.00_);[Red]\(0.00\)">
                  <c:v>31.755</c:v>
                </c:pt>
                <c:pt idx="951" c:formatCode="0.00_);[Red]\(0.00\)">
                  <c:v>31.788</c:v>
                </c:pt>
                <c:pt idx="952" c:formatCode="0.00_);[Red]\(0.00\)">
                  <c:v>31.822</c:v>
                </c:pt>
                <c:pt idx="953" c:formatCode="0.00_);[Red]\(0.00\)">
                  <c:v>31.855</c:v>
                </c:pt>
                <c:pt idx="954" c:formatCode="0.00_);[Red]\(0.00\)">
                  <c:v>31.889</c:v>
                </c:pt>
                <c:pt idx="955" c:formatCode="0.00_);[Red]\(0.00\)">
                  <c:v>31.922</c:v>
                </c:pt>
                <c:pt idx="956" c:formatCode="0.00_);[Red]\(0.00\)">
                  <c:v>31.955</c:v>
                </c:pt>
                <c:pt idx="957" c:formatCode="0.00_);[Red]\(0.00\)">
                  <c:v>31.989</c:v>
                </c:pt>
                <c:pt idx="958" c:formatCode="0.00_);[Red]\(0.00\)">
                  <c:v>32.022</c:v>
                </c:pt>
                <c:pt idx="959" c:formatCode="0.00_);[Red]\(0.00\)">
                  <c:v>32.056</c:v>
                </c:pt>
                <c:pt idx="960" c:formatCode="0.00_);[Red]\(0.00\)">
                  <c:v>32.089</c:v>
                </c:pt>
                <c:pt idx="961" c:formatCode="0.00_);[Red]\(0.00\)">
                  <c:v>32.123</c:v>
                </c:pt>
                <c:pt idx="962" c:formatCode="0.00_);[Red]\(0.00\)">
                  <c:v>32.156</c:v>
                </c:pt>
                <c:pt idx="963" c:formatCode="0.00_);[Red]\(0.00\)">
                  <c:v>32.189</c:v>
                </c:pt>
                <c:pt idx="964" c:formatCode="0.00_);[Red]\(0.00\)">
                  <c:v>32.223</c:v>
                </c:pt>
                <c:pt idx="965" c:formatCode="0.00_);[Red]\(0.00\)">
                  <c:v>32.256</c:v>
                </c:pt>
                <c:pt idx="966" c:formatCode="0.00_);[Red]\(0.00\)">
                  <c:v>32.29</c:v>
                </c:pt>
                <c:pt idx="967" c:formatCode="0.00_);[Red]\(0.00\)">
                  <c:v>32.323</c:v>
                </c:pt>
                <c:pt idx="968" c:formatCode="0.00_);[Red]\(0.00\)">
                  <c:v>32.357</c:v>
                </c:pt>
                <c:pt idx="969" c:formatCode="0.00_);[Red]\(0.00\)">
                  <c:v>32.39</c:v>
                </c:pt>
                <c:pt idx="970" c:formatCode="0.00_);[Red]\(0.00\)">
                  <c:v>32.423</c:v>
                </c:pt>
                <c:pt idx="971" c:formatCode="0.00_);[Red]\(0.00\)">
                  <c:v>32.457</c:v>
                </c:pt>
                <c:pt idx="972" c:formatCode="0.00_);[Red]\(0.00\)">
                  <c:v>32.49</c:v>
                </c:pt>
                <c:pt idx="973" c:formatCode="0.00_);[Red]\(0.00\)">
                  <c:v>32.524</c:v>
                </c:pt>
                <c:pt idx="974" c:formatCode="0.00_);[Red]\(0.00\)">
                  <c:v>32.557</c:v>
                </c:pt>
                <c:pt idx="975" c:formatCode="0.00_);[Red]\(0.00\)">
                  <c:v>32.591</c:v>
                </c:pt>
                <c:pt idx="976" c:formatCode="0.00_);[Red]\(0.00\)">
                  <c:v>32.624</c:v>
                </c:pt>
                <c:pt idx="977" c:formatCode="0.00_);[Red]\(0.00\)">
                  <c:v>32.657</c:v>
                </c:pt>
                <c:pt idx="978" c:formatCode="0.00_);[Red]\(0.00\)">
                  <c:v>32.691</c:v>
                </c:pt>
                <c:pt idx="979" c:formatCode="0.00_);[Red]\(0.00\)">
                  <c:v>32.724</c:v>
                </c:pt>
                <c:pt idx="980" c:formatCode="0.00_);[Red]\(0.00\)">
                  <c:v>32.758</c:v>
                </c:pt>
                <c:pt idx="981" c:formatCode="0.00_);[Red]\(0.00\)">
                  <c:v>32.791</c:v>
                </c:pt>
                <c:pt idx="982" c:formatCode="0.00_);[Red]\(0.00\)">
                  <c:v>32.825</c:v>
                </c:pt>
                <c:pt idx="983" c:formatCode="0.00_);[Red]\(0.00\)">
                  <c:v>32.858</c:v>
                </c:pt>
                <c:pt idx="984" c:formatCode="0.00_);[Red]\(0.00\)">
                  <c:v>32.891</c:v>
                </c:pt>
                <c:pt idx="985" c:formatCode="0.00_);[Red]\(0.00\)">
                  <c:v>32.925</c:v>
                </c:pt>
                <c:pt idx="986" c:formatCode="0.00_);[Red]\(0.00\)">
                  <c:v>32.958</c:v>
                </c:pt>
                <c:pt idx="987" c:formatCode="0.00_);[Red]\(0.00\)">
                  <c:v>32.992</c:v>
                </c:pt>
                <c:pt idx="988" c:formatCode="0.00_);[Red]\(0.00\)">
                  <c:v>33.025</c:v>
                </c:pt>
                <c:pt idx="989" c:formatCode="0.00_);[Red]\(0.00\)">
                  <c:v>33.059</c:v>
                </c:pt>
                <c:pt idx="990" c:formatCode="0.00_);[Red]\(0.00\)">
                  <c:v>33.092</c:v>
                </c:pt>
                <c:pt idx="991" c:formatCode="0.00_);[Red]\(0.00\)">
                  <c:v>33.125</c:v>
                </c:pt>
                <c:pt idx="992" c:formatCode="0.00_);[Red]\(0.00\)">
                  <c:v>33.159</c:v>
                </c:pt>
                <c:pt idx="993" c:formatCode="0.00_);[Red]\(0.00\)">
                  <c:v>33.192</c:v>
                </c:pt>
                <c:pt idx="994" c:formatCode="0.00_);[Red]\(0.00\)">
                  <c:v>33.226</c:v>
                </c:pt>
                <c:pt idx="995" c:formatCode="0.00_);[Red]\(0.00\)">
                  <c:v>33.259</c:v>
                </c:pt>
                <c:pt idx="996" c:formatCode="0.00_);[Red]\(0.00\)">
                  <c:v>33.293</c:v>
                </c:pt>
                <c:pt idx="997" c:formatCode="0.00_);[Red]\(0.00\)">
                  <c:v>33.326</c:v>
                </c:pt>
                <c:pt idx="998" c:formatCode="0.00_);[Red]\(0.00\)">
                  <c:v>33.359</c:v>
                </c:pt>
                <c:pt idx="999" c:formatCode="0.00_);[Red]\(0.00\)">
                  <c:v>33.393</c:v>
                </c:pt>
                <c:pt idx="1000" c:formatCode="0.00_);[Red]\(0.00\)">
                  <c:v>33.426</c:v>
                </c:pt>
                <c:pt idx="1001" c:formatCode="0.00_);[Red]\(0.00\)">
                  <c:v>33.46</c:v>
                </c:pt>
                <c:pt idx="1002" c:formatCode="0.00_);[Red]\(0.00\)">
                  <c:v>33.493</c:v>
                </c:pt>
                <c:pt idx="1003" c:formatCode="0.00_);[Red]\(0.00\)">
                  <c:v>33.527</c:v>
                </c:pt>
                <c:pt idx="1004" c:formatCode="0.00_);[Red]\(0.00\)">
                  <c:v>33.56</c:v>
                </c:pt>
                <c:pt idx="1005" c:formatCode="0.00_);[Red]\(0.00\)">
                  <c:v>33.593</c:v>
                </c:pt>
                <c:pt idx="1006" c:formatCode="0.00_);[Red]\(0.00\)">
                  <c:v>33.627</c:v>
                </c:pt>
                <c:pt idx="1007" c:formatCode="0.00_);[Red]\(0.00\)">
                  <c:v>33.66</c:v>
                </c:pt>
                <c:pt idx="1008" c:formatCode="0.00_);[Red]\(0.00\)">
                  <c:v>33.694</c:v>
                </c:pt>
                <c:pt idx="1009" c:formatCode="0.00_);[Red]\(0.00\)">
                  <c:v>33.727</c:v>
                </c:pt>
                <c:pt idx="1010" c:formatCode="0.00_);[Red]\(0.00\)">
                  <c:v>33.761</c:v>
                </c:pt>
                <c:pt idx="1011" c:formatCode="0.00_);[Red]\(0.00\)">
                  <c:v>33.794</c:v>
                </c:pt>
                <c:pt idx="1012" c:formatCode="0.00_);[Red]\(0.00\)">
                  <c:v>33.827</c:v>
                </c:pt>
                <c:pt idx="1013" c:formatCode="0.00_);[Red]\(0.00\)">
                  <c:v>33.861</c:v>
                </c:pt>
                <c:pt idx="1014" c:formatCode="0.00_);[Red]\(0.00\)">
                  <c:v>33.894</c:v>
                </c:pt>
                <c:pt idx="1015" c:formatCode="0.00_);[Red]\(0.00\)">
                  <c:v>33.928</c:v>
                </c:pt>
                <c:pt idx="1016" c:formatCode="0.00_);[Red]\(0.00\)">
                  <c:v>33.961</c:v>
                </c:pt>
                <c:pt idx="1017" c:formatCode="0.00_);[Red]\(0.00\)">
                  <c:v>33.994</c:v>
                </c:pt>
                <c:pt idx="1018" c:formatCode="0.00_);[Red]\(0.00\)">
                  <c:v>34.028</c:v>
                </c:pt>
                <c:pt idx="1019" c:formatCode="0.00_);[Red]\(0.00\)">
                  <c:v>34.061</c:v>
                </c:pt>
                <c:pt idx="1020" c:formatCode="0.00_);[Red]\(0.00\)">
                  <c:v>34.095</c:v>
                </c:pt>
                <c:pt idx="1021" c:formatCode="0.00_);[Red]\(0.00\)">
                  <c:v>34.128</c:v>
                </c:pt>
                <c:pt idx="1022" c:formatCode="0.00_);[Red]\(0.00\)">
                  <c:v>34.162</c:v>
                </c:pt>
                <c:pt idx="1023" c:formatCode="0.00_);[Red]\(0.00\)">
                  <c:v>34.195</c:v>
                </c:pt>
                <c:pt idx="1024" c:formatCode="0.00_);[Red]\(0.00\)">
                  <c:v>34.228</c:v>
                </c:pt>
                <c:pt idx="1025" c:formatCode="0.00_);[Red]\(0.00\)">
                  <c:v>34.262</c:v>
                </c:pt>
                <c:pt idx="1026" c:formatCode="0.00_);[Red]\(0.00\)">
                  <c:v>34.295</c:v>
                </c:pt>
                <c:pt idx="1027" c:formatCode="0.00_);[Red]\(0.00\)">
                  <c:v>34.329</c:v>
                </c:pt>
                <c:pt idx="1028" c:formatCode="0.00_);[Red]\(0.00\)">
                  <c:v>34.362</c:v>
                </c:pt>
                <c:pt idx="1029" c:formatCode="0.00_);[Red]\(0.00\)">
                  <c:v>34.396</c:v>
                </c:pt>
                <c:pt idx="1030" c:formatCode="0.00_);[Red]\(0.00\)">
                  <c:v>34.429</c:v>
                </c:pt>
                <c:pt idx="1031" c:formatCode="0.00_);[Red]\(0.00\)">
                  <c:v>34.462</c:v>
                </c:pt>
                <c:pt idx="1032" c:formatCode="0.00_);[Red]\(0.00\)">
                  <c:v>34.496</c:v>
                </c:pt>
                <c:pt idx="1033" c:formatCode="0.00_);[Red]\(0.00\)">
                  <c:v>34.529</c:v>
                </c:pt>
                <c:pt idx="1034" c:formatCode="0.00_);[Red]\(0.00\)">
                  <c:v>34.563</c:v>
                </c:pt>
                <c:pt idx="1035" c:formatCode="0.00_);[Red]\(0.00\)">
                  <c:v>34.596</c:v>
                </c:pt>
                <c:pt idx="1036" c:formatCode="0.00_);[Red]\(0.00\)">
                  <c:v>34.63</c:v>
                </c:pt>
                <c:pt idx="1037" c:formatCode="0.00_);[Red]\(0.00\)">
                  <c:v>34.663</c:v>
                </c:pt>
                <c:pt idx="1038" c:formatCode="0.00_);[Red]\(0.00\)">
                  <c:v>34.696</c:v>
                </c:pt>
                <c:pt idx="1039" c:formatCode="0.00_);[Red]\(0.00\)">
                  <c:v>34.73</c:v>
                </c:pt>
                <c:pt idx="1040" c:formatCode="0.00_);[Red]\(0.00\)">
                  <c:v>34.763</c:v>
                </c:pt>
                <c:pt idx="1041" c:formatCode="0.00_);[Red]\(0.00\)">
                  <c:v>34.797</c:v>
                </c:pt>
                <c:pt idx="1042" c:formatCode="0.00_);[Red]\(0.00\)">
                  <c:v>34.83</c:v>
                </c:pt>
                <c:pt idx="1043" c:formatCode="0.00_);[Red]\(0.00\)">
                  <c:v>34.864</c:v>
                </c:pt>
                <c:pt idx="1044" c:formatCode="0.00_);[Red]\(0.00\)">
                  <c:v>34.897</c:v>
                </c:pt>
                <c:pt idx="1045" c:formatCode="0.00_);[Red]\(0.00\)">
                  <c:v>34.93</c:v>
                </c:pt>
                <c:pt idx="1046" c:formatCode="0.00_);[Red]\(0.00\)">
                  <c:v>34.964</c:v>
                </c:pt>
                <c:pt idx="1047" c:formatCode="0.00_);[Red]\(0.00\)">
                  <c:v>34.997</c:v>
                </c:pt>
                <c:pt idx="1048" c:formatCode="0.00_);[Red]\(0.00\)">
                  <c:v>35.031</c:v>
                </c:pt>
                <c:pt idx="1049" c:formatCode="0.00_);[Red]\(0.00\)">
                  <c:v>35.064</c:v>
                </c:pt>
                <c:pt idx="1050" c:formatCode="0.00_);[Red]\(0.00\)">
                  <c:v>35.098</c:v>
                </c:pt>
                <c:pt idx="1051" c:formatCode="0.00_);[Red]\(0.00\)">
                  <c:v>35.131</c:v>
                </c:pt>
                <c:pt idx="1052" c:formatCode="0.00_);[Red]\(0.00\)">
                  <c:v>35.164</c:v>
                </c:pt>
                <c:pt idx="1053" c:formatCode="0.00_);[Red]\(0.00\)">
                  <c:v>35.198</c:v>
                </c:pt>
                <c:pt idx="1054" c:formatCode="0.00_);[Red]\(0.00\)">
                  <c:v>35.231</c:v>
                </c:pt>
                <c:pt idx="1055" c:formatCode="0.00_);[Red]\(0.00\)">
                  <c:v>35.265</c:v>
                </c:pt>
                <c:pt idx="1056" c:formatCode="0.00_);[Red]\(0.00\)">
                  <c:v>35.298</c:v>
                </c:pt>
                <c:pt idx="1057" c:formatCode="0.00_);[Red]\(0.00\)">
                  <c:v>35.332</c:v>
                </c:pt>
                <c:pt idx="1058" c:formatCode="0.00_);[Red]\(0.00\)">
                  <c:v>35.365</c:v>
                </c:pt>
                <c:pt idx="1059" c:formatCode="0.00_);[Red]\(0.00\)">
                  <c:v>35.398</c:v>
                </c:pt>
                <c:pt idx="1060" c:formatCode="0.00_);[Red]\(0.00\)">
                  <c:v>35.432</c:v>
                </c:pt>
                <c:pt idx="1061" c:formatCode="0.00_);[Red]\(0.00\)">
                  <c:v>35.465</c:v>
                </c:pt>
                <c:pt idx="1062" c:formatCode="0.00_);[Red]\(0.00\)">
                  <c:v>35.499</c:v>
                </c:pt>
                <c:pt idx="1063" c:formatCode="0.00_);[Red]\(0.00\)">
                  <c:v>35.532</c:v>
                </c:pt>
                <c:pt idx="1064" c:formatCode="0.00_);[Red]\(0.00\)">
                  <c:v>35.566</c:v>
                </c:pt>
                <c:pt idx="1065" c:formatCode="0.00_);[Red]\(0.00\)">
                  <c:v>35.599</c:v>
                </c:pt>
                <c:pt idx="1066" c:formatCode="0.00_);[Red]\(0.00\)">
                  <c:v>35.632</c:v>
                </c:pt>
                <c:pt idx="1067" c:formatCode="0.00_);[Red]\(0.00\)">
                  <c:v>35.666</c:v>
                </c:pt>
                <c:pt idx="1068" c:formatCode="0.00_);[Red]\(0.00\)">
                  <c:v>35.699</c:v>
                </c:pt>
                <c:pt idx="1069" c:formatCode="0.00_);[Red]\(0.00\)">
                  <c:v>35.733</c:v>
                </c:pt>
                <c:pt idx="1070" c:formatCode="0.00_);[Red]\(0.00\)">
                  <c:v>35.766</c:v>
                </c:pt>
                <c:pt idx="1071" c:formatCode="0.00_);[Red]\(0.00\)">
                  <c:v>35.8</c:v>
                </c:pt>
                <c:pt idx="1072" c:formatCode="0.00_);[Red]\(0.00\)">
                  <c:v>35.833</c:v>
                </c:pt>
                <c:pt idx="1073" c:formatCode="0.00_);[Red]\(0.00\)">
                  <c:v>35.866</c:v>
                </c:pt>
                <c:pt idx="1074" c:formatCode="0.00_);[Red]\(0.00\)">
                  <c:v>35.9</c:v>
                </c:pt>
                <c:pt idx="1075" c:formatCode="0.00_);[Red]\(0.00\)">
                  <c:v>35.933</c:v>
                </c:pt>
                <c:pt idx="1076" c:formatCode="0.00_);[Red]\(0.00\)">
                  <c:v>35.967</c:v>
                </c:pt>
              </c:numCache>
            </c:numRef>
          </c:cat>
          <c:val>
            <c:numRef>
              <c:f>A_09_16_04_B!$L$4:$L$1080</c:f>
              <c:numCache>
                <c:formatCode>General</c:formatCode>
                <c:ptCount val="1077"/>
                <c:pt idx="0">
                  <c:v>-0.300000000000022</c:v>
                </c:pt>
                <c:pt idx="1">
                  <c:v>-0.300000000000022</c:v>
                </c:pt>
                <c:pt idx="2">
                  <c:v>-0.300000000000022</c:v>
                </c:pt>
                <c:pt idx="3">
                  <c:v>-0.300000000000022</c:v>
                </c:pt>
                <c:pt idx="4">
                  <c:v>-0.300000000000022</c:v>
                </c:pt>
                <c:pt idx="5">
                  <c:v>-0.300000000000022</c:v>
                </c:pt>
                <c:pt idx="6">
                  <c:v>-0.300000000000022</c:v>
                </c:pt>
                <c:pt idx="7">
                  <c:v>-0.300000000000022</c:v>
                </c:pt>
                <c:pt idx="8">
                  <c:v>-0.300000000000022</c:v>
                </c:pt>
                <c:pt idx="9">
                  <c:v>-0.300000000000022</c:v>
                </c:pt>
                <c:pt idx="10">
                  <c:v>-0.300000000000022</c:v>
                </c:pt>
                <c:pt idx="11">
                  <c:v>-0.300000000000022</c:v>
                </c:pt>
                <c:pt idx="12">
                  <c:v>-0.300000000000022</c:v>
                </c:pt>
                <c:pt idx="13">
                  <c:v>-0.300000000000022</c:v>
                </c:pt>
                <c:pt idx="14">
                  <c:v>-0.300000000000022</c:v>
                </c:pt>
                <c:pt idx="15">
                  <c:v>-0.300000000000022</c:v>
                </c:pt>
                <c:pt idx="16">
                  <c:v>-0.300000000000022</c:v>
                </c:pt>
                <c:pt idx="17">
                  <c:v>-0.300000000000022</c:v>
                </c:pt>
                <c:pt idx="18">
                  <c:v>-0.300000000000022</c:v>
                </c:pt>
                <c:pt idx="19">
                  <c:v>-0.300000000000022</c:v>
                </c:pt>
                <c:pt idx="20">
                  <c:v>-0.300000000000022</c:v>
                </c:pt>
                <c:pt idx="21">
                  <c:v>-0.300000000000022</c:v>
                </c:pt>
                <c:pt idx="22">
                  <c:v>-0.300000000000022</c:v>
                </c:pt>
                <c:pt idx="23">
                  <c:v>-0.300000000000022</c:v>
                </c:pt>
                <c:pt idx="24">
                  <c:v>-0.300000000000022</c:v>
                </c:pt>
                <c:pt idx="25">
                  <c:v>-0.300000000000022</c:v>
                </c:pt>
                <c:pt idx="26">
                  <c:v>-0.300000000000022</c:v>
                </c:pt>
                <c:pt idx="27">
                  <c:v>-0.300000000000022</c:v>
                </c:pt>
                <c:pt idx="28">
                  <c:v>-0.300000000000022</c:v>
                </c:pt>
                <c:pt idx="29">
                  <c:v>-0.300000000000022</c:v>
                </c:pt>
                <c:pt idx="30">
                  <c:v>-0.300000000000022</c:v>
                </c:pt>
                <c:pt idx="31">
                  <c:v>-0.300000000000022</c:v>
                </c:pt>
                <c:pt idx="32">
                  <c:v>-0.300000000000022</c:v>
                </c:pt>
                <c:pt idx="33">
                  <c:v>-0.300000000000022</c:v>
                </c:pt>
                <c:pt idx="34">
                  <c:v>-0.300000000000022</c:v>
                </c:pt>
                <c:pt idx="35">
                  <c:v>-0.300000000000022</c:v>
                </c:pt>
                <c:pt idx="36">
                  <c:v>-0.300000000000022</c:v>
                </c:pt>
                <c:pt idx="37">
                  <c:v>-0.300000000000022</c:v>
                </c:pt>
                <c:pt idx="38">
                  <c:v>-0.300000000000022</c:v>
                </c:pt>
                <c:pt idx="39">
                  <c:v>-0.300000000000022</c:v>
                </c:pt>
                <c:pt idx="40">
                  <c:v>-0.300000000000022</c:v>
                </c:pt>
                <c:pt idx="41">
                  <c:v>-0.300000000000022</c:v>
                </c:pt>
                <c:pt idx="42">
                  <c:v>-0.300000000000022</c:v>
                </c:pt>
                <c:pt idx="43">
                  <c:v>-0.300000000000022</c:v>
                </c:pt>
                <c:pt idx="44">
                  <c:v>-0.300000000000022</c:v>
                </c:pt>
                <c:pt idx="45">
                  <c:v>-0.300000000000022</c:v>
                </c:pt>
                <c:pt idx="46">
                  <c:v>-0.300000000000022</c:v>
                </c:pt>
                <c:pt idx="47">
                  <c:v>-0.300000000000022</c:v>
                </c:pt>
                <c:pt idx="48">
                  <c:v>-0.300000000000022</c:v>
                </c:pt>
                <c:pt idx="49">
                  <c:v>-0.300000000000022</c:v>
                </c:pt>
                <c:pt idx="50">
                  <c:v>-0.300000000000022</c:v>
                </c:pt>
                <c:pt idx="51">
                  <c:v>-0.300000000000022</c:v>
                </c:pt>
                <c:pt idx="52">
                  <c:v>-0.300000000000022</c:v>
                </c:pt>
                <c:pt idx="53">
                  <c:v>-0.300000000000022</c:v>
                </c:pt>
                <c:pt idx="54">
                  <c:v>-0.300000000000022</c:v>
                </c:pt>
                <c:pt idx="55">
                  <c:v>-0.300000000000022</c:v>
                </c:pt>
                <c:pt idx="56">
                  <c:v>-0.300000000000022</c:v>
                </c:pt>
                <c:pt idx="57">
                  <c:v>-0.300000000000022</c:v>
                </c:pt>
                <c:pt idx="58">
                  <c:v>-0.300000000000022</c:v>
                </c:pt>
                <c:pt idx="59">
                  <c:v>-0.300000000000022</c:v>
                </c:pt>
                <c:pt idx="60">
                  <c:v>-0.300000000000022</c:v>
                </c:pt>
                <c:pt idx="61">
                  <c:v>-0.300000000000022</c:v>
                </c:pt>
                <c:pt idx="62">
                  <c:v>-0.300000000000022</c:v>
                </c:pt>
                <c:pt idx="63">
                  <c:v>-0.300000000000022</c:v>
                </c:pt>
                <c:pt idx="64">
                  <c:v>-0.300000000000022</c:v>
                </c:pt>
                <c:pt idx="65">
                  <c:v>-0.300000000000022</c:v>
                </c:pt>
                <c:pt idx="66">
                  <c:v>-0.300000000000022</c:v>
                </c:pt>
                <c:pt idx="67">
                  <c:v>-0.300000000000022</c:v>
                </c:pt>
                <c:pt idx="68">
                  <c:v>-0.300000000000022</c:v>
                </c:pt>
                <c:pt idx="69">
                  <c:v>-0.300000000000022</c:v>
                </c:pt>
                <c:pt idx="70">
                  <c:v>-0.300000000000022</c:v>
                </c:pt>
                <c:pt idx="71">
                  <c:v>-0.300000000000022</c:v>
                </c:pt>
                <c:pt idx="72">
                  <c:v>-0.300000000000022</c:v>
                </c:pt>
                <c:pt idx="73">
                  <c:v>-0.300000000000022</c:v>
                </c:pt>
                <c:pt idx="74">
                  <c:v>-0.300000000000022</c:v>
                </c:pt>
                <c:pt idx="75">
                  <c:v>-0.300000000000022</c:v>
                </c:pt>
                <c:pt idx="76">
                  <c:v>-0.300000000000022</c:v>
                </c:pt>
                <c:pt idx="77">
                  <c:v>-0.300000000000022</c:v>
                </c:pt>
                <c:pt idx="78">
                  <c:v>-0.300000000000022</c:v>
                </c:pt>
                <c:pt idx="79">
                  <c:v>-0.300000000000022</c:v>
                </c:pt>
                <c:pt idx="80">
                  <c:v>-0.300000000000022</c:v>
                </c:pt>
                <c:pt idx="81">
                  <c:v>-0.300000000000022</c:v>
                </c:pt>
                <c:pt idx="82">
                  <c:v>-0.300000000000022</c:v>
                </c:pt>
                <c:pt idx="83">
                  <c:v>-0.300000000000022</c:v>
                </c:pt>
                <c:pt idx="84">
                  <c:v>-0.300000000000022</c:v>
                </c:pt>
                <c:pt idx="85">
                  <c:v>-0.300000000000022</c:v>
                </c:pt>
                <c:pt idx="86">
                  <c:v>-0.300000000000022</c:v>
                </c:pt>
                <c:pt idx="87">
                  <c:v>-0.300000000000022</c:v>
                </c:pt>
                <c:pt idx="88">
                  <c:v>-0.300000000000022</c:v>
                </c:pt>
                <c:pt idx="89">
                  <c:v>-0.300000000000022</c:v>
                </c:pt>
                <c:pt idx="90">
                  <c:v>-0.300000000000022</c:v>
                </c:pt>
                <c:pt idx="91">
                  <c:v>-0.300000000000022</c:v>
                </c:pt>
                <c:pt idx="92">
                  <c:v>-0.300000000000022</c:v>
                </c:pt>
                <c:pt idx="93">
                  <c:v>-0.300000000000022</c:v>
                </c:pt>
                <c:pt idx="94">
                  <c:v>-0.300000000000022</c:v>
                </c:pt>
                <c:pt idx="95">
                  <c:v>-0.300000000000022</c:v>
                </c:pt>
                <c:pt idx="96">
                  <c:v>-0.300000000000022</c:v>
                </c:pt>
                <c:pt idx="97">
                  <c:v>-0.300000000000022</c:v>
                </c:pt>
                <c:pt idx="98">
                  <c:v>-0.300000000000022</c:v>
                </c:pt>
                <c:pt idx="99">
                  <c:v>-0.300000000000022</c:v>
                </c:pt>
                <c:pt idx="100">
                  <c:v>-0.300000000000022</c:v>
                </c:pt>
                <c:pt idx="101">
                  <c:v>-0.300000000000022</c:v>
                </c:pt>
                <c:pt idx="102">
                  <c:v>-0.300000000000022</c:v>
                </c:pt>
                <c:pt idx="103">
                  <c:v>-0.300000000000022</c:v>
                </c:pt>
                <c:pt idx="104">
                  <c:v>-0.300000000000022</c:v>
                </c:pt>
                <c:pt idx="105">
                  <c:v>-0.300000000000022</c:v>
                </c:pt>
                <c:pt idx="106">
                  <c:v>-0.300000000000022</c:v>
                </c:pt>
                <c:pt idx="107">
                  <c:v>-0.300000000000022</c:v>
                </c:pt>
                <c:pt idx="108">
                  <c:v>-0.300000000000022</c:v>
                </c:pt>
                <c:pt idx="109">
                  <c:v>-0.300000000000022</c:v>
                </c:pt>
                <c:pt idx="110">
                  <c:v>-0.300000000000022</c:v>
                </c:pt>
                <c:pt idx="111">
                  <c:v>28.4</c:v>
                </c:pt>
                <c:pt idx="112">
                  <c:v>28.4</c:v>
                </c:pt>
                <c:pt idx="113">
                  <c:v>28.4</c:v>
                </c:pt>
                <c:pt idx="114">
                  <c:v>28.4</c:v>
                </c:pt>
                <c:pt idx="115">
                  <c:v>28.4</c:v>
                </c:pt>
                <c:pt idx="116">
                  <c:v>28.4</c:v>
                </c:pt>
                <c:pt idx="117">
                  <c:v>28.4</c:v>
                </c:pt>
                <c:pt idx="118">
                  <c:v>28.4</c:v>
                </c:pt>
                <c:pt idx="119">
                  <c:v>28.4</c:v>
                </c:pt>
                <c:pt idx="120">
                  <c:v>28.4</c:v>
                </c:pt>
                <c:pt idx="121">
                  <c:v>28.4</c:v>
                </c:pt>
                <c:pt idx="122">
                  <c:v>28.4</c:v>
                </c:pt>
                <c:pt idx="123">
                  <c:v>28.4</c:v>
                </c:pt>
                <c:pt idx="124">
                  <c:v>28.4</c:v>
                </c:pt>
                <c:pt idx="125">
                  <c:v>28.4</c:v>
                </c:pt>
                <c:pt idx="126">
                  <c:v>28.4</c:v>
                </c:pt>
                <c:pt idx="127">
                  <c:v>28.4</c:v>
                </c:pt>
                <c:pt idx="128">
                  <c:v>28.4</c:v>
                </c:pt>
                <c:pt idx="129">
                  <c:v>28.4</c:v>
                </c:pt>
                <c:pt idx="130">
                  <c:v>28.4</c:v>
                </c:pt>
                <c:pt idx="131">
                  <c:v>28.4</c:v>
                </c:pt>
                <c:pt idx="132">
                  <c:v>28.4</c:v>
                </c:pt>
                <c:pt idx="133">
                  <c:v>28.4</c:v>
                </c:pt>
                <c:pt idx="134">
                  <c:v>28.4</c:v>
                </c:pt>
                <c:pt idx="135">
                  <c:v>28.4</c:v>
                </c:pt>
                <c:pt idx="136">
                  <c:v>28.4</c:v>
                </c:pt>
                <c:pt idx="137">
                  <c:v>-0.300000000000022</c:v>
                </c:pt>
                <c:pt idx="138">
                  <c:v>-0.300000000000022</c:v>
                </c:pt>
                <c:pt idx="139">
                  <c:v>-0.300000000000022</c:v>
                </c:pt>
                <c:pt idx="140">
                  <c:v>-0.300000000000022</c:v>
                </c:pt>
                <c:pt idx="141">
                  <c:v>-0.300000000000022</c:v>
                </c:pt>
                <c:pt idx="142">
                  <c:v>-0.300000000000022</c:v>
                </c:pt>
                <c:pt idx="143">
                  <c:v>-0.300000000000022</c:v>
                </c:pt>
                <c:pt idx="144">
                  <c:v>-0.300000000000022</c:v>
                </c:pt>
                <c:pt idx="145">
                  <c:v>-0.300000000000022</c:v>
                </c:pt>
                <c:pt idx="146">
                  <c:v>-0.300000000000022</c:v>
                </c:pt>
                <c:pt idx="147">
                  <c:v>-0.300000000000022</c:v>
                </c:pt>
                <c:pt idx="148">
                  <c:v>-0.300000000000022</c:v>
                </c:pt>
                <c:pt idx="149">
                  <c:v>-0.300000000000022</c:v>
                </c:pt>
                <c:pt idx="150">
                  <c:v>-0.300000000000022</c:v>
                </c:pt>
                <c:pt idx="151">
                  <c:v>-0.300000000000022</c:v>
                </c:pt>
                <c:pt idx="152">
                  <c:v>-0.300000000000022</c:v>
                </c:pt>
                <c:pt idx="153">
                  <c:v>-0.300000000000022</c:v>
                </c:pt>
                <c:pt idx="154">
                  <c:v>-0.300000000000022</c:v>
                </c:pt>
                <c:pt idx="155">
                  <c:v>-0.300000000000022</c:v>
                </c:pt>
                <c:pt idx="156">
                  <c:v>-0.300000000000022</c:v>
                </c:pt>
                <c:pt idx="157">
                  <c:v>-0.300000000000022</c:v>
                </c:pt>
                <c:pt idx="158">
                  <c:v>-0.300000000000022</c:v>
                </c:pt>
                <c:pt idx="159">
                  <c:v>-0.300000000000022</c:v>
                </c:pt>
                <c:pt idx="160">
                  <c:v>-0.300000000000022</c:v>
                </c:pt>
                <c:pt idx="161">
                  <c:v>28.4</c:v>
                </c:pt>
                <c:pt idx="162">
                  <c:v>28.4</c:v>
                </c:pt>
                <c:pt idx="163">
                  <c:v>28.4</c:v>
                </c:pt>
                <c:pt idx="164">
                  <c:v>28.4</c:v>
                </c:pt>
                <c:pt idx="165">
                  <c:v>28.4</c:v>
                </c:pt>
                <c:pt idx="166">
                  <c:v>28.4</c:v>
                </c:pt>
                <c:pt idx="167">
                  <c:v>28.4</c:v>
                </c:pt>
                <c:pt idx="168">
                  <c:v>28.4</c:v>
                </c:pt>
                <c:pt idx="169">
                  <c:v>28.4</c:v>
                </c:pt>
                <c:pt idx="170">
                  <c:v>28.4</c:v>
                </c:pt>
                <c:pt idx="171">
                  <c:v>28.4</c:v>
                </c:pt>
                <c:pt idx="172">
                  <c:v>28.4</c:v>
                </c:pt>
                <c:pt idx="173">
                  <c:v>28.4</c:v>
                </c:pt>
                <c:pt idx="174">
                  <c:v>28.4</c:v>
                </c:pt>
                <c:pt idx="175">
                  <c:v>28.4</c:v>
                </c:pt>
                <c:pt idx="176">
                  <c:v>28.4</c:v>
                </c:pt>
                <c:pt idx="177">
                  <c:v>28.4</c:v>
                </c:pt>
                <c:pt idx="178">
                  <c:v>28.4</c:v>
                </c:pt>
                <c:pt idx="179">
                  <c:v>28.4</c:v>
                </c:pt>
                <c:pt idx="180">
                  <c:v>28.4</c:v>
                </c:pt>
                <c:pt idx="181">
                  <c:v>28.4</c:v>
                </c:pt>
                <c:pt idx="182">
                  <c:v>28.4</c:v>
                </c:pt>
                <c:pt idx="183">
                  <c:v>28.4</c:v>
                </c:pt>
                <c:pt idx="184">
                  <c:v>28.4</c:v>
                </c:pt>
                <c:pt idx="185">
                  <c:v>28.4</c:v>
                </c:pt>
                <c:pt idx="186">
                  <c:v>-0.300000000000022</c:v>
                </c:pt>
                <c:pt idx="187">
                  <c:v>-0.300000000000022</c:v>
                </c:pt>
                <c:pt idx="188">
                  <c:v>-0.300000000000022</c:v>
                </c:pt>
                <c:pt idx="189">
                  <c:v>-0.300000000000022</c:v>
                </c:pt>
                <c:pt idx="190">
                  <c:v>-0.300000000000022</c:v>
                </c:pt>
                <c:pt idx="191">
                  <c:v>-0.300000000000022</c:v>
                </c:pt>
                <c:pt idx="192">
                  <c:v>-0.300000000000022</c:v>
                </c:pt>
                <c:pt idx="193">
                  <c:v>-0.300000000000022</c:v>
                </c:pt>
                <c:pt idx="194">
                  <c:v>-0.300000000000022</c:v>
                </c:pt>
                <c:pt idx="195">
                  <c:v>-0.300000000000022</c:v>
                </c:pt>
                <c:pt idx="196">
                  <c:v>-0.300000000000022</c:v>
                </c:pt>
                <c:pt idx="197">
                  <c:v>-0.300000000000022</c:v>
                </c:pt>
                <c:pt idx="198">
                  <c:v>-0.300000000000022</c:v>
                </c:pt>
                <c:pt idx="199">
                  <c:v>-0.300000000000022</c:v>
                </c:pt>
                <c:pt idx="200">
                  <c:v>-0.300000000000022</c:v>
                </c:pt>
                <c:pt idx="201">
                  <c:v>-0.300000000000022</c:v>
                </c:pt>
                <c:pt idx="202">
                  <c:v>-0.300000000000022</c:v>
                </c:pt>
                <c:pt idx="203">
                  <c:v>-0.300000000000022</c:v>
                </c:pt>
                <c:pt idx="204">
                  <c:v>-0.300000000000022</c:v>
                </c:pt>
                <c:pt idx="205">
                  <c:v>-0.300000000000022</c:v>
                </c:pt>
                <c:pt idx="206">
                  <c:v>-0.300000000000022</c:v>
                </c:pt>
                <c:pt idx="207">
                  <c:v>-0.300000000000022</c:v>
                </c:pt>
                <c:pt idx="208">
                  <c:v>-0.300000000000022</c:v>
                </c:pt>
                <c:pt idx="209">
                  <c:v>-0.300000000000022</c:v>
                </c:pt>
                <c:pt idx="210">
                  <c:v>28.4</c:v>
                </c:pt>
                <c:pt idx="211">
                  <c:v>28.4</c:v>
                </c:pt>
                <c:pt idx="212">
                  <c:v>28.4</c:v>
                </c:pt>
                <c:pt idx="213">
                  <c:v>28.4</c:v>
                </c:pt>
                <c:pt idx="214">
                  <c:v>28.4</c:v>
                </c:pt>
                <c:pt idx="215">
                  <c:v>28.4</c:v>
                </c:pt>
                <c:pt idx="216">
                  <c:v>28.4</c:v>
                </c:pt>
                <c:pt idx="217">
                  <c:v>28.4</c:v>
                </c:pt>
                <c:pt idx="218">
                  <c:v>28.4</c:v>
                </c:pt>
                <c:pt idx="219">
                  <c:v>28.4</c:v>
                </c:pt>
                <c:pt idx="220">
                  <c:v>28.4</c:v>
                </c:pt>
                <c:pt idx="221">
                  <c:v>28.4</c:v>
                </c:pt>
                <c:pt idx="222">
                  <c:v>28.4</c:v>
                </c:pt>
                <c:pt idx="223">
                  <c:v>28.4</c:v>
                </c:pt>
                <c:pt idx="224">
                  <c:v>28.4</c:v>
                </c:pt>
                <c:pt idx="225">
                  <c:v>28.4</c:v>
                </c:pt>
                <c:pt idx="226">
                  <c:v>28.4</c:v>
                </c:pt>
                <c:pt idx="227">
                  <c:v>28.4</c:v>
                </c:pt>
                <c:pt idx="228">
                  <c:v>28.4</c:v>
                </c:pt>
                <c:pt idx="229">
                  <c:v>28.4</c:v>
                </c:pt>
                <c:pt idx="230">
                  <c:v>28.4</c:v>
                </c:pt>
                <c:pt idx="231">
                  <c:v>28.4</c:v>
                </c:pt>
                <c:pt idx="232">
                  <c:v>28.4</c:v>
                </c:pt>
                <c:pt idx="233">
                  <c:v>28.4</c:v>
                </c:pt>
                <c:pt idx="234">
                  <c:v>28.4</c:v>
                </c:pt>
                <c:pt idx="235">
                  <c:v>28.4</c:v>
                </c:pt>
                <c:pt idx="236">
                  <c:v>-0.300000000000022</c:v>
                </c:pt>
                <c:pt idx="237">
                  <c:v>-0.300000000000022</c:v>
                </c:pt>
                <c:pt idx="238">
                  <c:v>-0.300000000000022</c:v>
                </c:pt>
                <c:pt idx="239">
                  <c:v>-0.300000000000022</c:v>
                </c:pt>
                <c:pt idx="240">
                  <c:v>-0.300000000000022</c:v>
                </c:pt>
                <c:pt idx="241">
                  <c:v>-0.300000000000022</c:v>
                </c:pt>
                <c:pt idx="242">
                  <c:v>-0.300000000000022</c:v>
                </c:pt>
                <c:pt idx="243">
                  <c:v>-0.300000000000022</c:v>
                </c:pt>
                <c:pt idx="244">
                  <c:v>-0.300000000000022</c:v>
                </c:pt>
                <c:pt idx="245">
                  <c:v>-0.300000000000022</c:v>
                </c:pt>
                <c:pt idx="246">
                  <c:v>-0.300000000000022</c:v>
                </c:pt>
                <c:pt idx="247">
                  <c:v>-0.300000000000022</c:v>
                </c:pt>
                <c:pt idx="248">
                  <c:v>-0.300000000000022</c:v>
                </c:pt>
                <c:pt idx="249">
                  <c:v>-0.300000000000022</c:v>
                </c:pt>
                <c:pt idx="250">
                  <c:v>-0.300000000000022</c:v>
                </c:pt>
                <c:pt idx="251">
                  <c:v>-0.300000000000022</c:v>
                </c:pt>
                <c:pt idx="252">
                  <c:v>-0.300000000000022</c:v>
                </c:pt>
                <c:pt idx="253">
                  <c:v>-0.300000000000022</c:v>
                </c:pt>
                <c:pt idx="254">
                  <c:v>-0.300000000000022</c:v>
                </c:pt>
                <c:pt idx="255">
                  <c:v>-0.300000000000022</c:v>
                </c:pt>
                <c:pt idx="256">
                  <c:v>-0.300000000000022</c:v>
                </c:pt>
                <c:pt idx="257">
                  <c:v>-0.300000000000022</c:v>
                </c:pt>
                <c:pt idx="258">
                  <c:v>-0.300000000000022</c:v>
                </c:pt>
                <c:pt idx="259">
                  <c:v>-0.300000000000022</c:v>
                </c:pt>
                <c:pt idx="260">
                  <c:v>28.4</c:v>
                </c:pt>
                <c:pt idx="261">
                  <c:v>28.4</c:v>
                </c:pt>
                <c:pt idx="262">
                  <c:v>28.4</c:v>
                </c:pt>
                <c:pt idx="263">
                  <c:v>28.4</c:v>
                </c:pt>
                <c:pt idx="264">
                  <c:v>28.4</c:v>
                </c:pt>
                <c:pt idx="265">
                  <c:v>28.4</c:v>
                </c:pt>
                <c:pt idx="266">
                  <c:v>28.4</c:v>
                </c:pt>
                <c:pt idx="267">
                  <c:v>28.4</c:v>
                </c:pt>
                <c:pt idx="268">
                  <c:v>28.4</c:v>
                </c:pt>
                <c:pt idx="269">
                  <c:v>28.4</c:v>
                </c:pt>
                <c:pt idx="270">
                  <c:v>28.4</c:v>
                </c:pt>
                <c:pt idx="271">
                  <c:v>28.4</c:v>
                </c:pt>
                <c:pt idx="272">
                  <c:v>28.4</c:v>
                </c:pt>
                <c:pt idx="273">
                  <c:v>28.4</c:v>
                </c:pt>
                <c:pt idx="274">
                  <c:v>28.4</c:v>
                </c:pt>
                <c:pt idx="275">
                  <c:v>28.4</c:v>
                </c:pt>
                <c:pt idx="276">
                  <c:v>28.4</c:v>
                </c:pt>
                <c:pt idx="277">
                  <c:v>28.4</c:v>
                </c:pt>
                <c:pt idx="278">
                  <c:v>28.4</c:v>
                </c:pt>
                <c:pt idx="279">
                  <c:v>28.4</c:v>
                </c:pt>
                <c:pt idx="280">
                  <c:v>28.4</c:v>
                </c:pt>
                <c:pt idx="281">
                  <c:v>28.4</c:v>
                </c:pt>
                <c:pt idx="282">
                  <c:v>28.4</c:v>
                </c:pt>
                <c:pt idx="283">
                  <c:v>28.4</c:v>
                </c:pt>
                <c:pt idx="284">
                  <c:v>28.4</c:v>
                </c:pt>
                <c:pt idx="285">
                  <c:v>28.4</c:v>
                </c:pt>
                <c:pt idx="286">
                  <c:v>-0.300000000000022</c:v>
                </c:pt>
                <c:pt idx="287">
                  <c:v>-0.300000000000022</c:v>
                </c:pt>
                <c:pt idx="288">
                  <c:v>-0.300000000000022</c:v>
                </c:pt>
                <c:pt idx="289">
                  <c:v>-0.300000000000022</c:v>
                </c:pt>
                <c:pt idx="290">
                  <c:v>-0.300000000000022</c:v>
                </c:pt>
                <c:pt idx="291">
                  <c:v>-0.300000000000022</c:v>
                </c:pt>
                <c:pt idx="292">
                  <c:v>-0.300000000000022</c:v>
                </c:pt>
                <c:pt idx="293">
                  <c:v>-0.300000000000022</c:v>
                </c:pt>
                <c:pt idx="294">
                  <c:v>-0.300000000000022</c:v>
                </c:pt>
                <c:pt idx="295">
                  <c:v>-0.300000000000022</c:v>
                </c:pt>
                <c:pt idx="296">
                  <c:v>-0.300000000000022</c:v>
                </c:pt>
                <c:pt idx="297">
                  <c:v>-0.300000000000022</c:v>
                </c:pt>
                <c:pt idx="298">
                  <c:v>-0.300000000000022</c:v>
                </c:pt>
                <c:pt idx="299">
                  <c:v>-0.300000000000022</c:v>
                </c:pt>
                <c:pt idx="300">
                  <c:v>-0.300000000000022</c:v>
                </c:pt>
                <c:pt idx="301">
                  <c:v>-0.300000000000022</c:v>
                </c:pt>
                <c:pt idx="302">
                  <c:v>-0.300000000000022</c:v>
                </c:pt>
                <c:pt idx="303">
                  <c:v>-0.300000000000022</c:v>
                </c:pt>
                <c:pt idx="304">
                  <c:v>-0.300000000000022</c:v>
                </c:pt>
                <c:pt idx="305">
                  <c:v>-0.300000000000022</c:v>
                </c:pt>
                <c:pt idx="306">
                  <c:v>-0.300000000000022</c:v>
                </c:pt>
                <c:pt idx="307">
                  <c:v>-0.300000000000022</c:v>
                </c:pt>
                <c:pt idx="308">
                  <c:v>-0.300000000000022</c:v>
                </c:pt>
                <c:pt idx="309">
                  <c:v>-0.300000000000022</c:v>
                </c:pt>
                <c:pt idx="310">
                  <c:v>28.4</c:v>
                </c:pt>
                <c:pt idx="311">
                  <c:v>28.4</c:v>
                </c:pt>
                <c:pt idx="312">
                  <c:v>28.4</c:v>
                </c:pt>
                <c:pt idx="313">
                  <c:v>28.4</c:v>
                </c:pt>
                <c:pt idx="314">
                  <c:v>28.4</c:v>
                </c:pt>
                <c:pt idx="315">
                  <c:v>28.4</c:v>
                </c:pt>
                <c:pt idx="316">
                  <c:v>28.4</c:v>
                </c:pt>
                <c:pt idx="317">
                  <c:v>28.4</c:v>
                </c:pt>
                <c:pt idx="318">
                  <c:v>28.4</c:v>
                </c:pt>
                <c:pt idx="319">
                  <c:v>28.4</c:v>
                </c:pt>
                <c:pt idx="320">
                  <c:v>28.4</c:v>
                </c:pt>
                <c:pt idx="321">
                  <c:v>28.4</c:v>
                </c:pt>
                <c:pt idx="322">
                  <c:v>28.4</c:v>
                </c:pt>
                <c:pt idx="323">
                  <c:v>28.4</c:v>
                </c:pt>
                <c:pt idx="324">
                  <c:v>28.4</c:v>
                </c:pt>
                <c:pt idx="325">
                  <c:v>28.4</c:v>
                </c:pt>
                <c:pt idx="326">
                  <c:v>28.4</c:v>
                </c:pt>
                <c:pt idx="327">
                  <c:v>28.4</c:v>
                </c:pt>
                <c:pt idx="328">
                  <c:v>28.4</c:v>
                </c:pt>
                <c:pt idx="329">
                  <c:v>28.4</c:v>
                </c:pt>
                <c:pt idx="330">
                  <c:v>28.4</c:v>
                </c:pt>
                <c:pt idx="331">
                  <c:v>28.4</c:v>
                </c:pt>
                <c:pt idx="332">
                  <c:v>28.4</c:v>
                </c:pt>
                <c:pt idx="333">
                  <c:v>28.4</c:v>
                </c:pt>
                <c:pt idx="334">
                  <c:v>28.4</c:v>
                </c:pt>
                <c:pt idx="335">
                  <c:v>-0.300000000000022</c:v>
                </c:pt>
                <c:pt idx="336">
                  <c:v>-0.300000000000022</c:v>
                </c:pt>
                <c:pt idx="337">
                  <c:v>-0.300000000000022</c:v>
                </c:pt>
                <c:pt idx="338">
                  <c:v>-0.300000000000022</c:v>
                </c:pt>
                <c:pt idx="339">
                  <c:v>-0.300000000000022</c:v>
                </c:pt>
                <c:pt idx="340">
                  <c:v>-0.300000000000022</c:v>
                </c:pt>
                <c:pt idx="341">
                  <c:v>-0.300000000000022</c:v>
                </c:pt>
                <c:pt idx="342">
                  <c:v>-0.300000000000022</c:v>
                </c:pt>
                <c:pt idx="343">
                  <c:v>-0.300000000000022</c:v>
                </c:pt>
                <c:pt idx="344">
                  <c:v>-0.300000000000022</c:v>
                </c:pt>
                <c:pt idx="345">
                  <c:v>-0.300000000000022</c:v>
                </c:pt>
                <c:pt idx="346">
                  <c:v>-0.300000000000022</c:v>
                </c:pt>
                <c:pt idx="347">
                  <c:v>-0.300000000000022</c:v>
                </c:pt>
                <c:pt idx="348">
                  <c:v>-0.300000000000022</c:v>
                </c:pt>
                <c:pt idx="349">
                  <c:v>-0.300000000000022</c:v>
                </c:pt>
                <c:pt idx="350">
                  <c:v>-0.300000000000022</c:v>
                </c:pt>
                <c:pt idx="351">
                  <c:v>-0.300000000000022</c:v>
                </c:pt>
                <c:pt idx="352">
                  <c:v>-0.300000000000022</c:v>
                </c:pt>
                <c:pt idx="353">
                  <c:v>-0.300000000000022</c:v>
                </c:pt>
                <c:pt idx="354">
                  <c:v>-0.300000000000022</c:v>
                </c:pt>
                <c:pt idx="355">
                  <c:v>-0.300000000000022</c:v>
                </c:pt>
                <c:pt idx="356">
                  <c:v>-0.300000000000022</c:v>
                </c:pt>
                <c:pt idx="357">
                  <c:v>-0.300000000000022</c:v>
                </c:pt>
                <c:pt idx="358">
                  <c:v>-0.300000000000022</c:v>
                </c:pt>
                <c:pt idx="359">
                  <c:v>28.4</c:v>
                </c:pt>
                <c:pt idx="360">
                  <c:v>28.4</c:v>
                </c:pt>
                <c:pt idx="361">
                  <c:v>28.4</c:v>
                </c:pt>
                <c:pt idx="362">
                  <c:v>28.4</c:v>
                </c:pt>
                <c:pt idx="363">
                  <c:v>28.4</c:v>
                </c:pt>
                <c:pt idx="364">
                  <c:v>28.4</c:v>
                </c:pt>
                <c:pt idx="365">
                  <c:v>28.4</c:v>
                </c:pt>
                <c:pt idx="366">
                  <c:v>28.4</c:v>
                </c:pt>
                <c:pt idx="367">
                  <c:v>28.4</c:v>
                </c:pt>
                <c:pt idx="368">
                  <c:v>28.4</c:v>
                </c:pt>
                <c:pt idx="369">
                  <c:v>28.4</c:v>
                </c:pt>
                <c:pt idx="370">
                  <c:v>28.4</c:v>
                </c:pt>
                <c:pt idx="371">
                  <c:v>28.4</c:v>
                </c:pt>
                <c:pt idx="372">
                  <c:v>28.4</c:v>
                </c:pt>
                <c:pt idx="373">
                  <c:v>28.4</c:v>
                </c:pt>
                <c:pt idx="374">
                  <c:v>28.4</c:v>
                </c:pt>
                <c:pt idx="375">
                  <c:v>28.4</c:v>
                </c:pt>
                <c:pt idx="376">
                  <c:v>28.4</c:v>
                </c:pt>
                <c:pt idx="377">
                  <c:v>28.4</c:v>
                </c:pt>
                <c:pt idx="378">
                  <c:v>28.4</c:v>
                </c:pt>
                <c:pt idx="379">
                  <c:v>28.4</c:v>
                </c:pt>
                <c:pt idx="380">
                  <c:v>28.4</c:v>
                </c:pt>
                <c:pt idx="381">
                  <c:v>28.4</c:v>
                </c:pt>
                <c:pt idx="382">
                  <c:v>28.4</c:v>
                </c:pt>
                <c:pt idx="383">
                  <c:v>28.4</c:v>
                </c:pt>
                <c:pt idx="384">
                  <c:v>28.4</c:v>
                </c:pt>
                <c:pt idx="385">
                  <c:v>-0.300000000000022</c:v>
                </c:pt>
                <c:pt idx="386">
                  <c:v>-0.300000000000022</c:v>
                </c:pt>
                <c:pt idx="387">
                  <c:v>-0.300000000000022</c:v>
                </c:pt>
                <c:pt idx="388">
                  <c:v>-0.300000000000022</c:v>
                </c:pt>
                <c:pt idx="389">
                  <c:v>-0.300000000000022</c:v>
                </c:pt>
                <c:pt idx="390">
                  <c:v>-0.300000000000022</c:v>
                </c:pt>
                <c:pt idx="391">
                  <c:v>-0.300000000000022</c:v>
                </c:pt>
                <c:pt idx="392">
                  <c:v>-0.300000000000022</c:v>
                </c:pt>
                <c:pt idx="393">
                  <c:v>-0.300000000000022</c:v>
                </c:pt>
                <c:pt idx="394">
                  <c:v>-0.300000000000022</c:v>
                </c:pt>
                <c:pt idx="395">
                  <c:v>-0.300000000000022</c:v>
                </c:pt>
                <c:pt idx="396">
                  <c:v>-0.300000000000022</c:v>
                </c:pt>
                <c:pt idx="397">
                  <c:v>-0.300000000000022</c:v>
                </c:pt>
                <c:pt idx="398">
                  <c:v>-0.300000000000022</c:v>
                </c:pt>
                <c:pt idx="399">
                  <c:v>-0.300000000000022</c:v>
                </c:pt>
                <c:pt idx="400">
                  <c:v>-0.300000000000022</c:v>
                </c:pt>
                <c:pt idx="401">
                  <c:v>-0.300000000000022</c:v>
                </c:pt>
                <c:pt idx="402">
                  <c:v>-0.300000000000022</c:v>
                </c:pt>
                <c:pt idx="403">
                  <c:v>-0.300000000000022</c:v>
                </c:pt>
                <c:pt idx="404">
                  <c:v>-0.300000000000022</c:v>
                </c:pt>
                <c:pt idx="405">
                  <c:v>-0.300000000000022</c:v>
                </c:pt>
                <c:pt idx="406">
                  <c:v>-0.300000000000022</c:v>
                </c:pt>
                <c:pt idx="407">
                  <c:v>-0.300000000000022</c:v>
                </c:pt>
                <c:pt idx="408">
                  <c:v>-0.300000000000022</c:v>
                </c:pt>
                <c:pt idx="409">
                  <c:v>28.4</c:v>
                </c:pt>
                <c:pt idx="410">
                  <c:v>28.4</c:v>
                </c:pt>
                <c:pt idx="411">
                  <c:v>28.4</c:v>
                </c:pt>
                <c:pt idx="412">
                  <c:v>28.4</c:v>
                </c:pt>
                <c:pt idx="413">
                  <c:v>28.4</c:v>
                </c:pt>
                <c:pt idx="414">
                  <c:v>28.4</c:v>
                </c:pt>
                <c:pt idx="415">
                  <c:v>28.4</c:v>
                </c:pt>
                <c:pt idx="416">
                  <c:v>28.4</c:v>
                </c:pt>
                <c:pt idx="417">
                  <c:v>28.4</c:v>
                </c:pt>
                <c:pt idx="418">
                  <c:v>28.4</c:v>
                </c:pt>
                <c:pt idx="419">
                  <c:v>28.4</c:v>
                </c:pt>
                <c:pt idx="420">
                  <c:v>28.4</c:v>
                </c:pt>
                <c:pt idx="421">
                  <c:v>28.4</c:v>
                </c:pt>
                <c:pt idx="422">
                  <c:v>28.4</c:v>
                </c:pt>
                <c:pt idx="423">
                  <c:v>28.4</c:v>
                </c:pt>
                <c:pt idx="424">
                  <c:v>28.4</c:v>
                </c:pt>
                <c:pt idx="425">
                  <c:v>28.4</c:v>
                </c:pt>
                <c:pt idx="426">
                  <c:v>28.4</c:v>
                </c:pt>
                <c:pt idx="427">
                  <c:v>28.4</c:v>
                </c:pt>
                <c:pt idx="428">
                  <c:v>28.4</c:v>
                </c:pt>
                <c:pt idx="429">
                  <c:v>28.4</c:v>
                </c:pt>
                <c:pt idx="430">
                  <c:v>28.4</c:v>
                </c:pt>
                <c:pt idx="431">
                  <c:v>28.4</c:v>
                </c:pt>
                <c:pt idx="432">
                  <c:v>28.4</c:v>
                </c:pt>
                <c:pt idx="433">
                  <c:v>28.4</c:v>
                </c:pt>
                <c:pt idx="434">
                  <c:v>-0.300000000000022</c:v>
                </c:pt>
                <c:pt idx="435">
                  <c:v>-0.300000000000022</c:v>
                </c:pt>
                <c:pt idx="436">
                  <c:v>-0.300000000000022</c:v>
                </c:pt>
                <c:pt idx="437">
                  <c:v>-0.300000000000022</c:v>
                </c:pt>
                <c:pt idx="438">
                  <c:v>-0.300000000000022</c:v>
                </c:pt>
                <c:pt idx="439">
                  <c:v>-0.300000000000022</c:v>
                </c:pt>
                <c:pt idx="440">
                  <c:v>-0.300000000000022</c:v>
                </c:pt>
                <c:pt idx="441">
                  <c:v>-0.300000000000022</c:v>
                </c:pt>
                <c:pt idx="442">
                  <c:v>-0.300000000000022</c:v>
                </c:pt>
                <c:pt idx="443">
                  <c:v>-0.300000000000022</c:v>
                </c:pt>
                <c:pt idx="444">
                  <c:v>-0.300000000000022</c:v>
                </c:pt>
                <c:pt idx="445">
                  <c:v>-0.300000000000022</c:v>
                </c:pt>
                <c:pt idx="446">
                  <c:v>-0.300000000000022</c:v>
                </c:pt>
                <c:pt idx="447">
                  <c:v>-0.300000000000022</c:v>
                </c:pt>
                <c:pt idx="448">
                  <c:v>-0.300000000000022</c:v>
                </c:pt>
                <c:pt idx="449">
                  <c:v>-0.300000000000022</c:v>
                </c:pt>
                <c:pt idx="450">
                  <c:v>-0.300000000000022</c:v>
                </c:pt>
                <c:pt idx="451">
                  <c:v>-0.300000000000022</c:v>
                </c:pt>
                <c:pt idx="452">
                  <c:v>-0.300000000000022</c:v>
                </c:pt>
                <c:pt idx="453">
                  <c:v>-0.300000000000022</c:v>
                </c:pt>
                <c:pt idx="454">
                  <c:v>-0.300000000000022</c:v>
                </c:pt>
                <c:pt idx="455">
                  <c:v>-0.300000000000022</c:v>
                </c:pt>
                <c:pt idx="456">
                  <c:v>-0.300000000000022</c:v>
                </c:pt>
                <c:pt idx="457">
                  <c:v>-0.300000000000022</c:v>
                </c:pt>
                <c:pt idx="458">
                  <c:v>-0.300000000000022</c:v>
                </c:pt>
                <c:pt idx="459">
                  <c:v>28.4</c:v>
                </c:pt>
                <c:pt idx="460">
                  <c:v>28.4</c:v>
                </c:pt>
                <c:pt idx="461">
                  <c:v>28.4</c:v>
                </c:pt>
                <c:pt idx="462">
                  <c:v>28.4</c:v>
                </c:pt>
                <c:pt idx="463">
                  <c:v>28.4</c:v>
                </c:pt>
                <c:pt idx="464">
                  <c:v>28.4</c:v>
                </c:pt>
                <c:pt idx="465">
                  <c:v>28.4</c:v>
                </c:pt>
                <c:pt idx="466">
                  <c:v>28.4</c:v>
                </c:pt>
                <c:pt idx="467">
                  <c:v>28.4</c:v>
                </c:pt>
                <c:pt idx="468">
                  <c:v>28.4</c:v>
                </c:pt>
                <c:pt idx="469">
                  <c:v>28.4</c:v>
                </c:pt>
                <c:pt idx="470">
                  <c:v>28.4</c:v>
                </c:pt>
                <c:pt idx="471">
                  <c:v>28.4</c:v>
                </c:pt>
                <c:pt idx="472">
                  <c:v>28.4</c:v>
                </c:pt>
                <c:pt idx="473">
                  <c:v>28.4</c:v>
                </c:pt>
                <c:pt idx="474">
                  <c:v>28.4</c:v>
                </c:pt>
                <c:pt idx="475">
                  <c:v>28.4</c:v>
                </c:pt>
                <c:pt idx="476">
                  <c:v>28.4</c:v>
                </c:pt>
                <c:pt idx="477">
                  <c:v>28.4</c:v>
                </c:pt>
                <c:pt idx="478">
                  <c:v>28.4</c:v>
                </c:pt>
                <c:pt idx="479">
                  <c:v>28.4</c:v>
                </c:pt>
                <c:pt idx="480">
                  <c:v>28.4</c:v>
                </c:pt>
                <c:pt idx="481">
                  <c:v>28.4</c:v>
                </c:pt>
                <c:pt idx="482">
                  <c:v>28.4</c:v>
                </c:pt>
                <c:pt idx="483">
                  <c:v>28.4</c:v>
                </c:pt>
                <c:pt idx="484">
                  <c:v>-0.300000000000022</c:v>
                </c:pt>
                <c:pt idx="485">
                  <c:v>-0.300000000000022</c:v>
                </c:pt>
                <c:pt idx="486">
                  <c:v>-0.300000000000022</c:v>
                </c:pt>
                <c:pt idx="487">
                  <c:v>-0.300000000000022</c:v>
                </c:pt>
                <c:pt idx="488">
                  <c:v>-0.300000000000022</c:v>
                </c:pt>
                <c:pt idx="489">
                  <c:v>-0.300000000000022</c:v>
                </c:pt>
                <c:pt idx="490">
                  <c:v>-0.300000000000022</c:v>
                </c:pt>
                <c:pt idx="491">
                  <c:v>-0.300000000000022</c:v>
                </c:pt>
                <c:pt idx="492">
                  <c:v>-0.300000000000022</c:v>
                </c:pt>
                <c:pt idx="493">
                  <c:v>-0.300000000000022</c:v>
                </c:pt>
                <c:pt idx="494">
                  <c:v>-0.300000000000022</c:v>
                </c:pt>
                <c:pt idx="495">
                  <c:v>-0.300000000000022</c:v>
                </c:pt>
                <c:pt idx="496">
                  <c:v>-0.300000000000022</c:v>
                </c:pt>
                <c:pt idx="497">
                  <c:v>-0.300000000000022</c:v>
                </c:pt>
                <c:pt idx="498">
                  <c:v>-0.300000000000022</c:v>
                </c:pt>
                <c:pt idx="499">
                  <c:v>-0.300000000000022</c:v>
                </c:pt>
                <c:pt idx="500">
                  <c:v>-0.300000000000022</c:v>
                </c:pt>
                <c:pt idx="501">
                  <c:v>-0.300000000000022</c:v>
                </c:pt>
                <c:pt idx="502">
                  <c:v>-0.300000000000022</c:v>
                </c:pt>
                <c:pt idx="503">
                  <c:v>-0.300000000000022</c:v>
                </c:pt>
                <c:pt idx="504">
                  <c:v>-0.300000000000022</c:v>
                </c:pt>
                <c:pt idx="505">
                  <c:v>-0.300000000000022</c:v>
                </c:pt>
                <c:pt idx="506">
                  <c:v>-0.300000000000022</c:v>
                </c:pt>
                <c:pt idx="507">
                  <c:v>-0.300000000000022</c:v>
                </c:pt>
                <c:pt idx="508">
                  <c:v>28.4</c:v>
                </c:pt>
                <c:pt idx="509">
                  <c:v>28.4</c:v>
                </c:pt>
                <c:pt idx="510">
                  <c:v>28.4</c:v>
                </c:pt>
                <c:pt idx="511">
                  <c:v>28.4</c:v>
                </c:pt>
                <c:pt idx="512">
                  <c:v>28.4</c:v>
                </c:pt>
                <c:pt idx="513">
                  <c:v>28.4</c:v>
                </c:pt>
                <c:pt idx="514">
                  <c:v>28.4</c:v>
                </c:pt>
                <c:pt idx="515">
                  <c:v>28.4</c:v>
                </c:pt>
                <c:pt idx="516">
                  <c:v>28.4</c:v>
                </c:pt>
                <c:pt idx="517">
                  <c:v>28.4</c:v>
                </c:pt>
                <c:pt idx="518">
                  <c:v>28.4</c:v>
                </c:pt>
                <c:pt idx="519">
                  <c:v>28.4</c:v>
                </c:pt>
                <c:pt idx="520">
                  <c:v>28.4</c:v>
                </c:pt>
                <c:pt idx="521">
                  <c:v>28.4</c:v>
                </c:pt>
                <c:pt idx="522">
                  <c:v>28.4</c:v>
                </c:pt>
                <c:pt idx="523">
                  <c:v>28.4</c:v>
                </c:pt>
                <c:pt idx="524">
                  <c:v>28.4</c:v>
                </c:pt>
                <c:pt idx="525">
                  <c:v>28.4</c:v>
                </c:pt>
                <c:pt idx="526">
                  <c:v>28.4</c:v>
                </c:pt>
                <c:pt idx="527">
                  <c:v>28.4</c:v>
                </c:pt>
                <c:pt idx="528">
                  <c:v>28.4</c:v>
                </c:pt>
                <c:pt idx="529">
                  <c:v>28.4</c:v>
                </c:pt>
                <c:pt idx="530">
                  <c:v>28.4</c:v>
                </c:pt>
                <c:pt idx="531">
                  <c:v>28.4</c:v>
                </c:pt>
                <c:pt idx="532">
                  <c:v>28.4</c:v>
                </c:pt>
                <c:pt idx="533">
                  <c:v>28.4</c:v>
                </c:pt>
                <c:pt idx="534">
                  <c:v>-0.300000000000022</c:v>
                </c:pt>
                <c:pt idx="535">
                  <c:v>-0.300000000000022</c:v>
                </c:pt>
                <c:pt idx="536">
                  <c:v>-0.300000000000022</c:v>
                </c:pt>
                <c:pt idx="537">
                  <c:v>-0.300000000000022</c:v>
                </c:pt>
                <c:pt idx="538">
                  <c:v>-0.300000000000022</c:v>
                </c:pt>
                <c:pt idx="539">
                  <c:v>-0.300000000000022</c:v>
                </c:pt>
                <c:pt idx="540">
                  <c:v>-0.300000000000022</c:v>
                </c:pt>
                <c:pt idx="541">
                  <c:v>-0.300000000000022</c:v>
                </c:pt>
                <c:pt idx="542">
                  <c:v>-0.300000000000022</c:v>
                </c:pt>
                <c:pt idx="543">
                  <c:v>-0.300000000000022</c:v>
                </c:pt>
                <c:pt idx="544">
                  <c:v>-0.300000000000022</c:v>
                </c:pt>
                <c:pt idx="545">
                  <c:v>-0.300000000000022</c:v>
                </c:pt>
                <c:pt idx="546">
                  <c:v>-0.300000000000022</c:v>
                </c:pt>
                <c:pt idx="547">
                  <c:v>-0.300000000000022</c:v>
                </c:pt>
                <c:pt idx="548">
                  <c:v>-0.300000000000022</c:v>
                </c:pt>
                <c:pt idx="549">
                  <c:v>-0.300000000000022</c:v>
                </c:pt>
                <c:pt idx="550">
                  <c:v>-0.300000000000022</c:v>
                </c:pt>
                <c:pt idx="551">
                  <c:v>-0.300000000000022</c:v>
                </c:pt>
                <c:pt idx="552">
                  <c:v>-0.300000000000022</c:v>
                </c:pt>
                <c:pt idx="553">
                  <c:v>-0.300000000000022</c:v>
                </c:pt>
                <c:pt idx="554">
                  <c:v>-0.300000000000022</c:v>
                </c:pt>
                <c:pt idx="555">
                  <c:v>-0.300000000000022</c:v>
                </c:pt>
                <c:pt idx="556">
                  <c:v>-0.300000000000022</c:v>
                </c:pt>
                <c:pt idx="557">
                  <c:v>-0.300000000000022</c:v>
                </c:pt>
                <c:pt idx="558">
                  <c:v>28.4</c:v>
                </c:pt>
                <c:pt idx="559">
                  <c:v>28.4</c:v>
                </c:pt>
                <c:pt idx="560">
                  <c:v>28.4</c:v>
                </c:pt>
                <c:pt idx="561">
                  <c:v>28.4</c:v>
                </c:pt>
                <c:pt idx="562">
                  <c:v>28.4</c:v>
                </c:pt>
                <c:pt idx="563">
                  <c:v>28.4</c:v>
                </c:pt>
                <c:pt idx="564">
                  <c:v>28.4</c:v>
                </c:pt>
                <c:pt idx="565">
                  <c:v>28.4</c:v>
                </c:pt>
                <c:pt idx="566">
                  <c:v>28.4</c:v>
                </c:pt>
                <c:pt idx="567">
                  <c:v>28.4</c:v>
                </c:pt>
                <c:pt idx="568">
                  <c:v>28.4</c:v>
                </c:pt>
                <c:pt idx="569">
                  <c:v>28.4</c:v>
                </c:pt>
                <c:pt idx="570">
                  <c:v>28.4</c:v>
                </c:pt>
                <c:pt idx="571">
                  <c:v>28.4</c:v>
                </c:pt>
                <c:pt idx="572">
                  <c:v>28.4</c:v>
                </c:pt>
                <c:pt idx="573">
                  <c:v>28.4</c:v>
                </c:pt>
                <c:pt idx="574">
                  <c:v>28.4</c:v>
                </c:pt>
                <c:pt idx="575">
                  <c:v>28.4</c:v>
                </c:pt>
                <c:pt idx="576">
                  <c:v>28.4</c:v>
                </c:pt>
                <c:pt idx="577">
                  <c:v>28.4</c:v>
                </c:pt>
                <c:pt idx="578">
                  <c:v>28.4</c:v>
                </c:pt>
                <c:pt idx="579">
                  <c:v>28.4</c:v>
                </c:pt>
                <c:pt idx="580">
                  <c:v>28.4</c:v>
                </c:pt>
                <c:pt idx="581">
                  <c:v>28.4</c:v>
                </c:pt>
                <c:pt idx="582">
                  <c:v>28.4</c:v>
                </c:pt>
                <c:pt idx="583">
                  <c:v>-0.300000000000022</c:v>
                </c:pt>
                <c:pt idx="584">
                  <c:v>-0.300000000000022</c:v>
                </c:pt>
                <c:pt idx="585">
                  <c:v>-0.300000000000022</c:v>
                </c:pt>
                <c:pt idx="586">
                  <c:v>-0.300000000000022</c:v>
                </c:pt>
                <c:pt idx="587">
                  <c:v>-0.300000000000022</c:v>
                </c:pt>
                <c:pt idx="588">
                  <c:v>-0.300000000000022</c:v>
                </c:pt>
                <c:pt idx="589">
                  <c:v>-0.300000000000022</c:v>
                </c:pt>
                <c:pt idx="590">
                  <c:v>-0.300000000000022</c:v>
                </c:pt>
                <c:pt idx="591">
                  <c:v>-0.300000000000022</c:v>
                </c:pt>
                <c:pt idx="592">
                  <c:v>-0.300000000000022</c:v>
                </c:pt>
                <c:pt idx="593">
                  <c:v>-0.300000000000022</c:v>
                </c:pt>
                <c:pt idx="594">
                  <c:v>-0.300000000000022</c:v>
                </c:pt>
                <c:pt idx="595">
                  <c:v>-0.300000000000022</c:v>
                </c:pt>
                <c:pt idx="596">
                  <c:v>-0.300000000000022</c:v>
                </c:pt>
                <c:pt idx="597">
                  <c:v>-0.300000000000022</c:v>
                </c:pt>
                <c:pt idx="598">
                  <c:v>-0.300000000000022</c:v>
                </c:pt>
                <c:pt idx="599">
                  <c:v>-0.300000000000022</c:v>
                </c:pt>
                <c:pt idx="600">
                  <c:v>-0.300000000000022</c:v>
                </c:pt>
                <c:pt idx="601">
                  <c:v>-0.300000000000022</c:v>
                </c:pt>
                <c:pt idx="602">
                  <c:v>-0.300000000000022</c:v>
                </c:pt>
                <c:pt idx="603">
                  <c:v>-0.300000000000022</c:v>
                </c:pt>
                <c:pt idx="604">
                  <c:v>-0.300000000000022</c:v>
                </c:pt>
                <c:pt idx="605">
                  <c:v>-0.300000000000022</c:v>
                </c:pt>
                <c:pt idx="606">
                  <c:v>-0.300000000000022</c:v>
                </c:pt>
                <c:pt idx="607">
                  <c:v>-0.300000000000022</c:v>
                </c:pt>
                <c:pt idx="608">
                  <c:v>-0.300000000000022</c:v>
                </c:pt>
                <c:pt idx="609">
                  <c:v>-0.300000000000022</c:v>
                </c:pt>
                <c:pt idx="610">
                  <c:v>-0.300000000000022</c:v>
                </c:pt>
                <c:pt idx="611">
                  <c:v>-0.300000000000022</c:v>
                </c:pt>
                <c:pt idx="612">
                  <c:v>-0.300000000000022</c:v>
                </c:pt>
                <c:pt idx="613">
                  <c:v>-0.300000000000022</c:v>
                </c:pt>
                <c:pt idx="614">
                  <c:v>-0.300000000000022</c:v>
                </c:pt>
                <c:pt idx="615">
                  <c:v>-0.300000000000022</c:v>
                </c:pt>
                <c:pt idx="616">
                  <c:v>-0.300000000000022</c:v>
                </c:pt>
                <c:pt idx="617">
                  <c:v>-0.300000000000022</c:v>
                </c:pt>
                <c:pt idx="618">
                  <c:v>-0.300000000000022</c:v>
                </c:pt>
                <c:pt idx="619">
                  <c:v>-0.300000000000022</c:v>
                </c:pt>
                <c:pt idx="620">
                  <c:v>-0.300000000000022</c:v>
                </c:pt>
                <c:pt idx="621">
                  <c:v>-0.300000000000022</c:v>
                </c:pt>
                <c:pt idx="622">
                  <c:v>-0.300000000000022</c:v>
                </c:pt>
                <c:pt idx="623">
                  <c:v>-0.300000000000022</c:v>
                </c:pt>
                <c:pt idx="624">
                  <c:v>-0.300000000000022</c:v>
                </c:pt>
                <c:pt idx="625">
                  <c:v>-0.300000000000022</c:v>
                </c:pt>
                <c:pt idx="626">
                  <c:v>-0.300000000000022</c:v>
                </c:pt>
                <c:pt idx="627">
                  <c:v>-0.300000000000022</c:v>
                </c:pt>
                <c:pt idx="628">
                  <c:v>-0.300000000000022</c:v>
                </c:pt>
                <c:pt idx="629">
                  <c:v>-0.300000000000022</c:v>
                </c:pt>
                <c:pt idx="630">
                  <c:v>-0.300000000000022</c:v>
                </c:pt>
                <c:pt idx="631">
                  <c:v>-0.300000000000022</c:v>
                </c:pt>
                <c:pt idx="632">
                  <c:v>-0.300000000000022</c:v>
                </c:pt>
                <c:pt idx="633">
                  <c:v>-0.300000000000022</c:v>
                </c:pt>
                <c:pt idx="634">
                  <c:v>-0.300000000000022</c:v>
                </c:pt>
                <c:pt idx="635">
                  <c:v>-0.300000000000022</c:v>
                </c:pt>
                <c:pt idx="636">
                  <c:v>-0.300000000000022</c:v>
                </c:pt>
                <c:pt idx="637">
                  <c:v>-0.300000000000022</c:v>
                </c:pt>
                <c:pt idx="638">
                  <c:v>-0.300000000000022</c:v>
                </c:pt>
                <c:pt idx="639">
                  <c:v>-0.300000000000022</c:v>
                </c:pt>
                <c:pt idx="640">
                  <c:v>-0.300000000000022</c:v>
                </c:pt>
                <c:pt idx="641">
                  <c:v>-0.300000000000022</c:v>
                </c:pt>
                <c:pt idx="642">
                  <c:v>-0.300000000000022</c:v>
                </c:pt>
                <c:pt idx="643">
                  <c:v>-0.300000000000022</c:v>
                </c:pt>
                <c:pt idx="644">
                  <c:v>-0.300000000000022</c:v>
                </c:pt>
                <c:pt idx="645">
                  <c:v>-0.300000000000022</c:v>
                </c:pt>
                <c:pt idx="646">
                  <c:v>-0.300000000000022</c:v>
                </c:pt>
                <c:pt idx="647">
                  <c:v>-0.300000000000022</c:v>
                </c:pt>
                <c:pt idx="648">
                  <c:v>-0.300000000000022</c:v>
                </c:pt>
                <c:pt idx="649">
                  <c:v>-0.300000000000022</c:v>
                </c:pt>
                <c:pt idx="650">
                  <c:v>-0.300000000000022</c:v>
                </c:pt>
                <c:pt idx="651">
                  <c:v>-0.300000000000022</c:v>
                </c:pt>
                <c:pt idx="652">
                  <c:v>-0.300000000000022</c:v>
                </c:pt>
                <c:pt idx="653">
                  <c:v>-0.300000000000022</c:v>
                </c:pt>
                <c:pt idx="654">
                  <c:v>-0.300000000000022</c:v>
                </c:pt>
                <c:pt idx="655">
                  <c:v>-0.300000000000022</c:v>
                </c:pt>
                <c:pt idx="656">
                  <c:v>-0.300000000000022</c:v>
                </c:pt>
                <c:pt idx="657">
                  <c:v>-0.300000000000022</c:v>
                </c:pt>
                <c:pt idx="658">
                  <c:v>-0.300000000000022</c:v>
                </c:pt>
                <c:pt idx="659">
                  <c:v>-0.300000000000022</c:v>
                </c:pt>
                <c:pt idx="660">
                  <c:v>-0.300000000000022</c:v>
                </c:pt>
                <c:pt idx="661">
                  <c:v>-0.300000000000022</c:v>
                </c:pt>
                <c:pt idx="662">
                  <c:v>-0.300000000000022</c:v>
                </c:pt>
                <c:pt idx="663">
                  <c:v>-0.300000000000022</c:v>
                </c:pt>
                <c:pt idx="664">
                  <c:v>-0.300000000000022</c:v>
                </c:pt>
                <c:pt idx="665">
                  <c:v>-0.300000000000022</c:v>
                </c:pt>
                <c:pt idx="666">
                  <c:v>-0.300000000000022</c:v>
                </c:pt>
                <c:pt idx="667">
                  <c:v>-0.300000000000022</c:v>
                </c:pt>
                <c:pt idx="668">
                  <c:v>-0.300000000000022</c:v>
                </c:pt>
                <c:pt idx="669">
                  <c:v>-0.300000000000022</c:v>
                </c:pt>
                <c:pt idx="670">
                  <c:v>-0.300000000000022</c:v>
                </c:pt>
                <c:pt idx="671">
                  <c:v>-0.300000000000022</c:v>
                </c:pt>
                <c:pt idx="672">
                  <c:v>-0.300000000000022</c:v>
                </c:pt>
                <c:pt idx="673">
                  <c:v>-0.300000000000022</c:v>
                </c:pt>
                <c:pt idx="674">
                  <c:v>-0.300000000000022</c:v>
                </c:pt>
                <c:pt idx="675">
                  <c:v>-0.300000000000022</c:v>
                </c:pt>
                <c:pt idx="676">
                  <c:v>-0.300000000000022</c:v>
                </c:pt>
                <c:pt idx="677">
                  <c:v>-0.300000000000022</c:v>
                </c:pt>
                <c:pt idx="678">
                  <c:v>-0.300000000000022</c:v>
                </c:pt>
                <c:pt idx="679">
                  <c:v>-0.300000000000022</c:v>
                </c:pt>
                <c:pt idx="680">
                  <c:v>-0.300000000000022</c:v>
                </c:pt>
                <c:pt idx="681">
                  <c:v>-0.300000000000022</c:v>
                </c:pt>
                <c:pt idx="682">
                  <c:v>-0.300000000000022</c:v>
                </c:pt>
                <c:pt idx="683">
                  <c:v>-0.300000000000022</c:v>
                </c:pt>
                <c:pt idx="684">
                  <c:v>-0.300000000000022</c:v>
                </c:pt>
                <c:pt idx="685">
                  <c:v>-0.300000000000022</c:v>
                </c:pt>
                <c:pt idx="686">
                  <c:v>-0.300000000000022</c:v>
                </c:pt>
                <c:pt idx="687">
                  <c:v>-0.300000000000022</c:v>
                </c:pt>
                <c:pt idx="688">
                  <c:v>-0.300000000000022</c:v>
                </c:pt>
                <c:pt idx="689">
                  <c:v>-0.300000000000022</c:v>
                </c:pt>
                <c:pt idx="690">
                  <c:v>-0.300000000000022</c:v>
                </c:pt>
                <c:pt idx="691">
                  <c:v>-0.300000000000022</c:v>
                </c:pt>
                <c:pt idx="692">
                  <c:v>-0.300000000000022</c:v>
                </c:pt>
                <c:pt idx="693">
                  <c:v>-0.300000000000022</c:v>
                </c:pt>
                <c:pt idx="694">
                  <c:v>-0.300000000000022</c:v>
                </c:pt>
                <c:pt idx="695">
                  <c:v>-0.300000000000022</c:v>
                </c:pt>
                <c:pt idx="696">
                  <c:v>-0.300000000000022</c:v>
                </c:pt>
                <c:pt idx="697">
                  <c:v>-0.300000000000022</c:v>
                </c:pt>
                <c:pt idx="698">
                  <c:v>-0.300000000000022</c:v>
                </c:pt>
                <c:pt idx="699">
                  <c:v>-0.300000000000022</c:v>
                </c:pt>
                <c:pt idx="700">
                  <c:v>-0.300000000000022</c:v>
                </c:pt>
                <c:pt idx="701">
                  <c:v>-0.300000000000022</c:v>
                </c:pt>
                <c:pt idx="702">
                  <c:v>-0.300000000000022</c:v>
                </c:pt>
                <c:pt idx="703">
                  <c:v>-0.300000000000022</c:v>
                </c:pt>
                <c:pt idx="704">
                  <c:v>-0.300000000000022</c:v>
                </c:pt>
                <c:pt idx="705">
                  <c:v>-0.300000000000022</c:v>
                </c:pt>
                <c:pt idx="706">
                  <c:v>-0.300000000000022</c:v>
                </c:pt>
                <c:pt idx="707">
                  <c:v>-0.300000000000022</c:v>
                </c:pt>
                <c:pt idx="708">
                  <c:v>-0.300000000000022</c:v>
                </c:pt>
                <c:pt idx="709">
                  <c:v>-0.300000000000022</c:v>
                </c:pt>
                <c:pt idx="710">
                  <c:v>-0.300000000000022</c:v>
                </c:pt>
                <c:pt idx="711">
                  <c:v>-0.300000000000022</c:v>
                </c:pt>
                <c:pt idx="712">
                  <c:v>-0.300000000000022</c:v>
                </c:pt>
                <c:pt idx="713">
                  <c:v>-0.300000000000022</c:v>
                </c:pt>
                <c:pt idx="714">
                  <c:v>-0.300000000000022</c:v>
                </c:pt>
                <c:pt idx="715">
                  <c:v>-0.300000000000022</c:v>
                </c:pt>
                <c:pt idx="716">
                  <c:v>-0.300000000000022</c:v>
                </c:pt>
                <c:pt idx="717">
                  <c:v>-0.300000000000022</c:v>
                </c:pt>
                <c:pt idx="718">
                  <c:v>-0.300000000000022</c:v>
                </c:pt>
                <c:pt idx="719">
                  <c:v>-0.300000000000022</c:v>
                </c:pt>
                <c:pt idx="720">
                  <c:v>-0.300000000000022</c:v>
                </c:pt>
                <c:pt idx="721">
                  <c:v>-0.300000000000022</c:v>
                </c:pt>
                <c:pt idx="722">
                  <c:v>-0.300000000000022</c:v>
                </c:pt>
                <c:pt idx="723">
                  <c:v>-0.300000000000022</c:v>
                </c:pt>
                <c:pt idx="724">
                  <c:v>-0.300000000000022</c:v>
                </c:pt>
                <c:pt idx="725">
                  <c:v>-0.300000000000022</c:v>
                </c:pt>
                <c:pt idx="726">
                  <c:v>-0.300000000000022</c:v>
                </c:pt>
                <c:pt idx="727">
                  <c:v>-0.300000000000022</c:v>
                </c:pt>
                <c:pt idx="728">
                  <c:v>-0.300000000000022</c:v>
                </c:pt>
                <c:pt idx="729">
                  <c:v>-0.300000000000022</c:v>
                </c:pt>
                <c:pt idx="730">
                  <c:v>-0.300000000000022</c:v>
                </c:pt>
                <c:pt idx="731">
                  <c:v>-0.300000000000022</c:v>
                </c:pt>
                <c:pt idx="732">
                  <c:v>-0.300000000000022</c:v>
                </c:pt>
                <c:pt idx="733">
                  <c:v>-0.300000000000022</c:v>
                </c:pt>
                <c:pt idx="734">
                  <c:v>-0.300000000000022</c:v>
                </c:pt>
                <c:pt idx="735">
                  <c:v>-0.300000000000022</c:v>
                </c:pt>
                <c:pt idx="736">
                  <c:v>-0.300000000000022</c:v>
                </c:pt>
                <c:pt idx="737">
                  <c:v>-0.300000000000022</c:v>
                </c:pt>
                <c:pt idx="738">
                  <c:v>-0.300000000000022</c:v>
                </c:pt>
                <c:pt idx="739">
                  <c:v>-0.300000000000022</c:v>
                </c:pt>
                <c:pt idx="740">
                  <c:v>-0.300000000000022</c:v>
                </c:pt>
                <c:pt idx="741">
                  <c:v>-0.300000000000022</c:v>
                </c:pt>
                <c:pt idx="742">
                  <c:v>-0.300000000000022</c:v>
                </c:pt>
                <c:pt idx="743">
                  <c:v>-0.300000000000022</c:v>
                </c:pt>
                <c:pt idx="744">
                  <c:v>-0.300000000000022</c:v>
                </c:pt>
                <c:pt idx="745">
                  <c:v>-0.300000000000022</c:v>
                </c:pt>
                <c:pt idx="746">
                  <c:v>-0.300000000000022</c:v>
                </c:pt>
                <c:pt idx="747">
                  <c:v>-0.300000000000022</c:v>
                </c:pt>
                <c:pt idx="748">
                  <c:v>-0.300000000000022</c:v>
                </c:pt>
                <c:pt idx="749">
                  <c:v>-0.300000000000022</c:v>
                </c:pt>
                <c:pt idx="750">
                  <c:v>-0.300000000000022</c:v>
                </c:pt>
                <c:pt idx="751">
                  <c:v>-0.300000000000022</c:v>
                </c:pt>
                <c:pt idx="752">
                  <c:v>-0.300000000000022</c:v>
                </c:pt>
                <c:pt idx="753">
                  <c:v>-0.300000000000022</c:v>
                </c:pt>
                <c:pt idx="754">
                  <c:v>-0.300000000000022</c:v>
                </c:pt>
                <c:pt idx="755">
                  <c:v>-0.300000000000022</c:v>
                </c:pt>
                <c:pt idx="756">
                  <c:v>-0.300000000000022</c:v>
                </c:pt>
                <c:pt idx="757">
                  <c:v>-0.300000000000022</c:v>
                </c:pt>
                <c:pt idx="758">
                  <c:v>-0.300000000000022</c:v>
                </c:pt>
                <c:pt idx="759">
                  <c:v>-0.300000000000022</c:v>
                </c:pt>
                <c:pt idx="760">
                  <c:v>-0.300000000000022</c:v>
                </c:pt>
                <c:pt idx="761">
                  <c:v>-0.300000000000022</c:v>
                </c:pt>
                <c:pt idx="762">
                  <c:v>-0.300000000000022</c:v>
                </c:pt>
                <c:pt idx="763">
                  <c:v>-0.300000000000022</c:v>
                </c:pt>
                <c:pt idx="764">
                  <c:v>-0.300000000000022</c:v>
                </c:pt>
                <c:pt idx="765">
                  <c:v>-0.300000000000022</c:v>
                </c:pt>
                <c:pt idx="766">
                  <c:v>-0.300000000000022</c:v>
                </c:pt>
                <c:pt idx="767">
                  <c:v>-0.300000000000022</c:v>
                </c:pt>
                <c:pt idx="768">
                  <c:v>-0.300000000000022</c:v>
                </c:pt>
                <c:pt idx="769">
                  <c:v>-0.300000000000022</c:v>
                </c:pt>
                <c:pt idx="770">
                  <c:v>-0.300000000000022</c:v>
                </c:pt>
                <c:pt idx="771">
                  <c:v>-0.300000000000022</c:v>
                </c:pt>
                <c:pt idx="772">
                  <c:v>-0.300000000000022</c:v>
                </c:pt>
                <c:pt idx="773">
                  <c:v>-0.300000000000022</c:v>
                </c:pt>
                <c:pt idx="774">
                  <c:v>-0.300000000000022</c:v>
                </c:pt>
                <c:pt idx="775">
                  <c:v>-0.300000000000022</c:v>
                </c:pt>
                <c:pt idx="776">
                  <c:v>-0.300000000000022</c:v>
                </c:pt>
                <c:pt idx="777">
                  <c:v>-0.300000000000022</c:v>
                </c:pt>
                <c:pt idx="778">
                  <c:v>-0.300000000000022</c:v>
                </c:pt>
                <c:pt idx="779">
                  <c:v>-0.300000000000022</c:v>
                </c:pt>
                <c:pt idx="780">
                  <c:v>-0.300000000000022</c:v>
                </c:pt>
                <c:pt idx="781">
                  <c:v>-0.300000000000022</c:v>
                </c:pt>
                <c:pt idx="782">
                  <c:v>-0.300000000000022</c:v>
                </c:pt>
                <c:pt idx="783">
                  <c:v>-0.300000000000022</c:v>
                </c:pt>
                <c:pt idx="784">
                  <c:v>-0.300000000000022</c:v>
                </c:pt>
                <c:pt idx="785">
                  <c:v>-0.300000000000022</c:v>
                </c:pt>
                <c:pt idx="786">
                  <c:v>-0.300000000000022</c:v>
                </c:pt>
                <c:pt idx="787">
                  <c:v>-0.300000000000022</c:v>
                </c:pt>
                <c:pt idx="788">
                  <c:v>-0.300000000000022</c:v>
                </c:pt>
                <c:pt idx="789">
                  <c:v>-0.300000000000022</c:v>
                </c:pt>
                <c:pt idx="790">
                  <c:v>-0.300000000000022</c:v>
                </c:pt>
                <c:pt idx="791">
                  <c:v>-0.300000000000022</c:v>
                </c:pt>
                <c:pt idx="792">
                  <c:v>-0.300000000000022</c:v>
                </c:pt>
                <c:pt idx="793">
                  <c:v>-0.300000000000022</c:v>
                </c:pt>
                <c:pt idx="794">
                  <c:v>-0.300000000000022</c:v>
                </c:pt>
                <c:pt idx="795">
                  <c:v>-0.300000000000022</c:v>
                </c:pt>
                <c:pt idx="796">
                  <c:v>-0.300000000000022</c:v>
                </c:pt>
                <c:pt idx="797">
                  <c:v>-0.300000000000022</c:v>
                </c:pt>
                <c:pt idx="798">
                  <c:v>-0.300000000000022</c:v>
                </c:pt>
                <c:pt idx="799">
                  <c:v>-0.300000000000022</c:v>
                </c:pt>
                <c:pt idx="800">
                  <c:v>-0.300000000000022</c:v>
                </c:pt>
                <c:pt idx="801">
                  <c:v>-0.300000000000022</c:v>
                </c:pt>
                <c:pt idx="802">
                  <c:v>-0.300000000000022</c:v>
                </c:pt>
                <c:pt idx="803">
                  <c:v>-0.300000000000022</c:v>
                </c:pt>
                <c:pt idx="804">
                  <c:v>-0.300000000000022</c:v>
                </c:pt>
                <c:pt idx="805">
                  <c:v>-0.300000000000022</c:v>
                </c:pt>
                <c:pt idx="806">
                  <c:v>-0.300000000000022</c:v>
                </c:pt>
                <c:pt idx="807">
                  <c:v>-0.300000000000022</c:v>
                </c:pt>
                <c:pt idx="808">
                  <c:v>-0.300000000000022</c:v>
                </c:pt>
                <c:pt idx="809">
                  <c:v>-0.300000000000022</c:v>
                </c:pt>
                <c:pt idx="810">
                  <c:v>-0.300000000000022</c:v>
                </c:pt>
                <c:pt idx="811">
                  <c:v>-0.300000000000022</c:v>
                </c:pt>
                <c:pt idx="812">
                  <c:v>-0.300000000000022</c:v>
                </c:pt>
                <c:pt idx="813">
                  <c:v>-0.300000000000022</c:v>
                </c:pt>
                <c:pt idx="814">
                  <c:v>-0.300000000000022</c:v>
                </c:pt>
                <c:pt idx="815">
                  <c:v>-0.300000000000022</c:v>
                </c:pt>
                <c:pt idx="816">
                  <c:v>-0.300000000000022</c:v>
                </c:pt>
                <c:pt idx="817">
                  <c:v>-0.300000000000022</c:v>
                </c:pt>
                <c:pt idx="818">
                  <c:v>-0.300000000000022</c:v>
                </c:pt>
                <c:pt idx="819">
                  <c:v>-0.300000000000022</c:v>
                </c:pt>
                <c:pt idx="820">
                  <c:v>-0.300000000000022</c:v>
                </c:pt>
                <c:pt idx="821">
                  <c:v>-0.300000000000022</c:v>
                </c:pt>
                <c:pt idx="822">
                  <c:v>-0.300000000000022</c:v>
                </c:pt>
                <c:pt idx="823">
                  <c:v>-0.300000000000022</c:v>
                </c:pt>
                <c:pt idx="824">
                  <c:v>-0.300000000000022</c:v>
                </c:pt>
                <c:pt idx="825">
                  <c:v>-0.300000000000022</c:v>
                </c:pt>
                <c:pt idx="826">
                  <c:v>-0.300000000000022</c:v>
                </c:pt>
                <c:pt idx="827">
                  <c:v>-0.300000000000022</c:v>
                </c:pt>
                <c:pt idx="828">
                  <c:v>-0.300000000000022</c:v>
                </c:pt>
                <c:pt idx="829">
                  <c:v>-0.300000000000022</c:v>
                </c:pt>
                <c:pt idx="830">
                  <c:v>-0.300000000000022</c:v>
                </c:pt>
                <c:pt idx="831">
                  <c:v>-0.300000000000022</c:v>
                </c:pt>
                <c:pt idx="832">
                  <c:v>-0.300000000000022</c:v>
                </c:pt>
                <c:pt idx="833">
                  <c:v>-0.300000000000022</c:v>
                </c:pt>
                <c:pt idx="834">
                  <c:v>-0.300000000000022</c:v>
                </c:pt>
                <c:pt idx="835">
                  <c:v>-0.300000000000022</c:v>
                </c:pt>
                <c:pt idx="836">
                  <c:v>-0.300000000000022</c:v>
                </c:pt>
                <c:pt idx="837">
                  <c:v>-0.300000000000022</c:v>
                </c:pt>
                <c:pt idx="838">
                  <c:v>-0.300000000000022</c:v>
                </c:pt>
                <c:pt idx="839">
                  <c:v>-0.300000000000022</c:v>
                </c:pt>
                <c:pt idx="840">
                  <c:v>-0.300000000000022</c:v>
                </c:pt>
                <c:pt idx="841">
                  <c:v>-0.300000000000022</c:v>
                </c:pt>
                <c:pt idx="842">
                  <c:v>-0.300000000000022</c:v>
                </c:pt>
                <c:pt idx="843">
                  <c:v>-0.300000000000022</c:v>
                </c:pt>
                <c:pt idx="844">
                  <c:v>-0.300000000000022</c:v>
                </c:pt>
                <c:pt idx="845">
                  <c:v>-0.300000000000022</c:v>
                </c:pt>
                <c:pt idx="846">
                  <c:v>-0.300000000000022</c:v>
                </c:pt>
                <c:pt idx="847">
                  <c:v>-0.300000000000022</c:v>
                </c:pt>
                <c:pt idx="848">
                  <c:v>-0.300000000000022</c:v>
                </c:pt>
                <c:pt idx="849">
                  <c:v>-0.300000000000022</c:v>
                </c:pt>
                <c:pt idx="850">
                  <c:v>-0.300000000000022</c:v>
                </c:pt>
                <c:pt idx="851">
                  <c:v>-0.300000000000022</c:v>
                </c:pt>
                <c:pt idx="852">
                  <c:v>-0.300000000000022</c:v>
                </c:pt>
                <c:pt idx="853">
                  <c:v>-0.300000000000022</c:v>
                </c:pt>
                <c:pt idx="854">
                  <c:v>-0.300000000000022</c:v>
                </c:pt>
                <c:pt idx="855">
                  <c:v>-0.300000000000022</c:v>
                </c:pt>
                <c:pt idx="856">
                  <c:v>-0.300000000000022</c:v>
                </c:pt>
                <c:pt idx="857">
                  <c:v>-0.300000000000022</c:v>
                </c:pt>
                <c:pt idx="858">
                  <c:v>-0.300000000000022</c:v>
                </c:pt>
                <c:pt idx="859">
                  <c:v>-0.300000000000022</c:v>
                </c:pt>
                <c:pt idx="860">
                  <c:v>-0.300000000000022</c:v>
                </c:pt>
                <c:pt idx="861">
                  <c:v>-0.300000000000022</c:v>
                </c:pt>
                <c:pt idx="862">
                  <c:v>-0.300000000000022</c:v>
                </c:pt>
                <c:pt idx="863">
                  <c:v>-0.300000000000022</c:v>
                </c:pt>
                <c:pt idx="864">
                  <c:v>-0.300000000000022</c:v>
                </c:pt>
                <c:pt idx="865">
                  <c:v>-0.300000000000022</c:v>
                </c:pt>
                <c:pt idx="866">
                  <c:v>-0.300000000000022</c:v>
                </c:pt>
                <c:pt idx="867">
                  <c:v>-0.300000000000022</c:v>
                </c:pt>
                <c:pt idx="868">
                  <c:v>-0.300000000000022</c:v>
                </c:pt>
                <c:pt idx="869">
                  <c:v>-0.300000000000022</c:v>
                </c:pt>
                <c:pt idx="870">
                  <c:v>-0.300000000000022</c:v>
                </c:pt>
                <c:pt idx="871">
                  <c:v>-0.300000000000022</c:v>
                </c:pt>
                <c:pt idx="872">
                  <c:v>-0.300000000000022</c:v>
                </c:pt>
                <c:pt idx="873">
                  <c:v>-0.300000000000022</c:v>
                </c:pt>
                <c:pt idx="874">
                  <c:v>-0.300000000000022</c:v>
                </c:pt>
                <c:pt idx="875">
                  <c:v>-0.300000000000022</c:v>
                </c:pt>
                <c:pt idx="876">
                  <c:v>-0.300000000000022</c:v>
                </c:pt>
                <c:pt idx="877">
                  <c:v>-0.300000000000022</c:v>
                </c:pt>
                <c:pt idx="878">
                  <c:v>-0.300000000000022</c:v>
                </c:pt>
                <c:pt idx="879">
                  <c:v>-0.300000000000022</c:v>
                </c:pt>
                <c:pt idx="880">
                  <c:v>-0.300000000000022</c:v>
                </c:pt>
                <c:pt idx="881">
                  <c:v>-0.300000000000022</c:v>
                </c:pt>
                <c:pt idx="882">
                  <c:v>-0.300000000000022</c:v>
                </c:pt>
                <c:pt idx="883">
                  <c:v>-0.300000000000022</c:v>
                </c:pt>
                <c:pt idx="884">
                  <c:v>-0.300000000000022</c:v>
                </c:pt>
                <c:pt idx="885">
                  <c:v>-0.300000000000022</c:v>
                </c:pt>
                <c:pt idx="886">
                  <c:v>-0.300000000000022</c:v>
                </c:pt>
                <c:pt idx="887">
                  <c:v>-0.300000000000022</c:v>
                </c:pt>
                <c:pt idx="888">
                  <c:v>-0.300000000000022</c:v>
                </c:pt>
                <c:pt idx="889">
                  <c:v>-0.300000000000022</c:v>
                </c:pt>
                <c:pt idx="890">
                  <c:v>-0.300000000000022</c:v>
                </c:pt>
                <c:pt idx="891">
                  <c:v>-0.300000000000022</c:v>
                </c:pt>
                <c:pt idx="892">
                  <c:v>-0.300000000000022</c:v>
                </c:pt>
                <c:pt idx="893">
                  <c:v>-0.300000000000022</c:v>
                </c:pt>
                <c:pt idx="894">
                  <c:v>-0.300000000000022</c:v>
                </c:pt>
                <c:pt idx="895">
                  <c:v>-0.300000000000022</c:v>
                </c:pt>
                <c:pt idx="896">
                  <c:v>-0.300000000000022</c:v>
                </c:pt>
                <c:pt idx="897">
                  <c:v>-0.300000000000022</c:v>
                </c:pt>
                <c:pt idx="898">
                  <c:v>-0.300000000000022</c:v>
                </c:pt>
                <c:pt idx="899">
                  <c:v>-0.300000000000022</c:v>
                </c:pt>
                <c:pt idx="900">
                  <c:v>-0.300000000000022</c:v>
                </c:pt>
                <c:pt idx="901">
                  <c:v>-0.300000000000022</c:v>
                </c:pt>
                <c:pt idx="902">
                  <c:v>-0.300000000000022</c:v>
                </c:pt>
                <c:pt idx="903">
                  <c:v>-0.300000000000022</c:v>
                </c:pt>
                <c:pt idx="904">
                  <c:v>-0.300000000000022</c:v>
                </c:pt>
                <c:pt idx="905">
                  <c:v>-0.300000000000022</c:v>
                </c:pt>
                <c:pt idx="906">
                  <c:v>-0.300000000000022</c:v>
                </c:pt>
                <c:pt idx="907">
                  <c:v>-0.300000000000022</c:v>
                </c:pt>
                <c:pt idx="908">
                  <c:v>-0.300000000000022</c:v>
                </c:pt>
                <c:pt idx="909">
                  <c:v>-0.300000000000022</c:v>
                </c:pt>
                <c:pt idx="910">
                  <c:v>-0.300000000000022</c:v>
                </c:pt>
                <c:pt idx="911">
                  <c:v>-0.300000000000022</c:v>
                </c:pt>
                <c:pt idx="912">
                  <c:v>-0.300000000000022</c:v>
                </c:pt>
                <c:pt idx="913">
                  <c:v>-0.300000000000022</c:v>
                </c:pt>
                <c:pt idx="914">
                  <c:v>-0.300000000000022</c:v>
                </c:pt>
                <c:pt idx="915">
                  <c:v>-0.300000000000022</c:v>
                </c:pt>
                <c:pt idx="916">
                  <c:v>-0.300000000000022</c:v>
                </c:pt>
                <c:pt idx="917">
                  <c:v>-0.300000000000022</c:v>
                </c:pt>
                <c:pt idx="918">
                  <c:v>-0.300000000000022</c:v>
                </c:pt>
                <c:pt idx="919">
                  <c:v>-0.300000000000022</c:v>
                </c:pt>
                <c:pt idx="920">
                  <c:v>-0.300000000000022</c:v>
                </c:pt>
                <c:pt idx="921">
                  <c:v>-0.300000000000022</c:v>
                </c:pt>
                <c:pt idx="922">
                  <c:v>-0.300000000000022</c:v>
                </c:pt>
                <c:pt idx="923">
                  <c:v>-0.300000000000022</c:v>
                </c:pt>
                <c:pt idx="924">
                  <c:v>-0.300000000000022</c:v>
                </c:pt>
                <c:pt idx="925">
                  <c:v>-0.300000000000022</c:v>
                </c:pt>
                <c:pt idx="926">
                  <c:v>-0.300000000000022</c:v>
                </c:pt>
                <c:pt idx="927">
                  <c:v>-0.300000000000022</c:v>
                </c:pt>
                <c:pt idx="928">
                  <c:v>-0.300000000000022</c:v>
                </c:pt>
                <c:pt idx="929">
                  <c:v>-0.300000000000022</c:v>
                </c:pt>
                <c:pt idx="930">
                  <c:v>-0.300000000000022</c:v>
                </c:pt>
                <c:pt idx="931">
                  <c:v>-0.300000000000022</c:v>
                </c:pt>
                <c:pt idx="932">
                  <c:v>-0.300000000000022</c:v>
                </c:pt>
                <c:pt idx="933">
                  <c:v>-0.300000000000022</c:v>
                </c:pt>
                <c:pt idx="934">
                  <c:v>-0.300000000000022</c:v>
                </c:pt>
                <c:pt idx="935">
                  <c:v>-0.300000000000022</c:v>
                </c:pt>
                <c:pt idx="936">
                  <c:v>-0.300000000000022</c:v>
                </c:pt>
                <c:pt idx="937">
                  <c:v>-0.300000000000022</c:v>
                </c:pt>
                <c:pt idx="938">
                  <c:v>-0.300000000000022</c:v>
                </c:pt>
                <c:pt idx="939">
                  <c:v>-0.300000000000022</c:v>
                </c:pt>
                <c:pt idx="940">
                  <c:v>-0.300000000000022</c:v>
                </c:pt>
                <c:pt idx="941">
                  <c:v>-0.300000000000022</c:v>
                </c:pt>
                <c:pt idx="942">
                  <c:v>-0.300000000000022</c:v>
                </c:pt>
                <c:pt idx="943">
                  <c:v>-0.300000000000022</c:v>
                </c:pt>
                <c:pt idx="944">
                  <c:v>-0.300000000000022</c:v>
                </c:pt>
                <c:pt idx="945">
                  <c:v>-0.300000000000022</c:v>
                </c:pt>
                <c:pt idx="946">
                  <c:v>-0.300000000000022</c:v>
                </c:pt>
                <c:pt idx="947">
                  <c:v>-0.300000000000022</c:v>
                </c:pt>
                <c:pt idx="948">
                  <c:v>-0.300000000000022</c:v>
                </c:pt>
                <c:pt idx="949">
                  <c:v>-0.300000000000022</c:v>
                </c:pt>
                <c:pt idx="950">
                  <c:v>-0.300000000000022</c:v>
                </c:pt>
                <c:pt idx="951">
                  <c:v>-0.300000000000022</c:v>
                </c:pt>
                <c:pt idx="952">
                  <c:v>-0.300000000000022</c:v>
                </c:pt>
                <c:pt idx="953">
                  <c:v>-0.300000000000022</c:v>
                </c:pt>
                <c:pt idx="954">
                  <c:v>-0.300000000000022</c:v>
                </c:pt>
                <c:pt idx="955">
                  <c:v>-0.300000000000022</c:v>
                </c:pt>
                <c:pt idx="956">
                  <c:v>-0.300000000000022</c:v>
                </c:pt>
                <c:pt idx="957">
                  <c:v>-0.300000000000022</c:v>
                </c:pt>
                <c:pt idx="958">
                  <c:v>-0.300000000000022</c:v>
                </c:pt>
                <c:pt idx="959">
                  <c:v>-0.300000000000022</c:v>
                </c:pt>
                <c:pt idx="960">
                  <c:v>-0.300000000000022</c:v>
                </c:pt>
                <c:pt idx="961">
                  <c:v>-0.300000000000022</c:v>
                </c:pt>
                <c:pt idx="962">
                  <c:v>-0.300000000000022</c:v>
                </c:pt>
                <c:pt idx="963">
                  <c:v>-0.300000000000022</c:v>
                </c:pt>
                <c:pt idx="964">
                  <c:v>-0.300000000000022</c:v>
                </c:pt>
                <c:pt idx="965">
                  <c:v>-0.300000000000022</c:v>
                </c:pt>
                <c:pt idx="966">
                  <c:v>-0.300000000000022</c:v>
                </c:pt>
                <c:pt idx="967">
                  <c:v>-0.300000000000022</c:v>
                </c:pt>
                <c:pt idx="968">
                  <c:v>-0.300000000000022</c:v>
                </c:pt>
                <c:pt idx="969">
                  <c:v>-0.300000000000022</c:v>
                </c:pt>
                <c:pt idx="970">
                  <c:v>-0.300000000000022</c:v>
                </c:pt>
                <c:pt idx="971">
                  <c:v>-0.300000000000022</c:v>
                </c:pt>
                <c:pt idx="972">
                  <c:v>-0.300000000000022</c:v>
                </c:pt>
                <c:pt idx="973">
                  <c:v>-0.300000000000022</c:v>
                </c:pt>
                <c:pt idx="974">
                  <c:v>-0.300000000000022</c:v>
                </c:pt>
                <c:pt idx="975">
                  <c:v>-0.300000000000022</c:v>
                </c:pt>
                <c:pt idx="976">
                  <c:v>-0.300000000000022</c:v>
                </c:pt>
                <c:pt idx="977">
                  <c:v>-0.300000000000022</c:v>
                </c:pt>
                <c:pt idx="978">
                  <c:v>-0.300000000000022</c:v>
                </c:pt>
                <c:pt idx="979">
                  <c:v>-0.300000000000022</c:v>
                </c:pt>
                <c:pt idx="980">
                  <c:v>-0.300000000000022</c:v>
                </c:pt>
                <c:pt idx="981">
                  <c:v>-0.300000000000022</c:v>
                </c:pt>
                <c:pt idx="982">
                  <c:v>-0.300000000000022</c:v>
                </c:pt>
                <c:pt idx="983">
                  <c:v>-0.300000000000022</c:v>
                </c:pt>
                <c:pt idx="984">
                  <c:v>-0.300000000000022</c:v>
                </c:pt>
                <c:pt idx="985">
                  <c:v>-0.300000000000022</c:v>
                </c:pt>
                <c:pt idx="986">
                  <c:v>-0.300000000000022</c:v>
                </c:pt>
                <c:pt idx="987">
                  <c:v>-0.300000000000022</c:v>
                </c:pt>
                <c:pt idx="988">
                  <c:v>-0.300000000000022</c:v>
                </c:pt>
                <c:pt idx="989">
                  <c:v>-0.300000000000022</c:v>
                </c:pt>
                <c:pt idx="990">
                  <c:v>-0.300000000000022</c:v>
                </c:pt>
                <c:pt idx="991">
                  <c:v>-0.300000000000022</c:v>
                </c:pt>
                <c:pt idx="992">
                  <c:v>-0.300000000000022</c:v>
                </c:pt>
                <c:pt idx="993">
                  <c:v>-0.300000000000022</c:v>
                </c:pt>
                <c:pt idx="994">
                  <c:v>-0.300000000000022</c:v>
                </c:pt>
                <c:pt idx="995">
                  <c:v>-0.300000000000022</c:v>
                </c:pt>
                <c:pt idx="996">
                  <c:v>-0.300000000000022</c:v>
                </c:pt>
                <c:pt idx="997">
                  <c:v>-0.300000000000022</c:v>
                </c:pt>
                <c:pt idx="998">
                  <c:v>-0.300000000000022</c:v>
                </c:pt>
                <c:pt idx="999">
                  <c:v>-0.300000000000022</c:v>
                </c:pt>
                <c:pt idx="1000">
                  <c:v>-0.300000000000022</c:v>
                </c:pt>
                <c:pt idx="1001">
                  <c:v>-0.300000000000022</c:v>
                </c:pt>
                <c:pt idx="1002">
                  <c:v>-0.300000000000022</c:v>
                </c:pt>
                <c:pt idx="1003">
                  <c:v>-0.300000000000022</c:v>
                </c:pt>
                <c:pt idx="1004">
                  <c:v>-0.300000000000022</c:v>
                </c:pt>
                <c:pt idx="1005">
                  <c:v>-0.300000000000022</c:v>
                </c:pt>
                <c:pt idx="1006">
                  <c:v>-0.300000000000022</c:v>
                </c:pt>
                <c:pt idx="1007">
                  <c:v>-0.300000000000022</c:v>
                </c:pt>
                <c:pt idx="1008">
                  <c:v>-0.300000000000022</c:v>
                </c:pt>
                <c:pt idx="1009">
                  <c:v>-0.300000000000022</c:v>
                </c:pt>
                <c:pt idx="1010">
                  <c:v>-0.300000000000022</c:v>
                </c:pt>
                <c:pt idx="1011">
                  <c:v>-0.300000000000022</c:v>
                </c:pt>
                <c:pt idx="1012">
                  <c:v>-0.300000000000022</c:v>
                </c:pt>
                <c:pt idx="1013">
                  <c:v>-0.300000000000022</c:v>
                </c:pt>
                <c:pt idx="1014">
                  <c:v>-0.300000000000022</c:v>
                </c:pt>
                <c:pt idx="1015">
                  <c:v>-0.300000000000022</c:v>
                </c:pt>
                <c:pt idx="1016">
                  <c:v>-0.300000000000022</c:v>
                </c:pt>
                <c:pt idx="1017">
                  <c:v>-0.300000000000022</c:v>
                </c:pt>
                <c:pt idx="1018">
                  <c:v>-0.300000000000022</c:v>
                </c:pt>
                <c:pt idx="1019">
                  <c:v>-0.300000000000022</c:v>
                </c:pt>
                <c:pt idx="1020">
                  <c:v>-0.300000000000022</c:v>
                </c:pt>
                <c:pt idx="1021">
                  <c:v>-0.300000000000022</c:v>
                </c:pt>
                <c:pt idx="1022">
                  <c:v>-0.300000000000022</c:v>
                </c:pt>
                <c:pt idx="1023">
                  <c:v>-0.300000000000022</c:v>
                </c:pt>
                <c:pt idx="1024">
                  <c:v>-0.300000000000022</c:v>
                </c:pt>
                <c:pt idx="1025">
                  <c:v>-0.300000000000022</c:v>
                </c:pt>
                <c:pt idx="1026">
                  <c:v>-0.300000000000022</c:v>
                </c:pt>
                <c:pt idx="1027">
                  <c:v>-0.300000000000022</c:v>
                </c:pt>
                <c:pt idx="1028">
                  <c:v>-0.300000000000022</c:v>
                </c:pt>
                <c:pt idx="1029">
                  <c:v>-0.300000000000022</c:v>
                </c:pt>
                <c:pt idx="1030">
                  <c:v>-0.300000000000022</c:v>
                </c:pt>
                <c:pt idx="1031">
                  <c:v>-0.300000000000022</c:v>
                </c:pt>
                <c:pt idx="1032">
                  <c:v>-0.300000000000022</c:v>
                </c:pt>
                <c:pt idx="1033">
                  <c:v>-0.300000000000022</c:v>
                </c:pt>
                <c:pt idx="1034">
                  <c:v>-0.300000000000022</c:v>
                </c:pt>
                <c:pt idx="1035">
                  <c:v>-0.300000000000022</c:v>
                </c:pt>
                <c:pt idx="1036">
                  <c:v>-0.300000000000022</c:v>
                </c:pt>
                <c:pt idx="1037">
                  <c:v>-0.300000000000022</c:v>
                </c:pt>
                <c:pt idx="1038">
                  <c:v>-0.300000000000022</c:v>
                </c:pt>
                <c:pt idx="1039">
                  <c:v>-0.300000000000022</c:v>
                </c:pt>
                <c:pt idx="1040">
                  <c:v>-0.300000000000022</c:v>
                </c:pt>
                <c:pt idx="1041">
                  <c:v>-0.300000000000022</c:v>
                </c:pt>
                <c:pt idx="1042">
                  <c:v>-0.300000000000022</c:v>
                </c:pt>
                <c:pt idx="1043">
                  <c:v>-0.300000000000022</c:v>
                </c:pt>
                <c:pt idx="1044">
                  <c:v>-0.300000000000022</c:v>
                </c:pt>
                <c:pt idx="1045">
                  <c:v>-0.300000000000022</c:v>
                </c:pt>
                <c:pt idx="1046">
                  <c:v>-0.300000000000022</c:v>
                </c:pt>
                <c:pt idx="1047">
                  <c:v>-0.300000000000022</c:v>
                </c:pt>
                <c:pt idx="1048">
                  <c:v>-0.300000000000022</c:v>
                </c:pt>
                <c:pt idx="1049">
                  <c:v>-0.300000000000022</c:v>
                </c:pt>
                <c:pt idx="1050">
                  <c:v>-0.300000000000022</c:v>
                </c:pt>
                <c:pt idx="1051">
                  <c:v>-0.300000000000022</c:v>
                </c:pt>
                <c:pt idx="1052">
                  <c:v>-0.300000000000022</c:v>
                </c:pt>
                <c:pt idx="1053">
                  <c:v>-0.300000000000022</c:v>
                </c:pt>
                <c:pt idx="1054">
                  <c:v>-0.300000000000022</c:v>
                </c:pt>
                <c:pt idx="1055">
                  <c:v>-0.300000000000022</c:v>
                </c:pt>
                <c:pt idx="1056">
                  <c:v>-0.300000000000022</c:v>
                </c:pt>
                <c:pt idx="1057">
                  <c:v>-0.300000000000022</c:v>
                </c:pt>
                <c:pt idx="1058">
                  <c:v>-0.300000000000022</c:v>
                </c:pt>
                <c:pt idx="1059">
                  <c:v>-0.300000000000022</c:v>
                </c:pt>
                <c:pt idx="1060">
                  <c:v>-0.300000000000022</c:v>
                </c:pt>
                <c:pt idx="1061">
                  <c:v>-0.300000000000022</c:v>
                </c:pt>
                <c:pt idx="1062">
                  <c:v>-0.300000000000022</c:v>
                </c:pt>
                <c:pt idx="1063">
                  <c:v>-0.300000000000022</c:v>
                </c:pt>
                <c:pt idx="1064">
                  <c:v>-0.300000000000022</c:v>
                </c:pt>
                <c:pt idx="1065">
                  <c:v>-0.300000000000022</c:v>
                </c:pt>
                <c:pt idx="1066">
                  <c:v>-0.300000000000022</c:v>
                </c:pt>
                <c:pt idx="1067">
                  <c:v>-0.300000000000022</c:v>
                </c:pt>
                <c:pt idx="1068">
                  <c:v>-0.300000000000022</c:v>
                </c:pt>
                <c:pt idx="1069">
                  <c:v>-0.300000000000022</c:v>
                </c:pt>
                <c:pt idx="1070">
                  <c:v>-0.300000000000022</c:v>
                </c:pt>
                <c:pt idx="1071">
                  <c:v>-0.300000000000022</c:v>
                </c:pt>
                <c:pt idx="1072">
                  <c:v>-0.300000000000022</c:v>
                </c:pt>
                <c:pt idx="1073">
                  <c:v>-0.300000000000022</c:v>
                </c:pt>
                <c:pt idx="1074">
                  <c:v>-0.300000000000022</c:v>
                </c:pt>
                <c:pt idx="1075">
                  <c:v>-0.300000000000022</c:v>
                </c:pt>
                <c:pt idx="1076">
                  <c:v>-0.300000000000022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7286088"/>
        <c:axId val="299168280"/>
      </c:lineChart>
      <c:catAx>
        <c:axId val="587286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168280"/>
        <c:crosses val="autoZero"/>
        <c:auto val="1"/>
        <c:lblAlgn val="ctr"/>
        <c:lblOffset val="100"/>
        <c:noMultiLvlLbl val="0"/>
      </c:catAx>
      <c:valAx>
        <c:axId val="29916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28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A_08_52_36_83_正!$K$3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A_08_52_36_83_正!$J$4:$J$885</c:f>
              <c:numCache>
                <c:formatCode>0.00_);[Red]\(0.00\)</c:formatCode>
                <c:ptCount val="882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0.267</c:v>
                </c:pt>
                <c:pt idx="8" c:formatCode="0.00_);[Red]\(0.00\)">
                  <c:v>0.301</c:v>
                </c:pt>
                <c:pt idx="9" c:formatCode="0.00_);[Red]\(0.00\)">
                  <c:v>0.334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0.435</c:v>
                </c:pt>
                <c:pt idx="13" c:formatCode="0.00_);[Red]\(0.00\)">
                  <c:v>0.468</c:v>
                </c:pt>
                <c:pt idx="14" c:formatCode="0.00_);[Red]\(0.00\)">
                  <c:v>0.501</c:v>
                </c:pt>
                <c:pt idx="15" c:formatCode="0.00_);[Red]\(0.00\)">
                  <c:v>0.535</c:v>
                </c:pt>
                <c:pt idx="16" c:formatCode="0.00_);[Red]\(0.00\)">
                  <c:v>0.568</c:v>
                </c:pt>
                <c:pt idx="17" c:formatCode="0.00_);[Red]\(0.00\)">
                  <c:v>0.602</c:v>
                </c:pt>
                <c:pt idx="18" c:formatCode="0.00_);[Red]\(0.00\)">
                  <c:v>0.635</c:v>
                </c:pt>
                <c:pt idx="19" c:formatCode="0.00_);[Red]\(0.00\)">
                  <c:v>0.669</c:v>
                </c:pt>
                <c:pt idx="20" c:formatCode="0.00_);[Red]\(0.00\)">
                  <c:v>0.702</c:v>
                </c:pt>
                <c:pt idx="21" c:formatCode="0.00_);[Red]\(0.00\)">
                  <c:v>0.736</c:v>
                </c:pt>
                <c:pt idx="22" c:formatCode="0.00_);[Red]\(0.00\)">
                  <c:v>0.769</c:v>
                </c:pt>
                <c:pt idx="23" c:formatCode="0.00_);[Red]\(0.00\)">
                  <c:v>0.802</c:v>
                </c:pt>
                <c:pt idx="24" c:formatCode="0.00_);[Red]\(0.00\)">
                  <c:v>0.836</c:v>
                </c:pt>
                <c:pt idx="25" c:formatCode="0.00_);[Red]\(0.00\)">
                  <c:v>0.869</c:v>
                </c:pt>
                <c:pt idx="26" c:formatCode="0.00_);[Red]\(0.00\)">
                  <c:v>0.903</c:v>
                </c:pt>
                <c:pt idx="27" c:formatCode="0.00_);[Red]\(0.00\)">
                  <c:v>0.936</c:v>
                </c:pt>
                <c:pt idx="28" c:formatCode="0.00_);[Red]\(0.00\)">
                  <c:v>0.97</c:v>
                </c:pt>
                <c:pt idx="29" c:formatCode="0.00_);[Red]\(0.00\)">
                  <c:v>1.003</c:v>
                </c:pt>
                <c:pt idx="30" c:formatCode="0.00_);[Red]\(0.00\)">
                  <c:v>1.036</c:v>
                </c:pt>
                <c:pt idx="31" c:formatCode="0.00_);[Red]\(0.00\)">
                  <c:v>1.07</c:v>
                </c:pt>
                <c:pt idx="32" c:formatCode="0.00_);[Red]\(0.00\)">
                  <c:v>1.103</c:v>
                </c:pt>
                <c:pt idx="33" c:formatCode="0.00_);[Red]\(0.00\)">
                  <c:v>1.137</c:v>
                </c:pt>
                <c:pt idx="34" c:formatCode="0.00_);[Red]\(0.00\)">
                  <c:v>1.17</c:v>
                </c:pt>
                <c:pt idx="35" c:formatCode="0.00_);[Red]\(0.00\)">
                  <c:v>1.204</c:v>
                </c:pt>
                <c:pt idx="36" c:formatCode="0.00_);[Red]\(0.00\)">
                  <c:v>1.237</c:v>
                </c:pt>
                <c:pt idx="37" c:formatCode="0.00_);[Red]\(0.00\)">
                  <c:v>1.27</c:v>
                </c:pt>
                <c:pt idx="38" c:formatCode="0.00_);[Red]\(0.00\)">
                  <c:v>1.304</c:v>
                </c:pt>
                <c:pt idx="39" c:formatCode="0.00_);[Red]\(0.00\)">
                  <c:v>1.337</c:v>
                </c:pt>
                <c:pt idx="40" c:formatCode="0.00_);[Red]\(0.00\)">
                  <c:v>1.371</c:v>
                </c:pt>
                <c:pt idx="41" c:formatCode="0.00_);[Red]\(0.00\)">
                  <c:v>1.404</c:v>
                </c:pt>
                <c:pt idx="42" c:formatCode="0.00_);[Red]\(0.00\)">
                  <c:v>1.438</c:v>
                </c:pt>
                <c:pt idx="43" c:formatCode="0.00_);[Red]\(0.00\)">
                  <c:v>1.471</c:v>
                </c:pt>
                <c:pt idx="44" c:formatCode="0.00_);[Red]\(0.00\)">
                  <c:v>1.504</c:v>
                </c:pt>
                <c:pt idx="45" c:formatCode="0.00_);[Red]\(0.00\)">
                  <c:v>1.538</c:v>
                </c:pt>
                <c:pt idx="46" c:formatCode="0.00_);[Red]\(0.00\)">
                  <c:v>1.571</c:v>
                </c:pt>
                <c:pt idx="47" c:formatCode="0.00_);[Red]\(0.00\)">
                  <c:v>1.605</c:v>
                </c:pt>
                <c:pt idx="48" c:formatCode="0.00_);[Red]\(0.00\)">
                  <c:v>1.638</c:v>
                </c:pt>
                <c:pt idx="49" c:formatCode="0.00_);[Red]\(0.00\)">
                  <c:v>1.672</c:v>
                </c:pt>
                <c:pt idx="50" c:formatCode="0.00_);[Red]\(0.00\)">
                  <c:v>1.705</c:v>
                </c:pt>
                <c:pt idx="51" c:formatCode="0.00_);[Red]\(0.00\)">
                  <c:v>1.739</c:v>
                </c:pt>
                <c:pt idx="52" c:formatCode="0.00_);[Red]\(0.00\)">
                  <c:v>1.772</c:v>
                </c:pt>
                <c:pt idx="53" c:formatCode="0.00_);[Red]\(0.00\)">
                  <c:v>1.805</c:v>
                </c:pt>
                <c:pt idx="54" c:formatCode="0.00_);[Red]\(0.00\)">
                  <c:v>1.839</c:v>
                </c:pt>
                <c:pt idx="55" c:formatCode="0.00_);[Red]\(0.00\)">
                  <c:v>1.872</c:v>
                </c:pt>
                <c:pt idx="56" c:formatCode="0.00_);[Red]\(0.00\)">
                  <c:v>1.906</c:v>
                </c:pt>
                <c:pt idx="57" c:formatCode="0.00_);[Red]\(0.00\)">
                  <c:v>1.939</c:v>
                </c:pt>
                <c:pt idx="58" c:formatCode="0.00_);[Red]\(0.00\)">
                  <c:v>1.973</c:v>
                </c:pt>
                <c:pt idx="59" c:formatCode="0.00_);[Red]\(0.00\)">
                  <c:v>2.006</c:v>
                </c:pt>
                <c:pt idx="60" c:formatCode="0.00_);[Red]\(0.00\)">
                  <c:v>2.039</c:v>
                </c:pt>
                <c:pt idx="61" c:formatCode="0.00_);[Red]\(0.00\)">
                  <c:v>2.073</c:v>
                </c:pt>
                <c:pt idx="62" c:formatCode="0.00_);[Red]\(0.00\)">
                  <c:v>2.106</c:v>
                </c:pt>
                <c:pt idx="63" c:formatCode="0.00_);[Red]\(0.00\)">
                  <c:v>2.14</c:v>
                </c:pt>
                <c:pt idx="64" c:formatCode="0.00_);[Red]\(0.00\)">
                  <c:v>2.173</c:v>
                </c:pt>
                <c:pt idx="65" c:formatCode="0.00_);[Red]\(0.00\)">
                  <c:v>2.207</c:v>
                </c:pt>
                <c:pt idx="66" c:formatCode="0.00_);[Red]\(0.00\)">
                  <c:v>2.24</c:v>
                </c:pt>
                <c:pt idx="67" c:formatCode="0.00_);[Red]\(0.00\)">
                  <c:v>2.273</c:v>
                </c:pt>
                <c:pt idx="68" c:formatCode="0.00_);[Red]\(0.00\)">
                  <c:v>2.307</c:v>
                </c:pt>
                <c:pt idx="69" c:formatCode="0.00_);[Red]\(0.00\)">
                  <c:v>2.34</c:v>
                </c:pt>
                <c:pt idx="70" c:formatCode="0.00_);[Red]\(0.00\)">
                  <c:v>2.374</c:v>
                </c:pt>
                <c:pt idx="71" c:formatCode="0.00_);[Red]\(0.00\)">
                  <c:v>2.407</c:v>
                </c:pt>
                <c:pt idx="72" c:formatCode="0.00_);[Red]\(0.00\)">
                  <c:v>2.441</c:v>
                </c:pt>
                <c:pt idx="73" c:formatCode="0.00_);[Red]\(0.00\)">
                  <c:v>2.474</c:v>
                </c:pt>
                <c:pt idx="74" c:formatCode="0.00_);[Red]\(0.00\)">
                  <c:v>2.507</c:v>
                </c:pt>
                <c:pt idx="75" c:formatCode="0.00_);[Red]\(0.00\)">
                  <c:v>2.541</c:v>
                </c:pt>
                <c:pt idx="76" c:formatCode="0.00_);[Red]\(0.00\)">
                  <c:v>2.574</c:v>
                </c:pt>
                <c:pt idx="77" c:formatCode="0.00_);[Red]\(0.00\)">
                  <c:v>2.608</c:v>
                </c:pt>
                <c:pt idx="78" c:formatCode="0.00_);[Red]\(0.00\)">
                  <c:v>2.641</c:v>
                </c:pt>
                <c:pt idx="79" c:formatCode="0.00_);[Red]\(0.00\)">
                  <c:v>2.675</c:v>
                </c:pt>
                <c:pt idx="80" c:formatCode="0.00_);[Red]\(0.00\)">
                  <c:v>2.708</c:v>
                </c:pt>
                <c:pt idx="81" c:formatCode="0.00_);[Red]\(0.00\)">
                  <c:v>2.742</c:v>
                </c:pt>
                <c:pt idx="82" c:formatCode="0.00_);[Red]\(0.00\)">
                  <c:v>2.775</c:v>
                </c:pt>
                <c:pt idx="83" c:formatCode="0.00_);[Red]\(0.00\)">
                  <c:v>2.808</c:v>
                </c:pt>
                <c:pt idx="84" c:formatCode="0.00_);[Red]\(0.00\)">
                  <c:v>2.842</c:v>
                </c:pt>
                <c:pt idx="85" c:formatCode="0.00_);[Red]\(0.00\)">
                  <c:v>2.875</c:v>
                </c:pt>
                <c:pt idx="86" c:formatCode="0.00_);[Red]\(0.00\)">
                  <c:v>2.909</c:v>
                </c:pt>
                <c:pt idx="87" c:formatCode="0.00_);[Red]\(0.00\)">
                  <c:v>2.942</c:v>
                </c:pt>
                <c:pt idx="88" c:formatCode="0.00_);[Red]\(0.00\)">
                  <c:v>2.976</c:v>
                </c:pt>
                <c:pt idx="89" c:formatCode="0.00_);[Red]\(0.00\)">
                  <c:v>3.009</c:v>
                </c:pt>
                <c:pt idx="90" c:formatCode="0.00_);[Red]\(0.00\)">
                  <c:v>3.042</c:v>
                </c:pt>
                <c:pt idx="91" c:formatCode="0.00_);[Red]\(0.00\)">
                  <c:v>3.076</c:v>
                </c:pt>
                <c:pt idx="92" c:formatCode="0.00_);[Red]\(0.00\)">
                  <c:v>3.109</c:v>
                </c:pt>
                <c:pt idx="93" c:formatCode="0.00_);[Red]\(0.00\)">
                  <c:v>3.143</c:v>
                </c:pt>
                <c:pt idx="94" c:formatCode="0.00_);[Red]\(0.00\)">
                  <c:v>3.176</c:v>
                </c:pt>
                <c:pt idx="95" c:formatCode="0.00_);[Red]\(0.00\)">
                  <c:v>3.21</c:v>
                </c:pt>
                <c:pt idx="96" c:formatCode="0.00_);[Red]\(0.00\)">
                  <c:v>3.243</c:v>
                </c:pt>
                <c:pt idx="97" c:formatCode="0.00_);[Red]\(0.00\)">
                  <c:v>3.276</c:v>
                </c:pt>
                <c:pt idx="98" c:formatCode="0.00_);[Red]\(0.00\)">
                  <c:v>3.31</c:v>
                </c:pt>
                <c:pt idx="99" c:formatCode="0.00_);[Red]\(0.00\)">
                  <c:v>3.343</c:v>
                </c:pt>
                <c:pt idx="100" c:formatCode="0.00_);[Red]\(0.00\)">
                  <c:v>3.377</c:v>
                </c:pt>
                <c:pt idx="101" c:formatCode="0.00_);[Red]\(0.00\)">
                  <c:v>3.41</c:v>
                </c:pt>
                <c:pt idx="102" c:formatCode="0.00_);[Red]\(0.00\)">
                  <c:v>3.444</c:v>
                </c:pt>
                <c:pt idx="103" c:formatCode="0.00_);[Red]\(0.00\)">
                  <c:v>3.477</c:v>
                </c:pt>
                <c:pt idx="104" c:formatCode="0.00_);[Red]\(0.00\)">
                  <c:v>3.51</c:v>
                </c:pt>
                <c:pt idx="105" c:formatCode="0.00_);[Red]\(0.00\)">
                  <c:v>3.544</c:v>
                </c:pt>
                <c:pt idx="106" c:formatCode="0.00_);[Red]\(0.00\)">
                  <c:v>3.577</c:v>
                </c:pt>
                <c:pt idx="107" c:formatCode="0.00_);[Red]\(0.00\)">
                  <c:v>3.611</c:v>
                </c:pt>
                <c:pt idx="108" c:formatCode="0.00_);[Red]\(0.00\)">
                  <c:v>3.644</c:v>
                </c:pt>
                <c:pt idx="109" c:formatCode="0.00_);[Red]\(0.00\)">
                  <c:v>3.678</c:v>
                </c:pt>
                <c:pt idx="110" c:formatCode="0.00_);[Red]\(0.00\)">
                  <c:v>3.711</c:v>
                </c:pt>
                <c:pt idx="111" c:formatCode="0.00_);[Red]\(0.00\)">
                  <c:v>3.745</c:v>
                </c:pt>
                <c:pt idx="112" c:formatCode="0.00_);[Red]\(0.00\)">
                  <c:v>3.778</c:v>
                </c:pt>
                <c:pt idx="113" c:formatCode="0.00_);[Red]\(0.00\)">
                  <c:v>3.811</c:v>
                </c:pt>
                <c:pt idx="114" c:formatCode="0.00_);[Red]\(0.00\)">
                  <c:v>3.845</c:v>
                </c:pt>
                <c:pt idx="115" c:formatCode="0.00_);[Red]\(0.00\)">
                  <c:v>3.878</c:v>
                </c:pt>
                <c:pt idx="116" c:formatCode="0.00_);[Red]\(0.00\)">
                  <c:v>3.912</c:v>
                </c:pt>
                <c:pt idx="117" c:formatCode="0.00_);[Red]\(0.00\)">
                  <c:v>3.945</c:v>
                </c:pt>
                <c:pt idx="118" c:formatCode="0.00_);[Red]\(0.00\)">
                  <c:v>3.979</c:v>
                </c:pt>
                <c:pt idx="119" c:formatCode="0.00_);[Red]\(0.00\)">
                  <c:v>4.012</c:v>
                </c:pt>
                <c:pt idx="120" c:formatCode="0.00_);[Red]\(0.00\)">
                  <c:v>4.045</c:v>
                </c:pt>
                <c:pt idx="121" c:formatCode="0.00_);[Red]\(0.00\)">
                  <c:v>4.079</c:v>
                </c:pt>
                <c:pt idx="122" c:formatCode="0.00_);[Red]\(0.00\)">
                  <c:v>4.112</c:v>
                </c:pt>
                <c:pt idx="123" c:formatCode="0.00_);[Red]\(0.00\)">
                  <c:v>4.146</c:v>
                </c:pt>
                <c:pt idx="124" c:formatCode="0.00_);[Red]\(0.00\)">
                  <c:v>4.179</c:v>
                </c:pt>
                <c:pt idx="125" c:formatCode="0.00_);[Red]\(0.00\)">
                  <c:v>4.213</c:v>
                </c:pt>
                <c:pt idx="126" c:formatCode="0.00_);[Red]\(0.00\)">
                  <c:v>4.246</c:v>
                </c:pt>
                <c:pt idx="127" c:formatCode="0.00_);[Red]\(0.00\)">
                  <c:v>4.279</c:v>
                </c:pt>
                <c:pt idx="128" c:formatCode="0.00_);[Red]\(0.00\)">
                  <c:v>4.313</c:v>
                </c:pt>
                <c:pt idx="129" c:formatCode="0.00_);[Red]\(0.00\)">
                  <c:v>4.346</c:v>
                </c:pt>
                <c:pt idx="130" c:formatCode="0.00_);[Red]\(0.00\)">
                  <c:v>4.38</c:v>
                </c:pt>
                <c:pt idx="131" c:formatCode="0.00_);[Red]\(0.00\)">
                  <c:v>4.413</c:v>
                </c:pt>
                <c:pt idx="132" c:formatCode="0.00_);[Red]\(0.00\)">
                  <c:v>4.447</c:v>
                </c:pt>
                <c:pt idx="133" c:formatCode="0.00_);[Red]\(0.00\)">
                  <c:v>4.48</c:v>
                </c:pt>
                <c:pt idx="134" c:formatCode="0.00_);[Red]\(0.00\)">
                  <c:v>4.513</c:v>
                </c:pt>
                <c:pt idx="135" c:formatCode="0.00_);[Red]\(0.00\)">
                  <c:v>4.547</c:v>
                </c:pt>
                <c:pt idx="136" c:formatCode="0.00_);[Red]\(0.00\)">
                  <c:v>4.58</c:v>
                </c:pt>
                <c:pt idx="137" c:formatCode="0.00_);[Red]\(0.00\)">
                  <c:v>4.614</c:v>
                </c:pt>
                <c:pt idx="138" c:formatCode="0.00_);[Red]\(0.00\)">
                  <c:v>4.647</c:v>
                </c:pt>
                <c:pt idx="139" c:formatCode="0.00_);[Red]\(0.00\)">
                  <c:v>4.681</c:v>
                </c:pt>
                <c:pt idx="140" c:formatCode="0.00_);[Red]\(0.00\)">
                  <c:v>4.714</c:v>
                </c:pt>
                <c:pt idx="141" c:formatCode="0.00_);[Red]\(0.00\)">
                  <c:v>4.748</c:v>
                </c:pt>
                <c:pt idx="142" c:formatCode="0.00_);[Red]\(0.00\)">
                  <c:v>4.781</c:v>
                </c:pt>
                <c:pt idx="143" c:formatCode="0.00_);[Red]\(0.00\)">
                  <c:v>4.814</c:v>
                </c:pt>
                <c:pt idx="144" c:formatCode="0.00_);[Red]\(0.00\)">
                  <c:v>4.848</c:v>
                </c:pt>
                <c:pt idx="145" c:formatCode="0.00_);[Red]\(0.00\)">
                  <c:v>4.881</c:v>
                </c:pt>
                <c:pt idx="146" c:formatCode="0.00_);[Red]\(0.00\)">
                  <c:v>4.915</c:v>
                </c:pt>
                <c:pt idx="147" c:formatCode="0.00_);[Red]\(0.00\)">
                  <c:v>4.948</c:v>
                </c:pt>
                <c:pt idx="148" c:formatCode="0.00_);[Red]\(0.00\)">
                  <c:v>4.982</c:v>
                </c:pt>
                <c:pt idx="149" c:formatCode="0.00_);[Red]\(0.00\)">
                  <c:v>5.015</c:v>
                </c:pt>
                <c:pt idx="150" c:formatCode="0.00_);[Red]\(0.00\)">
                  <c:v>5.048</c:v>
                </c:pt>
                <c:pt idx="151" c:formatCode="0.00_);[Red]\(0.00\)">
                  <c:v>5.082</c:v>
                </c:pt>
                <c:pt idx="152" c:formatCode="0.00_);[Red]\(0.00\)">
                  <c:v>5.115</c:v>
                </c:pt>
                <c:pt idx="153" c:formatCode="0.00_);[Red]\(0.00\)">
                  <c:v>5.149</c:v>
                </c:pt>
                <c:pt idx="154" c:formatCode="0.00_);[Red]\(0.00\)">
                  <c:v>5.182</c:v>
                </c:pt>
                <c:pt idx="155" c:formatCode="0.00_);[Red]\(0.00\)">
                  <c:v>5.216</c:v>
                </c:pt>
                <c:pt idx="156" c:formatCode="0.00_);[Red]\(0.00\)">
                  <c:v>5.249</c:v>
                </c:pt>
                <c:pt idx="157" c:formatCode="0.00_);[Red]\(0.00\)">
                  <c:v>5.282</c:v>
                </c:pt>
                <c:pt idx="158" c:formatCode="0.00_);[Red]\(0.00\)">
                  <c:v>5.316</c:v>
                </c:pt>
                <c:pt idx="159" c:formatCode="0.00_);[Red]\(0.00\)">
                  <c:v>5.349</c:v>
                </c:pt>
                <c:pt idx="160" c:formatCode="0.00_);[Red]\(0.00\)">
                  <c:v>5.383</c:v>
                </c:pt>
                <c:pt idx="161" c:formatCode="0.00_);[Red]\(0.00\)">
                  <c:v>5.416</c:v>
                </c:pt>
                <c:pt idx="162" c:formatCode="0.00_);[Red]\(0.00\)">
                  <c:v>5.45</c:v>
                </c:pt>
                <c:pt idx="163" c:formatCode="0.00_);[Red]\(0.00\)">
                  <c:v>5.483</c:v>
                </c:pt>
                <c:pt idx="164" c:formatCode="0.00_);[Red]\(0.00\)">
                  <c:v>5.516</c:v>
                </c:pt>
                <c:pt idx="165" c:formatCode="0.00_);[Red]\(0.00\)">
                  <c:v>5.55</c:v>
                </c:pt>
                <c:pt idx="166" c:formatCode="0.00_);[Red]\(0.00\)">
                  <c:v>5.583</c:v>
                </c:pt>
                <c:pt idx="167" c:formatCode="0.00_);[Red]\(0.00\)">
                  <c:v>5.617</c:v>
                </c:pt>
                <c:pt idx="168" c:formatCode="0.00_);[Red]\(0.00\)">
                  <c:v>5.65</c:v>
                </c:pt>
                <c:pt idx="169" c:formatCode="0.00_);[Red]\(0.00\)">
                  <c:v>5.684</c:v>
                </c:pt>
                <c:pt idx="170" c:formatCode="0.00_);[Red]\(0.00\)">
                  <c:v>5.717</c:v>
                </c:pt>
                <c:pt idx="171" c:formatCode="0.00_);[Red]\(0.00\)">
                  <c:v>5.751</c:v>
                </c:pt>
                <c:pt idx="172" c:formatCode="0.00_);[Red]\(0.00\)">
                  <c:v>5.784</c:v>
                </c:pt>
                <c:pt idx="173" c:formatCode="0.00_);[Red]\(0.00\)">
                  <c:v>5.817</c:v>
                </c:pt>
                <c:pt idx="174" c:formatCode="0.00_);[Red]\(0.00\)">
                  <c:v>5.851</c:v>
                </c:pt>
                <c:pt idx="175" c:formatCode="0.00_);[Red]\(0.00\)">
                  <c:v>5.884</c:v>
                </c:pt>
                <c:pt idx="176" c:formatCode="0.00_);[Red]\(0.00\)">
                  <c:v>5.918</c:v>
                </c:pt>
                <c:pt idx="177" c:formatCode="0.00_);[Red]\(0.00\)">
                  <c:v>5.951</c:v>
                </c:pt>
                <c:pt idx="178" c:formatCode="0.00_);[Red]\(0.00\)">
                  <c:v>5.985</c:v>
                </c:pt>
                <c:pt idx="179" c:formatCode="0.00_);[Red]\(0.00\)">
                  <c:v>6.018</c:v>
                </c:pt>
                <c:pt idx="180" c:formatCode="0.00_);[Red]\(0.00\)">
                  <c:v>6.051</c:v>
                </c:pt>
                <c:pt idx="181" c:formatCode="0.00_);[Red]\(0.00\)">
                  <c:v>6.085</c:v>
                </c:pt>
                <c:pt idx="182" c:formatCode="0.00_);[Red]\(0.00\)">
                  <c:v>6.118</c:v>
                </c:pt>
                <c:pt idx="183" c:formatCode="0.00_);[Red]\(0.00\)">
                  <c:v>6.152</c:v>
                </c:pt>
                <c:pt idx="184" c:formatCode="0.00_);[Red]\(0.00\)">
                  <c:v>6.185</c:v>
                </c:pt>
                <c:pt idx="185" c:formatCode="0.00_);[Red]\(0.00\)">
                  <c:v>6.219</c:v>
                </c:pt>
                <c:pt idx="186" c:formatCode="0.00_);[Red]\(0.00\)">
                  <c:v>6.252</c:v>
                </c:pt>
                <c:pt idx="187" c:formatCode="0.00_);[Red]\(0.00\)">
                  <c:v>6.285</c:v>
                </c:pt>
                <c:pt idx="188" c:formatCode="0.00_);[Red]\(0.00\)">
                  <c:v>6.319</c:v>
                </c:pt>
                <c:pt idx="189" c:formatCode="0.00_);[Red]\(0.00\)">
                  <c:v>6.352</c:v>
                </c:pt>
                <c:pt idx="190" c:formatCode="0.00_);[Red]\(0.00\)">
                  <c:v>6.386</c:v>
                </c:pt>
                <c:pt idx="191" c:formatCode="0.00_);[Red]\(0.00\)">
                  <c:v>6.419</c:v>
                </c:pt>
                <c:pt idx="192" c:formatCode="0.00_);[Red]\(0.00\)">
                  <c:v>6.453</c:v>
                </c:pt>
                <c:pt idx="193" c:formatCode="0.00_);[Red]\(0.00\)">
                  <c:v>6.486</c:v>
                </c:pt>
                <c:pt idx="194" c:formatCode="0.00_);[Red]\(0.00\)">
                  <c:v>6.519</c:v>
                </c:pt>
                <c:pt idx="195" c:formatCode="0.00_);[Red]\(0.00\)">
                  <c:v>6.553</c:v>
                </c:pt>
                <c:pt idx="196" c:formatCode="0.00_);[Red]\(0.00\)">
                  <c:v>6.586</c:v>
                </c:pt>
                <c:pt idx="197" c:formatCode="0.00_);[Red]\(0.00\)">
                  <c:v>6.62</c:v>
                </c:pt>
                <c:pt idx="198" c:formatCode="0.00_);[Red]\(0.00\)">
                  <c:v>6.653</c:v>
                </c:pt>
                <c:pt idx="199" c:formatCode="0.00_);[Red]\(0.00\)">
                  <c:v>6.687</c:v>
                </c:pt>
                <c:pt idx="200" c:formatCode="0.00_);[Red]\(0.00\)">
                  <c:v>6.72</c:v>
                </c:pt>
                <c:pt idx="201" c:formatCode="0.00_);[Red]\(0.00\)">
                  <c:v>6.754</c:v>
                </c:pt>
                <c:pt idx="202" c:formatCode="0.00_);[Red]\(0.00\)">
                  <c:v>6.787</c:v>
                </c:pt>
                <c:pt idx="203" c:formatCode="0.00_);[Red]\(0.00\)">
                  <c:v>6.82</c:v>
                </c:pt>
                <c:pt idx="204" c:formatCode="0.00_);[Red]\(0.00\)">
                  <c:v>6.854</c:v>
                </c:pt>
                <c:pt idx="205" c:formatCode="0.00_);[Red]\(0.00\)">
                  <c:v>6.887</c:v>
                </c:pt>
                <c:pt idx="206" c:formatCode="0.00_);[Red]\(0.00\)">
                  <c:v>6.921</c:v>
                </c:pt>
                <c:pt idx="207" c:formatCode="0.00_);[Red]\(0.00\)">
                  <c:v>6.954</c:v>
                </c:pt>
                <c:pt idx="208" c:formatCode="0.00_);[Red]\(0.00\)">
                  <c:v>6.988</c:v>
                </c:pt>
                <c:pt idx="209" c:formatCode="0.00_);[Red]\(0.00\)">
                  <c:v>7.021</c:v>
                </c:pt>
                <c:pt idx="210" c:formatCode="0.00_);[Red]\(0.00\)">
                  <c:v>7.054</c:v>
                </c:pt>
                <c:pt idx="211" c:formatCode="0.00_);[Red]\(0.00\)">
                  <c:v>7.088</c:v>
                </c:pt>
                <c:pt idx="212" c:formatCode="0.00_);[Red]\(0.00\)">
                  <c:v>7.121</c:v>
                </c:pt>
                <c:pt idx="213" c:formatCode="0.00_);[Red]\(0.00\)">
                  <c:v>7.155</c:v>
                </c:pt>
                <c:pt idx="214" c:formatCode="0.00_);[Red]\(0.00\)">
                  <c:v>7.188</c:v>
                </c:pt>
                <c:pt idx="215" c:formatCode="0.00_);[Red]\(0.00\)">
                  <c:v>7.222</c:v>
                </c:pt>
                <c:pt idx="216" c:formatCode="0.00_);[Red]\(0.00\)">
                  <c:v>7.255</c:v>
                </c:pt>
                <c:pt idx="217" c:formatCode="0.00_);[Red]\(0.00\)">
                  <c:v>7.288</c:v>
                </c:pt>
                <c:pt idx="218" c:formatCode="0.00_);[Red]\(0.00\)">
                  <c:v>7.322</c:v>
                </c:pt>
                <c:pt idx="219" c:formatCode="0.00_);[Red]\(0.00\)">
                  <c:v>7.355</c:v>
                </c:pt>
                <c:pt idx="220" c:formatCode="0.00_);[Red]\(0.00\)">
                  <c:v>7.389</c:v>
                </c:pt>
                <c:pt idx="221" c:formatCode="0.00_);[Red]\(0.00\)">
                  <c:v>7.422</c:v>
                </c:pt>
                <c:pt idx="222" c:formatCode="0.00_);[Red]\(0.00\)">
                  <c:v>7.456</c:v>
                </c:pt>
                <c:pt idx="223" c:formatCode="0.00_);[Red]\(0.00\)">
                  <c:v>7.489</c:v>
                </c:pt>
                <c:pt idx="224" c:formatCode="0.00_);[Red]\(0.00\)">
                  <c:v>7.522</c:v>
                </c:pt>
                <c:pt idx="225" c:formatCode="0.00_);[Red]\(0.00\)">
                  <c:v>7.556</c:v>
                </c:pt>
                <c:pt idx="226" c:formatCode="0.00_);[Red]\(0.00\)">
                  <c:v>7.589</c:v>
                </c:pt>
                <c:pt idx="227" c:formatCode="0.00_);[Red]\(0.00\)">
                  <c:v>7.623</c:v>
                </c:pt>
                <c:pt idx="228" c:formatCode="0.00_);[Red]\(0.00\)">
                  <c:v>7.656</c:v>
                </c:pt>
                <c:pt idx="229" c:formatCode="0.00_);[Red]\(0.00\)">
                  <c:v>7.69</c:v>
                </c:pt>
                <c:pt idx="230" c:formatCode="0.00_);[Red]\(0.00\)">
                  <c:v>7.723</c:v>
                </c:pt>
                <c:pt idx="231" c:formatCode="0.00_);[Red]\(0.00\)">
                  <c:v>7.756</c:v>
                </c:pt>
                <c:pt idx="232" c:formatCode="0.00_);[Red]\(0.00\)">
                  <c:v>7.79</c:v>
                </c:pt>
                <c:pt idx="233" c:formatCode="0.00_);[Red]\(0.00\)">
                  <c:v>7.823</c:v>
                </c:pt>
                <c:pt idx="234" c:formatCode="0.00_);[Red]\(0.00\)">
                  <c:v>7.857</c:v>
                </c:pt>
                <c:pt idx="235" c:formatCode="0.00_);[Red]\(0.00\)">
                  <c:v>7.89</c:v>
                </c:pt>
                <c:pt idx="236" c:formatCode="0.00_);[Red]\(0.00\)">
                  <c:v>7.924</c:v>
                </c:pt>
                <c:pt idx="237" c:formatCode="0.00_);[Red]\(0.00\)">
                  <c:v>7.957</c:v>
                </c:pt>
                <c:pt idx="238" c:formatCode="0.00_);[Red]\(0.00\)">
                  <c:v>7.991</c:v>
                </c:pt>
                <c:pt idx="239" c:formatCode="0.00_);[Red]\(0.00\)">
                  <c:v>8.024</c:v>
                </c:pt>
                <c:pt idx="240" c:formatCode="0.00_);[Red]\(0.00\)">
                  <c:v>8.057</c:v>
                </c:pt>
                <c:pt idx="241" c:formatCode="0.00_);[Red]\(0.00\)">
                  <c:v>8.091</c:v>
                </c:pt>
                <c:pt idx="242" c:formatCode="0.00_);[Red]\(0.00\)">
                  <c:v>8.124</c:v>
                </c:pt>
                <c:pt idx="243" c:formatCode="0.00_);[Red]\(0.00\)">
                  <c:v>8.158</c:v>
                </c:pt>
                <c:pt idx="244" c:formatCode="0.00_);[Red]\(0.00\)">
                  <c:v>8.191</c:v>
                </c:pt>
                <c:pt idx="245" c:formatCode="0.00_);[Red]\(0.00\)">
                  <c:v>8.225</c:v>
                </c:pt>
                <c:pt idx="246" c:formatCode="0.00_);[Red]\(0.00\)">
                  <c:v>8.258</c:v>
                </c:pt>
                <c:pt idx="247" c:formatCode="0.00_);[Red]\(0.00\)">
                  <c:v>8.291</c:v>
                </c:pt>
                <c:pt idx="248" c:formatCode="0.00_);[Red]\(0.00\)">
                  <c:v>8.325</c:v>
                </c:pt>
                <c:pt idx="249" c:formatCode="0.00_);[Red]\(0.00\)">
                  <c:v>8.358</c:v>
                </c:pt>
                <c:pt idx="250" c:formatCode="0.00_);[Red]\(0.00\)">
                  <c:v>8.392</c:v>
                </c:pt>
                <c:pt idx="251" c:formatCode="0.00_);[Red]\(0.00\)">
                  <c:v>8.425</c:v>
                </c:pt>
                <c:pt idx="252" c:formatCode="0.00_);[Red]\(0.00\)">
                  <c:v>8.459</c:v>
                </c:pt>
                <c:pt idx="253" c:formatCode="0.00_);[Red]\(0.00\)">
                  <c:v>8.492</c:v>
                </c:pt>
                <c:pt idx="254" c:formatCode="0.00_);[Red]\(0.00\)">
                  <c:v>8.525</c:v>
                </c:pt>
                <c:pt idx="255" c:formatCode="0.00_);[Red]\(0.00\)">
                  <c:v>8.559</c:v>
                </c:pt>
                <c:pt idx="256" c:formatCode="0.00_);[Red]\(0.00\)">
                  <c:v>8.592</c:v>
                </c:pt>
                <c:pt idx="257" c:formatCode="0.00_);[Red]\(0.00\)">
                  <c:v>8.626</c:v>
                </c:pt>
                <c:pt idx="258" c:formatCode="0.00_);[Red]\(0.00\)">
                  <c:v>8.659</c:v>
                </c:pt>
                <c:pt idx="259" c:formatCode="0.00_);[Red]\(0.00\)">
                  <c:v>8.693</c:v>
                </c:pt>
                <c:pt idx="260" c:formatCode="0.00_);[Red]\(0.00\)">
                  <c:v>8.726</c:v>
                </c:pt>
                <c:pt idx="261" c:formatCode="0.00_);[Red]\(0.00\)">
                  <c:v>8.759</c:v>
                </c:pt>
                <c:pt idx="262" c:formatCode="0.00_);[Red]\(0.00\)">
                  <c:v>8.793</c:v>
                </c:pt>
                <c:pt idx="263" c:formatCode="0.00_);[Red]\(0.00\)">
                  <c:v>8.826</c:v>
                </c:pt>
                <c:pt idx="264" c:formatCode="0.00_);[Red]\(0.00\)">
                  <c:v>8.86</c:v>
                </c:pt>
                <c:pt idx="265" c:formatCode="0.00_);[Red]\(0.00\)">
                  <c:v>8.893</c:v>
                </c:pt>
                <c:pt idx="266" c:formatCode="0.00_);[Red]\(0.00\)">
                  <c:v>8.927</c:v>
                </c:pt>
                <c:pt idx="267" c:formatCode="0.00_);[Red]\(0.00\)">
                  <c:v>8.96</c:v>
                </c:pt>
                <c:pt idx="268" c:formatCode="0.00_);[Red]\(0.00\)">
                  <c:v>8.994</c:v>
                </c:pt>
                <c:pt idx="269" c:formatCode="0.00_);[Red]\(0.00\)">
                  <c:v>9.027</c:v>
                </c:pt>
                <c:pt idx="270" c:formatCode="0.00_);[Red]\(0.00\)">
                  <c:v>9.06</c:v>
                </c:pt>
                <c:pt idx="271" c:formatCode="0.00_);[Red]\(0.00\)">
                  <c:v>9.094</c:v>
                </c:pt>
                <c:pt idx="272" c:formatCode="0.00_);[Red]\(0.00\)">
                  <c:v>9.127</c:v>
                </c:pt>
                <c:pt idx="273" c:formatCode="0.00_);[Red]\(0.00\)">
                  <c:v>9.161</c:v>
                </c:pt>
                <c:pt idx="274" c:formatCode="0.00_);[Red]\(0.00\)">
                  <c:v>9.194</c:v>
                </c:pt>
                <c:pt idx="275" c:formatCode="0.00_);[Red]\(0.00\)">
                  <c:v>9.228</c:v>
                </c:pt>
                <c:pt idx="276" c:formatCode="0.00_);[Red]\(0.00\)">
                  <c:v>9.261</c:v>
                </c:pt>
                <c:pt idx="277" c:formatCode="0.00_);[Red]\(0.00\)">
                  <c:v>9.294</c:v>
                </c:pt>
                <c:pt idx="278" c:formatCode="0.00_);[Red]\(0.00\)">
                  <c:v>9.328</c:v>
                </c:pt>
                <c:pt idx="279" c:formatCode="0.00_);[Red]\(0.00\)">
                  <c:v>9.361</c:v>
                </c:pt>
                <c:pt idx="280" c:formatCode="0.00_);[Red]\(0.00\)">
                  <c:v>9.395</c:v>
                </c:pt>
                <c:pt idx="281" c:formatCode="0.00_);[Red]\(0.00\)">
                  <c:v>9.428</c:v>
                </c:pt>
                <c:pt idx="282" c:formatCode="0.00_);[Red]\(0.00\)">
                  <c:v>9.462</c:v>
                </c:pt>
                <c:pt idx="283" c:formatCode="0.00_);[Red]\(0.00\)">
                  <c:v>9.495</c:v>
                </c:pt>
                <c:pt idx="284" c:formatCode="0.00_);[Red]\(0.00\)">
                  <c:v>9.528</c:v>
                </c:pt>
                <c:pt idx="285" c:formatCode="0.00_);[Red]\(0.00\)">
                  <c:v>9.562</c:v>
                </c:pt>
                <c:pt idx="286" c:formatCode="0.00_);[Red]\(0.00\)">
                  <c:v>9.595</c:v>
                </c:pt>
                <c:pt idx="287" c:formatCode="0.00_);[Red]\(0.00\)">
                  <c:v>9.629</c:v>
                </c:pt>
                <c:pt idx="288" c:formatCode="0.00_);[Red]\(0.00\)">
                  <c:v>9.662</c:v>
                </c:pt>
                <c:pt idx="289" c:formatCode="0.00_);[Red]\(0.00\)">
                  <c:v>9.696</c:v>
                </c:pt>
                <c:pt idx="290" c:formatCode="0.00_);[Red]\(0.00\)">
                  <c:v>9.729</c:v>
                </c:pt>
                <c:pt idx="291" c:formatCode="0.00_);[Red]\(0.00\)">
                  <c:v>9.762</c:v>
                </c:pt>
                <c:pt idx="292" c:formatCode="0.00_);[Red]\(0.00\)">
                  <c:v>9.796</c:v>
                </c:pt>
                <c:pt idx="293" c:formatCode="0.00_);[Red]\(0.00\)">
                  <c:v>9.829</c:v>
                </c:pt>
                <c:pt idx="294" c:formatCode="0.00_);[Red]\(0.00\)">
                  <c:v>9.863</c:v>
                </c:pt>
                <c:pt idx="295" c:formatCode="0.00_);[Red]\(0.00\)">
                  <c:v>9.896</c:v>
                </c:pt>
                <c:pt idx="296" c:formatCode="0.00_);[Red]\(0.00\)">
                  <c:v>9.93</c:v>
                </c:pt>
                <c:pt idx="297" c:formatCode="0.00_);[Red]\(0.00\)">
                  <c:v>9.963</c:v>
                </c:pt>
                <c:pt idx="298" c:formatCode="0.00_);[Red]\(0.00\)">
                  <c:v>9.997</c:v>
                </c:pt>
                <c:pt idx="299" c:formatCode="0.00_);[Red]\(0.00\)">
                  <c:v>10.03</c:v>
                </c:pt>
                <c:pt idx="300" c:formatCode="0.00_);[Red]\(0.00\)">
                  <c:v>10.063</c:v>
                </c:pt>
                <c:pt idx="301" c:formatCode="0.00_);[Red]\(0.00\)">
                  <c:v>10.097</c:v>
                </c:pt>
                <c:pt idx="302" c:formatCode="0.00_);[Red]\(0.00\)">
                  <c:v>10.13</c:v>
                </c:pt>
                <c:pt idx="303" c:formatCode="0.00_);[Red]\(0.00\)">
                  <c:v>10.164</c:v>
                </c:pt>
                <c:pt idx="304" c:formatCode="0.00_);[Red]\(0.00\)">
                  <c:v>10.197</c:v>
                </c:pt>
                <c:pt idx="305" c:formatCode="0.00_);[Red]\(0.00\)">
                  <c:v>10.231</c:v>
                </c:pt>
                <c:pt idx="306" c:formatCode="0.00_);[Red]\(0.00\)">
                  <c:v>10.264</c:v>
                </c:pt>
                <c:pt idx="307" c:formatCode="0.00_);[Red]\(0.00\)">
                  <c:v>10.297</c:v>
                </c:pt>
                <c:pt idx="308" c:formatCode="0.00_);[Red]\(0.00\)">
                  <c:v>10.331</c:v>
                </c:pt>
                <c:pt idx="309" c:formatCode="0.00_);[Red]\(0.00\)">
                  <c:v>10.364</c:v>
                </c:pt>
                <c:pt idx="310" c:formatCode="0.00_);[Red]\(0.00\)">
                  <c:v>10.398</c:v>
                </c:pt>
                <c:pt idx="311" c:formatCode="0.00_);[Red]\(0.00\)">
                  <c:v>10.431</c:v>
                </c:pt>
                <c:pt idx="312" c:formatCode="0.00_);[Red]\(0.00\)">
                  <c:v>10.465</c:v>
                </c:pt>
                <c:pt idx="313" c:formatCode="0.00_);[Red]\(0.00\)">
                  <c:v>10.498</c:v>
                </c:pt>
                <c:pt idx="314" c:formatCode="0.00_);[Red]\(0.00\)">
                  <c:v>10.531</c:v>
                </c:pt>
                <c:pt idx="315" c:formatCode="0.00_);[Red]\(0.00\)">
                  <c:v>10.565</c:v>
                </c:pt>
                <c:pt idx="316" c:formatCode="0.00_);[Red]\(0.00\)">
                  <c:v>10.598</c:v>
                </c:pt>
                <c:pt idx="317" c:formatCode="0.00_);[Red]\(0.00\)">
                  <c:v>10.632</c:v>
                </c:pt>
                <c:pt idx="318" c:formatCode="0.00_);[Red]\(0.00\)">
                  <c:v>10.665</c:v>
                </c:pt>
                <c:pt idx="319" c:formatCode="0.00_);[Red]\(0.00\)">
                  <c:v>10.699</c:v>
                </c:pt>
                <c:pt idx="320" c:formatCode="0.00_);[Red]\(0.00\)">
                  <c:v>10.732</c:v>
                </c:pt>
                <c:pt idx="321" c:formatCode="0.00_);[Red]\(0.00\)">
                  <c:v>10.765</c:v>
                </c:pt>
                <c:pt idx="322" c:formatCode="0.00_);[Red]\(0.00\)">
                  <c:v>10.799</c:v>
                </c:pt>
                <c:pt idx="323" c:formatCode="0.00_);[Red]\(0.00\)">
                  <c:v>10.832</c:v>
                </c:pt>
                <c:pt idx="324" c:formatCode="0.00_);[Red]\(0.00\)">
                  <c:v>10.866</c:v>
                </c:pt>
                <c:pt idx="325" c:formatCode="0.00_);[Red]\(0.00\)">
                  <c:v>10.899</c:v>
                </c:pt>
                <c:pt idx="326" c:formatCode="0.00_);[Red]\(0.00\)">
                  <c:v>10.933</c:v>
                </c:pt>
                <c:pt idx="327" c:formatCode="0.00_);[Red]\(0.00\)">
                  <c:v>10.966</c:v>
                </c:pt>
                <c:pt idx="328" c:formatCode="0.00_);[Red]\(0.00\)">
                  <c:v>11</c:v>
                </c:pt>
                <c:pt idx="329" c:formatCode="0.00_);[Red]\(0.00\)">
                  <c:v>11.033</c:v>
                </c:pt>
                <c:pt idx="330" c:formatCode="0.00_);[Red]\(0.00\)">
                  <c:v>11.066</c:v>
                </c:pt>
                <c:pt idx="331" c:formatCode="0.00_);[Red]\(0.00\)">
                  <c:v>11.1</c:v>
                </c:pt>
                <c:pt idx="332" c:formatCode="0.00_);[Red]\(0.00\)">
                  <c:v>11.133</c:v>
                </c:pt>
                <c:pt idx="333" c:formatCode="0.00_);[Red]\(0.00\)">
                  <c:v>11.167</c:v>
                </c:pt>
                <c:pt idx="334" c:formatCode="0.00_);[Red]\(0.00\)">
                  <c:v>11.2</c:v>
                </c:pt>
                <c:pt idx="335" c:formatCode="0.00_);[Red]\(0.00\)">
                  <c:v>11.234</c:v>
                </c:pt>
                <c:pt idx="336" c:formatCode="0.00_);[Red]\(0.00\)">
                  <c:v>11.267</c:v>
                </c:pt>
                <c:pt idx="337" c:formatCode="0.00_);[Red]\(0.00\)">
                  <c:v>11.3</c:v>
                </c:pt>
                <c:pt idx="338" c:formatCode="0.00_);[Red]\(0.00\)">
                  <c:v>11.334</c:v>
                </c:pt>
                <c:pt idx="339" c:formatCode="0.00_);[Red]\(0.00\)">
                  <c:v>11.367</c:v>
                </c:pt>
                <c:pt idx="340" c:formatCode="0.00_);[Red]\(0.00\)">
                  <c:v>11.401</c:v>
                </c:pt>
                <c:pt idx="341" c:formatCode="0.00_);[Red]\(0.00\)">
                  <c:v>11.434</c:v>
                </c:pt>
                <c:pt idx="342" c:formatCode="0.00_);[Red]\(0.00\)">
                  <c:v>11.468</c:v>
                </c:pt>
                <c:pt idx="343" c:formatCode="0.00_);[Red]\(0.00\)">
                  <c:v>11.501</c:v>
                </c:pt>
                <c:pt idx="344" c:formatCode="0.00_);[Red]\(0.00\)">
                  <c:v>11.534</c:v>
                </c:pt>
                <c:pt idx="345" c:formatCode="0.00_);[Red]\(0.00\)">
                  <c:v>11.568</c:v>
                </c:pt>
                <c:pt idx="346" c:formatCode="0.00_);[Red]\(0.00\)">
                  <c:v>11.601</c:v>
                </c:pt>
                <c:pt idx="347" c:formatCode="0.00_);[Red]\(0.00\)">
                  <c:v>11.635</c:v>
                </c:pt>
                <c:pt idx="348" c:formatCode="0.00_);[Red]\(0.00\)">
                  <c:v>11.668</c:v>
                </c:pt>
                <c:pt idx="349" c:formatCode="0.00_);[Red]\(0.00\)">
                  <c:v>11.702</c:v>
                </c:pt>
                <c:pt idx="350" c:formatCode="0.00_);[Red]\(0.00\)">
                  <c:v>11.735</c:v>
                </c:pt>
                <c:pt idx="351" c:formatCode="0.00_);[Red]\(0.00\)">
                  <c:v>11.768</c:v>
                </c:pt>
                <c:pt idx="352" c:formatCode="0.00_);[Red]\(0.00\)">
                  <c:v>11.802</c:v>
                </c:pt>
                <c:pt idx="353" c:formatCode="0.00_);[Red]\(0.00\)">
                  <c:v>11.835</c:v>
                </c:pt>
                <c:pt idx="354" c:formatCode="0.00_);[Red]\(0.00\)">
                  <c:v>11.869</c:v>
                </c:pt>
                <c:pt idx="355" c:formatCode="0.00_);[Red]\(0.00\)">
                  <c:v>11.902</c:v>
                </c:pt>
                <c:pt idx="356" c:formatCode="0.00_);[Red]\(0.00\)">
                  <c:v>11.936</c:v>
                </c:pt>
                <c:pt idx="357" c:formatCode="0.00_);[Red]\(0.00\)">
                  <c:v>11.969</c:v>
                </c:pt>
                <c:pt idx="358" c:formatCode="0.00_);[Red]\(0.00\)">
                  <c:v>12.003</c:v>
                </c:pt>
                <c:pt idx="359" c:formatCode="0.00_);[Red]\(0.00\)">
                  <c:v>12.036</c:v>
                </c:pt>
                <c:pt idx="360" c:formatCode="0.00_);[Red]\(0.00\)">
                  <c:v>12.069</c:v>
                </c:pt>
                <c:pt idx="361" c:formatCode="0.00_);[Red]\(0.00\)">
                  <c:v>12.103</c:v>
                </c:pt>
                <c:pt idx="362" c:formatCode="0.00_);[Red]\(0.00\)">
                  <c:v>12.136</c:v>
                </c:pt>
                <c:pt idx="363" c:formatCode="0.00_);[Red]\(0.00\)">
                  <c:v>12.17</c:v>
                </c:pt>
                <c:pt idx="364" c:formatCode="0.00_);[Red]\(0.00\)">
                  <c:v>12.203</c:v>
                </c:pt>
                <c:pt idx="365" c:formatCode="0.00_);[Red]\(0.00\)">
                  <c:v>12.237</c:v>
                </c:pt>
                <c:pt idx="366" c:formatCode="0.00_);[Red]\(0.00\)">
                  <c:v>12.27</c:v>
                </c:pt>
                <c:pt idx="367" c:formatCode="0.00_);[Red]\(0.00\)">
                  <c:v>12.303</c:v>
                </c:pt>
                <c:pt idx="368" c:formatCode="0.00_);[Red]\(0.00\)">
                  <c:v>12.337</c:v>
                </c:pt>
                <c:pt idx="369" c:formatCode="0.00_);[Red]\(0.00\)">
                  <c:v>12.37</c:v>
                </c:pt>
                <c:pt idx="370" c:formatCode="0.00_);[Red]\(0.00\)">
                  <c:v>12.404</c:v>
                </c:pt>
                <c:pt idx="371" c:formatCode="0.00_);[Red]\(0.00\)">
                  <c:v>12.437</c:v>
                </c:pt>
                <c:pt idx="372" c:formatCode="0.00_);[Red]\(0.00\)">
                  <c:v>12.471</c:v>
                </c:pt>
                <c:pt idx="373" c:formatCode="0.00_);[Red]\(0.00\)">
                  <c:v>12.504</c:v>
                </c:pt>
                <c:pt idx="374" c:formatCode="0.00_);[Red]\(0.00\)">
                  <c:v>12.537</c:v>
                </c:pt>
                <c:pt idx="375" c:formatCode="0.00_);[Red]\(0.00\)">
                  <c:v>12.571</c:v>
                </c:pt>
                <c:pt idx="376" c:formatCode="0.00_);[Red]\(0.00\)">
                  <c:v>12.604</c:v>
                </c:pt>
                <c:pt idx="377" c:formatCode="0.00_);[Red]\(0.00\)">
                  <c:v>12.638</c:v>
                </c:pt>
                <c:pt idx="378" c:formatCode="0.00_);[Red]\(0.00\)">
                  <c:v>12.671</c:v>
                </c:pt>
                <c:pt idx="379" c:formatCode="0.00_);[Red]\(0.00\)">
                  <c:v>12.705</c:v>
                </c:pt>
                <c:pt idx="380" c:formatCode="0.00_);[Red]\(0.00\)">
                  <c:v>12.738</c:v>
                </c:pt>
                <c:pt idx="381" c:formatCode="0.00_);[Red]\(0.00\)">
                  <c:v>12.771</c:v>
                </c:pt>
                <c:pt idx="382" c:formatCode="0.00_);[Red]\(0.00\)">
                  <c:v>12.805</c:v>
                </c:pt>
                <c:pt idx="383" c:formatCode="0.00_);[Red]\(0.00\)">
                  <c:v>12.838</c:v>
                </c:pt>
                <c:pt idx="384" c:formatCode="0.00_);[Red]\(0.00\)">
                  <c:v>12.872</c:v>
                </c:pt>
                <c:pt idx="385" c:formatCode="0.00_);[Red]\(0.00\)">
                  <c:v>12.905</c:v>
                </c:pt>
                <c:pt idx="386" c:formatCode="0.00_);[Red]\(0.00\)">
                  <c:v>12.939</c:v>
                </c:pt>
                <c:pt idx="387" c:formatCode="0.00_);[Red]\(0.00\)">
                  <c:v>12.972</c:v>
                </c:pt>
                <c:pt idx="388" c:formatCode="0.00_);[Red]\(0.00\)">
                  <c:v>13.006</c:v>
                </c:pt>
                <c:pt idx="389" c:formatCode="0.00_);[Red]\(0.00\)">
                  <c:v>13.039</c:v>
                </c:pt>
                <c:pt idx="390" c:formatCode="0.00_);[Red]\(0.00\)">
                  <c:v>13.072</c:v>
                </c:pt>
                <c:pt idx="391" c:formatCode="0.00_);[Red]\(0.00\)">
                  <c:v>13.106</c:v>
                </c:pt>
                <c:pt idx="392" c:formatCode="0.00_);[Red]\(0.00\)">
                  <c:v>13.139</c:v>
                </c:pt>
                <c:pt idx="393" c:formatCode="0.00_);[Red]\(0.00\)">
                  <c:v>13.173</c:v>
                </c:pt>
                <c:pt idx="394" c:formatCode="0.00_);[Red]\(0.00\)">
                  <c:v>13.206</c:v>
                </c:pt>
                <c:pt idx="395" c:formatCode="0.00_);[Red]\(0.00\)">
                  <c:v>13.24</c:v>
                </c:pt>
                <c:pt idx="396" c:formatCode="0.00_);[Red]\(0.00\)">
                  <c:v>13.273</c:v>
                </c:pt>
                <c:pt idx="397" c:formatCode="0.00_);[Red]\(0.00\)">
                  <c:v>13.306</c:v>
                </c:pt>
                <c:pt idx="398" c:formatCode="0.00_);[Red]\(0.00\)">
                  <c:v>13.34</c:v>
                </c:pt>
                <c:pt idx="399" c:formatCode="0.00_);[Red]\(0.00\)">
                  <c:v>13.373</c:v>
                </c:pt>
                <c:pt idx="400" c:formatCode="0.00_);[Red]\(0.00\)">
                  <c:v>13.407</c:v>
                </c:pt>
                <c:pt idx="401" c:formatCode="0.00_);[Red]\(0.00\)">
                  <c:v>13.44</c:v>
                </c:pt>
                <c:pt idx="402" c:formatCode="0.00_);[Red]\(0.00\)">
                  <c:v>13.474</c:v>
                </c:pt>
                <c:pt idx="403" c:formatCode="0.00_);[Red]\(0.00\)">
                  <c:v>13.507</c:v>
                </c:pt>
                <c:pt idx="404" c:formatCode="0.00_);[Red]\(0.00\)">
                  <c:v>13.54</c:v>
                </c:pt>
                <c:pt idx="405" c:formatCode="0.00_);[Red]\(0.00\)">
                  <c:v>13.574</c:v>
                </c:pt>
                <c:pt idx="406" c:formatCode="0.00_);[Red]\(0.00\)">
                  <c:v>13.607</c:v>
                </c:pt>
                <c:pt idx="407" c:formatCode="0.00_);[Red]\(0.00\)">
                  <c:v>13.641</c:v>
                </c:pt>
                <c:pt idx="408" c:formatCode="0.00_);[Red]\(0.00\)">
                  <c:v>13.674</c:v>
                </c:pt>
                <c:pt idx="409" c:formatCode="0.00_);[Red]\(0.00\)">
                  <c:v>13.708</c:v>
                </c:pt>
                <c:pt idx="410" c:formatCode="0.00_);[Red]\(0.00\)">
                  <c:v>13.741</c:v>
                </c:pt>
                <c:pt idx="411" c:formatCode="0.00_);[Red]\(0.00\)">
                  <c:v>13.774</c:v>
                </c:pt>
                <c:pt idx="412" c:formatCode="0.00_);[Red]\(0.00\)">
                  <c:v>13.808</c:v>
                </c:pt>
                <c:pt idx="413" c:formatCode="0.00_);[Red]\(0.00\)">
                  <c:v>13.841</c:v>
                </c:pt>
                <c:pt idx="414" c:formatCode="0.00_);[Red]\(0.00\)">
                  <c:v>13.875</c:v>
                </c:pt>
                <c:pt idx="415" c:formatCode="0.00_);[Red]\(0.00\)">
                  <c:v>13.908</c:v>
                </c:pt>
                <c:pt idx="416" c:formatCode="0.00_);[Red]\(0.00\)">
                  <c:v>13.942</c:v>
                </c:pt>
                <c:pt idx="417" c:formatCode="0.00_);[Red]\(0.00\)">
                  <c:v>13.975</c:v>
                </c:pt>
                <c:pt idx="418" c:formatCode="0.00_);[Red]\(0.00\)">
                  <c:v>14.009</c:v>
                </c:pt>
                <c:pt idx="419" c:formatCode="0.00_);[Red]\(0.00\)">
                  <c:v>14.042</c:v>
                </c:pt>
                <c:pt idx="420" c:formatCode="0.00_);[Red]\(0.00\)">
                  <c:v>14.075</c:v>
                </c:pt>
                <c:pt idx="421" c:formatCode="0.00_);[Red]\(0.00\)">
                  <c:v>14.109</c:v>
                </c:pt>
                <c:pt idx="422" c:formatCode="0.00_);[Red]\(0.00\)">
                  <c:v>14.142</c:v>
                </c:pt>
                <c:pt idx="423" c:formatCode="0.00_);[Red]\(0.00\)">
                  <c:v>14.176</c:v>
                </c:pt>
                <c:pt idx="424" c:formatCode="0.00_);[Red]\(0.00\)">
                  <c:v>14.209</c:v>
                </c:pt>
                <c:pt idx="425" c:formatCode="0.00_);[Red]\(0.00\)">
                  <c:v>14.243</c:v>
                </c:pt>
                <c:pt idx="426" c:formatCode="0.00_);[Red]\(0.00\)">
                  <c:v>14.276</c:v>
                </c:pt>
                <c:pt idx="427" c:formatCode="0.00_);[Red]\(0.00\)">
                  <c:v>14.309</c:v>
                </c:pt>
                <c:pt idx="428" c:formatCode="0.00_);[Red]\(0.00\)">
                  <c:v>14.343</c:v>
                </c:pt>
                <c:pt idx="429" c:formatCode="0.00_);[Red]\(0.00\)">
                  <c:v>14.376</c:v>
                </c:pt>
                <c:pt idx="430" c:formatCode="0.00_);[Red]\(0.00\)">
                  <c:v>14.41</c:v>
                </c:pt>
                <c:pt idx="431" c:formatCode="0.00_);[Red]\(0.00\)">
                  <c:v>14.443</c:v>
                </c:pt>
                <c:pt idx="432" c:formatCode="0.00_);[Red]\(0.00\)">
                  <c:v>14.477</c:v>
                </c:pt>
                <c:pt idx="433" c:formatCode="0.00_);[Red]\(0.00\)">
                  <c:v>14.51</c:v>
                </c:pt>
                <c:pt idx="434" c:formatCode="0.00_);[Red]\(0.00\)">
                  <c:v>14.543</c:v>
                </c:pt>
                <c:pt idx="435" c:formatCode="0.00_);[Red]\(0.00\)">
                  <c:v>14.577</c:v>
                </c:pt>
                <c:pt idx="436" c:formatCode="0.00_);[Red]\(0.00\)">
                  <c:v>14.61</c:v>
                </c:pt>
                <c:pt idx="437" c:formatCode="0.00_);[Red]\(0.00\)">
                  <c:v>14.644</c:v>
                </c:pt>
                <c:pt idx="438" c:formatCode="0.00_);[Red]\(0.00\)">
                  <c:v>14.677</c:v>
                </c:pt>
                <c:pt idx="439" c:formatCode="0.00_);[Red]\(0.00\)">
                  <c:v>14.711</c:v>
                </c:pt>
                <c:pt idx="440" c:formatCode="0.00_);[Red]\(0.00\)">
                  <c:v>14.744</c:v>
                </c:pt>
                <c:pt idx="441" c:formatCode="0.00_);[Red]\(0.00\)">
                  <c:v>14.777</c:v>
                </c:pt>
                <c:pt idx="442" c:formatCode="0.00_);[Red]\(0.00\)">
                  <c:v>14.811</c:v>
                </c:pt>
                <c:pt idx="443" c:formatCode="0.00_);[Red]\(0.00\)">
                  <c:v>14.844</c:v>
                </c:pt>
                <c:pt idx="444" c:formatCode="0.00_);[Red]\(0.00\)">
                  <c:v>14.878</c:v>
                </c:pt>
                <c:pt idx="445" c:formatCode="0.00_);[Red]\(0.00\)">
                  <c:v>14.911</c:v>
                </c:pt>
                <c:pt idx="446" c:formatCode="0.00_);[Red]\(0.00\)">
                  <c:v>14.945</c:v>
                </c:pt>
                <c:pt idx="447" c:formatCode="0.00_);[Red]\(0.00\)">
                  <c:v>14.978</c:v>
                </c:pt>
                <c:pt idx="448" c:formatCode="0.00_);[Red]\(0.00\)">
                  <c:v>15.011</c:v>
                </c:pt>
                <c:pt idx="449" c:formatCode="0.00_);[Red]\(0.00\)">
                  <c:v>15.045</c:v>
                </c:pt>
                <c:pt idx="450" c:formatCode="0.00_);[Red]\(0.00\)">
                  <c:v>15.078</c:v>
                </c:pt>
                <c:pt idx="451" c:formatCode="0.00_);[Red]\(0.00\)">
                  <c:v>15.112</c:v>
                </c:pt>
                <c:pt idx="452" c:formatCode="0.00_);[Red]\(0.00\)">
                  <c:v>15.145</c:v>
                </c:pt>
                <c:pt idx="453" c:formatCode="0.00_);[Red]\(0.00\)">
                  <c:v>15.179</c:v>
                </c:pt>
                <c:pt idx="454" c:formatCode="0.00_);[Red]\(0.00\)">
                  <c:v>15.212</c:v>
                </c:pt>
                <c:pt idx="455" c:formatCode="0.00_);[Red]\(0.00\)">
                  <c:v>15.246</c:v>
                </c:pt>
                <c:pt idx="456" c:formatCode="0.00_);[Red]\(0.00\)">
                  <c:v>15.279</c:v>
                </c:pt>
                <c:pt idx="457" c:formatCode="0.00_);[Red]\(0.00\)">
                  <c:v>15.312</c:v>
                </c:pt>
                <c:pt idx="458" c:formatCode="0.00_);[Red]\(0.00\)">
                  <c:v>15.346</c:v>
                </c:pt>
                <c:pt idx="459" c:formatCode="0.00_);[Red]\(0.00\)">
                  <c:v>15.379</c:v>
                </c:pt>
                <c:pt idx="460" c:formatCode="0.00_);[Red]\(0.00\)">
                  <c:v>15.413</c:v>
                </c:pt>
                <c:pt idx="461" c:formatCode="0.00_);[Red]\(0.00\)">
                  <c:v>15.446</c:v>
                </c:pt>
                <c:pt idx="462" c:formatCode="0.00_);[Red]\(0.00\)">
                  <c:v>15.48</c:v>
                </c:pt>
                <c:pt idx="463" c:formatCode="0.00_);[Red]\(0.00\)">
                  <c:v>15.513</c:v>
                </c:pt>
                <c:pt idx="464" c:formatCode="0.00_);[Red]\(0.00\)">
                  <c:v>15.546</c:v>
                </c:pt>
                <c:pt idx="465" c:formatCode="0.00_);[Red]\(0.00\)">
                  <c:v>15.58</c:v>
                </c:pt>
                <c:pt idx="466" c:formatCode="0.00_);[Red]\(0.00\)">
                  <c:v>15.613</c:v>
                </c:pt>
                <c:pt idx="467" c:formatCode="0.00_);[Red]\(0.00\)">
                  <c:v>15.647</c:v>
                </c:pt>
                <c:pt idx="468" c:formatCode="0.00_);[Red]\(0.00\)">
                  <c:v>15.68</c:v>
                </c:pt>
                <c:pt idx="469" c:formatCode="0.00_);[Red]\(0.00\)">
                  <c:v>15.714</c:v>
                </c:pt>
                <c:pt idx="470" c:formatCode="0.00_);[Red]\(0.00\)">
                  <c:v>15.747</c:v>
                </c:pt>
                <c:pt idx="471" c:formatCode="0.00_);[Red]\(0.00\)">
                  <c:v>15.78</c:v>
                </c:pt>
                <c:pt idx="472" c:formatCode="0.00_);[Red]\(0.00\)">
                  <c:v>15.814</c:v>
                </c:pt>
                <c:pt idx="473" c:formatCode="0.00_);[Red]\(0.00\)">
                  <c:v>15.847</c:v>
                </c:pt>
                <c:pt idx="474" c:formatCode="0.00_);[Red]\(0.00\)">
                  <c:v>15.881</c:v>
                </c:pt>
                <c:pt idx="475" c:formatCode="0.00_);[Red]\(0.00\)">
                  <c:v>15.914</c:v>
                </c:pt>
                <c:pt idx="476" c:formatCode="0.00_);[Red]\(0.00\)">
                  <c:v>15.948</c:v>
                </c:pt>
                <c:pt idx="477" c:formatCode="0.00_);[Red]\(0.00\)">
                  <c:v>15.981</c:v>
                </c:pt>
                <c:pt idx="478" c:formatCode="0.00_);[Red]\(0.00\)">
                  <c:v>16.014</c:v>
                </c:pt>
                <c:pt idx="479" c:formatCode="0.00_);[Red]\(0.00\)">
                  <c:v>16.048</c:v>
                </c:pt>
                <c:pt idx="480" c:formatCode="0.00_);[Red]\(0.00\)">
                  <c:v>16.081</c:v>
                </c:pt>
                <c:pt idx="481" c:formatCode="0.00_);[Red]\(0.00\)">
                  <c:v>16.115</c:v>
                </c:pt>
                <c:pt idx="482" c:formatCode="0.00_);[Red]\(0.00\)">
                  <c:v>16.148</c:v>
                </c:pt>
                <c:pt idx="483" c:formatCode="0.00_);[Red]\(0.00\)">
                  <c:v>16.182</c:v>
                </c:pt>
                <c:pt idx="484" c:formatCode="0.00_);[Red]\(0.00\)">
                  <c:v>16.215</c:v>
                </c:pt>
                <c:pt idx="485" c:formatCode="0.00_);[Red]\(0.00\)">
                  <c:v>16.249</c:v>
                </c:pt>
                <c:pt idx="486" c:formatCode="0.00_);[Red]\(0.00\)">
                  <c:v>16.282</c:v>
                </c:pt>
                <c:pt idx="487" c:formatCode="0.00_);[Red]\(0.00\)">
                  <c:v>16.315</c:v>
                </c:pt>
                <c:pt idx="488" c:formatCode="0.00_);[Red]\(0.00\)">
                  <c:v>16.349</c:v>
                </c:pt>
                <c:pt idx="489" c:formatCode="0.00_);[Red]\(0.00\)">
                  <c:v>16.382</c:v>
                </c:pt>
                <c:pt idx="490" c:formatCode="0.00_);[Red]\(0.00\)">
                  <c:v>16.416</c:v>
                </c:pt>
                <c:pt idx="491" c:formatCode="0.00_);[Red]\(0.00\)">
                  <c:v>16.449</c:v>
                </c:pt>
                <c:pt idx="492" c:formatCode="0.00_);[Red]\(0.00\)">
                  <c:v>16.483</c:v>
                </c:pt>
                <c:pt idx="493" c:formatCode="0.00_);[Red]\(0.00\)">
                  <c:v>16.516</c:v>
                </c:pt>
                <c:pt idx="494" c:formatCode="0.00_);[Red]\(0.00\)">
                  <c:v>16.549</c:v>
                </c:pt>
                <c:pt idx="495" c:formatCode="0.00_);[Red]\(0.00\)">
                  <c:v>16.583</c:v>
                </c:pt>
                <c:pt idx="496" c:formatCode="0.00_);[Red]\(0.00\)">
                  <c:v>16.616</c:v>
                </c:pt>
                <c:pt idx="497" c:formatCode="0.00_);[Red]\(0.00\)">
                  <c:v>16.65</c:v>
                </c:pt>
                <c:pt idx="498" c:formatCode="0.00_);[Red]\(0.00\)">
                  <c:v>16.683</c:v>
                </c:pt>
                <c:pt idx="499" c:formatCode="0.00_);[Red]\(0.00\)">
                  <c:v>16.717</c:v>
                </c:pt>
                <c:pt idx="500" c:formatCode="0.00_);[Red]\(0.00\)">
                  <c:v>16.75</c:v>
                </c:pt>
                <c:pt idx="501" c:formatCode="0.00_);[Red]\(0.00\)">
                  <c:v>16.783</c:v>
                </c:pt>
                <c:pt idx="502" c:formatCode="0.00_);[Red]\(0.00\)">
                  <c:v>16.817</c:v>
                </c:pt>
                <c:pt idx="503" c:formatCode="0.00_);[Red]\(0.00\)">
                  <c:v>16.85</c:v>
                </c:pt>
                <c:pt idx="504" c:formatCode="0.00_);[Red]\(0.00\)">
                  <c:v>16.884</c:v>
                </c:pt>
                <c:pt idx="505" c:formatCode="0.00_);[Red]\(0.00\)">
                  <c:v>16.917</c:v>
                </c:pt>
                <c:pt idx="506" c:formatCode="0.00_);[Red]\(0.00\)">
                  <c:v>16.951</c:v>
                </c:pt>
                <c:pt idx="507" c:formatCode="0.00_);[Red]\(0.00\)">
                  <c:v>16.984</c:v>
                </c:pt>
                <c:pt idx="508" c:formatCode="0.00_);[Red]\(0.00\)">
                  <c:v>17.017</c:v>
                </c:pt>
                <c:pt idx="509" c:formatCode="0.00_);[Red]\(0.00\)">
                  <c:v>17.051</c:v>
                </c:pt>
                <c:pt idx="510" c:formatCode="0.00_);[Red]\(0.00\)">
                  <c:v>17.084</c:v>
                </c:pt>
                <c:pt idx="511" c:formatCode="0.00_);[Red]\(0.00\)">
                  <c:v>17.118</c:v>
                </c:pt>
                <c:pt idx="512" c:formatCode="0.00_);[Red]\(0.00\)">
                  <c:v>17.151</c:v>
                </c:pt>
                <c:pt idx="513" c:formatCode="0.00_);[Red]\(0.00\)">
                  <c:v>17.185</c:v>
                </c:pt>
                <c:pt idx="514" c:formatCode="0.00_);[Red]\(0.00\)">
                  <c:v>17.218</c:v>
                </c:pt>
                <c:pt idx="515" c:formatCode="0.00_);[Red]\(0.00\)">
                  <c:v>17.252</c:v>
                </c:pt>
                <c:pt idx="516" c:formatCode="0.00_);[Red]\(0.00\)">
                  <c:v>17.285</c:v>
                </c:pt>
                <c:pt idx="517" c:formatCode="0.00_);[Red]\(0.00\)">
                  <c:v>17.318</c:v>
                </c:pt>
                <c:pt idx="518" c:formatCode="0.00_);[Red]\(0.00\)">
                  <c:v>17.352</c:v>
                </c:pt>
                <c:pt idx="519" c:formatCode="0.00_);[Red]\(0.00\)">
                  <c:v>17.385</c:v>
                </c:pt>
                <c:pt idx="520" c:formatCode="0.00_);[Red]\(0.00\)">
                  <c:v>17.419</c:v>
                </c:pt>
                <c:pt idx="521" c:formatCode="0.00_);[Red]\(0.00\)">
                  <c:v>17.452</c:v>
                </c:pt>
                <c:pt idx="522" c:formatCode="0.00_);[Red]\(0.00\)">
                  <c:v>17.486</c:v>
                </c:pt>
                <c:pt idx="523" c:formatCode="0.00_);[Red]\(0.00\)">
                  <c:v>17.519</c:v>
                </c:pt>
                <c:pt idx="524" c:formatCode="0.00_);[Red]\(0.00\)">
                  <c:v>17.552</c:v>
                </c:pt>
                <c:pt idx="525" c:formatCode="0.00_);[Red]\(0.00\)">
                  <c:v>17.586</c:v>
                </c:pt>
                <c:pt idx="526" c:formatCode="0.00_);[Red]\(0.00\)">
                  <c:v>17.619</c:v>
                </c:pt>
                <c:pt idx="527" c:formatCode="0.00_);[Red]\(0.00\)">
                  <c:v>17.653</c:v>
                </c:pt>
                <c:pt idx="528" c:formatCode="0.00_);[Red]\(0.00\)">
                  <c:v>17.686</c:v>
                </c:pt>
                <c:pt idx="529" c:formatCode="0.00_);[Red]\(0.00\)">
                  <c:v>17.72</c:v>
                </c:pt>
                <c:pt idx="530" c:formatCode="0.00_);[Red]\(0.00\)">
                  <c:v>17.753</c:v>
                </c:pt>
                <c:pt idx="531" c:formatCode="0.00_);[Red]\(0.00\)">
                  <c:v>17.786</c:v>
                </c:pt>
                <c:pt idx="532" c:formatCode="0.00_);[Red]\(0.00\)">
                  <c:v>17.82</c:v>
                </c:pt>
                <c:pt idx="533" c:formatCode="0.00_);[Red]\(0.00\)">
                  <c:v>17.853</c:v>
                </c:pt>
                <c:pt idx="534" c:formatCode="0.00_);[Red]\(0.00\)">
                  <c:v>17.887</c:v>
                </c:pt>
                <c:pt idx="535" c:formatCode="0.00_);[Red]\(0.00\)">
                  <c:v>17.92</c:v>
                </c:pt>
                <c:pt idx="536" c:formatCode="0.00_);[Red]\(0.00\)">
                  <c:v>17.954</c:v>
                </c:pt>
                <c:pt idx="537" c:formatCode="0.00_);[Red]\(0.00\)">
                  <c:v>17.987</c:v>
                </c:pt>
                <c:pt idx="538" c:formatCode="0.00_);[Red]\(0.00\)">
                  <c:v>18.02</c:v>
                </c:pt>
                <c:pt idx="539" c:formatCode="0.00_);[Red]\(0.00\)">
                  <c:v>18.054</c:v>
                </c:pt>
                <c:pt idx="540" c:formatCode="0.00_);[Red]\(0.00\)">
                  <c:v>18.087</c:v>
                </c:pt>
                <c:pt idx="541" c:formatCode="0.00_);[Red]\(0.00\)">
                  <c:v>18.121</c:v>
                </c:pt>
                <c:pt idx="542" c:formatCode="0.00_);[Red]\(0.00\)">
                  <c:v>18.154</c:v>
                </c:pt>
                <c:pt idx="543" c:formatCode="0.00_);[Red]\(0.00\)">
                  <c:v>18.188</c:v>
                </c:pt>
                <c:pt idx="544" c:formatCode="0.00_);[Red]\(0.00\)">
                  <c:v>18.221</c:v>
                </c:pt>
                <c:pt idx="545" c:formatCode="0.00_);[Red]\(0.00\)">
                  <c:v>18.255</c:v>
                </c:pt>
                <c:pt idx="546" c:formatCode="0.00_);[Red]\(0.00\)">
                  <c:v>18.288</c:v>
                </c:pt>
                <c:pt idx="547" c:formatCode="0.00_);[Red]\(0.00\)">
                  <c:v>18.321</c:v>
                </c:pt>
                <c:pt idx="548" c:formatCode="0.00_);[Red]\(0.00\)">
                  <c:v>18.355</c:v>
                </c:pt>
                <c:pt idx="549" c:formatCode="0.00_);[Red]\(0.00\)">
                  <c:v>18.388</c:v>
                </c:pt>
                <c:pt idx="550" c:formatCode="0.00_);[Red]\(0.00\)">
                  <c:v>18.422</c:v>
                </c:pt>
                <c:pt idx="551" c:formatCode="0.00_);[Red]\(0.00\)">
                  <c:v>18.455</c:v>
                </c:pt>
                <c:pt idx="552" c:formatCode="0.00_);[Red]\(0.00\)">
                  <c:v>18.489</c:v>
                </c:pt>
                <c:pt idx="553" c:formatCode="0.00_);[Red]\(0.00\)">
                  <c:v>18.522</c:v>
                </c:pt>
                <c:pt idx="554" c:formatCode="0.00_);[Red]\(0.00\)">
                  <c:v>18.555</c:v>
                </c:pt>
                <c:pt idx="555" c:formatCode="0.00_);[Red]\(0.00\)">
                  <c:v>18.589</c:v>
                </c:pt>
                <c:pt idx="556" c:formatCode="0.00_);[Red]\(0.00\)">
                  <c:v>18.622</c:v>
                </c:pt>
                <c:pt idx="557" c:formatCode="0.00_);[Red]\(0.00\)">
                  <c:v>18.656</c:v>
                </c:pt>
                <c:pt idx="558" c:formatCode="0.00_);[Red]\(0.00\)">
                  <c:v>18.689</c:v>
                </c:pt>
                <c:pt idx="559" c:formatCode="0.00_);[Red]\(0.00\)">
                  <c:v>18.723</c:v>
                </c:pt>
                <c:pt idx="560" c:formatCode="0.00_);[Red]\(0.00\)">
                  <c:v>18.756</c:v>
                </c:pt>
                <c:pt idx="561" c:formatCode="0.00_);[Red]\(0.00\)">
                  <c:v>18.789</c:v>
                </c:pt>
                <c:pt idx="562" c:formatCode="0.00_);[Red]\(0.00\)">
                  <c:v>18.823</c:v>
                </c:pt>
                <c:pt idx="563" c:formatCode="0.00_);[Red]\(0.00\)">
                  <c:v>18.856</c:v>
                </c:pt>
                <c:pt idx="564" c:formatCode="0.00_);[Red]\(0.00\)">
                  <c:v>18.89</c:v>
                </c:pt>
                <c:pt idx="565" c:formatCode="0.00_);[Red]\(0.00\)">
                  <c:v>18.923</c:v>
                </c:pt>
                <c:pt idx="566" c:formatCode="0.00_);[Red]\(0.00\)">
                  <c:v>18.957</c:v>
                </c:pt>
                <c:pt idx="567" c:formatCode="0.00_);[Red]\(0.00\)">
                  <c:v>18.99</c:v>
                </c:pt>
                <c:pt idx="568" c:formatCode="0.00_);[Red]\(0.00\)">
                  <c:v>19.023</c:v>
                </c:pt>
                <c:pt idx="569" c:formatCode="0.00_);[Red]\(0.00\)">
                  <c:v>19.057</c:v>
                </c:pt>
                <c:pt idx="570" c:formatCode="0.00_);[Red]\(0.00\)">
                  <c:v>19.09</c:v>
                </c:pt>
                <c:pt idx="571" c:formatCode="0.00_);[Red]\(0.00\)">
                  <c:v>19.124</c:v>
                </c:pt>
                <c:pt idx="572" c:formatCode="0.00_);[Red]\(0.00\)">
                  <c:v>19.157</c:v>
                </c:pt>
                <c:pt idx="573" c:formatCode="0.00_);[Red]\(0.00\)">
                  <c:v>19.191</c:v>
                </c:pt>
                <c:pt idx="574" c:formatCode="0.00_);[Red]\(0.00\)">
                  <c:v>19.224</c:v>
                </c:pt>
                <c:pt idx="575" c:formatCode="0.00_);[Red]\(0.00\)">
                  <c:v>19.258</c:v>
                </c:pt>
                <c:pt idx="576" c:formatCode="0.00_);[Red]\(0.00\)">
                  <c:v>19.291</c:v>
                </c:pt>
                <c:pt idx="577" c:formatCode="0.00_);[Red]\(0.00\)">
                  <c:v>19.324</c:v>
                </c:pt>
                <c:pt idx="578" c:formatCode="0.00_);[Red]\(0.00\)">
                  <c:v>19.358</c:v>
                </c:pt>
                <c:pt idx="579" c:formatCode="0.00_);[Red]\(0.00\)">
                  <c:v>19.391</c:v>
                </c:pt>
                <c:pt idx="580" c:formatCode="0.00_);[Red]\(0.00\)">
                  <c:v>19.425</c:v>
                </c:pt>
                <c:pt idx="581" c:formatCode="0.00_);[Red]\(0.00\)">
                  <c:v>19.458</c:v>
                </c:pt>
                <c:pt idx="582" c:formatCode="0.00_);[Red]\(0.00\)">
                  <c:v>19.492</c:v>
                </c:pt>
                <c:pt idx="583" c:formatCode="0.00_);[Red]\(0.00\)">
                  <c:v>19.525</c:v>
                </c:pt>
                <c:pt idx="584" c:formatCode="0.00_);[Red]\(0.00\)">
                  <c:v>19.558</c:v>
                </c:pt>
                <c:pt idx="585" c:formatCode="0.00_);[Red]\(0.00\)">
                  <c:v>19.592</c:v>
                </c:pt>
                <c:pt idx="586" c:formatCode="0.00_);[Red]\(0.00\)">
                  <c:v>19.625</c:v>
                </c:pt>
                <c:pt idx="587" c:formatCode="0.00_);[Red]\(0.00\)">
                  <c:v>19.659</c:v>
                </c:pt>
                <c:pt idx="588" c:formatCode="0.00_);[Red]\(0.00\)">
                  <c:v>19.692</c:v>
                </c:pt>
                <c:pt idx="589" c:formatCode="0.00_);[Red]\(0.00\)">
                  <c:v>19.726</c:v>
                </c:pt>
                <c:pt idx="590" c:formatCode="0.00_);[Red]\(0.00\)">
                  <c:v>19.759</c:v>
                </c:pt>
                <c:pt idx="591" c:formatCode="0.00_);[Red]\(0.00\)">
                  <c:v>19.792</c:v>
                </c:pt>
                <c:pt idx="592" c:formatCode="0.00_);[Red]\(0.00\)">
                  <c:v>19.826</c:v>
                </c:pt>
                <c:pt idx="593" c:formatCode="0.00_);[Red]\(0.00\)">
                  <c:v>19.859</c:v>
                </c:pt>
                <c:pt idx="594" c:formatCode="0.00_);[Red]\(0.00\)">
                  <c:v>19.893</c:v>
                </c:pt>
                <c:pt idx="595" c:formatCode="0.00_);[Red]\(0.00\)">
                  <c:v>19.926</c:v>
                </c:pt>
                <c:pt idx="596" c:formatCode="0.00_);[Red]\(0.00\)">
                  <c:v>19.96</c:v>
                </c:pt>
                <c:pt idx="597" c:formatCode="0.00_);[Red]\(0.00\)">
                  <c:v>19.993</c:v>
                </c:pt>
                <c:pt idx="598" c:formatCode="0.00_);[Red]\(0.00\)">
                  <c:v>20.026</c:v>
                </c:pt>
                <c:pt idx="599" c:formatCode="0.00_);[Red]\(0.00\)">
                  <c:v>20.06</c:v>
                </c:pt>
                <c:pt idx="600" c:formatCode="0.00_);[Red]\(0.00\)">
                  <c:v>20.093</c:v>
                </c:pt>
                <c:pt idx="601" c:formatCode="0.00_);[Red]\(0.00\)">
                  <c:v>20.127</c:v>
                </c:pt>
                <c:pt idx="602" c:formatCode="0.00_);[Red]\(0.00\)">
                  <c:v>20.16</c:v>
                </c:pt>
                <c:pt idx="603" c:formatCode="0.00_);[Red]\(0.00\)">
                  <c:v>20.194</c:v>
                </c:pt>
                <c:pt idx="604" c:formatCode="0.00_);[Red]\(0.00\)">
                  <c:v>20.227</c:v>
                </c:pt>
                <c:pt idx="605" c:formatCode="0.00_);[Red]\(0.00\)">
                  <c:v>20.261</c:v>
                </c:pt>
                <c:pt idx="606" c:formatCode="0.00_);[Red]\(0.00\)">
                  <c:v>20.294</c:v>
                </c:pt>
                <c:pt idx="607" c:formatCode="0.00_);[Red]\(0.00\)">
                  <c:v>20.327</c:v>
                </c:pt>
                <c:pt idx="608" c:formatCode="0.00_);[Red]\(0.00\)">
                  <c:v>20.361</c:v>
                </c:pt>
                <c:pt idx="609" c:formatCode="0.00_);[Red]\(0.00\)">
                  <c:v>20.394</c:v>
                </c:pt>
                <c:pt idx="610" c:formatCode="0.00_);[Red]\(0.00\)">
                  <c:v>20.428</c:v>
                </c:pt>
                <c:pt idx="611" c:formatCode="0.00_);[Red]\(0.00\)">
                  <c:v>20.461</c:v>
                </c:pt>
                <c:pt idx="612" c:formatCode="0.00_);[Red]\(0.00\)">
                  <c:v>20.495</c:v>
                </c:pt>
                <c:pt idx="613" c:formatCode="0.00_);[Red]\(0.00\)">
                  <c:v>20.528</c:v>
                </c:pt>
                <c:pt idx="614" c:formatCode="0.00_);[Red]\(0.00\)">
                  <c:v>20.561</c:v>
                </c:pt>
                <c:pt idx="615" c:formatCode="0.00_);[Red]\(0.00\)">
                  <c:v>20.595</c:v>
                </c:pt>
                <c:pt idx="616" c:formatCode="0.00_);[Red]\(0.00\)">
                  <c:v>20.628</c:v>
                </c:pt>
                <c:pt idx="617" c:formatCode="0.00_);[Red]\(0.00\)">
                  <c:v>20.662</c:v>
                </c:pt>
                <c:pt idx="618" c:formatCode="0.00_);[Red]\(0.00\)">
                  <c:v>20.695</c:v>
                </c:pt>
                <c:pt idx="619" c:formatCode="0.00_);[Red]\(0.00\)">
                  <c:v>20.729</c:v>
                </c:pt>
                <c:pt idx="620" c:formatCode="0.00_);[Red]\(0.00\)">
                  <c:v>20.762</c:v>
                </c:pt>
                <c:pt idx="621" c:formatCode="0.00_);[Red]\(0.00\)">
                  <c:v>20.795</c:v>
                </c:pt>
                <c:pt idx="622" c:formatCode="0.00_);[Red]\(0.00\)">
                  <c:v>20.829</c:v>
                </c:pt>
                <c:pt idx="623" c:formatCode="0.00_);[Red]\(0.00\)">
                  <c:v>20.862</c:v>
                </c:pt>
                <c:pt idx="624" c:formatCode="0.00_);[Red]\(0.00\)">
                  <c:v>20.896</c:v>
                </c:pt>
                <c:pt idx="625" c:formatCode="0.00_);[Red]\(0.00\)">
                  <c:v>20.929</c:v>
                </c:pt>
                <c:pt idx="626" c:formatCode="0.00_);[Red]\(0.00\)">
                  <c:v>20.963</c:v>
                </c:pt>
                <c:pt idx="627" c:formatCode="0.00_);[Red]\(0.00\)">
                  <c:v>20.996</c:v>
                </c:pt>
                <c:pt idx="628" c:formatCode="0.00_);[Red]\(0.00\)">
                  <c:v>21.029</c:v>
                </c:pt>
                <c:pt idx="629" c:formatCode="0.00_);[Red]\(0.00\)">
                  <c:v>21.063</c:v>
                </c:pt>
                <c:pt idx="630" c:formatCode="0.00_);[Red]\(0.00\)">
                  <c:v>21.096</c:v>
                </c:pt>
                <c:pt idx="631" c:formatCode="0.00_);[Red]\(0.00\)">
                  <c:v>21.13</c:v>
                </c:pt>
                <c:pt idx="632" c:formatCode="0.00_);[Red]\(0.00\)">
                  <c:v>21.163</c:v>
                </c:pt>
                <c:pt idx="633" c:formatCode="0.00_);[Red]\(0.00\)">
                  <c:v>21.197</c:v>
                </c:pt>
                <c:pt idx="634" c:formatCode="0.00_);[Red]\(0.00\)">
                  <c:v>21.23</c:v>
                </c:pt>
                <c:pt idx="635" c:formatCode="0.00_);[Red]\(0.00\)">
                  <c:v>21.264</c:v>
                </c:pt>
                <c:pt idx="636" c:formatCode="0.00_);[Red]\(0.00\)">
                  <c:v>21.297</c:v>
                </c:pt>
                <c:pt idx="637" c:formatCode="0.00_);[Red]\(0.00\)">
                  <c:v>21.33</c:v>
                </c:pt>
                <c:pt idx="638" c:formatCode="0.00_);[Red]\(0.00\)">
                  <c:v>21.364</c:v>
                </c:pt>
                <c:pt idx="639" c:formatCode="0.00_);[Red]\(0.00\)">
                  <c:v>21.397</c:v>
                </c:pt>
                <c:pt idx="640" c:formatCode="0.00_);[Red]\(0.00\)">
                  <c:v>21.431</c:v>
                </c:pt>
                <c:pt idx="641" c:formatCode="0.00_);[Red]\(0.00\)">
                  <c:v>21.464</c:v>
                </c:pt>
                <c:pt idx="642" c:formatCode="0.00_);[Red]\(0.00\)">
                  <c:v>21.498</c:v>
                </c:pt>
                <c:pt idx="643" c:formatCode="0.00_);[Red]\(0.00\)">
                  <c:v>21.531</c:v>
                </c:pt>
                <c:pt idx="644" c:formatCode="0.00_);[Red]\(0.00\)">
                  <c:v>21.564</c:v>
                </c:pt>
                <c:pt idx="645" c:formatCode="0.00_);[Red]\(0.00\)">
                  <c:v>21.598</c:v>
                </c:pt>
                <c:pt idx="646" c:formatCode="0.00_);[Red]\(0.00\)">
                  <c:v>21.631</c:v>
                </c:pt>
                <c:pt idx="647" c:formatCode="0.00_);[Red]\(0.00\)">
                  <c:v>21.665</c:v>
                </c:pt>
                <c:pt idx="648" c:formatCode="0.00_);[Red]\(0.00\)">
                  <c:v>21.698</c:v>
                </c:pt>
                <c:pt idx="649" c:formatCode="0.00_);[Red]\(0.00\)">
                  <c:v>21.732</c:v>
                </c:pt>
                <c:pt idx="650" c:formatCode="0.00_);[Red]\(0.00\)">
                  <c:v>21.765</c:v>
                </c:pt>
                <c:pt idx="651" c:formatCode="0.00_);[Red]\(0.00\)">
                  <c:v>21.798</c:v>
                </c:pt>
                <c:pt idx="652" c:formatCode="0.00_);[Red]\(0.00\)">
                  <c:v>21.832</c:v>
                </c:pt>
                <c:pt idx="653" c:formatCode="0.00_);[Red]\(0.00\)">
                  <c:v>21.865</c:v>
                </c:pt>
                <c:pt idx="654" c:formatCode="0.00_);[Red]\(0.00\)">
                  <c:v>21.899</c:v>
                </c:pt>
                <c:pt idx="655" c:formatCode="0.00_);[Red]\(0.00\)">
                  <c:v>21.932</c:v>
                </c:pt>
                <c:pt idx="656" c:formatCode="0.00_);[Red]\(0.00\)">
                  <c:v>21.966</c:v>
                </c:pt>
                <c:pt idx="657" c:formatCode="0.00_);[Red]\(0.00\)">
                  <c:v>21.999</c:v>
                </c:pt>
                <c:pt idx="658" c:formatCode="0.00_);[Red]\(0.00\)">
                  <c:v>22.032</c:v>
                </c:pt>
                <c:pt idx="659" c:formatCode="0.00_);[Red]\(0.00\)">
                  <c:v>22.066</c:v>
                </c:pt>
                <c:pt idx="660" c:formatCode="0.00_);[Red]\(0.00\)">
                  <c:v>22.099</c:v>
                </c:pt>
                <c:pt idx="661" c:formatCode="0.00_);[Red]\(0.00\)">
                  <c:v>22.133</c:v>
                </c:pt>
                <c:pt idx="662" c:formatCode="0.00_);[Red]\(0.00\)">
                  <c:v>22.166</c:v>
                </c:pt>
                <c:pt idx="663" c:formatCode="0.00_);[Red]\(0.00\)">
                  <c:v>22.2</c:v>
                </c:pt>
                <c:pt idx="664" c:formatCode="0.00_);[Red]\(0.00\)">
                  <c:v>22.233</c:v>
                </c:pt>
                <c:pt idx="665" c:formatCode="0.00_);[Red]\(0.00\)">
                  <c:v>22.266</c:v>
                </c:pt>
                <c:pt idx="666" c:formatCode="0.00_);[Red]\(0.00\)">
                  <c:v>22.3</c:v>
                </c:pt>
                <c:pt idx="667" c:formatCode="0.00_);[Red]\(0.00\)">
                  <c:v>22.333</c:v>
                </c:pt>
                <c:pt idx="668" c:formatCode="0.00_);[Red]\(0.00\)">
                  <c:v>22.367</c:v>
                </c:pt>
                <c:pt idx="669" c:formatCode="0.00_);[Red]\(0.00\)">
                  <c:v>22.4</c:v>
                </c:pt>
                <c:pt idx="670" c:formatCode="0.00_);[Red]\(0.00\)">
                  <c:v>22.434</c:v>
                </c:pt>
                <c:pt idx="671" c:formatCode="0.00_);[Red]\(0.00\)">
                  <c:v>22.467</c:v>
                </c:pt>
                <c:pt idx="672" c:formatCode="0.00_);[Red]\(0.00\)">
                  <c:v>22.501</c:v>
                </c:pt>
                <c:pt idx="673" c:formatCode="0.00_);[Red]\(0.00\)">
                  <c:v>22.534</c:v>
                </c:pt>
                <c:pt idx="674" c:formatCode="0.00_);[Red]\(0.00\)">
                  <c:v>22.567</c:v>
                </c:pt>
                <c:pt idx="675" c:formatCode="0.00_);[Red]\(0.00\)">
                  <c:v>22.601</c:v>
                </c:pt>
                <c:pt idx="676" c:formatCode="0.00_);[Red]\(0.00\)">
                  <c:v>22.634</c:v>
                </c:pt>
                <c:pt idx="677" c:formatCode="0.00_);[Red]\(0.00\)">
                  <c:v>22.668</c:v>
                </c:pt>
                <c:pt idx="678" c:formatCode="0.00_);[Red]\(0.00\)">
                  <c:v>22.701</c:v>
                </c:pt>
                <c:pt idx="679" c:formatCode="0.00_);[Red]\(0.00\)">
                  <c:v>22.735</c:v>
                </c:pt>
                <c:pt idx="680" c:formatCode="0.00_);[Red]\(0.00\)">
                  <c:v>22.768</c:v>
                </c:pt>
                <c:pt idx="681" c:formatCode="0.00_);[Red]\(0.00\)">
                  <c:v>22.801</c:v>
                </c:pt>
                <c:pt idx="682" c:formatCode="0.00_);[Red]\(0.00\)">
                  <c:v>22.835</c:v>
                </c:pt>
                <c:pt idx="683" c:formatCode="0.00_);[Red]\(0.00\)">
                  <c:v>22.868</c:v>
                </c:pt>
                <c:pt idx="684" c:formatCode="0.00_);[Red]\(0.00\)">
                  <c:v>22.902</c:v>
                </c:pt>
                <c:pt idx="685" c:formatCode="0.00_);[Red]\(0.00\)">
                  <c:v>22.935</c:v>
                </c:pt>
                <c:pt idx="686" c:formatCode="0.00_);[Red]\(0.00\)">
                  <c:v>22.969</c:v>
                </c:pt>
                <c:pt idx="687" c:formatCode="0.00_);[Red]\(0.00\)">
                  <c:v>23.002</c:v>
                </c:pt>
                <c:pt idx="688" c:formatCode="0.00_);[Red]\(0.00\)">
                  <c:v>23.035</c:v>
                </c:pt>
                <c:pt idx="689" c:formatCode="0.00_);[Red]\(0.00\)">
                  <c:v>23.069</c:v>
                </c:pt>
                <c:pt idx="690" c:formatCode="0.00_);[Red]\(0.00\)">
                  <c:v>23.102</c:v>
                </c:pt>
                <c:pt idx="691" c:formatCode="0.00_);[Red]\(0.00\)">
                  <c:v>23.136</c:v>
                </c:pt>
                <c:pt idx="692" c:formatCode="0.00_);[Red]\(0.00\)">
                  <c:v>23.169</c:v>
                </c:pt>
                <c:pt idx="693" c:formatCode="0.00_);[Red]\(0.00\)">
                  <c:v>23.203</c:v>
                </c:pt>
                <c:pt idx="694" c:formatCode="0.00_);[Red]\(0.00\)">
                  <c:v>23.236</c:v>
                </c:pt>
                <c:pt idx="695" c:formatCode="0.00_);[Red]\(0.00\)">
                  <c:v>23.269</c:v>
                </c:pt>
                <c:pt idx="696" c:formatCode="0.00_);[Red]\(0.00\)">
                  <c:v>23.303</c:v>
                </c:pt>
                <c:pt idx="697" c:formatCode="0.00_);[Red]\(0.00\)">
                  <c:v>23.336</c:v>
                </c:pt>
                <c:pt idx="698" c:formatCode="0.00_);[Red]\(0.00\)">
                  <c:v>23.37</c:v>
                </c:pt>
                <c:pt idx="699" c:formatCode="0.00_);[Red]\(0.00\)">
                  <c:v>23.403</c:v>
                </c:pt>
                <c:pt idx="700" c:formatCode="0.00_);[Red]\(0.00\)">
                  <c:v>23.437</c:v>
                </c:pt>
                <c:pt idx="701" c:formatCode="0.00_);[Red]\(0.00\)">
                  <c:v>23.47</c:v>
                </c:pt>
                <c:pt idx="702" c:formatCode="0.00_);[Red]\(0.00\)">
                  <c:v>23.504</c:v>
                </c:pt>
                <c:pt idx="703" c:formatCode="0.00_);[Red]\(0.00\)">
                  <c:v>23.537</c:v>
                </c:pt>
                <c:pt idx="704" c:formatCode="0.00_);[Red]\(0.00\)">
                  <c:v>23.57</c:v>
                </c:pt>
                <c:pt idx="705" c:formatCode="0.00_);[Red]\(0.00\)">
                  <c:v>23.604</c:v>
                </c:pt>
                <c:pt idx="706" c:formatCode="0.00_);[Red]\(0.00\)">
                  <c:v>23.637</c:v>
                </c:pt>
                <c:pt idx="707" c:formatCode="0.00_);[Red]\(0.00\)">
                  <c:v>23.671</c:v>
                </c:pt>
                <c:pt idx="708" c:formatCode="0.00_);[Red]\(0.00\)">
                  <c:v>23.704</c:v>
                </c:pt>
                <c:pt idx="709" c:formatCode="0.00_);[Red]\(0.00\)">
                  <c:v>23.738</c:v>
                </c:pt>
                <c:pt idx="710" c:formatCode="0.00_);[Red]\(0.00\)">
                  <c:v>23.771</c:v>
                </c:pt>
                <c:pt idx="711" c:formatCode="0.00_);[Red]\(0.00\)">
                  <c:v>23.804</c:v>
                </c:pt>
                <c:pt idx="712" c:formatCode="0.00_);[Red]\(0.00\)">
                  <c:v>23.838</c:v>
                </c:pt>
                <c:pt idx="713" c:formatCode="0.00_);[Red]\(0.00\)">
                  <c:v>23.871</c:v>
                </c:pt>
                <c:pt idx="714" c:formatCode="0.00_);[Red]\(0.00\)">
                  <c:v>23.905</c:v>
                </c:pt>
                <c:pt idx="715" c:formatCode="0.00_);[Red]\(0.00\)">
                  <c:v>23.938</c:v>
                </c:pt>
                <c:pt idx="716" c:formatCode="0.00_);[Red]\(0.00\)">
                  <c:v>23.972</c:v>
                </c:pt>
                <c:pt idx="717" c:formatCode="0.00_);[Red]\(0.00\)">
                  <c:v>24.005</c:v>
                </c:pt>
                <c:pt idx="718" c:formatCode="0.00_);[Red]\(0.00\)">
                  <c:v>24.038</c:v>
                </c:pt>
                <c:pt idx="719" c:formatCode="0.00_);[Red]\(0.00\)">
                  <c:v>24.072</c:v>
                </c:pt>
                <c:pt idx="720" c:formatCode="0.00_);[Red]\(0.00\)">
                  <c:v>24.105</c:v>
                </c:pt>
                <c:pt idx="721" c:formatCode="0.00_);[Red]\(0.00\)">
                  <c:v>24.139</c:v>
                </c:pt>
                <c:pt idx="722" c:formatCode="0.00_);[Red]\(0.00\)">
                  <c:v>24.172</c:v>
                </c:pt>
                <c:pt idx="723" c:formatCode="0.00_);[Red]\(0.00\)">
                  <c:v>24.206</c:v>
                </c:pt>
                <c:pt idx="724" c:formatCode="0.00_);[Red]\(0.00\)">
                  <c:v>24.239</c:v>
                </c:pt>
                <c:pt idx="725" c:formatCode="0.00_);[Red]\(0.00\)">
                  <c:v>24.272</c:v>
                </c:pt>
                <c:pt idx="726" c:formatCode="0.00_);[Red]\(0.00\)">
                  <c:v>24.306</c:v>
                </c:pt>
                <c:pt idx="727" c:formatCode="0.00_);[Red]\(0.00\)">
                  <c:v>24.339</c:v>
                </c:pt>
                <c:pt idx="728" c:formatCode="0.00_);[Red]\(0.00\)">
                  <c:v>24.373</c:v>
                </c:pt>
                <c:pt idx="729" c:formatCode="0.00_);[Red]\(0.00\)">
                  <c:v>24.406</c:v>
                </c:pt>
                <c:pt idx="730" c:formatCode="0.00_);[Red]\(0.00\)">
                  <c:v>24.44</c:v>
                </c:pt>
                <c:pt idx="731" c:formatCode="0.00_);[Red]\(0.00\)">
                  <c:v>24.473</c:v>
                </c:pt>
                <c:pt idx="732" c:formatCode="0.00_);[Red]\(0.00\)">
                  <c:v>24.507</c:v>
                </c:pt>
                <c:pt idx="733" c:formatCode="0.00_);[Red]\(0.00\)">
                  <c:v>24.54</c:v>
                </c:pt>
                <c:pt idx="734" c:formatCode="0.00_);[Red]\(0.00\)">
                  <c:v>24.573</c:v>
                </c:pt>
                <c:pt idx="735" c:formatCode="0.00_);[Red]\(0.00\)">
                  <c:v>24.607</c:v>
                </c:pt>
                <c:pt idx="736" c:formatCode="0.00_);[Red]\(0.00\)">
                  <c:v>24.64</c:v>
                </c:pt>
                <c:pt idx="737" c:formatCode="0.00_);[Red]\(0.00\)">
                  <c:v>24.674</c:v>
                </c:pt>
                <c:pt idx="738" c:formatCode="0.00_);[Red]\(0.00\)">
                  <c:v>24.707</c:v>
                </c:pt>
                <c:pt idx="739" c:formatCode="0.00_);[Red]\(0.00\)">
                  <c:v>24.741</c:v>
                </c:pt>
                <c:pt idx="740" c:formatCode="0.00_);[Red]\(0.00\)">
                  <c:v>24.774</c:v>
                </c:pt>
                <c:pt idx="741" c:formatCode="0.00_);[Red]\(0.00\)">
                  <c:v>24.807</c:v>
                </c:pt>
                <c:pt idx="742" c:formatCode="0.00_);[Red]\(0.00\)">
                  <c:v>24.841</c:v>
                </c:pt>
                <c:pt idx="743" c:formatCode="0.00_);[Red]\(0.00\)">
                  <c:v>24.874</c:v>
                </c:pt>
                <c:pt idx="744" c:formatCode="0.00_);[Red]\(0.00\)">
                  <c:v>24.908</c:v>
                </c:pt>
                <c:pt idx="745" c:formatCode="0.00_);[Red]\(0.00\)">
                  <c:v>24.941</c:v>
                </c:pt>
                <c:pt idx="746" c:formatCode="0.00_);[Red]\(0.00\)">
                  <c:v>24.975</c:v>
                </c:pt>
                <c:pt idx="747" c:formatCode="0.00_);[Red]\(0.00\)">
                  <c:v>25.008</c:v>
                </c:pt>
                <c:pt idx="748" c:formatCode="0.00_);[Red]\(0.00\)">
                  <c:v>25.041</c:v>
                </c:pt>
                <c:pt idx="749" c:formatCode="0.00_);[Red]\(0.00\)">
                  <c:v>25.075</c:v>
                </c:pt>
                <c:pt idx="750" c:formatCode="0.00_);[Red]\(0.00\)">
                  <c:v>25.108</c:v>
                </c:pt>
                <c:pt idx="751" c:formatCode="0.00_);[Red]\(0.00\)">
                  <c:v>25.142</c:v>
                </c:pt>
                <c:pt idx="752" c:formatCode="0.00_);[Red]\(0.00\)">
                  <c:v>25.175</c:v>
                </c:pt>
                <c:pt idx="753" c:formatCode="0.00_);[Red]\(0.00\)">
                  <c:v>25.209</c:v>
                </c:pt>
                <c:pt idx="754" c:formatCode="0.00_);[Red]\(0.00\)">
                  <c:v>25.242</c:v>
                </c:pt>
                <c:pt idx="755" c:formatCode="0.00_);[Red]\(0.00\)">
                  <c:v>25.275</c:v>
                </c:pt>
                <c:pt idx="756" c:formatCode="0.00_);[Red]\(0.00\)">
                  <c:v>25.309</c:v>
                </c:pt>
                <c:pt idx="757" c:formatCode="0.00_);[Red]\(0.00\)">
                  <c:v>25.342</c:v>
                </c:pt>
                <c:pt idx="758" c:formatCode="0.00_);[Red]\(0.00\)">
                  <c:v>25.376</c:v>
                </c:pt>
                <c:pt idx="759" c:formatCode="0.00_);[Red]\(0.00\)">
                  <c:v>25.409</c:v>
                </c:pt>
                <c:pt idx="760" c:formatCode="0.00_);[Red]\(0.00\)">
                  <c:v>25.443</c:v>
                </c:pt>
                <c:pt idx="761" c:formatCode="0.00_);[Red]\(0.00\)">
                  <c:v>25.476</c:v>
                </c:pt>
                <c:pt idx="762" c:formatCode="0.00_);[Red]\(0.00\)">
                  <c:v>25.51</c:v>
                </c:pt>
                <c:pt idx="763" c:formatCode="0.00_);[Red]\(0.00\)">
                  <c:v>25.543</c:v>
                </c:pt>
                <c:pt idx="764" c:formatCode="0.00_);[Red]\(0.00\)">
                  <c:v>25.576</c:v>
                </c:pt>
                <c:pt idx="765" c:formatCode="0.00_);[Red]\(0.00\)">
                  <c:v>25.61</c:v>
                </c:pt>
                <c:pt idx="766" c:formatCode="0.00_);[Red]\(0.00\)">
                  <c:v>25.643</c:v>
                </c:pt>
                <c:pt idx="767" c:formatCode="0.00_);[Red]\(0.00\)">
                  <c:v>25.677</c:v>
                </c:pt>
                <c:pt idx="768" c:formatCode="0.00_);[Red]\(0.00\)">
                  <c:v>25.71</c:v>
                </c:pt>
                <c:pt idx="769" c:formatCode="0.00_);[Red]\(0.00\)">
                  <c:v>25.744</c:v>
                </c:pt>
                <c:pt idx="770" c:formatCode="0.00_);[Red]\(0.00\)">
                  <c:v>25.777</c:v>
                </c:pt>
                <c:pt idx="771" c:formatCode="0.00_);[Red]\(0.00\)">
                  <c:v>25.81</c:v>
                </c:pt>
                <c:pt idx="772" c:formatCode="0.00_);[Red]\(0.00\)">
                  <c:v>25.844</c:v>
                </c:pt>
                <c:pt idx="773" c:formatCode="0.00_);[Red]\(0.00\)">
                  <c:v>25.877</c:v>
                </c:pt>
                <c:pt idx="774" c:formatCode="0.00_);[Red]\(0.00\)">
                  <c:v>25.911</c:v>
                </c:pt>
                <c:pt idx="775" c:formatCode="0.00_);[Red]\(0.00\)">
                  <c:v>25.944</c:v>
                </c:pt>
                <c:pt idx="776" c:formatCode="0.00_);[Red]\(0.00\)">
                  <c:v>25.978</c:v>
                </c:pt>
                <c:pt idx="777" c:formatCode="0.00_);[Red]\(0.00\)">
                  <c:v>26.011</c:v>
                </c:pt>
                <c:pt idx="778" c:formatCode="0.00_);[Red]\(0.00\)">
                  <c:v>26.044</c:v>
                </c:pt>
                <c:pt idx="779" c:formatCode="0.00_);[Red]\(0.00\)">
                  <c:v>26.078</c:v>
                </c:pt>
                <c:pt idx="780" c:formatCode="0.00_);[Red]\(0.00\)">
                  <c:v>26.111</c:v>
                </c:pt>
                <c:pt idx="781" c:formatCode="0.00_);[Red]\(0.00\)">
                  <c:v>26.145</c:v>
                </c:pt>
                <c:pt idx="782" c:formatCode="0.00_);[Red]\(0.00\)">
                  <c:v>26.178</c:v>
                </c:pt>
                <c:pt idx="783" c:formatCode="0.00_);[Red]\(0.00\)">
                  <c:v>26.212</c:v>
                </c:pt>
                <c:pt idx="784" c:formatCode="0.00_);[Red]\(0.00\)">
                  <c:v>26.245</c:v>
                </c:pt>
                <c:pt idx="785" c:formatCode="0.00_);[Red]\(0.00\)">
                  <c:v>26.278</c:v>
                </c:pt>
                <c:pt idx="786" c:formatCode="0.00_);[Red]\(0.00\)">
                  <c:v>26.312</c:v>
                </c:pt>
                <c:pt idx="787" c:formatCode="0.00_);[Red]\(0.00\)">
                  <c:v>26.345</c:v>
                </c:pt>
                <c:pt idx="788" c:formatCode="0.00_);[Red]\(0.00\)">
                  <c:v>26.379</c:v>
                </c:pt>
                <c:pt idx="789" c:formatCode="0.00_);[Red]\(0.00\)">
                  <c:v>26.412</c:v>
                </c:pt>
                <c:pt idx="790" c:formatCode="0.00_);[Red]\(0.00\)">
                  <c:v>26.446</c:v>
                </c:pt>
                <c:pt idx="791" c:formatCode="0.00_);[Red]\(0.00\)">
                  <c:v>26.479</c:v>
                </c:pt>
                <c:pt idx="792" c:formatCode="0.00_);[Red]\(0.00\)">
                  <c:v>26.513</c:v>
                </c:pt>
                <c:pt idx="793" c:formatCode="0.00_);[Red]\(0.00\)">
                  <c:v>26.546</c:v>
                </c:pt>
                <c:pt idx="794" c:formatCode="0.00_);[Red]\(0.00\)">
                  <c:v>26.579</c:v>
                </c:pt>
                <c:pt idx="795" c:formatCode="0.00_);[Red]\(0.00\)">
                  <c:v>26.613</c:v>
                </c:pt>
                <c:pt idx="796" c:formatCode="0.00_);[Red]\(0.00\)">
                  <c:v>26.646</c:v>
                </c:pt>
                <c:pt idx="797" c:formatCode="0.00_);[Red]\(0.00\)">
                  <c:v>26.68</c:v>
                </c:pt>
                <c:pt idx="798" c:formatCode="0.00_);[Red]\(0.00\)">
                  <c:v>26.713</c:v>
                </c:pt>
                <c:pt idx="799" c:formatCode="0.00_);[Red]\(0.00\)">
                  <c:v>26.747</c:v>
                </c:pt>
                <c:pt idx="800" c:formatCode="0.00_);[Red]\(0.00\)">
                  <c:v>26.78</c:v>
                </c:pt>
                <c:pt idx="801" c:formatCode="0.00_);[Red]\(0.00\)">
                  <c:v>26.813</c:v>
                </c:pt>
                <c:pt idx="802" c:formatCode="0.00_);[Red]\(0.00\)">
                  <c:v>26.847</c:v>
                </c:pt>
                <c:pt idx="803" c:formatCode="0.00_);[Red]\(0.00\)">
                  <c:v>26.88</c:v>
                </c:pt>
                <c:pt idx="804" c:formatCode="0.00_);[Red]\(0.00\)">
                  <c:v>26.914</c:v>
                </c:pt>
                <c:pt idx="805" c:formatCode="0.00_);[Red]\(0.00\)">
                  <c:v>26.947</c:v>
                </c:pt>
                <c:pt idx="806" c:formatCode="0.00_);[Red]\(0.00\)">
                  <c:v>26.981</c:v>
                </c:pt>
                <c:pt idx="807" c:formatCode="0.00_);[Red]\(0.00\)">
                  <c:v>27.014</c:v>
                </c:pt>
                <c:pt idx="808" c:formatCode="0.00_);[Red]\(0.00\)">
                  <c:v>27.047</c:v>
                </c:pt>
                <c:pt idx="809" c:formatCode="0.00_);[Red]\(0.00\)">
                  <c:v>27.081</c:v>
                </c:pt>
                <c:pt idx="810" c:formatCode="0.00_);[Red]\(0.00\)">
                  <c:v>27.114</c:v>
                </c:pt>
                <c:pt idx="811" c:formatCode="0.00_);[Red]\(0.00\)">
                  <c:v>27.148</c:v>
                </c:pt>
                <c:pt idx="812" c:formatCode="0.00_);[Red]\(0.00\)">
                  <c:v>27.181</c:v>
                </c:pt>
                <c:pt idx="813" c:formatCode="0.00_);[Red]\(0.00\)">
                  <c:v>27.215</c:v>
                </c:pt>
                <c:pt idx="814" c:formatCode="0.00_);[Red]\(0.00\)">
                  <c:v>27.248</c:v>
                </c:pt>
                <c:pt idx="815" c:formatCode="0.00_);[Red]\(0.00\)">
                  <c:v>27.281</c:v>
                </c:pt>
                <c:pt idx="816" c:formatCode="0.00_);[Red]\(0.00\)">
                  <c:v>27.315</c:v>
                </c:pt>
                <c:pt idx="817" c:formatCode="0.00_);[Red]\(0.00\)">
                  <c:v>27.348</c:v>
                </c:pt>
                <c:pt idx="818" c:formatCode="0.00_);[Red]\(0.00\)">
                  <c:v>27.382</c:v>
                </c:pt>
                <c:pt idx="819" c:formatCode="0.00_);[Red]\(0.00\)">
                  <c:v>27.415</c:v>
                </c:pt>
                <c:pt idx="820" c:formatCode="0.00_);[Red]\(0.00\)">
                  <c:v>27.449</c:v>
                </c:pt>
                <c:pt idx="821" c:formatCode="0.00_);[Red]\(0.00\)">
                  <c:v>27.482</c:v>
                </c:pt>
                <c:pt idx="822" c:formatCode="0.00_);[Red]\(0.00\)">
                  <c:v>27.516</c:v>
                </c:pt>
                <c:pt idx="823" c:formatCode="0.00_);[Red]\(0.00\)">
                  <c:v>27.549</c:v>
                </c:pt>
                <c:pt idx="824" c:formatCode="0.00_);[Red]\(0.00\)">
                  <c:v>27.582</c:v>
                </c:pt>
                <c:pt idx="825" c:formatCode="0.00_);[Red]\(0.00\)">
                  <c:v>27.616</c:v>
                </c:pt>
                <c:pt idx="826" c:formatCode="0.00_);[Red]\(0.00\)">
                  <c:v>27.649</c:v>
                </c:pt>
                <c:pt idx="827" c:formatCode="0.00_);[Red]\(0.00\)">
                  <c:v>27.683</c:v>
                </c:pt>
                <c:pt idx="828" c:formatCode="0.00_);[Red]\(0.00\)">
                  <c:v>27.716</c:v>
                </c:pt>
                <c:pt idx="829" c:formatCode="0.00_);[Red]\(0.00\)">
                  <c:v>27.75</c:v>
                </c:pt>
                <c:pt idx="830" c:formatCode="0.00_);[Red]\(0.00\)">
                  <c:v>27.783</c:v>
                </c:pt>
                <c:pt idx="831" c:formatCode="0.00_);[Red]\(0.00\)">
                  <c:v>27.816</c:v>
                </c:pt>
                <c:pt idx="832" c:formatCode="0.00_);[Red]\(0.00\)">
                  <c:v>27.85</c:v>
                </c:pt>
                <c:pt idx="833" c:formatCode="0.00_);[Red]\(0.00\)">
                  <c:v>27.883</c:v>
                </c:pt>
                <c:pt idx="834" c:formatCode="0.00_);[Red]\(0.00\)">
                  <c:v>27.917</c:v>
                </c:pt>
                <c:pt idx="835" c:formatCode="0.00_);[Red]\(0.00\)">
                  <c:v>27.95</c:v>
                </c:pt>
                <c:pt idx="836" c:formatCode="0.00_);[Red]\(0.00\)">
                  <c:v>27.984</c:v>
                </c:pt>
                <c:pt idx="837" c:formatCode="0.00_);[Red]\(0.00\)">
                  <c:v>28.017</c:v>
                </c:pt>
                <c:pt idx="838" c:formatCode="0.00_);[Red]\(0.00\)">
                  <c:v>28.05</c:v>
                </c:pt>
                <c:pt idx="839" c:formatCode="0.00_);[Red]\(0.00\)">
                  <c:v>28.084</c:v>
                </c:pt>
                <c:pt idx="840" c:formatCode="0.00_);[Red]\(0.00\)">
                  <c:v>28.117</c:v>
                </c:pt>
                <c:pt idx="841" c:formatCode="0.00_);[Red]\(0.00\)">
                  <c:v>28.151</c:v>
                </c:pt>
                <c:pt idx="842" c:formatCode="0.00_);[Red]\(0.00\)">
                  <c:v>28.184</c:v>
                </c:pt>
                <c:pt idx="843" c:formatCode="0.00_);[Red]\(0.00\)">
                  <c:v>28.218</c:v>
                </c:pt>
                <c:pt idx="844" c:formatCode="0.00_);[Red]\(0.00\)">
                  <c:v>28.251</c:v>
                </c:pt>
                <c:pt idx="845" c:formatCode="0.00_);[Red]\(0.00\)">
                  <c:v>28.284</c:v>
                </c:pt>
                <c:pt idx="846" c:formatCode="0.00_);[Red]\(0.00\)">
                  <c:v>28.318</c:v>
                </c:pt>
                <c:pt idx="847" c:formatCode="0.00_);[Red]\(0.00\)">
                  <c:v>28.351</c:v>
                </c:pt>
                <c:pt idx="848" c:formatCode="0.00_);[Red]\(0.00\)">
                  <c:v>28.385</c:v>
                </c:pt>
                <c:pt idx="849" c:formatCode="0.00_);[Red]\(0.00\)">
                  <c:v>28.418</c:v>
                </c:pt>
                <c:pt idx="850" c:formatCode="0.00_);[Red]\(0.00\)">
                  <c:v>28.452</c:v>
                </c:pt>
                <c:pt idx="851" c:formatCode="0.00_);[Red]\(0.00\)">
                  <c:v>28.485</c:v>
                </c:pt>
                <c:pt idx="852" c:formatCode="0.00_);[Red]\(0.00\)">
                  <c:v>28.519</c:v>
                </c:pt>
                <c:pt idx="853" c:formatCode="0.00_);[Red]\(0.00\)">
                  <c:v>28.552</c:v>
                </c:pt>
                <c:pt idx="854" c:formatCode="0.00_);[Red]\(0.00\)">
                  <c:v>28.585</c:v>
                </c:pt>
                <c:pt idx="855" c:formatCode="0.00_);[Red]\(0.00\)">
                  <c:v>28.619</c:v>
                </c:pt>
                <c:pt idx="856" c:formatCode="0.00_);[Red]\(0.00\)">
                  <c:v>28.652</c:v>
                </c:pt>
                <c:pt idx="857" c:formatCode="0.00_);[Red]\(0.00\)">
                  <c:v>28.686</c:v>
                </c:pt>
                <c:pt idx="858" c:formatCode="0.00_);[Red]\(0.00\)">
                  <c:v>28.719</c:v>
                </c:pt>
                <c:pt idx="859" c:formatCode="0.00_);[Red]\(0.00\)">
                  <c:v>28.753</c:v>
                </c:pt>
                <c:pt idx="860" c:formatCode="0.00_);[Red]\(0.00\)">
                  <c:v>28.786</c:v>
                </c:pt>
                <c:pt idx="861" c:formatCode="0.00_);[Red]\(0.00\)">
                  <c:v>28.819</c:v>
                </c:pt>
                <c:pt idx="862" c:formatCode="0.00_);[Red]\(0.00\)">
                  <c:v>28.853</c:v>
                </c:pt>
                <c:pt idx="863" c:formatCode="0.00_);[Red]\(0.00\)">
                  <c:v>28.886</c:v>
                </c:pt>
                <c:pt idx="864" c:formatCode="0.00_);[Red]\(0.00\)">
                  <c:v>28.92</c:v>
                </c:pt>
                <c:pt idx="865" c:formatCode="0.00_);[Red]\(0.00\)">
                  <c:v>28.953</c:v>
                </c:pt>
                <c:pt idx="866" c:formatCode="0.00_);[Red]\(0.00\)">
                  <c:v>28.987</c:v>
                </c:pt>
                <c:pt idx="867" c:formatCode="0.00_);[Red]\(0.00\)">
                  <c:v>29.02</c:v>
                </c:pt>
                <c:pt idx="868" c:formatCode="0.00_);[Red]\(0.00\)">
                  <c:v>29.053</c:v>
                </c:pt>
                <c:pt idx="869" c:formatCode="0.00_);[Red]\(0.00\)">
                  <c:v>29.087</c:v>
                </c:pt>
                <c:pt idx="870" c:formatCode="0.00_);[Red]\(0.00\)">
                  <c:v>29.12</c:v>
                </c:pt>
                <c:pt idx="871" c:formatCode="0.00_);[Red]\(0.00\)">
                  <c:v>29.154</c:v>
                </c:pt>
                <c:pt idx="872" c:formatCode="0.00_);[Red]\(0.00\)">
                  <c:v>29.187</c:v>
                </c:pt>
                <c:pt idx="873" c:formatCode="0.00_);[Red]\(0.00\)">
                  <c:v>29.221</c:v>
                </c:pt>
                <c:pt idx="874" c:formatCode="0.00_);[Red]\(0.00\)">
                  <c:v>29.254</c:v>
                </c:pt>
                <c:pt idx="875" c:formatCode="0.00_);[Red]\(0.00\)">
                  <c:v>29.287</c:v>
                </c:pt>
                <c:pt idx="876" c:formatCode="0.00_);[Red]\(0.00\)">
                  <c:v>29.321</c:v>
                </c:pt>
                <c:pt idx="877" c:formatCode="0.00_);[Red]\(0.00\)">
                  <c:v>29.354</c:v>
                </c:pt>
                <c:pt idx="878" c:formatCode="0.00_);[Red]\(0.00\)">
                  <c:v>29.388</c:v>
                </c:pt>
                <c:pt idx="879" c:formatCode="0.00_);[Red]\(0.00\)">
                  <c:v>29.421</c:v>
                </c:pt>
                <c:pt idx="880" c:formatCode="0.00_);[Red]\(0.00\)">
                  <c:v>29.455</c:v>
                </c:pt>
                <c:pt idx="881" c:formatCode="0.00_);[Red]\(0.00\)">
                  <c:v>29.488</c:v>
                </c:pt>
              </c:numCache>
            </c:numRef>
          </c:cat>
          <c:val>
            <c:numRef>
              <c:f>A_08_52_36_83_正!$K$4:$K$885</c:f>
              <c:numCache>
                <c:formatCode>0.000_ </c:formatCode>
                <c:ptCount val="882"/>
                <c:pt idx="0">
                  <c:v>0</c:v>
                </c:pt>
                <c:pt idx="1">
                  <c:v>0.200000000000061</c:v>
                </c:pt>
                <c:pt idx="2">
                  <c:v>0.100000000000031</c:v>
                </c:pt>
                <c:pt idx="3">
                  <c:v>0.100000000000031</c:v>
                </c:pt>
                <c:pt idx="4">
                  <c:v>0</c:v>
                </c:pt>
                <c:pt idx="5">
                  <c:v>0</c:v>
                </c:pt>
                <c:pt idx="6">
                  <c:v>0.100000000000031</c:v>
                </c:pt>
                <c:pt idx="7">
                  <c:v>0</c:v>
                </c:pt>
                <c:pt idx="8">
                  <c:v>-0.0999999999999612</c:v>
                </c:pt>
                <c:pt idx="9">
                  <c:v>-0.0999999999999612</c:v>
                </c:pt>
                <c:pt idx="10">
                  <c:v>-0.299999999999953</c:v>
                </c:pt>
                <c:pt idx="11">
                  <c:v>-0.299999999999953</c:v>
                </c:pt>
                <c:pt idx="12">
                  <c:v>-0.399999999999984</c:v>
                </c:pt>
                <c:pt idx="13">
                  <c:v>-0.399999999999984</c:v>
                </c:pt>
                <c:pt idx="14">
                  <c:v>-0.499999999999945</c:v>
                </c:pt>
                <c:pt idx="15">
                  <c:v>-0.599999999999976</c:v>
                </c:pt>
                <c:pt idx="16">
                  <c:v>-0.499999999999945</c:v>
                </c:pt>
                <c:pt idx="17">
                  <c:v>-0.499999999999945</c:v>
                </c:pt>
                <c:pt idx="18">
                  <c:v>-0.699999999999937</c:v>
                </c:pt>
                <c:pt idx="19">
                  <c:v>-0.699999999999937</c:v>
                </c:pt>
                <c:pt idx="20">
                  <c:v>-0.699999999999937</c:v>
                </c:pt>
                <c:pt idx="21">
                  <c:v>-0.599999999999976</c:v>
                </c:pt>
                <c:pt idx="22">
                  <c:v>-0.499999999999945</c:v>
                </c:pt>
                <c:pt idx="23">
                  <c:v>-0.599999999999976</c:v>
                </c:pt>
                <c:pt idx="24">
                  <c:v>-0.399999999999984</c:v>
                </c:pt>
                <c:pt idx="25">
                  <c:v>-0.299999999999953</c:v>
                </c:pt>
                <c:pt idx="26">
                  <c:v>-0.299999999999953</c:v>
                </c:pt>
                <c:pt idx="27">
                  <c:v>-0.199999999999992</c:v>
                </c:pt>
                <c:pt idx="28">
                  <c:v>-0.0999999999999612</c:v>
                </c:pt>
                <c:pt idx="29">
                  <c:v>0</c:v>
                </c:pt>
                <c:pt idx="30">
                  <c:v>0.200000000000061</c:v>
                </c:pt>
                <c:pt idx="31">
                  <c:v>0.100000000000031</c:v>
                </c:pt>
                <c:pt idx="32">
                  <c:v>0.200000000000061</c:v>
                </c:pt>
                <c:pt idx="33">
                  <c:v>0.200000000000061</c:v>
                </c:pt>
                <c:pt idx="34">
                  <c:v>0.300000000000022</c:v>
                </c:pt>
                <c:pt idx="35">
                  <c:v>0.300000000000022</c:v>
                </c:pt>
                <c:pt idx="36">
                  <c:v>0.300000000000022</c:v>
                </c:pt>
                <c:pt idx="37">
                  <c:v>0.300000000000022</c:v>
                </c:pt>
                <c:pt idx="38">
                  <c:v>0.400000000000053</c:v>
                </c:pt>
                <c:pt idx="39">
                  <c:v>0.400000000000053</c:v>
                </c:pt>
                <c:pt idx="40">
                  <c:v>0.400000000000053</c:v>
                </c:pt>
                <c:pt idx="41">
                  <c:v>0.300000000000022</c:v>
                </c:pt>
                <c:pt idx="42">
                  <c:v>0.200000000000061</c:v>
                </c:pt>
                <c:pt idx="43">
                  <c:v>0.200000000000061</c:v>
                </c:pt>
                <c:pt idx="44">
                  <c:v>0.100000000000031</c:v>
                </c:pt>
                <c:pt idx="45">
                  <c:v>0.100000000000031</c:v>
                </c:pt>
                <c:pt idx="46">
                  <c:v>0</c:v>
                </c:pt>
                <c:pt idx="47">
                  <c:v>0</c:v>
                </c:pt>
                <c:pt idx="48">
                  <c:v>-0.199999999999992</c:v>
                </c:pt>
                <c:pt idx="49">
                  <c:v>-0.199999999999992</c:v>
                </c:pt>
                <c:pt idx="50">
                  <c:v>-0.299999999999953</c:v>
                </c:pt>
                <c:pt idx="51">
                  <c:v>-0.399999999999984</c:v>
                </c:pt>
                <c:pt idx="52">
                  <c:v>-0.399999999999984</c:v>
                </c:pt>
                <c:pt idx="53">
                  <c:v>-0.399999999999984</c:v>
                </c:pt>
                <c:pt idx="54">
                  <c:v>-0.499999999999945</c:v>
                </c:pt>
                <c:pt idx="55">
                  <c:v>-0.499999999999945</c:v>
                </c:pt>
                <c:pt idx="56">
                  <c:v>-0.599999999999976</c:v>
                </c:pt>
                <c:pt idx="57">
                  <c:v>-0.699999999999937</c:v>
                </c:pt>
                <c:pt idx="58">
                  <c:v>-0.599999999999976</c:v>
                </c:pt>
                <c:pt idx="59">
                  <c:v>-0.699999999999937</c:v>
                </c:pt>
                <c:pt idx="60">
                  <c:v>-0.699999999999937</c:v>
                </c:pt>
                <c:pt idx="61">
                  <c:v>-0.599999999999976</c:v>
                </c:pt>
                <c:pt idx="62">
                  <c:v>-0.599999999999976</c:v>
                </c:pt>
                <c:pt idx="63">
                  <c:v>-0.399999999999984</c:v>
                </c:pt>
                <c:pt idx="64">
                  <c:v>-0.399999999999984</c:v>
                </c:pt>
                <c:pt idx="65">
                  <c:v>-0.299999999999953</c:v>
                </c:pt>
                <c:pt idx="66">
                  <c:v>-0.199999999999992</c:v>
                </c:pt>
                <c:pt idx="67">
                  <c:v>-0.0999999999999612</c:v>
                </c:pt>
                <c:pt idx="68">
                  <c:v>0</c:v>
                </c:pt>
                <c:pt idx="69">
                  <c:v>0.100000000000031</c:v>
                </c:pt>
                <c:pt idx="70">
                  <c:v>0.100000000000031</c:v>
                </c:pt>
                <c:pt idx="71">
                  <c:v>0.100000000000031</c:v>
                </c:pt>
                <c:pt idx="72">
                  <c:v>0.200000000000061</c:v>
                </c:pt>
                <c:pt idx="73">
                  <c:v>0.300000000000022</c:v>
                </c:pt>
                <c:pt idx="74">
                  <c:v>0.400000000000053</c:v>
                </c:pt>
                <c:pt idx="75">
                  <c:v>0.400000000000053</c:v>
                </c:pt>
                <c:pt idx="76">
                  <c:v>0.500000000000014</c:v>
                </c:pt>
                <c:pt idx="77">
                  <c:v>0.400000000000053</c:v>
                </c:pt>
                <c:pt idx="78">
                  <c:v>0.400000000000053</c:v>
                </c:pt>
                <c:pt idx="79">
                  <c:v>0.400000000000053</c:v>
                </c:pt>
                <c:pt idx="80">
                  <c:v>0.300000000000022</c:v>
                </c:pt>
                <c:pt idx="81">
                  <c:v>0.300000000000022</c:v>
                </c:pt>
                <c:pt idx="82">
                  <c:v>0.200000000000061</c:v>
                </c:pt>
                <c:pt idx="83">
                  <c:v>0.200000000000061</c:v>
                </c:pt>
                <c:pt idx="84">
                  <c:v>0.200000000000061</c:v>
                </c:pt>
                <c:pt idx="85">
                  <c:v>0</c:v>
                </c:pt>
                <c:pt idx="86">
                  <c:v>0</c:v>
                </c:pt>
                <c:pt idx="87">
                  <c:v>-0.0999999999999612</c:v>
                </c:pt>
                <c:pt idx="88">
                  <c:v>-0.0999999999999612</c:v>
                </c:pt>
                <c:pt idx="89">
                  <c:v>-0.299999999999953</c:v>
                </c:pt>
                <c:pt idx="90">
                  <c:v>-0.299999999999953</c:v>
                </c:pt>
                <c:pt idx="91">
                  <c:v>-0.399999999999984</c:v>
                </c:pt>
                <c:pt idx="92">
                  <c:v>-0.399999999999984</c:v>
                </c:pt>
                <c:pt idx="93">
                  <c:v>-0.499999999999945</c:v>
                </c:pt>
                <c:pt idx="94">
                  <c:v>-0.499999999999945</c:v>
                </c:pt>
                <c:pt idx="95">
                  <c:v>-0.499999999999945</c:v>
                </c:pt>
                <c:pt idx="96">
                  <c:v>-0.599999999999976</c:v>
                </c:pt>
                <c:pt idx="97">
                  <c:v>-0.699999999999937</c:v>
                </c:pt>
                <c:pt idx="98">
                  <c:v>-0.599999999999976</c:v>
                </c:pt>
                <c:pt idx="99">
                  <c:v>-0.699999999999937</c:v>
                </c:pt>
                <c:pt idx="100">
                  <c:v>-0.499999999999945</c:v>
                </c:pt>
                <c:pt idx="101">
                  <c:v>-0.499999999999945</c:v>
                </c:pt>
                <c:pt idx="102">
                  <c:v>-0.499999999999945</c:v>
                </c:pt>
                <c:pt idx="103">
                  <c:v>-0.499999999999945</c:v>
                </c:pt>
                <c:pt idx="104">
                  <c:v>-0.399999999999984</c:v>
                </c:pt>
                <c:pt idx="105">
                  <c:v>-0.299999999999953</c:v>
                </c:pt>
                <c:pt idx="106">
                  <c:v>-0.199999999999992</c:v>
                </c:pt>
                <c:pt idx="107">
                  <c:v>-0.0999999999999612</c:v>
                </c:pt>
                <c:pt idx="108">
                  <c:v>0.100000000000031</c:v>
                </c:pt>
                <c:pt idx="109">
                  <c:v>0.100000000000031</c:v>
                </c:pt>
                <c:pt idx="110">
                  <c:v>0.200000000000061</c:v>
                </c:pt>
                <c:pt idx="111">
                  <c:v>0.200000000000061</c:v>
                </c:pt>
                <c:pt idx="112">
                  <c:v>0.300000000000022</c:v>
                </c:pt>
                <c:pt idx="113">
                  <c:v>0.200000000000061</c:v>
                </c:pt>
                <c:pt idx="114">
                  <c:v>0.300000000000022</c:v>
                </c:pt>
                <c:pt idx="115">
                  <c:v>0.200000000000061</c:v>
                </c:pt>
                <c:pt idx="116">
                  <c:v>0.100000000000031</c:v>
                </c:pt>
                <c:pt idx="117">
                  <c:v>0</c:v>
                </c:pt>
                <c:pt idx="118">
                  <c:v>0</c:v>
                </c:pt>
                <c:pt idx="119">
                  <c:v>-0.199999999999992</c:v>
                </c:pt>
                <c:pt idx="120">
                  <c:v>-0.399999999999984</c:v>
                </c:pt>
                <c:pt idx="121">
                  <c:v>-0.299999999999953</c:v>
                </c:pt>
                <c:pt idx="122">
                  <c:v>-0.399999999999984</c:v>
                </c:pt>
                <c:pt idx="123">
                  <c:v>-0.499999999999945</c:v>
                </c:pt>
                <c:pt idx="124">
                  <c:v>-0.399999999999984</c:v>
                </c:pt>
                <c:pt idx="125">
                  <c:v>-0.599999999999976</c:v>
                </c:pt>
                <c:pt idx="126">
                  <c:v>-0.599999999999976</c:v>
                </c:pt>
                <c:pt idx="127">
                  <c:v>-0.499999999999945</c:v>
                </c:pt>
                <c:pt idx="128">
                  <c:v>-0.499999999999945</c:v>
                </c:pt>
                <c:pt idx="129">
                  <c:v>-0.399999999999984</c:v>
                </c:pt>
                <c:pt idx="130">
                  <c:v>-0.199999999999992</c:v>
                </c:pt>
                <c:pt idx="131">
                  <c:v>-0.199999999999992</c:v>
                </c:pt>
                <c:pt idx="132">
                  <c:v>-0.0999999999999612</c:v>
                </c:pt>
                <c:pt idx="133">
                  <c:v>0</c:v>
                </c:pt>
                <c:pt idx="134">
                  <c:v>0.100000000000031</c:v>
                </c:pt>
                <c:pt idx="135">
                  <c:v>0.200000000000061</c:v>
                </c:pt>
                <c:pt idx="136">
                  <c:v>0.300000000000022</c:v>
                </c:pt>
                <c:pt idx="137">
                  <c:v>0.400000000000053</c:v>
                </c:pt>
                <c:pt idx="138">
                  <c:v>0.500000000000014</c:v>
                </c:pt>
                <c:pt idx="139">
                  <c:v>0.700000000000006</c:v>
                </c:pt>
                <c:pt idx="140">
                  <c:v>0.900000000000067</c:v>
                </c:pt>
                <c:pt idx="141">
                  <c:v>1.20000000000002</c:v>
                </c:pt>
                <c:pt idx="142">
                  <c:v>1.30000000000005</c:v>
                </c:pt>
                <c:pt idx="143">
                  <c:v>1.50000000000004</c:v>
                </c:pt>
                <c:pt idx="144">
                  <c:v>1.50000000000004</c:v>
                </c:pt>
                <c:pt idx="145">
                  <c:v>1.70000000000003</c:v>
                </c:pt>
                <c:pt idx="146">
                  <c:v>2.70000000000006</c:v>
                </c:pt>
                <c:pt idx="147">
                  <c:v>3.10000000000005</c:v>
                </c:pt>
                <c:pt idx="148">
                  <c:v>3.50000000000003</c:v>
                </c:pt>
                <c:pt idx="149">
                  <c:v>3.60000000000006</c:v>
                </c:pt>
                <c:pt idx="150">
                  <c:v>3.70000000000002</c:v>
                </c:pt>
                <c:pt idx="151">
                  <c:v>3.70000000000002</c:v>
                </c:pt>
                <c:pt idx="152">
                  <c:v>3.60000000000006</c:v>
                </c:pt>
                <c:pt idx="153">
                  <c:v>3.4</c:v>
                </c:pt>
                <c:pt idx="154">
                  <c:v>3.30000000000004</c:v>
                </c:pt>
                <c:pt idx="155">
                  <c:v>3.20000000000001</c:v>
                </c:pt>
                <c:pt idx="156">
                  <c:v>2.90000000000006</c:v>
                </c:pt>
                <c:pt idx="157">
                  <c:v>2.80000000000002</c:v>
                </c:pt>
                <c:pt idx="158">
                  <c:v>2.70000000000006</c:v>
                </c:pt>
                <c:pt idx="159">
                  <c:v>2.30000000000001</c:v>
                </c:pt>
                <c:pt idx="160">
                  <c:v>2.20000000000005</c:v>
                </c:pt>
                <c:pt idx="161">
                  <c:v>1.80000000000007</c:v>
                </c:pt>
                <c:pt idx="162">
                  <c:v>1.70000000000003</c:v>
                </c:pt>
                <c:pt idx="163">
                  <c:v>1.50000000000004</c:v>
                </c:pt>
                <c:pt idx="164">
                  <c:v>1.20000000000002</c:v>
                </c:pt>
                <c:pt idx="165">
                  <c:v>0.100000000000031</c:v>
                </c:pt>
                <c:pt idx="166">
                  <c:v>-0.499999999999945</c:v>
                </c:pt>
                <c:pt idx="167">
                  <c:v>-0.999999999999959</c:v>
                </c:pt>
                <c:pt idx="168">
                  <c:v>-1.19999999999995</c:v>
                </c:pt>
                <c:pt idx="169">
                  <c:v>-1.29999999999998</c:v>
                </c:pt>
                <c:pt idx="170">
                  <c:v>-1.49999999999997</c:v>
                </c:pt>
                <c:pt idx="171">
                  <c:v>-1.39999999999994</c:v>
                </c:pt>
                <c:pt idx="172">
                  <c:v>-1.39999999999994</c:v>
                </c:pt>
                <c:pt idx="173">
                  <c:v>-1.19999999999995</c:v>
                </c:pt>
                <c:pt idx="174">
                  <c:v>-0.999999999999959</c:v>
                </c:pt>
                <c:pt idx="175">
                  <c:v>-0.699999999999937</c:v>
                </c:pt>
                <c:pt idx="176">
                  <c:v>-0.499999999999945</c:v>
                </c:pt>
                <c:pt idx="177">
                  <c:v>-0.299999999999953</c:v>
                </c:pt>
                <c:pt idx="178">
                  <c:v>-0.0999999999999612</c:v>
                </c:pt>
                <c:pt idx="179">
                  <c:v>0.200000000000061</c:v>
                </c:pt>
                <c:pt idx="180">
                  <c:v>0.500000000000014</c:v>
                </c:pt>
                <c:pt idx="181">
                  <c:v>1.00000000000003</c:v>
                </c:pt>
                <c:pt idx="182">
                  <c:v>1.40000000000001</c:v>
                </c:pt>
                <c:pt idx="183">
                  <c:v>2.00000000000006</c:v>
                </c:pt>
                <c:pt idx="184">
                  <c:v>3.20000000000001</c:v>
                </c:pt>
                <c:pt idx="185">
                  <c:v>4.00000000000005</c:v>
                </c:pt>
                <c:pt idx="186">
                  <c:v>4.70000000000005</c:v>
                </c:pt>
                <c:pt idx="187">
                  <c:v>6.00000000000003</c:v>
                </c:pt>
                <c:pt idx="188">
                  <c:v>6.90000000000003</c:v>
                </c:pt>
                <c:pt idx="189">
                  <c:v>7.90000000000006</c:v>
                </c:pt>
                <c:pt idx="190">
                  <c:v>9.50000000000006</c:v>
                </c:pt>
                <c:pt idx="191">
                  <c:v>10.4000000000001</c:v>
                </c:pt>
                <c:pt idx="192">
                  <c:v>10.8</c:v>
                </c:pt>
                <c:pt idx="193">
                  <c:v>12.1</c:v>
                </c:pt>
                <c:pt idx="194">
                  <c:v>13</c:v>
                </c:pt>
                <c:pt idx="195">
                  <c:v>13.5</c:v>
                </c:pt>
                <c:pt idx="196">
                  <c:v>13.5</c:v>
                </c:pt>
                <c:pt idx="197">
                  <c:v>13.5</c:v>
                </c:pt>
                <c:pt idx="198">
                  <c:v>13.2</c:v>
                </c:pt>
                <c:pt idx="199">
                  <c:v>13.2</c:v>
                </c:pt>
                <c:pt idx="200">
                  <c:v>12.8</c:v>
                </c:pt>
                <c:pt idx="201">
                  <c:v>12.4000000000001</c:v>
                </c:pt>
                <c:pt idx="202">
                  <c:v>11.9</c:v>
                </c:pt>
                <c:pt idx="203">
                  <c:v>11.5000000000001</c:v>
                </c:pt>
                <c:pt idx="204">
                  <c:v>11</c:v>
                </c:pt>
                <c:pt idx="205">
                  <c:v>10.6000000000001</c:v>
                </c:pt>
                <c:pt idx="206">
                  <c:v>9.00000000000005</c:v>
                </c:pt>
                <c:pt idx="207">
                  <c:v>8.00000000000002</c:v>
                </c:pt>
                <c:pt idx="208">
                  <c:v>6.70000000000004</c:v>
                </c:pt>
                <c:pt idx="209">
                  <c:v>5.10000000000004</c:v>
                </c:pt>
                <c:pt idx="210">
                  <c:v>4.10000000000001</c:v>
                </c:pt>
                <c:pt idx="211">
                  <c:v>2.60000000000003</c:v>
                </c:pt>
                <c:pt idx="212">
                  <c:v>1.70000000000003</c:v>
                </c:pt>
                <c:pt idx="213">
                  <c:v>1.00000000000003</c:v>
                </c:pt>
                <c:pt idx="214">
                  <c:v>-0.199999999999992</c:v>
                </c:pt>
                <c:pt idx="215">
                  <c:v>-0.999999999999959</c:v>
                </c:pt>
                <c:pt idx="216">
                  <c:v>-1.49999999999997</c:v>
                </c:pt>
                <c:pt idx="217">
                  <c:v>-2.09999999999995</c:v>
                </c:pt>
                <c:pt idx="218">
                  <c:v>-2.89999999999999</c:v>
                </c:pt>
                <c:pt idx="219">
                  <c:v>-3.29999999999997</c:v>
                </c:pt>
                <c:pt idx="220">
                  <c:v>-3.49999999999996</c:v>
                </c:pt>
                <c:pt idx="221">
                  <c:v>-3.49999999999996</c:v>
                </c:pt>
                <c:pt idx="222">
                  <c:v>-3.29999999999997</c:v>
                </c:pt>
                <c:pt idx="223">
                  <c:v>-3.09999999999998</c:v>
                </c:pt>
                <c:pt idx="224">
                  <c:v>-2.69999999999999</c:v>
                </c:pt>
                <c:pt idx="225">
                  <c:v>-2.29999999999994</c:v>
                </c:pt>
                <c:pt idx="226">
                  <c:v>-1.89999999999996</c:v>
                </c:pt>
                <c:pt idx="227">
                  <c:v>-0.999999999999959</c:v>
                </c:pt>
                <c:pt idx="228">
                  <c:v>0.300000000000022</c:v>
                </c:pt>
                <c:pt idx="229">
                  <c:v>1.30000000000005</c:v>
                </c:pt>
                <c:pt idx="230">
                  <c:v>2.20000000000005</c:v>
                </c:pt>
                <c:pt idx="231">
                  <c:v>3.80000000000005</c:v>
                </c:pt>
                <c:pt idx="232">
                  <c:v>5.10000000000004</c:v>
                </c:pt>
                <c:pt idx="233">
                  <c:v>7.00000000000006</c:v>
                </c:pt>
                <c:pt idx="234">
                  <c:v>8.30000000000004</c:v>
                </c:pt>
                <c:pt idx="235">
                  <c:v>9.80000000000002</c:v>
                </c:pt>
                <c:pt idx="236">
                  <c:v>10.6000000000001</c:v>
                </c:pt>
                <c:pt idx="237">
                  <c:v>11.5000000000001</c:v>
                </c:pt>
                <c:pt idx="238">
                  <c:v>12.8</c:v>
                </c:pt>
                <c:pt idx="239">
                  <c:v>13.8000000000001</c:v>
                </c:pt>
                <c:pt idx="240">
                  <c:v>14.5000000000001</c:v>
                </c:pt>
                <c:pt idx="241">
                  <c:v>15.3</c:v>
                </c:pt>
                <c:pt idx="242">
                  <c:v>15.9</c:v>
                </c:pt>
                <c:pt idx="243">
                  <c:v>16.1</c:v>
                </c:pt>
                <c:pt idx="244">
                  <c:v>16</c:v>
                </c:pt>
                <c:pt idx="245">
                  <c:v>16.1</c:v>
                </c:pt>
                <c:pt idx="246">
                  <c:v>15.7</c:v>
                </c:pt>
                <c:pt idx="247">
                  <c:v>15.4000000000001</c:v>
                </c:pt>
                <c:pt idx="248">
                  <c:v>15.1</c:v>
                </c:pt>
                <c:pt idx="249">
                  <c:v>14.8</c:v>
                </c:pt>
                <c:pt idx="250">
                  <c:v>14.2</c:v>
                </c:pt>
                <c:pt idx="251">
                  <c:v>13.7</c:v>
                </c:pt>
                <c:pt idx="252">
                  <c:v>12.0000000000001</c:v>
                </c:pt>
                <c:pt idx="253">
                  <c:v>11</c:v>
                </c:pt>
                <c:pt idx="254">
                  <c:v>10.2</c:v>
                </c:pt>
                <c:pt idx="255">
                  <c:v>8.70000000000003</c:v>
                </c:pt>
                <c:pt idx="256">
                  <c:v>7.50000000000001</c:v>
                </c:pt>
                <c:pt idx="257">
                  <c:v>5.60000000000005</c:v>
                </c:pt>
                <c:pt idx="258">
                  <c:v>4.50000000000006</c:v>
                </c:pt>
                <c:pt idx="259">
                  <c:v>3.10000000000005</c:v>
                </c:pt>
                <c:pt idx="260">
                  <c:v>2.00000000000006</c:v>
                </c:pt>
                <c:pt idx="261">
                  <c:v>1.50000000000004</c:v>
                </c:pt>
                <c:pt idx="262">
                  <c:v>1.30000000000005</c:v>
                </c:pt>
                <c:pt idx="263">
                  <c:v>0.400000000000053</c:v>
                </c:pt>
                <c:pt idx="264">
                  <c:v>-0.0999999999999612</c:v>
                </c:pt>
                <c:pt idx="265">
                  <c:v>-0.299999999999953</c:v>
                </c:pt>
                <c:pt idx="266">
                  <c:v>-0.399999999999984</c:v>
                </c:pt>
                <c:pt idx="267">
                  <c:v>-0.399999999999984</c:v>
                </c:pt>
                <c:pt idx="268">
                  <c:v>-0.0999999999999612</c:v>
                </c:pt>
                <c:pt idx="269">
                  <c:v>0.100000000000031</c:v>
                </c:pt>
                <c:pt idx="270">
                  <c:v>0.300000000000022</c:v>
                </c:pt>
                <c:pt idx="271">
                  <c:v>0.700000000000006</c:v>
                </c:pt>
                <c:pt idx="272">
                  <c:v>0.900000000000067</c:v>
                </c:pt>
                <c:pt idx="273">
                  <c:v>1.40000000000001</c:v>
                </c:pt>
                <c:pt idx="274">
                  <c:v>2.10000000000002</c:v>
                </c:pt>
                <c:pt idx="275">
                  <c:v>3.4</c:v>
                </c:pt>
                <c:pt idx="276">
                  <c:v>4.40000000000003</c:v>
                </c:pt>
                <c:pt idx="277">
                  <c:v>5.20000000000007</c:v>
                </c:pt>
                <c:pt idx="278">
                  <c:v>6.60000000000001</c:v>
                </c:pt>
                <c:pt idx="279">
                  <c:v>7.50000000000001</c:v>
                </c:pt>
                <c:pt idx="280">
                  <c:v>8.4</c:v>
                </c:pt>
                <c:pt idx="281">
                  <c:v>9.60000000000002</c:v>
                </c:pt>
                <c:pt idx="282">
                  <c:v>10.3</c:v>
                </c:pt>
                <c:pt idx="283">
                  <c:v>11</c:v>
                </c:pt>
                <c:pt idx="284">
                  <c:v>12.3</c:v>
                </c:pt>
                <c:pt idx="285">
                  <c:v>13</c:v>
                </c:pt>
                <c:pt idx="286">
                  <c:v>13.3</c:v>
                </c:pt>
                <c:pt idx="287">
                  <c:v>13.5</c:v>
                </c:pt>
                <c:pt idx="288">
                  <c:v>13.3</c:v>
                </c:pt>
                <c:pt idx="289">
                  <c:v>13.1000000000001</c:v>
                </c:pt>
                <c:pt idx="290">
                  <c:v>13.1000000000001</c:v>
                </c:pt>
                <c:pt idx="291">
                  <c:v>12.9000000000001</c:v>
                </c:pt>
                <c:pt idx="292">
                  <c:v>12.7</c:v>
                </c:pt>
                <c:pt idx="293">
                  <c:v>12.5</c:v>
                </c:pt>
                <c:pt idx="294">
                  <c:v>12.3</c:v>
                </c:pt>
                <c:pt idx="295">
                  <c:v>12.0000000000001</c:v>
                </c:pt>
                <c:pt idx="296">
                  <c:v>11.7</c:v>
                </c:pt>
                <c:pt idx="297">
                  <c:v>11.4</c:v>
                </c:pt>
                <c:pt idx="298">
                  <c:v>11.1000000000001</c:v>
                </c:pt>
                <c:pt idx="299">
                  <c:v>10.8</c:v>
                </c:pt>
                <c:pt idx="300">
                  <c:v>10.4000000000001</c:v>
                </c:pt>
                <c:pt idx="301">
                  <c:v>9.10000000000001</c:v>
                </c:pt>
                <c:pt idx="302">
                  <c:v>8.4</c:v>
                </c:pt>
                <c:pt idx="303">
                  <c:v>8.10000000000005</c:v>
                </c:pt>
                <c:pt idx="304">
                  <c:v>7.40000000000005</c:v>
                </c:pt>
                <c:pt idx="305">
                  <c:v>6.30000000000006</c:v>
                </c:pt>
                <c:pt idx="306">
                  <c:v>5.70000000000001</c:v>
                </c:pt>
                <c:pt idx="307">
                  <c:v>5.40000000000006</c:v>
                </c:pt>
                <c:pt idx="308">
                  <c:v>5.10000000000004</c:v>
                </c:pt>
                <c:pt idx="309">
                  <c:v>5</c:v>
                </c:pt>
                <c:pt idx="310">
                  <c:v>5.10000000000004</c:v>
                </c:pt>
                <c:pt idx="311">
                  <c:v>5.20000000000007</c:v>
                </c:pt>
                <c:pt idx="312">
                  <c:v>5.40000000000006</c:v>
                </c:pt>
                <c:pt idx="313">
                  <c:v>5.50000000000002</c:v>
                </c:pt>
                <c:pt idx="314">
                  <c:v>5.80000000000004</c:v>
                </c:pt>
                <c:pt idx="315">
                  <c:v>6.00000000000003</c:v>
                </c:pt>
                <c:pt idx="316">
                  <c:v>6.30000000000006</c:v>
                </c:pt>
                <c:pt idx="317">
                  <c:v>6.30000000000006</c:v>
                </c:pt>
                <c:pt idx="318">
                  <c:v>6.60000000000001</c:v>
                </c:pt>
                <c:pt idx="319">
                  <c:v>6.70000000000004</c:v>
                </c:pt>
                <c:pt idx="320">
                  <c:v>6.70000000000004</c:v>
                </c:pt>
                <c:pt idx="321">
                  <c:v>6.90000000000003</c:v>
                </c:pt>
                <c:pt idx="322">
                  <c:v>7.20000000000005</c:v>
                </c:pt>
                <c:pt idx="323">
                  <c:v>7.30000000000001</c:v>
                </c:pt>
                <c:pt idx="324">
                  <c:v>7.30000000000001</c:v>
                </c:pt>
                <c:pt idx="325">
                  <c:v>7.40000000000005</c:v>
                </c:pt>
                <c:pt idx="326">
                  <c:v>7.50000000000001</c:v>
                </c:pt>
                <c:pt idx="327">
                  <c:v>7.50000000000001</c:v>
                </c:pt>
                <c:pt idx="328">
                  <c:v>7.40000000000005</c:v>
                </c:pt>
                <c:pt idx="329">
                  <c:v>7.30000000000001</c:v>
                </c:pt>
                <c:pt idx="330">
                  <c:v>7.30000000000001</c:v>
                </c:pt>
                <c:pt idx="331">
                  <c:v>7.20000000000005</c:v>
                </c:pt>
                <c:pt idx="332">
                  <c:v>7.10000000000002</c:v>
                </c:pt>
                <c:pt idx="333">
                  <c:v>7.10000000000002</c:v>
                </c:pt>
                <c:pt idx="334">
                  <c:v>6.90000000000003</c:v>
                </c:pt>
                <c:pt idx="335">
                  <c:v>6.90000000000003</c:v>
                </c:pt>
                <c:pt idx="336">
                  <c:v>6.70000000000004</c:v>
                </c:pt>
                <c:pt idx="337">
                  <c:v>6.60000000000001</c:v>
                </c:pt>
                <c:pt idx="338">
                  <c:v>6.50000000000005</c:v>
                </c:pt>
                <c:pt idx="339">
                  <c:v>6.50000000000005</c:v>
                </c:pt>
                <c:pt idx="340">
                  <c:v>6.30000000000006</c:v>
                </c:pt>
                <c:pt idx="341">
                  <c:v>6.30000000000006</c:v>
                </c:pt>
                <c:pt idx="342">
                  <c:v>6.20000000000003</c:v>
                </c:pt>
                <c:pt idx="343">
                  <c:v>6.30000000000006</c:v>
                </c:pt>
                <c:pt idx="344">
                  <c:v>6.20000000000003</c:v>
                </c:pt>
                <c:pt idx="345">
                  <c:v>6.20000000000003</c:v>
                </c:pt>
                <c:pt idx="346">
                  <c:v>6.20000000000003</c:v>
                </c:pt>
                <c:pt idx="347">
                  <c:v>6.20000000000003</c:v>
                </c:pt>
                <c:pt idx="348">
                  <c:v>6.20000000000003</c:v>
                </c:pt>
                <c:pt idx="349">
                  <c:v>6.30000000000006</c:v>
                </c:pt>
                <c:pt idx="350">
                  <c:v>6.30000000000006</c:v>
                </c:pt>
                <c:pt idx="351">
                  <c:v>6.20000000000003</c:v>
                </c:pt>
                <c:pt idx="352">
                  <c:v>6.20000000000003</c:v>
                </c:pt>
                <c:pt idx="353">
                  <c:v>6.30000000000006</c:v>
                </c:pt>
                <c:pt idx="354">
                  <c:v>6.30000000000006</c:v>
                </c:pt>
                <c:pt idx="355">
                  <c:v>6.30000000000006</c:v>
                </c:pt>
                <c:pt idx="356">
                  <c:v>6.20000000000003</c:v>
                </c:pt>
                <c:pt idx="357">
                  <c:v>6.30000000000006</c:v>
                </c:pt>
                <c:pt idx="358">
                  <c:v>6.20000000000003</c:v>
                </c:pt>
                <c:pt idx="359">
                  <c:v>6.20000000000003</c:v>
                </c:pt>
                <c:pt idx="360">
                  <c:v>6.20000000000003</c:v>
                </c:pt>
                <c:pt idx="361">
                  <c:v>6.10000000000006</c:v>
                </c:pt>
                <c:pt idx="362">
                  <c:v>6.20000000000003</c:v>
                </c:pt>
                <c:pt idx="363">
                  <c:v>6.10000000000006</c:v>
                </c:pt>
                <c:pt idx="364">
                  <c:v>6.10000000000006</c:v>
                </c:pt>
                <c:pt idx="365">
                  <c:v>6.10000000000006</c:v>
                </c:pt>
                <c:pt idx="366">
                  <c:v>6.00000000000003</c:v>
                </c:pt>
                <c:pt idx="367">
                  <c:v>5.9</c:v>
                </c:pt>
                <c:pt idx="368">
                  <c:v>5.80000000000004</c:v>
                </c:pt>
                <c:pt idx="369">
                  <c:v>5.70000000000001</c:v>
                </c:pt>
                <c:pt idx="370">
                  <c:v>5.60000000000005</c:v>
                </c:pt>
                <c:pt idx="371">
                  <c:v>5.70000000000001</c:v>
                </c:pt>
                <c:pt idx="372">
                  <c:v>5.40000000000006</c:v>
                </c:pt>
                <c:pt idx="373">
                  <c:v>5.50000000000002</c:v>
                </c:pt>
                <c:pt idx="374">
                  <c:v>5.50000000000002</c:v>
                </c:pt>
                <c:pt idx="375">
                  <c:v>5.50000000000002</c:v>
                </c:pt>
                <c:pt idx="376">
                  <c:v>5.60000000000005</c:v>
                </c:pt>
                <c:pt idx="377">
                  <c:v>5.70000000000001</c:v>
                </c:pt>
                <c:pt idx="378">
                  <c:v>5.80000000000004</c:v>
                </c:pt>
                <c:pt idx="379">
                  <c:v>5.80000000000004</c:v>
                </c:pt>
                <c:pt idx="380">
                  <c:v>5.9</c:v>
                </c:pt>
                <c:pt idx="381">
                  <c:v>6.10000000000006</c:v>
                </c:pt>
                <c:pt idx="382">
                  <c:v>6.10000000000006</c:v>
                </c:pt>
                <c:pt idx="383">
                  <c:v>6.30000000000006</c:v>
                </c:pt>
                <c:pt idx="384">
                  <c:v>6.50000000000005</c:v>
                </c:pt>
                <c:pt idx="385">
                  <c:v>6.60000000000001</c:v>
                </c:pt>
                <c:pt idx="386">
                  <c:v>6.90000000000003</c:v>
                </c:pt>
                <c:pt idx="387">
                  <c:v>6.8</c:v>
                </c:pt>
                <c:pt idx="388">
                  <c:v>7.00000000000006</c:v>
                </c:pt>
                <c:pt idx="389">
                  <c:v>7.20000000000005</c:v>
                </c:pt>
                <c:pt idx="390">
                  <c:v>7.30000000000001</c:v>
                </c:pt>
                <c:pt idx="391">
                  <c:v>7.60000000000004</c:v>
                </c:pt>
                <c:pt idx="392">
                  <c:v>7.90000000000006</c:v>
                </c:pt>
                <c:pt idx="393">
                  <c:v>9.00000000000005</c:v>
                </c:pt>
                <c:pt idx="394">
                  <c:v>9.50000000000006</c:v>
                </c:pt>
                <c:pt idx="395">
                  <c:v>9.90000000000005</c:v>
                </c:pt>
                <c:pt idx="396">
                  <c:v>10.1</c:v>
                </c:pt>
                <c:pt idx="397">
                  <c:v>10.4000000000001</c:v>
                </c:pt>
                <c:pt idx="398">
                  <c:v>10.3</c:v>
                </c:pt>
                <c:pt idx="399">
                  <c:v>10.5</c:v>
                </c:pt>
                <c:pt idx="400">
                  <c:v>10.3</c:v>
                </c:pt>
                <c:pt idx="401">
                  <c:v>10.1</c:v>
                </c:pt>
                <c:pt idx="402">
                  <c:v>9.90000000000005</c:v>
                </c:pt>
                <c:pt idx="403">
                  <c:v>9.80000000000002</c:v>
                </c:pt>
                <c:pt idx="404">
                  <c:v>9.60000000000002</c:v>
                </c:pt>
                <c:pt idx="405">
                  <c:v>9.3</c:v>
                </c:pt>
                <c:pt idx="406">
                  <c:v>9.00000000000005</c:v>
                </c:pt>
                <c:pt idx="407">
                  <c:v>8.90000000000002</c:v>
                </c:pt>
                <c:pt idx="408">
                  <c:v>8.70000000000003</c:v>
                </c:pt>
                <c:pt idx="409">
                  <c:v>8.30000000000004</c:v>
                </c:pt>
                <c:pt idx="410">
                  <c:v>8.00000000000002</c:v>
                </c:pt>
                <c:pt idx="411">
                  <c:v>7.80000000000003</c:v>
                </c:pt>
                <c:pt idx="412">
                  <c:v>7.20000000000005</c:v>
                </c:pt>
                <c:pt idx="413">
                  <c:v>6.30000000000006</c:v>
                </c:pt>
                <c:pt idx="414">
                  <c:v>5.40000000000006</c:v>
                </c:pt>
                <c:pt idx="415">
                  <c:v>5.10000000000004</c:v>
                </c:pt>
                <c:pt idx="416">
                  <c:v>4.80000000000001</c:v>
                </c:pt>
                <c:pt idx="417">
                  <c:v>4.40000000000003</c:v>
                </c:pt>
                <c:pt idx="418">
                  <c:v>3.4</c:v>
                </c:pt>
                <c:pt idx="419">
                  <c:v>2.80000000000002</c:v>
                </c:pt>
                <c:pt idx="420">
                  <c:v>2.5</c:v>
                </c:pt>
                <c:pt idx="421">
                  <c:v>2.40000000000004</c:v>
                </c:pt>
                <c:pt idx="422">
                  <c:v>2.30000000000001</c:v>
                </c:pt>
                <c:pt idx="423">
                  <c:v>2.5</c:v>
                </c:pt>
                <c:pt idx="424">
                  <c:v>2.5</c:v>
                </c:pt>
                <c:pt idx="425">
                  <c:v>2.80000000000002</c:v>
                </c:pt>
                <c:pt idx="426">
                  <c:v>2.90000000000006</c:v>
                </c:pt>
                <c:pt idx="427">
                  <c:v>3.20000000000001</c:v>
                </c:pt>
                <c:pt idx="428">
                  <c:v>3.50000000000003</c:v>
                </c:pt>
                <c:pt idx="429">
                  <c:v>3.90000000000001</c:v>
                </c:pt>
                <c:pt idx="430">
                  <c:v>4.20000000000004</c:v>
                </c:pt>
                <c:pt idx="431">
                  <c:v>4.60000000000002</c:v>
                </c:pt>
                <c:pt idx="432">
                  <c:v>5.20000000000007</c:v>
                </c:pt>
                <c:pt idx="433">
                  <c:v>6.40000000000002</c:v>
                </c:pt>
                <c:pt idx="434">
                  <c:v>7.00000000000006</c:v>
                </c:pt>
                <c:pt idx="435">
                  <c:v>7.90000000000006</c:v>
                </c:pt>
                <c:pt idx="436">
                  <c:v>9.10000000000001</c:v>
                </c:pt>
                <c:pt idx="437">
                  <c:v>9.90000000000005</c:v>
                </c:pt>
                <c:pt idx="438">
                  <c:v>10.6000000000001</c:v>
                </c:pt>
                <c:pt idx="439">
                  <c:v>10.9</c:v>
                </c:pt>
                <c:pt idx="440">
                  <c:v>12.2000000000001</c:v>
                </c:pt>
                <c:pt idx="441">
                  <c:v>12.8</c:v>
                </c:pt>
                <c:pt idx="442">
                  <c:v>13.1000000000001</c:v>
                </c:pt>
                <c:pt idx="443">
                  <c:v>13.3</c:v>
                </c:pt>
                <c:pt idx="444">
                  <c:v>13.5</c:v>
                </c:pt>
                <c:pt idx="445">
                  <c:v>13.3</c:v>
                </c:pt>
                <c:pt idx="446">
                  <c:v>13.4</c:v>
                </c:pt>
                <c:pt idx="447">
                  <c:v>13.2</c:v>
                </c:pt>
                <c:pt idx="448">
                  <c:v>12.8</c:v>
                </c:pt>
                <c:pt idx="449">
                  <c:v>12.6</c:v>
                </c:pt>
                <c:pt idx="450">
                  <c:v>12.3</c:v>
                </c:pt>
                <c:pt idx="451">
                  <c:v>11.9</c:v>
                </c:pt>
                <c:pt idx="452">
                  <c:v>11.6</c:v>
                </c:pt>
                <c:pt idx="453">
                  <c:v>11.1000000000001</c:v>
                </c:pt>
                <c:pt idx="454">
                  <c:v>10.7</c:v>
                </c:pt>
                <c:pt idx="455">
                  <c:v>10.3</c:v>
                </c:pt>
                <c:pt idx="456">
                  <c:v>9.00000000000005</c:v>
                </c:pt>
                <c:pt idx="457">
                  <c:v>8.10000000000005</c:v>
                </c:pt>
                <c:pt idx="458">
                  <c:v>7.60000000000004</c:v>
                </c:pt>
                <c:pt idx="459">
                  <c:v>6.10000000000006</c:v>
                </c:pt>
                <c:pt idx="460">
                  <c:v>5.20000000000007</c:v>
                </c:pt>
                <c:pt idx="461">
                  <c:v>4.60000000000002</c:v>
                </c:pt>
                <c:pt idx="462">
                  <c:v>4.30000000000007</c:v>
                </c:pt>
                <c:pt idx="463">
                  <c:v>3.30000000000004</c:v>
                </c:pt>
                <c:pt idx="464">
                  <c:v>2.80000000000002</c:v>
                </c:pt>
                <c:pt idx="465">
                  <c:v>2.5</c:v>
                </c:pt>
                <c:pt idx="466">
                  <c:v>2.30000000000001</c:v>
                </c:pt>
                <c:pt idx="467">
                  <c:v>2.30000000000001</c:v>
                </c:pt>
                <c:pt idx="468">
                  <c:v>2.40000000000004</c:v>
                </c:pt>
                <c:pt idx="469">
                  <c:v>2.60000000000003</c:v>
                </c:pt>
                <c:pt idx="470">
                  <c:v>2.80000000000002</c:v>
                </c:pt>
                <c:pt idx="471">
                  <c:v>2.90000000000006</c:v>
                </c:pt>
                <c:pt idx="472">
                  <c:v>3.10000000000005</c:v>
                </c:pt>
                <c:pt idx="473">
                  <c:v>3.50000000000003</c:v>
                </c:pt>
                <c:pt idx="474">
                  <c:v>3.90000000000001</c:v>
                </c:pt>
                <c:pt idx="475">
                  <c:v>4.30000000000007</c:v>
                </c:pt>
                <c:pt idx="476">
                  <c:v>4.60000000000002</c:v>
                </c:pt>
                <c:pt idx="477">
                  <c:v>5.80000000000004</c:v>
                </c:pt>
                <c:pt idx="478">
                  <c:v>6.70000000000004</c:v>
                </c:pt>
                <c:pt idx="479">
                  <c:v>7.40000000000005</c:v>
                </c:pt>
                <c:pt idx="480">
                  <c:v>7.90000000000006</c:v>
                </c:pt>
                <c:pt idx="481">
                  <c:v>9.20000000000004</c:v>
                </c:pt>
                <c:pt idx="482">
                  <c:v>10</c:v>
                </c:pt>
                <c:pt idx="483">
                  <c:v>10.4000000000001</c:v>
                </c:pt>
                <c:pt idx="484">
                  <c:v>10.8</c:v>
                </c:pt>
                <c:pt idx="485">
                  <c:v>11.9</c:v>
                </c:pt>
                <c:pt idx="486">
                  <c:v>12.5</c:v>
                </c:pt>
                <c:pt idx="487">
                  <c:v>12.7</c:v>
                </c:pt>
                <c:pt idx="488">
                  <c:v>12.9000000000001</c:v>
                </c:pt>
                <c:pt idx="489">
                  <c:v>12.9000000000001</c:v>
                </c:pt>
                <c:pt idx="490">
                  <c:v>12.8</c:v>
                </c:pt>
                <c:pt idx="491">
                  <c:v>12.7</c:v>
                </c:pt>
                <c:pt idx="492">
                  <c:v>12.6</c:v>
                </c:pt>
                <c:pt idx="493">
                  <c:v>12.5</c:v>
                </c:pt>
                <c:pt idx="494">
                  <c:v>12.3</c:v>
                </c:pt>
                <c:pt idx="495">
                  <c:v>12.0000000000001</c:v>
                </c:pt>
                <c:pt idx="496">
                  <c:v>11.9</c:v>
                </c:pt>
                <c:pt idx="497">
                  <c:v>11.7</c:v>
                </c:pt>
                <c:pt idx="498">
                  <c:v>11.3000000000001</c:v>
                </c:pt>
                <c:pt idx="499">
                  <c:v>11.3000000000001</c:v>
                </c:pt>
                <c:pt idx="500">
                  <c:v>11</c:v>
                </c:pt>
                <c:pt idx="501">
                  <c:v>10.6000000000001</c:v>
                </c:pt>
                <c:pt idx="502">
                  <c:v>9.50000000000006</c:v>
                </c:pt>
                <c:pt idx="503">
                  <c:v>8.80000000000006</c:v>
                </c:pt>
                <c:pt idx="504">
                  <c:v>8.10000000000005</c:v>
                </c:pt>
                <c:pt idx="505">
                  <c:v>7.80000000000003</c:v>
                </c:pt>
                <c:pt idx="506">
                  <c:v>7.40000000000005</c:v>
                </c:pt>
                <c:pt idx="507">
                  <c:v>6.40000000000002</c:v>
                </c:pt>
                <c:pt idx="508">
                  <c:v>5.9</c:v>
                </c:pt>
                <c:pt idx="509">
                  <c:v>5.70000000000001</c:v>
                </c:pt>
                <c:pt idx="510">
                  <c:v>5.50000000000002</c:v>
                </c:pt>
                <c:pt idx="511">
                  <c:v>5.40000000000006</c:v>
                </c:pt>
                <c:pt idx="512">
                  <c:v>5.60000000000005</c:v>
                </c:pt>
                <c:pt idx="513">
                  <c:v>5.50000000000002</c:v>
                </c:pt>
                <c:pt idx="514">
                  <c:v>5.70000000000001</c:v>
                </c:pt>
                <c:pt idx="515">
                  <c:v>5.9</c:v>
                </c:pt>
                <c:pt idx="516">
                  <c:v>6.10000000000006</c:v>
                </c:pt>
                <c:pt idx="517">
                  <c:v>6.20000000000003</c:v>
                </c:pt>
                <c:pt idx="518">
                  <c:v>6.40000000000002</c:v>
                </c:pt>
                <c:pt idx="519">
                  <c:v>6.40000000000002</c:v>
                </c:pt>
                <c:pt idx="520">
                  <c:v>6.70000000000004</c:v>
                </c:pt>
                <c:pt idx="521">
                  <c:v>6.90000000000003</c:v>
                </c:pt>
                <c:pt idx="522">
                  <c:v>7.00000000000006</c:v>
                </c:pt>
                <c:pt idx="523">
                  <c:v>7.10000000000002</c:v>
                </c:pt>
                <c:pt idx="524">
                  <c:v>7.10000000000002</c:v>
                </c:pt>
                <c:pt idx="525">
                  <c:v>7.30000000000001</c:v>
                </c:pt>
                <c:pt idx="526">
                  <c:v>7.50000000000001</c:v>
                </c:pt>
                <c:pt idx="527">
                  <c:v>7.40000000000005</c:v>
                </c:pt>
                <c:pt idx="528">
                  <c:v>7.30000000000001</c:v>
                </c:pt>
                <c:pt idx="529">
                  <c:v>7.30000000000001</c:v>
                </c:pt>
                <c:pt idx="530">
                  <c:v>7.10000000000002</c:v>
                </c:pt>
                <c:pt idx="531">
                  <c:v>7.10000000000002</c:v>
                </c:pt>
                <c:pt idx="532">
                  <c:v>7.00000000000006</c:v>
                </c:pt>
                <c:pt idx="533">
                  <c:v>7.00000000000006</c:v>
                </c:pt>
                <c:pt idx="534">
                  <c:v>6.90000000000003</c:v>
                </c:pt>
                <c:pt idx="535">
                  <c:v>6.8</c:v>
                </c:pt>
                <c:pt idx="536">
                  <c:v>6.70000000000004</c:v>
                </c:pt>
                <c:pt idx="537">
                  <c:v>6.60000000000001</c:v>
                </c:pt>
                <c:pt idx="538">
                  <c:v>6.40000000000002</c:v>
                </c:pt>
                <c:pt idx="539">
                  <c:v>6.50000000000005</c:v>
                </c:pt>
                <c:pt idx="540">
                  <c:v>6.20000000000003</c:v>
                </c:pt>
                <c:pt idx="541">
                  <c:v>6.20000000000003</c:v>
                </c:pt>
                <c:pt idx="542">
                  <c:v>6.20000000000003</c:v>
                </c:pt>
                <c:pt idx="543">
                  <c:v>6.00000000000003</c:v>
                </c:pt>
                <c:pt idx="544">
                  <c:v>6.00000000000003</c:v>
                </c:pt>
                <c:pt idx="545">
                  <c:v>6.10000000000006</c:v>
                </c:pt>
                <c:pt idx="546">
                  <c:v>6.10000000000006</c:v>
                </c:pt>
                <c:pt idx="547">
                  <c:v>6.00000000000003</c:v>
                </c:pt>
                <c:pt idx="548">
                  <c:v>6.00000000000003</c:v>
                </c:pt>
                <c:pt idx="549">
                  <c:v>6.10000000000006</c:v>
                </c:pt>
                <c:pt idx="550">
                  <c:v>6.10000000000006</c:v>
                </c:pt>
                <c:pt idx="551">
                  <c:v>6.10000000000006</c:v>
                </c:pt>
                <c:pt idx="552">
                  <c:v>6.10000000000006</c:v>
                </c:pt>
                <c:pt idx="553">
                  <c:v>6.20000000000003</c:v>
                </c:pt>
                <c:pt idx="554">
                  <c:v>6.20000000000003</c:v>
                </c:pt>
                <c:pt idx="555">
                  <c:v>6.20000000000003</c:v>
                </c:pt>
                <c:pt idx="556">
                  <c:v>6.20000000000003</c:v>
                </c:pt>
                <c:pt idx="557">
                  <c:v>6.20000000000003</c:v>
                </c:pt>
                <c:pt idx="558">
                  <c:v>6.20000000000003</c:v>
                </c:pt>
                <c:pt idx="559">
                  <c:v>6.30000000000006</c:v>
                </c:pt>
                <c:pt idx="560">
                  <c:v>6.30000000000006</c:v>
                </c:pt>
                <c:pt idx="561">
                  <c:v>6.30000000000006</c:v>
                </c:pt>
                <c:pt idx="562">
                  <c:v>6.40000000000002</c:v>
                </c:pt>
                <c:pt idx="563">
                  <c:v>6.30000000000006</c:v>
                </c:pt>
                <c:pt idx="564">
                  <c:v>6.30000000000006</c:v>
                </c:pt>
                <c:pt idx="565">
                  <c:v>6.30000000000006</c:v>
                </c:pt>
                <c:pt idx="566">
                  <c:v>6.20000000000003</c:v>
                </c:pt>
                <c:pt idx="567">
                  <c:v>6.10000000000006</c:v>
                </c:pt>
                <c:pt idx="568">
                  <c:v>6.10000000000006</c:v>
                </c:pt>
                <c:pt idx="569">
                  <c:v>6.00000000000003</c:v>
                </c:pt>
                <c:pt idx="570">
                  <c:v>5.9</c:v>
                </c:pt>
                <c:pt idx="571">
                  <c:v>5.9</c:v>
                </c:pt>
                <c:pt idx="572">
                  <c:v>5.70000000000001</c:v>
                </c:pt>
                <c:pt idx="573">
                  <c:v>5.60000000000005</c:v>
                </c:pt>
                <c:pt idx="574">
                  <c:v>5.60000000000005</c:v>
                </c:pt>
                <c:pt idx="575">
                  <c:v>5.50000000000002</c:v>
                </c:pt>
                <c:pt idx="576">
                  <c:v>5.60000000000005</c:v>
                </c:pt>
                <c:pt idx="577">
                  <c:v>5.50000000000002</c:v>
                </c:pt>
                <c:pt idx="578">
                  <c:v>5.60000000000005</c:v>
                </c:pt>
                <c:pt idx="579">
                  <c:v>5.70000000000001</c:v>
                </c:pt>
                <c:pt idx="580">
                  <c:v>5.60000000000005</c:v>
                </c:pt>
                <c:pt idx="581">
                  <c:v>5.80000000000004</c:v>
                </c:pt>
                <c:pt idx="582">
                  <c:v>6.00000000000003</c:v>
                </c:pt>
                <c:pt idx="583">
                  <c:v>6.00000000000003</c:v>
                </c:pt>
                <c:pt idx="584">
                  <c:v>6.10000000000006</c:v>
                </c:pt>
                <c:pt idx="585">
                  <c:v>6.20000000000003</c:v>
                </c:pt>
                <c:pt idx="586">
                  <c:v>6.40000000000002</c:v>
                </c:pt>
                <c:pt idx="587">
                  <c:v>6.50000000000005</c:v>
                </c:pt>
                <c:pt idx="588">
                  <c:v>6.70000000000004</c:v>
                </c:pt>
                <c:pt idx="589">
                  <c:v>6.8</c:v>
                </c:pt>
                <c:pt idx="590">
                  <c:v>7.00000000000006</c:v>
                </c:pt>
                <c:pt idx="591">
                  <c:v>7.10000000000002</c:v>
                </c:pt>
                <c:pt idx="592">
                  <c:v>7.30000000000001</c:v>
                </c:pt>
                <c:pt idx="593">
                  <c:v>7.40000000000005</c:v>
                </c:pt>
                <c:pt idx="594">
                  <c:v>7.40000000000005</c:v>
                </c:pt>
                <c:pt idx="595">
                  <c:v>7.50000000000001</c:v>
                </c:pt>
                <c:pt idx="596">
                  <c:v>7.60000000000004</c:v>
                </c:pt>
                <c:pt idx="597">
                  <c:v>7.50000000000001</c:v>
                </c:pt>
                <c:pt idx="598">
                  <c:v>7.50000000000001</c:v>
                </c:pt>
                <c:pt idx="599">
                  <c:v>7.50000000000001</c:v>
                </c:pt>
                <c:pt idx="600">
                  <c:v>7.30000000000001</c:v>
                </c:pt>
                <c:pt idx="601">
                  <c:v>7.20000000000005</c:v>
                </c:pt>
                <c:pt idx="602">
                  <c:v>7.00000000000006</c:v>
                </c:pt>
                <c:pt idx="603">
                  <c:v>7.00000000000006</c:v>
                </c:pt>
                <c:pt idx="604">
                  <c:v>6.8</c:v>
                </c:pt>
                <c:pt idx="605">
                  <c:v>6.50000000000005</c:v>
                </c:pt>
                <c:pt idx="606">
                  <c:v>6.50000000000005</c:v>
                </c:pt>
                <c:pt idx="607">
                  <c:v>6.30000000000006</c:v>
                </c:pt>
                <c:pt idx="608">
                  <c:v>6.20000000000003</c:v>
                </c:pt>
                <c:pt idx="609">
                  <c:v>6.00000000000003</c:v>
                </c:pt>
                <c:pt idx="610">
                  <c:v>5.70000000000001</c:v>
                </c:pt>
                <c:pt idx="611">
                  <c:v>5.40000000000006</c:v>
                </c:pt>
                <c:pt idx="612">
                  <c:v>5.20000000000007</c:v>
                </c:pt>
                <c:pt idx="613">
                  <c:v>5.10000000000004</c:v>
                </c:pt>
                <c:pt idx="614">
                  <c:v>4.90000000000004</c:v>
                </c:pt>
                <c:pt idx="615">
                  <c:v>4.30000000000007</c:v>
                </c:pt>
                <c:pt idx="616">
                  <c:v>3.50000000000003</c:v>
                </c:pt>
                <c:pt idx="617">
                  <c:v>2.90000000000006</c:v>
                </c:pt>
                <c:pt idx="618">
                  <c:v>2.5</c:v>
                </c:pt>
                <c:pt idx="619">
                  <c:v>2.5</c:v>
                </c:pt>
                <c:pt idx="620">
                  <c:v>2.30000000000001</c:v>
                </c:pt>
                <c:pt idx="621">
                  <c:v>2.30000000000001</c:v>
                </c:pt>
                <c:pt idx="622">
                  <c:v>2.30000000000001</c:v>
                </c:pt>
                <c:pt idx="623">
                  <c:v>2.40000000000004</c:v>
                </c:pt>
                <c:pt idx="624">
                  <c:v>2.70000000000006</c:v>
                </c:pt>
                <c:pt idx="625">
                  <c:v>2.90000000000006</c:v>
                </c:pt>
                <c:pt idx="626">
                  <c:v>3.00000000000002</c:v>
                </c:pt>
                <c:pt idx="627">
                  <c:v>3.10000000000005</c:v>
                </c:pt>
                <c:pt idx="628">
                  <c:v>3.30000000000004</c:v>
                </c:pt>
                <c:pt idx="629">
                  <c:v>3.60000000000006</c:v>
                </c:pt>
                <c:pt idx="630">
                  <c:v>3.70000000000002</c:v>
                </c:pt>
                <c:pt idx="631">
                  <c:v>3.80000000000005</c:v>
                </c:pt>
                <c:pt idx="632">
                  <c:v>4.10000000000001</c:v>
                </c:pt>
                <c:pt idx="633">
                  <c:v>4.20000000000004</c:v>
                </c:pt>
                <c:pt idx="634">
                  <c:v>4.40000000000003</c:v>
                </c:pt>
                <c:pt idx="635">
                  <c:v>4.90000000000004</c:v>
                </c:pt>
                <c:pt idx="636">
                  <c:v>5.80000000000004</c:v>
                </c:pt>
                <c:pt idx="637">
                  <c:v>6.40000000000002</c:v>
                </c:pt>
                <c:pt idx="638">
                  <c:v>6.60000000000001</c:v>
                </c:pt>
                <c:pt idx="639">
                  <c:v>6.8</c:v>
                </c:pt>
                <c:pt idx="640">
                  <c:v>7.00000000000006</c:v>
                </c:pt>
                <c:pt idx="641">
                  <c:v>6.90000000000003</c:v>
                </c:pt>
                <c:pt idx="642">
                  <c:v>6.90000000000003</c:v>
                </c:pt>
                <c:pt idx="643">
                  <c:v>6.8</c:v>
                </c:pt>
                <c:pt idx="644">
                  <c:v>6.60000000000001</c:v>
                </c:pt>
                <c:pt idx="645">
                  <c:v>6.40000000000002</c:v>
                </c:pt>
                <c:pt idx="646">
                  <c:v>6.30000000000006</c:v>
                </c:pt>
                <c:pt idx="647">
                  <c:v>6.10000000000006</c:v>
                </c:pt>
                <c:pt idx="648">
                  <c:v>5.9</c:v>
                </c:pt>
                <c:pt idx="649">
                  <c:v>5.50000000000002</c:v>
                </c:pt>
                <c:pt idx="650">
                  <c:v>5.30000000000003</c:v>
                </c:pt>
                <c:pt idx="651">
                  <c:v>5</c:v>
                </c:pt>
                <c:pt idx="652">
                  <c:v>4.60000000000002</c:v>
                </c:pt>
                <c:pt idx="653">
                  <c:v>4.40000000000003</c:v>
                </c:pt>
                <c:pt idx="654">
                  <c:v>3.60000000000006</c:v>
                </c:pt>
                <c:pt idx="655">
                  <c:v>2.90000000000006</c:v>
                </c:pt>
                <c:pt idx="656">
                  <c:v>2.60000000000003</c:v>
                </c:pt>
                <c:pt idx="657">
                  <c:v>2.40000000000004</c:v>
                </c:pt>
                <c:pt idx="658">
                  <c:v>2.10000000000002</c:v>
                </c:pt>
                <c:pt idx="659">
                  <c:v>2.30000000000001</c:v>
                </c:pt>
                <c:pt idx="660">
                  <c:v>2.20000000000005</c:v>
                </c:pt>
                <c:pt idx="661">
                  <c:v>2.10000000000002</c:v>
                </c:pt>
                <c:pt idx="662">
                  <c:v>2.40000000000004</c:v>
                </c:pt>
                <c:pt idx="663">
                  <c:v>2.40000000000004</c:v>
                </c:pt>
                <c:pt idx="664">
                  <c:v>2.5</c:v>
                </c:pt>
                <c:pt idx="665">
                  <c:v>2.60000000000003</c:v>
                </c:pt>
                <c:pt idx="666">
                  <c:v>2.70000000000006</c:v>
                </c:pt>
                <c:pt idx="667">
                  <c:v>2.90000000000006</c:v>
                </c:pt>
                <c:pt idx="668">
                  <c:v>3.10000000000005</c:v>
                </c:pt>
                <c:pt idx="669">
                  <c:v>3.30000000000004</c:v>
                </c:pt>
                <c:pt idx="670">
                  <c:v>3.50000000000003</c:v>
                </c:pt>
                <c:pt idx="671">
                  <c:v>3.80000000000005</c:v>
                </c:pt>
                <c:pt idx="672">
                  <c:v>3.90000000000001</c:v>
                </c:pt>
                <c:pt idx="673">
                  <c:v>4.10000000000001</c:v>
                </c:pt>
                <c:pt idx="674">
                  <c:v>4.20000000000004</c:v>
                </c:pt>
                <c:pt idx="675">
                  <c:v>4.40000000000003</c:v>
                </c:pt>
                <c:pt idx="676">
                  <c:v>4.40000000000003</c:v>
                </c:pt>
                <c:pt idx="677">
                  <c:v>4.50000000000006</c:v>
                </c:pt>
                <c:pt idx="678">
                  <c:v>4.70000000000005</c:v>
                </c:pt>
                <c:pt idx="679">
                  <c:v>5.60000000000005</c:v>
                </c:pt>
                <c:pt idx="680">
                  <c:v>6.00000000000003</c:v>
                </c:pt>
                <c:pt idx="681">
                  <c:v>6.10000000000006</c:v>
                </c:pt>
                <c:pt idx="682">
                  <c:v>6.40000000000002</c:v>
                </c:pt>
                <c:pt idx="683">
                  <c:v>6.30000000000006</c:v>
                </c:pt>
                <c:pt idx="684">
                  <c:v>6.30000000000006</c:v>
                </c:pt>
                <c:pt idx="685">
                  <c:v>6.00000000000003</c:v>
                </c:pt>
                <c:pt idx="686">
                  <c:v>5.9</c:v>
                </c:pt>
                <c:pt idx="687">
                  <c:v>5.70000000000001</c:v>
                </c:pt>
                <c:pt idx="688">
                  <c:v>5.50000000000002</c:v>
                </c:pt>
                <c:pt idx="689">
                  <c:v>5.20000000000007</c:v>
                </c:pt>
                <c:pt idx="690">
                  <c:v>5.10000000000004</c:v>
                </c:pt>
                <c:pt idx="691">
                  <c:v>4.90000000000004</c:v>
                </c:pt>
                <c:pt idx="692">
                  <c:v>4.70000000000005</c:v>
                </c:pt>
                <c:pt idx="693">
                  <c:v>4.50000000000006</c:v>
                </c:pt>
                <c:pt idx="694">
                  <c:v>3.4</c:v>
                </c:pt>
                <c:pt idx="695">
                  <c:v>2.90000000000006</c:v>
                </c:pt>
                <c:pt idx="696">
                  <c:v>2.30000000000001</c:v>
                </c:pt>
                <c:pt idx="697">
                  <c:v>2.20000000000005</c:v>
                </c:pt>
                <c:pt idx="698">
                  <c:v>2.00000000000006</c:v>
                </c:pt>
                <c:pt idx="699">
                  <c:v>1.80000000000007</c:v>
                </c:pt>
                <c:pt idx="700">
                  <c:v>1.80000000000007</c:v>
                </c:pt>
                <c:pt idx="701">
                  <c:v>1.90000000000003</c:v>
                </c:pt>
                <c:pt idx="702">
                  <c:v>2.10000000000002</c:v>
                </c:pt>
                <c:pt idx="703">
                  <c:v>2.20000000000005</c:v>
                </c:pt>
                <c:pt idx="704">
                  <c:v>2.40000000000004</c:v>
                </c:pt>
                <c:pt idx="705">
                  <c:v>2.60000000000003</c:v>
                </c:pt>
                <c:pt idx="706">
                  <c:v>2.70000000000006</c:v>
                </c:pt>
                <c:pt idx="707">
                  <c:v>2.80000000000002</c:v>
                </c:pt>
                <c:pt idx="708">
                  <c:v>3.10000000000005</c:v>
                </c:pt>
                <c:pt idx="709">
                  <c:v>3.30000000000004</c:v>
                </c:pt>
                <c:pt idx="710">
                  <c:v>3.4</c:v>
                </c:pt>
                <c:pt idx="711">
                  <c:v>3.60000000000006</c:v>
                </c:pt>
                <c:pt idx="712">
                  <c:v>3.80000000000005</c:v>
                </c:pt>
                <c:pt idx="713">
                  <c:v>3.90000000000001</c:v>
                </c:pt>
                <c:pt idx="714">
                  <c:v>4.00000000000005</c:v>
                </c:pt>
                <c:pt idx="715">
                  <c:v>4.20000000000004</c:v>
                </c:pt>
                <c:pt idx="716">
                  <c:v>4.20000000000004</c:v>
                </c:pt>
                <c:pt idx="717">
                  <c:v>4.20000000000004</c:v>
                </c:pt>
                <c:pt idx="718">
                  <c:v>4.30000000000007</c:v>
                </c:pt>
                <c:pt idx="719">
                  <c:v>4.30000000000007</c:v>
                </c:pt>
                <c:pt idx="720">
                  <c:v>4.20000000000004</c:v>
                </c:pt>
                <c:pt idx="721">
                  <c:v>4.00000000000005</c:v>
                </c:pt>
                <c:pt idx="722">
                  <c:v>4.10000000000001</c:v>
                </c:pt>
                <c:pt idx="723">
                  <c:v>3.90000000000001</c:v>
                </c:pt>
                <c:pt idx="724">
                  <c:v>3.70000000000002</c:v>
                </c:pt>
                <c:pt idx="725">
                  <c:v>3.50000000000003</c:v>
                </c:pt>
                <c:pt idx="726">
                  <c:v>3.30000000000004</c:v>
                </c:pt>
                <c:pt idx="727">
                  <c:v>2.90000000000006</c:v>
                </c:pt>
                <c:pt idx="728">
                  <c:v>2.80000000000002</c:v>
                </c:pt>
                <c:pt idx="729">
                  <c:v>2.60000000000003</c:v>
                </c:pt>
                <c:pt idx="730">
                  <c:v>2.5</c:v>
                </c:pt>
                <c:pt idx="731">
                  <c:v>2.20000000000005</c:v>
                </c:pt>
                <c:pt idx="732">
                  <c:v>2.00000000000006</c:v>
                </c:pt>
                <c:pt idx="733">
                  <c:v>1.70000000000003</c:v>
                </c:pt>
                <c:pt idx="734">
                  <c:v>1.80000000000007</c:v>
                </c:pt>
                <c:pt idx="735">
                  <c:v>1.30000000000005</c:v>
                </c:pt>
                <c:pt idx="736">
                  <c:v>0.600000000000045</c:v>
                </c:pt>
                <c:pt idx="737">
                  <c:v>0</c:v>
                </c:pt>
                <c:pt idx="738">
                  <c:v>-0.199999999999992</c:v>
                </c:pt>
                <c:pt idx="739">
                  <c:v>-0.399999999999984</c:v>
                </c:pt>
                <c:pt idx="740">
                  <c:v>-0.499999999999945</c:v>
                </c:pt>
                <c:pt idx="741">
                  <c:v>-0.499999999999945</c:v>
                </c:pt>
                <c:pt idx="742">
                  <c:v>-0.399999999999984</c:v>
                </c:pt>
                <c:pt idx="743">
                  <c:v>-0.299999999999953</c:v>
                </c:pt>
                <c:pt idx="744">
                  <c:v>-0.199999999999992</c:v>
                </c:pt>
                <c:pt idx="745">
                  <c:v>-0.0999999999999612</c:v>
                </c:pt>
                <c:pt idx="746">
                  <c:v>0.100000000000031</c:v>
                </c:pt>
                <c:pt idx="747">
                  <c:v>0.300000000000022</c:v>
                </c:pt>
                <c:pt idx="748">
                  <c:v>0.500000000000014</c:v>
                </c:pt>
                <c:pt idx="749">
                  <c:v>0.700000000000006</c:v>
                </c:pt>
                <c:pt idx="750">
                  <c:v>0.800000000000037</c:v>
                </c:pt>
                <c:pt idx="751">
                  <c:v>1.00000000000003</c:v>
                </c:pt>
                <c:pt idx="752">
                  <c:v>1.20000000000002</c:v>
                </c:pt>
                <c:pt idx="753">
                  <c:v>1.20000000000002</c:v>
                </c:pt>
                <c:pt idx="754">
                  <c:v>1.50000000000004</c:v>
                </c:pt>
                <c:pt idx="755">
                  <c:v>1.50000000000004</c:v>
                </c:pt>
                <c:pt idx="756">
                  <c:v>1.40000000000001</c:v>
                </c:pt>
                <c:pt idx="757">
                  <c:v>1.50000000000004</c:v>
                </c:pt>
                <c:pt idx="758">
                  <c:v>1.50000000000004</c:v>
                </c:pt>
                <c:pt idx="759">
                  <c:v>1.50000000000004</c:v>
                </c:pt>
                <c:pt idx="760">
                  <c:v>1.30000000000005</c:v>
                </c:pt>
                <c:pt idx="761">
                  <c:v>1.10000000000006</c:v>
                </c:pt>
                <c:pt idx="762">
                  <c:v>1.00000000000003</c:v>
                </c:pt>
                <c:pt idx="763">
                  <c:v>0.800000000000037</c:v>
                </c:pt>
                <c:pt idx="764">
                  <c:v>0.600000000000045</c:v>
                </c:pt>
                <c:pt idx="765">
                  <c:v>0.500000000000014</c:v>
                </c:pt>
                <c:pt idx="766">
                  <c:v>0.200000000000061</c:v>
                </c:pt>
                <c:pt idx="767">
                  <c:v>0.200000000000061</c:v>
                </c:pt>
                <c:pt idx="768">
                  <c:v>-0.0999999999999612</c:v>
                </c:pt>
                <c:pt idx="769">
                  <c:v>-0.0999999999999612</c:v>
                </c:pt>
                <c:pt idx="770">
                  <c:v>-0.399999999999984</c:v>
                </c:pt>
                <c:pt idx="771">
                  <c:v>-0.499999999999945</c:v>
                </c:pt>
                <c:pt idx="772">
                  <c:v>-0.799999999999967</c:v>
                </c:pt>
                <c:pt idx="773">
                  <c:v>-0.699999999999937</c:v>
                </c:pt>
                <c:pt idx="774">
                  <c:v>-0.799999999999967</c:v>
                </c:pt>
                <c:pt idx="775">
                  <c:v>-0.799999999999967</c:v>
                </c:pt>
                <c:pt idx="776">
                  <c:v>-0.799999999999967</c:v>
                </c:pt>
                <c:pt idx="777">
                  <c:v>-0.899999999999998</c:v>
                </c:pt>
                <c:pt idx="778">
                  <c:v>-0.899999999999998</c:v>
                </c:pt>
                <c:pt idx="779">
                  <c:v>-0.799999999999967</c:v>
                </c:pt>
                <c:pt idx="780">
                  <c:v>-0.699999999999937</c:v>
                </c:pt>
                <c:pt idx="781">
                  <c:v>-0.599999999999976</c:v>
                </c:pt>
                <c:pt idx="782">
                  <c:v>-0.399999999999984</c:v>
                </c:pt>
                <c:pt idx="783">
                  <c:v>-0.399999999999984</c:v>
                </c:pt>
                <c:pt idx="784">
                  <c:v>-0.199999999999992</c:v>
                </c:pt>
                <c:pt idx="785">
                  <c:v>0</c:v>
                </c:pt>
                <c:pt idx="786">
                  <c:v>0</c:v>
                </c:pt>
                <c:pt idx="787">
                  <c:v>0.300000000000022</c:v>
                </c:pt>
                <c:pt idx="788">
                  <c:v>0.500000000000014</c:v>
                </c:pt>
                <c:pt idx="789">
                  <c:v>0.800000000000037</c:v>
                </c:pt>
                <c:pt idx="790">
                  <c:v>0.900000000000067</c:v>
                </c:pt>
                <c:pt idx="791">
                  <c:v>1.10000000000006</c:v>
                </c:pt>
                <c:pt idx="792">
                  <c:v>1.30000000000005</c:v>
                </c:pt>
                <c:pt idx="793">
                  <c:v>1.40000000000001</c:v>
                </c:pt>
                <c:pt idx="794">
                  <c:v>1.6</c:v>
                </c:pt>
                <c:pt idx="795">
                  <c:v>2.40000000000004</c:v>
                </c:pt>
                <c:pt idx="796">
                  <c:v>3.00000000000002</c:v>
                </c:pt>
                <c:pt idx="797">
                  <c:v>3.4</c:v>
                </c:pt>
                <c:pt idx="798">
                  <c:v>3.4</c:v>
                </c:pt>
                <c:pt idx="799">
                  <c:v>3.50000000000003</c:v>
                </c:pt>
                <c:pt idx="800">
                  <c:v>3.50000000000003</c:v>
                </c:pt>
                <c:pt idx="801">
                  <c:v>3.50000000000003</c:v>
                </c:pt>
                <c:pt idx="802">
                  <c:v>3.50000000000003</c:v>
                </c:pt>
                <c:pt idx="803">
                  <c:v>3.30000000000004</c:v>
                </c:pt>
                <c:pt idx="804">
                  <c:v>3.10000000000005</c:v>
                </c:pt>
                <c:pt idx="805">
                  <c:v>3.00000000000002</c:v>
                </c:pt>
                <c:pt idx="806">
                  <c:v>2.80000000000002</c:v>
                </c:pt>
                <c:pt idx="807">
                  <c:v>2.60000000000003</c:v>
                </c:pt>
                <c:pt idx="808">
                  <c:v>2.30000000000001</c:v>
                </c:pt>
                <c:pt idx="809">
                  <c:v>2.30000000000001</c:v>
                </c:pt>
                <c:pt idx="810">
                  <c:v>2.10000000000002</c:v>
                </c:pt>
                <c:pt idx="811">
                  <c:v>2.00000000000006</c:v>
                </c:pt>
                <c:pt idx="812">
                  <c:v>1.6</c:v>
                </c:pt>
                <c:pt idx="813">
                  <c:v>1.6</c:v>
                </c:pt>
                <c:pt idx="814">
                  <c:v>1.40000000000001</c:v>
                </c:pt>
                <c:pt idx="815">
                  <c:v>0.600000000000045</c:v>
                </c:pt>
                <c:pt idx="816">
                  <c:v>0.100000000000031</c:v>
                </c:pt>
                <c:pt idx="817">
                  <c:v>-0.199999999999992</c:v>
                </c:pt>
                <c:pt idx="818">
                  <c:v>-0.399999999999984</c:v>
                </c:pt>
                <c:pt idx="819">
                  <c:v>-0.499999999999945</c:v>
                </c:pt>
                <c:pt idx="820">
                  <c:v>-0.499999999999945</c:v>
                </c:pt>
                <c:pt idx="821">
                  <c:v>-0.299999999999953</c:v>
                </c:pt>
                <c:pt idx="822">
                  <c:v>-0.299999999999953</c:v>
                </c:pt>
                <c:pt idx="823">
                  <c:v>-0.199999999999992</c:v>
                </c:pt>
                <c:pt idx="824">
                  <c:v>-0.0999999999999612</c:v>
                </c:pt>
                <c:pt idx="825">
                  <c:v>0.100000000000031</c:v>
                </c:pt>
                <c:pt idx="826">
                  <c:v>0.200000000000061</c:v>
                </c:pt>
                <c:pt idx="827">
                  <c:v>0.400000000000053</c:v>
                </c:pt>
                <c:pt idx="828">
                  <c:v>0.600000000000045</c:v>
                </c:pt>
                <c:pt idx="829">
                  <c:v>0.800000000000037</c:v>
                </c:pt>
                <c:pt idx="830">
                  <c:v>1.00000000000003</c:v>
                </c:pt>
                <c:pt idx="831">
                  <c:v>1.10000000000006</c:v>
                </c:pt>
                <c:pt idx="832">
                  <c:v>1.40000000000001</c:v>
                </c:pt>
                <c:pt idx="833">
                  <c:v>1.40000000000001</c:v>
                </c:pt>
                <c:pt idx="834">
                  <c:v>1.50000000000004</c:v>
                </c:pt>
                <c:pt idx="835">
                  <c:v>1.30000000000005</c:v>
                </c:pt>
                <c:pt idx="836">
                  <c:v>1.40000000000001</c:v>
                </c:pt>
                <c:pt idx="837">
                  <c:v>1.30000000000005</c:v>
                </c:pt>
                <c:pt idx="838">
                  <c:v>1.20000000000002</c:v>
                </c:pt>
                <c:pt idx="839">
                  <c:v>1.20000000000002</c:v>
                </c:pt>
                <c:pt idx="840">
                  <c:v>1.00000000000003</c:v>
                </c:pt>
                <c:pt idx="841">
                  <c:v>0.900000000000067</c:v>
                </c:pt>
                <c:pt idx="842">
                  <c:v>0.800000000000037</c:v>
                </c:pt>
                <c:pt idx="843">
                  <c:v>0.700000000000006</c:v>
                </c:pt>
                <c:pt idx="844">
                  <c:v>0.400000000000053</c:v>
                </c:pt>
                <c:pt idx="845">
                  <c:v>0.300000000000022</c:v>
                </c:pt>
                <c:pt idx="846">
                  <c:v>0.100000000000031</c:v>
                </c:pt>
                <c:pt idx="847">
                  <c:v>-0.0999999999999612</c:v>
                </c:pt>
                <c:pt idx="848">
                  <c:v>-0.199999999999992</c:v>
                </c:pt>
                <c:pt idx="849">
                  <c:v>-0.399999999999984</c:v>
                </c:pt>
                <c:pt idx="850">
                  <c:v>-0.499999999999945</c:v>
                </c:pt>
                <c:pt idx="851">
                  <c:v>-0.599999999999976</c:v>
                </c:pt>
                <c:pt idx="852">
                  <c:v>-0.799999999999967</c:v>
                </c:pt>
                <c:pt idx="853">
                  <c:v>-0.799999999999967</c:v>
                </c:pt>
                <c:pt idx="854">
                  <c:v>-0.999999999999959</c:v>
                </c:pt>
                <c:pt idx="855">
                  <c:v>-0.899999999999998</c:v>
                </c:pt>
                <c:pt idx="856">
                  <c:v>-0.899999999999998</c:v>
                </c:pt>
                <c:pt idx="857">
                  <c:v>-0.799999999999967</c:v>
                </c:pt>
                <c:pt idx="858">
                  <c:v>-0.799999999999967</c:v>
                </c:pt>
                <c:pt idx="859">
                  <c:v>-0.699999999999937</c:v>
                </c:pt>
                <c:pt idx="860">
                  <c:v>-0.599999999999976</c:v>
                </c:pt>
                <c:pt idx="861">
                  <c:v>-0.499999999999945</c:v>
                </c:pt>
                <c:pt idx="862">
                  <c:v>-0.299999999999953</c:v>
                </c:pt>
                <c:pt idx="863">
                  <c:v>-0.199999999999992</c:v>
                </c:pt>
                <c:pt idx="864">
                  <c:v>0</c:v>
                </c:pt>
                <c:pt idx="865">
                  <c:v>0.100000000000031</c:v>
                </c:pt>
                <c:pt idx="866">
                  <c:v>0.300000000000022</c:v>
                </c:pt>
                <c:pt idx="867">
                  <c:v>0.600000000000045</c:v>
                </c:pt>
                <c:pt idx="868">
                  <c:v>0.800000000000037</c:v>
                </c:pt>
                <c:pt idx="869">
                  <c:v>0.900000000000067</c:v>
                </c:pt>
                <c:pt idx="870">
                  <c:v>0.900000000000067</c:v>
                </c:pt>
                <c:pt idx="871">
                  <c:v>1.10000000000006</c:v>
                </c:pt>
                <c:pt idx="872">
                  <c:v>1.30000000000005</c:v>
                </c:pt>
                <c:pt idx="873">
                  <c:v>1.30000000000005</c:v>
                </c:pt>
                <c:pt idx="874">
                  <c:v>1.50000000000004</c:v>
                </c:pt>
                <c:pt idx="875">
                  <c:v>1.40000000000001</c:v>
                </c:pt>
                <c:pt idx="876">
                  <c:v>1.40000000000001</c:v>
                </c:pt>
                <c:pt idx="877">
                  <c:v>1.20000000000002</c:v>
                </c:pt>
                <c:pt idx="878">
                  <c:v>1.30000000000005</c:v>
                </c:pt>
                <c:pt idx="879">
                  <c:v>1.10000000000006</c:v>
                </c:pt>
                <c:pt idx="880">
                  <c:v>1.10000000000006</c:v>
                </c:pt>
                <c:pt idx="881">
                  <c:v>0.900000000000067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A_08_52_36_83_正!$L$3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A_08_52_36_83_正!$J$4:$J$885</c:f>
              <c:numCache>
                <c:formatCode>0.00_);[Red]\(0.00\)</c:formatCode>
                <c:ptCount val="882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0.267</c:v>
                </c:pt>
                <c:pt idx="8" c:formatCode="0.00_);[Red]\(0.00\)">
                  <c:v>0.301</c:v>
                </c:pt>
                <c:pt idx="9" c:formatCode="0.00_);[Red]\(0.00\)">
                  <c:v>0.334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0.435</c:v>
                </c:pt>
                <c:pt idx="13" c:formatCode="0.00_);[Red]\(0.00\)">
                  <c:v>0.468</c:v>
                </c:pt>
                <c:pt idx="14" c:formatCode="0.00_);[Red]\(0.00\)">
                  <c:v>0.501</c:v>
                </c:pt>
                <c:pt idx="15" c:formatCode="0.00_);[Red]\(0.00\)">
                  <c:v>0.535</c:v>
                </c:pt>
                <c:pt idx="16" c:formatCode="0.00_);[Red]\(0.00\)">
                  <c:v>0.568</c:v>
                </c:pt>
                <c:pt idx="17" c:formatCode="0.00_);[Red]\(0.00\)">
                  <c:v>0.602</c:v>
                </c:pt>
                <c:pt idx="18" c:formatCode="0.00_);[Red]\(0.00\)">
                  <c:v>0.635</c:v>
                </c:pt>
                <c:pt idx="19" c:formatCode="0.00_);[Red]\(0.00\)">
                  <c:v>0.669</c:v>
                </c:pt>
                <c:pt idx="20" c:formatCode="0.00_);[Red]\(0.00\)">
                  <c:v>0.702</c:v>
                </c:pt>
                <c:pt idx="21" c:formatCode="0.00_);[Red]\(0.00\)">
                  <c:v>0.736</c:v>
                </c:pt>
                <c:pt idx="22" c:formatCode="0.00_);[Red]\(0.00\)">
                  <c:v>0.769</c:v>
                </c:pt>
                <c:pt idx="23" c:formatCode="0.00_);[Red]\(0.00\)">
                  <c:v>0.802</c:v>
                </c:pt>
                <c:pt idx="24" c:formatCode="0.00_);[Red]\(0.00\)">
                  <c:v>0.836</c:v>
                </c:pt>
                <c:pt idx="25" c:formatCode="0.00_);[Red]\(0.00\)">
                  <c:v>0.869</c:v>
                </c:pt>
                <c:pt idx="26" c:formatCode="0.00_);[Red]\(0.00\)">
                  <c:v>0.903</c:v>
                </c:pt>
                <c:pt idx="27" c:formatCode="0.00_);[Red]\(0.00\)">
                  <c:v>0.936</c:v>
                </c:pt>
                <c:pt idx="28" c:formatCode="0.00_);[Red]\(0.00\)">
                  <c:v>0.97</c:v>
                </c:pt>
                <c:pt idx="29" c:formatCode="0.00_);[Red]\(0.00\)">
                  <c:v>1.003</c:v>
                </c:pt>
                <c:pt idx="30" c:formatCode="0.00_);[Red]\(0.00\)">
                  <c:v>1.036</c:v>
                </c:pt>
                <c:pt idx="31" c:formatCode="0.00_);[Red]\(0.00\)">
                  <c:v>1.07</c:v>
                </c:pt>
                <c:pt idx="32" c:formatCode="0.00_);[Red]\(0.00\)">
                  <c:v>1.103</c:v>
                </c:pt>
                <c:pt idx="33" c:formatCode="0.00_);[Red]\(0.00\)">
                  <c:v>1.137</c:v>
                </c:pt>
                <c:pt idx="34" c:formatCode="0.00_);[Red]\(0.00\)">
                  <c:v>1.17</c:v>
                </c:pt>
                <c:pt idx="35" c:formatCode="0.00_);[Red]\(0.00\)">
                  <c:v>1.204</c:v>
                </c:pt>
                <c:pt idx="36" c:formatCode="0.00_);[Red]\(0.00\)">
                  <c:v>1.237</c:v>
                </c:pt>
                <c:pt idx="37" c:formatCode="0.00_);[Red]\(0.00\)">
                  <c:v>1.27</c:v>
                </c:pt>
                <c:pt idx="38" c:formatCode="0.00_);[Red]\(0.00\)">
                  <c:v>1.304</c:v>
                </c:pt>
                <c:pt idx="39" c:formatCode="0.00_);[Red]\(0.00\)">
                  <c:v>1.337</c:v>
                </c:pt>
                <c:pt idx="40" c:formatCode="0.00_);[Red]\(0.00\)">
                  <c:v>1.371</c:v>
                </c:pt>
                <c:pt idx="41" c:formatCode="0.00_);[Red]\(0.00\)">
                  <c:v>1.404</c:v>
                </c:pt>
                <c:pt idx="42" c:formatCode="0.00_);[Red]\(0.00\)">
                  <c:v>1.438</c:v>
                </c:pt>
                <c:pt idx="43" c:formatCode="0.00_);[Red]\(0.00\)">
                  <c:v>1.471</c:v>
                </c:pt>
                <c:pt idx="44" c:formatCode="0.00_);[Red]\(0.00\)">
                  <c:v>1.504</c:v>
                </c:pt>
                <c:pt idx="45" c:formatCode="0.00_);[Red]\(0.00\)">
                  <c:v>1.538</c:v>
                </c:pt>
                <c:pt idx="46" c:formatCode="0.00_);[Red]\(0.00\)">
                  <c:v>1.571</c:v>
                </c:pt>
                <c:pt idx="47" c:formatCode="0.00_);[Red]\(0.00\)">
                  <c:v>1.605</c:v>
                </c:pt>
                <c:pt idx="48" c:formatCode="0.00_);[Red]\(0.00\)">
                  <c:v>1.638</c:v>
                </c:pt>
                <c:pt idx="49" c:formatCode="0.00_);[Red]\(0.00\)">
                  <c:v>1.672</c:v>
                </c:pt>
                <c:pt idx="50" c:formatCode="0.00_);[Red]\(0.00\)">
                  <c:v>1.705</c:v>
                </c:pt>
                <c:pt idx="51" c:formatCode="0.00_);[Red]\(0.00\)">
                  <c:v>1.739</c:v>
                </c:pt>
                <c:pt idx="52" c:formatCode="0.00_);[Red]\(0.00\)">
                  <c:v>1.772</c:v>
                </c:pt>
                <c:pt idx="53" c:formatCode="0.00_);[Red]\(0.00\)">
                  <c:v>1.805</c:v>
                </c:pt>
                <c:pt idx="54" c:formatCode="0.00_);[Red]\(0.00\)">
                  <c:v>1.839</c:v>
                </c:pt>
                <c:pt idx="55" c:formatCode="0.00_);[Red]\(0.00\)">
                  <c:v>1.872</c:v>
                </c:pt>
                <c:pt idx="56" c:formatCode="0.00_);[Red]\(0.00\)">
                  <c:v>1.906</c:v>
                </c:pt>
                <c:pt idx="57" c:formatCode="0.00_);[Red]\(0.00\)">
                  <c:v>1.939</c:v>
                </c:pt>
                <c:pt idx="58" c:formatCode="0.00_);[Red]\(0.00\)">
                  <c:v>1.973</c:v>
                </c:pt>
                <c:pt idx="59" c:formatCode="0.00_);[Red]\(0.00\)">
                  <c:v>2.006</c:v>
                </c:pt>
                <c:pt idx="60" c:formatCode="0.00_);[Red]\(0.00\)">
                  <c:v>2.039</c:v>
                </c:pt>
                <c:pt idx="61" c:formatCode="0.00_);[Red]\(0.00\)">
                  <c:v>2.073</c:v>
                </c:pt>
                <c:pt idx="62" c:formatCode="0.00_);[Red]\(0.00\)">
                  <c:v>2.106</c:v>
                </c:pt>
                <c:pt idx="63" c:formatCode="0.00_);[Red]\(0.00\)">
                  <c:v>2.14</c:v>
                </c:pt>
                <c:pt idx="64" c:formatCode="0.00_);[Red]\(0.00\)">
                  <c:v>2.173</c:v>
                </c:pt>
                <c:pt idx="65" c:formatCode="0.00_);[Red]\(0.00\)">
                  <c:v>2.207</c:v>
                </c:pt>
                <c:pt idx="66" c:formatCode="0.00_);[Red]\(0.00\)">
                  <c:v>2.24</c:v>
                </c:pt>
                <c:pt idx="67" c:formatCode="0.00_);[Red]\(0.00\)">
                  <c:v>2.273</c:v>
                </c:pt>
                <c:pt idx="68" c:formatCode="0.00_);[Red]\(0.00\)">
                  <c:v>2.307</c:v>
                </c:pt>
                <c:pt idx="69" c:formatCode="0.00_);[Red]\(0.00\)">
                  <c:v>2.34</c:v>
                </c:pt>
                <c:pt idx="70" c:formatCode="0.00_);[Red]\(0.00\)">
                  <c:v>2.374</c:v>
                </c:pt>
                <c:pt idx="71" c:formatCode="0.00_);[Red]\(0.00\)">
                  <c:v>2.407</c:v>
                </c:pt>
                <c:pt idx="72" c:formatCode="0.00_);[Red]\(0.00\)">
                  <c:v>2.441</c:v>
                </c:pt>
                <c:pt idx="73" c:formatCode="0.00_);[Red]\(0.00\)">
                  <c:v>2.474</c:v>
                </c:pt>
                <c:pt idx="74" c:formatCode="0.00_);[Red]\(0.00\)">
                  <c:v>2.507</c:v>
                </c:pt>
                <c:pt idx="75" c:formatCode="0.00_);[Red]\(0.00\)">
                  <c:v>2.541</c:v>
                </c:pt>
                <c:pt idx="76" c:formatCode="0.00_);[Red]\(0.00\)">
                  <c:v>2.574</c:v>
                </c:pt>
                <c:pt idx="77" c:formatCode="0.00_);[Red]\(0.00\)">
                  <c:v>2.608</c:v>
                </c:pt>
                <c:pt idx="78" c:formatCode="0.00_);[Red]\(0.00\)">
                  <c:v>2.641</c:v>
                </c:pt>
                <c:pt idx="79" c:formatCode="0.00_);[Red]\(0.00\)">
                  <c:v>2.675</c:v>
                </c:pt>
                <c:pt idx="80" c:formatCode="0.00_);[Red]\(0.00\)">
                  <c:v>2.708</c:v>
                </c:pt>
                <c:pt idx="81" c:formatCode="0.00_);[Red]\(0.00\)">
                  <c:v>2.742</c:v>
                </c:pt>
                <c:pt idx="82" c:formatCode="0.00_);[Red]\(0.00\)">
                  <c:v>2.775</c:v>
                </c:pt>
                <c:pt idx="83" c:formatCode="0.00_);[Red]\(0.00\)">
                  <c:v>2.808</c:v>
                </c:pt>
                <c:pt idx="84" c:formatCode="0.00_);[Red]\(0.00\)">
                  <c:v>2.842</c:v>
                </c:pt>
                <c:pt idx="85" c:formatCode="0.00_);[Red]\(0.00\)">
                  <c:v>2.875</c:v>
                </c:pt>
                <c:pt idx="86" c:formatCode="0.00_);[Red]\(0.00\)">
                  <c:v>2.909</c:v>
                </c:pt>
                <c:pt idx="87" c:formatCode="0.00_);[Red]\(0.00\)">
                  <c:v>2.942</c:v>
                </c:pt>
                <c:pt idx="88" c:formatCode="0.00_);[Red]\(0.00\)">
                  <c:v>2.976</c:v>
                </c:pt>
                <c:pt idx="89" c:formatCode="0.00_);[Red]\(0.00\)">
                  <c:v>3.009</c:v>
                </c:pt>
                <c:pt idx="90" c:formatCode="0.00_);[Red]\(0.00\)">
                  <c:v>3.042</c:v>
                </c:pt>
                <c:pt idx="91" c:formatCode="0.00_);[Red]\(0.00\)">
                  <c:v>3.076</c:v>
                </c:pt>
                <c:pt idx="92" c:formatCode="0.00_);[Red]\(0.00\)">
                  <c:v>3.109</c:v>
                </c:pt>
                <c:pt idx="93" c:formatCode="0.00_);[Red]\(0.00\)">
                  <c:v>3.143</c:v>
                </c:pt>
                <c:pt idx="94" c:formatCode="0.00_);[Red]\(0.00\)">
                  <c:v>3.176</c:v>
                </c:pt>
                <c:pt idx="95" c:formatCode="0.00_);[Red]\(0.00\)">
                  <c:v>3.21</c:v>
                </c:pt>
                <c:pt idx="96" c:formatCode="0.00_);[Red]\(0.00\)">
                  <c:v>3.243</c:v>
                </c:pt>
                <c:pt idx="97" c:formatCode="0.00_);[Red]\(0.00\)">
                  <c:v>3.276</c:v>
                </c:pt>
                <c:pt idx="98" c:formatCode="0.00_);[Red]\(0.00\)">
                  <c:v>3.31</c:v>
                </c:pt>
                <c:pt idx="99" c:formatCode="0.00_);[Red]\(0.00\)">
                  <c:v>3.343</c:v>
                </c:pt>
                <c:pt idx="100" c:formatCode="0.00_);[Red]\(0.00\)">
                  <c:v>3.377</c:v>
                </c:pt>
                <c:pt idx="101" c:formatCode="0.00_);[Red]\(0.00\)">
                  <c:v>3.41</c:v>
                </c:pt>
                <c:pt idx="102" c:formatCode="0.00_);[Red]\(0.00\)">
                  <c:v>3.444</c:v>
                </c:pt>
                <c:pt idx="103" c:formatCode="0.00_);[Red]\(0.00\)">
                  <c:v>3.477</c:v>
                </c:pt>
                <c:pt idx="104" c:formatCode="0.00_);[Red]\(0.00\)">
                  <c:v>3.51</c:v>
                </c:pt>
                <c:pt idx="105" c:formatCode="0.00_);[Red]\(0.00\)">
                  <c:v>3.544</c:v>
                </c:pt>
                <c:pt idx="106" c:formatCode="0.00_);[Red]\(0.00\)">
                  <c:v>3.577</c:v>
                </c:pt>
                <c:pt idx="107" c:formatCode="0.00_);[Red]\(0.00\)">
                  <c:v>3.611</c:v>
                </c:pt>
                <c:pt idx="108" c:formatCode="0.00_);[Red]\(0.00\)">
                  <c:v>3.644</c:v>
                </c:pt>
                <c:pt idx="109" c:formatCode="0.00_);[Red]\(0.00\)">
                  <c:v>3.678</c:v>
                </c:pt>
                <c:pt idx="110" c:formatCode="0.00_);[Red]\(0.00\)">
                  <c:v>3.711</c:v>
                </c:pt>
                <c:pt idx="111" c:formatCode="0.00_);[Red]\(0.00\)">
                  <c:v>3.745</c:v>
                </c:pt>
                <c:pt idx="112" c:formatCode="0.00_);[Red]\(0.00\)">
                  <c:v>3.778</c:v>
                </c:pt>
                <c:pt idx="113" c:formatCode="0.00_);[Red]\(0.00\)">
                  <c:v>3.811</c:v>
                </c:pt>
                <c:pt idx="114" c:formatCode="0.00_);[Red]\(0.00\)">
                  <c:v>3.845</c:v>
                </c:pt>
                <c:pt idx="115" c:formatCode="0.00_);[Red]\(0.00\)">
                  <c:v>3.878</c:v>
                </c:pt>
                <c:pt idx="116" c:formatCode="0.00_);[Red]\(0.00\)">
                  <c:v>3.912</c:v>
                </c:pt>
                <c:pt idx="117" c:formatCode="0.00_);[Red]\(0.00\)">
                  <c:v>3.945</c:v>
                </c:pt>
                <c:pt idx="118" c:formatCode="0.00_);[Red]\(0.00\)">
                  <c:v>3.979</c:v>
                </c:pt>
                <c:pt idx="119" c:formatCode="0.00_);[Red]\(0.00\)">
                  <c:v>4.012</c:v>
                </c:pt>
                <c:pt idx="120" c:formatCode="0.00_);[Red]\(0.00\)">
                  <c:v>4.045</c:v>
                </c:pt>
                <c:pt idx="121" c:formatCode="0.00_);[Red]\(0.00\)">
                  <c:v>4.079</c:v>
                </c:pt>
                <c:pt idx="122" c:formatCode="0.00_);[Red]\(0.00\)">
                  <c:v>4.112</c:v>
                </c:pt>
                <c:pt idx="123" c:formatCode="0.00_);[Red]\(0.00\)">
                  <c:v>4.146</c:v>
                </c:pt>
                <c:pt idx="124" c:formatCode="0.00_);[Red]\(0.00\)">
                  <c:v>4.179</c:v>
                </c:pt>
                <c:pt idx="125" c:formatCode="0.00_);[Red]\(0.00\)">
                  <c:v>4.213</c:v>
                </c:pt>
                <c:pt idx="126" c:formatCode="0.00_);[Red]\(0.00\)">
                  <c:v>4.246</c:v>
                </c:pt>
                <c:pt idx="127" c:formatCode="0.00_);[Red]\(0.00\)">
                  <c:v>4.279</c:v>
                </c:pt>
                <c:pt idx="128" c:formatCode="0.00_);[Red]\(0.00\)">
                  <c:v>4.313</c:v>
                </c:pt>
                <c:pt idx="129" c:formatCode="0.00_);[Red]\(0.00\)">
                  <c:v>4.346</c:v>
                </c:pt>
                <c:pt idx="130" c:formatCode="0.00_);[Red]\(0.00\)">
                  <c:v>4.38</c:v>
                </c:pt>
                <c:pt idx="131" c:formatCode="0.00_);[Red]\(0.00\)">
                  <c:v>4.413</c:v>
                </c:pt>
                <c:pt idx="132" c:formatCode="0.00_);[Red]\(0.00\)">
                  <c:v>4.447</c:v>
                </c:pt>
                <c:pt idx="133" c:formatCode="0.00_);[Red]\(0.00\)">
                  <c:v>4.48</c:v>
                </c:pt>
                <c:pt idx="134" c:formatCode="0.00_);[Red]\(0.00\)">
                  <c:v>4.513</c:v>
                </c:pt>
                <c:pt idx="135" c:formatCode="0.00_);[Red]\(0.00\)">
                  <c:v>4.547</c:v>
                </c:pt>
                <c:pt idx="136" c:formatCode="0.00_);[Red]\(0.00\)">
                  <c:v>4.58</c:v>
                </c:pt>
                <c:pt idx="137" c:formatCode="0.00_);[Red]\(0.00\)">
                  <c:v>4.614</c:v>
                </c:pt>
                <c:pt idx="138" c:formatCode="0.00_);[Red]\(0.00\)">
                  <c:v>4.647</c:v>
                </c:pt>
                <c:pt idx="139" c:formatCode="0.00_);[Red]\(0.00\)">
                  <c:v>4.681</c:v>
                </c:pt>
                <c:pt idx="140" c:formatCode="0.00_);[Red]\(0.00\)">
                  <c:v>4.714</c:v>
                </c:pt>
                <c:pt idx="141" c:formatCode="0.00_);[Red]\(0.00\)">
                  <c:v>4.748</c:v>
                </c:pt>
                <c:pt idx="142" c:formatCode="0.00_);[Red]\(0.00\)">
                  <c:v>4.781</c:v>
                </c:pt>
                <c:pt idx="143" c:formatCode="0.00_);[Red]\(0.00\)">
                  <c:v>4.814</c:v>
                </c:pt>
                <c:pt idx="144" c:formatCode="0.00_);[Red]\(0.00\)">
                  <c:v>4.848</c:v>
                </c:pt>
                <c:pt idx="145" c:formatCode="0.00_);[Red]\(0.00\)">
                  <c:v>4.881</c:v>
                </c:pt>
                <c:pt idx="146" c:formatCode="0.00_);[Red]\(0.00\)">
                  <c:v>4.915</c:v>
                </c:pt>
                <c:pt idx="147" c:formatCode="0.00_);[Red]\(0.00\)">
                  <c:v>4.948</c:v>
                </c:pt>
                <c:pt idx="148" c:formatCode="0.00_);[Red]\(0.00\)">
                  <c:v>4.982</c:v>
                </c:pt>
                <c:pt idx="149" c:formatCode="0.00_);[Red]\(0.00\)">
                  <c:v>5.015</c:v>
                </c:pt>
                <c:pt idx="150" c:formatCode="0.00_);[Red]\(0.00\)">
                  <c:v>5.048</c:v>
                </c:pt>
                <c:pt idx="151" c:formatCode="0.00_);[Red]\(0.00\)">
                  <c:v>5.082</c:v>
                </c:pt>
                <c:pt idx="152" c:formatCode="0.00_);[Red]\(0.00\)">
                  <c:v>5.115</c:v>
                </c:pt>
                <c:pt idx="153" c:formatCode="0.00_);[Red]\(0.00\)">
                  <c:v>5.149</c:v>
                </c:pt>
                <c:pt idx="154" c:formatCode="0.00_);[Red]\(0.00\)">
                  <c:v>5.182</c:v>
                </c:pt>
                <c:pt idx="155" c:formatCode="0.00_);[Red]\(0.00\)">
                  <c:v>5.216</c:v>
                </c:pt>
                <c:pt idx="156" c:formatCode="0.00_);[Red]\(0.00\)">
                  <c:v>5.249</c:v>
                </c:pt>
                <c:pt idx="157" c:formatCode="0.00_);[Red]\(0.00\)">
                  <c:v>5.282</c:v>
                </c:pt>
                <c:pt idx="158" c:formatCode="0.00_);[Red]\(0.00\)">
                  <c:v>5.316</c:v>
                </c:pt>
                <c:pt idx="159" c:formatCode="0.00_);[Red]\(0.00\)">
                  <c:v>5.349</c:v>
                </c:pt>
                <c:pt idx="160" c:formatCode="0.00_);[Red]\(0.00\)">
                  <c:v>5.383</c:v>
                </c:pt>
                <c:pt idx="161" c:formatCode="0.00_);[Red]\(0.00\)">
                  <c:v>5.416</c:v>
                </c:pt>
                <c:pt idx="162" c:formatCode="0.00_);[Red]\(0.00\)">
                  <c:v>5.45</c:v>
                </c:pt>
                <c:pt idx="163" c:formatCode="0.00_);[Red]\(0.00\)">
                  <c:v>5.483</c:v>
                </c:pt>
                <c:pt idx="164" c:formatCode="0.00_);[Red]\(0.00\)">
                  <c:v>5.516</c:v>
                </c:pt>
                <c:pt idx="165" c:formatCode="0.00_);[Red]\(0.00\)">
                  <c:v>5.55</c:v>
                </c:pt>
                <c:pt idx="166" c:formatCode="0.00_);[Red]\(0.00\)">
                  <c:v>5.583</c:v>
                </c:pt>
                <c:pt idx="167" c:formatCode="0.00_);[Red]\(0.00\)">
                  <c:v>5.617</c:v>
                </c:pt>
                <c:pt idx="168" c:formatCode="0.00_);[Red]\(0.00\)">
                  <c:v>5.65</c:v>
                </c:pt>
                <c:pt idx="169" c:formatCode="0.00_);[Red]\(0.00\)">
                  <c:v>5.684</c:v>
                </c:pt>
                <c:pt idx="170" c:formatCode="0.00_);[Red]\(0.00\)">
                  <c:v>5.717</c:v>
                </c:pt>
                <c:pt idx="171" c:formatCode="0.00_);[Red]\(0.00\)">
                  <c:v>5.751</c:v>
                </c:pt>
                <c:pt idx="172" c:formatCode="0.00_);[Red]\(0.00\)">
                  <c:v>5.784</c:v>
                </c:pt>
                <c:pt idx="173" c:formatCode="0.00_);[Red]\(0.00\)">
                  <c:v>5.817</c:v>
                </c:pt>
                <c:pt idx="174" c:formatCode="0.00_);[Red]\(0.00\)">
                  <c:v>5.851</c:v>
                </c:pt>
                <c:pt idx="175" c:formatCode="0.00_);[Red]\(0.00\)">
                  <c:v>5.884</c:v>
                </c:pt>
                <c:pt idx="176" c:formatCode="0.00_);[Red]\(0.00\)">
                  <c:v>5.918</c:v>
                </c:pt>
                <c:pt idx="177" c:formatCode="0.00_);[Red]\(0.00\)">
                  <c:v>5.951</c:v>
                </c:pt>
                <c:pt idx="178" c:formatCode="0.00_);[Red]\(0.00\)">
                  <c:v>5.985</c:v>
                </c:pt>
                <c:pt idx="179" c:formatCode="0.00_);[Red]\(0.00\)">
                  <c:v>6.018</c:v>
                </c:pt>
                <c:pt idx="180" c:formatCode="0.00_);[Red]\(0.00\)">
                  <c:v>6.051</c:v>
                </c:pt>
                <c:pt idx="181" c:formatCode="0.00_);[Red]\(0.00\)">
                  <c:v>6.085</c:v>
                </c:pt>
                <c:pt idx="182" c:formatCode="0.00_);[Red]\(0.00\)">
                  <c:v>6.118</c:v>
                </c:pt>
                <c:pt idx="183" c:formatCode="0.00_);[Red]\(0.00\)">
                  <c:v>6.152</c:v>
                </c:pt>
                <c:pt idx="184" c:formatCode="0.00_);[Red]\(0.00\)">
                  <c:v>6.185</c:v>
                </c:pt>
                <c:pt idx="185" c:formatCode="0.00_);[Red]\(0.00\)">
                  <c:v>6.219</c:v>
                </c:pt>
                <c:pt idx="186" c:formatCode="0.00_);[Red]\(0.00\)">
                  <c:v>6.252</c:v>
                </c:pt>
                <c:pt idx="187" c:formatCode="0.00_);[Red]\(0.00\)">
                  <c:v>6.285</c:v>
                </c:pt>
                <c:pt idx="188" c:formatCode="0.00_);[Red]\(0.00\)">
                  <c:v>6.319</c:v>
                </c:pt>
                <c:pt idx="189" c:formatCode="0.00_);[Red]\(0.00\)">
                  <c:v>6.352</c:v>
                </c:pt>
                <c:pt idx="190" c:formatCode="0.00_);[Red]\(0.00\)">
                  <c:v>6.386</c:v>
                </c:pt>
                <c:pt idx="191" c:formatCode="0.00_);[Red]\(0.00\)">
                  <c:v>6.419</c:v>
                </c:pt>
                <c:pt idx="192" c:formatCode="0.00_);[Red]\(0.00\)">
                  <c:v>6.453</c:v>
                </c:pt>
                <c:pt idx="193" c:formatCode="0.00_);[Red]\(0.00\)">
                  <c:v>6.486</c:v>
                </c:pt>
                <c:pt idx="194" c:formatCode="0.00_);[Red]\(0.00\)">
                  <c:v>6.519</c:v>
                </c:pt>
                <c:pt idx="195" c:formatCode="0.00_);[Red]\(0.00\)">
                  <c:v>6.553</c:v>
                </c:pt>
                <c:pt idx="196" c:formatCode="0.00_);[Red]\(0.00\)">
                  <c:v>6.586</c:v>
                </c:pt>
                <c:pt idx="197" c:formatCode="0.00_);[Red]\(0.00\)">
                  <c:v>6.62</c:v>
                </c:pt>
                <c:pt idx="198" c:formatCode="0.00_);[Red]\(0.00\)">
                  <c:v>6.653</c:v>
                </c:pt>
                <c:pt idx="199" c:formatCode="0.00_);[Red]\(0.00\)">
                  <c:v>6.687</c:v>
                </c:pt>
                <c:pt idx="200" c:formatCode="0.00_);[Red]\(0.00\)">
                  <c:v>6.72</c:v>
                </c:pt>
                <c:pt idx="201" c:formatCode="0.00_);[Red]\(0.00\)">
                  <c:v>6.754</c:v>
                </c:pt>
                <c:pt idx="202" c:formatCode="0.00_);[Red]\(0.00\)">
                  <c:v>6.787</c:v>
                </c:pt>
                <c:pt idx="203" c:formatCode="0.00_);[Red]\(0.00\)">
                  <c:v>6.82</c:v>
                </c:pt>
                <c:pt idx="204" c:formatCode="0.00_);[Red]\(0.00\)">
                  <c:v>6.854</c:v>
                </c:pt>
                <c:pt idx="205" c:formatCode="0.00_);[Red]\(0.00\)">
                  <c:v>6.887</c:v>
                </c:pt>
                <c:pt idx="206" c:formatCode="0.00_);[Red]\(0.00\)">
                  <c:v>6.921</c:v>
                </c:pt>
                <c:pt idx="207" c:formatCode="0.00_);[Red]\(0.00\)">
                  <c:v>6.954</c:v>
                </c:pt>
                <c:pt idx="208" c:formatCode="0.00_);[Red]\(0.00\)">
                  <c:v>6.988</c:v>
                </c:pt>
                <c:pt idx="209" c:formatCode="0.00_);[Red]\(0.00\)">
                  <c:v>7.021</c:v>
                </c:pt>
                <c:pt idx="210" c:formatCode="0.00_);[Red]\(0.00\)">
                  <c:v>7.054</c:v>
                </c:pt>
                <c:pt idx="211" c:formatCode="0.00_);[Red]\(0.00\)">
                  <c:v>7.088</c:v>
                </c:pt>
                <c:pt idx="212" c:formatCode="0.00_);[Red]\(0.00\)">
                  <c:v>7.121</c:v>
                </c:pt>
                <c:pt idx="213" c:formatCode="0.00_);[Red]\(0.00\)">
                  <c:v>7.155</c:v>
                </c:pt>
                <c:pt idx="214" c:formatCode="0.00_);[Red]\(0.00\)">
                  <c:v>7.188</c:v>
                </c:pt>
                <c:pt idx="215" c:formatCode="0.00_);[Red]\(0.00\)">
                  <c:v>7.222</c:v>
                </c:pt>
                <c:pt idx="216" c:formatCode="0.00_);[Red]\(0.00\)">
                  <c:v>7.255</c:v>
                </c:pt>
                <c:pt idx="217" c:formatCode="0.00_);[Red]\(0.00\)">
                  <c:v>7.288</c:v>
                </c:pt>
                <c:pt idx="218" c:formatCode="0.00_);[Red]\(0.00\)">
                  <c:v>7.322</c:v>
                </c:pt>
                <c:pt idx="219" c:formatCode="0.00_);[Red]\(0.00\)">
                  <c:v>7.355</c:v>
                </c:pt>
                <c:pt idx="220" c:formatCode="0.00_);[Red]\(0.00\)">
                  <c:v>7.389</c:v>
                </c:pt>
                <c:pt idx="221" c:formatCode="0.00_);[Red]\(0.00\)">
                  <c:v>7.422</c:v>
                </c:pt>
                <c:pt idx="222" c:formatCode="0.00_);[Red]\(0.00\)">
                  <c:v>7.456</c:v>
                </c:pt>
                <c:pt idx="223" c:formatCode="0.00_);[Red]\(0.00\)">
                  <c:v>7.489</c:v>
                </c:pt>
                <c:pt idx="224" c:formatCode="0.00_);[Red]\(0.00\)">
                  <c:v>7.522</c:v>
                </c:pt>
                <c:pt idx="225" c:formatCode="0.00_);[Red]\(0.00\)">
                  <c:v>7.556</c:v>
                </c:pt>
                <c:pt idx="226" c:formatCode="0.00_);[Red]\(0.00\)">
                  <c:v>7.589</c:v>
                </c:pt>
                <c:pt idx="227" c:formatCode="0.00_);[Red]\(0.00\)">
                  <c:v>7.623</c:v>
                </c:pt>
                <c:pt idx="228" c:formatCode="0.00_);[Red]\(0.00\)">
                  <c:v>7.656</c:v>
                </c:pt>
                <c:pt idx="229" c:formatCode="0.00_);[Red]\(0.00\)">
                  <c:v>7.69</c:v>
                </c:pt>
                <c:pt idx="230" c:formatCode="0.00_);[Red]\(0.00\)">
                  <c:v>7.723</c:v>
                </c:pt>
                <c:pt idx="231" c:formatCode="0.00_);[Red]\(0.00\)">
                  <c:v>7.756</c:v>
                </c:pt>
                <c:pt idx="232" c:formatCode="0.00_);[Red]\(0.00\)">
                  <c:v>7.79</c:v>
                </c:pt>
                <c:pt idx="233" c:formatCode="0.00_);[Red]\(0.00\)">
                  <c:v>7.823</c:v>
                </c:pt>
                <c:pt idx="234" c:formatCode="0.00_);[Red]\(0.00\)">
                  <c:v>7.857</c:v>
                </c:pt>
                <c:pt idx="235" c:formatCode="0.00_);[Red]\(0.00\)">
                  <c:v>7.89</c:v>
                </c:pt>
                <c:pt idx="236" c:formatCode="0.00_);[Red]\(0.00\)">
                  <c:v>7.924</c:v>
                </c:pt>
                <c:pt idx="237" c:formatCode="0.00_);[Red]\(0.00\)">
                  <c:v>7.957</c:v>
                </c:pt>
                <c:pt idx="238" c:formatCode="0.00_);[Red]\(0.00\)">
                  <c:v>7.991</c:v>
                </c:pt>
                <c:pt idx="239" c:formatCode="0.00_);[Red]\(0.00\)">
                  <c:v>8.024</c:v>
                </c:pt>
                <c:pt idx="240" c:formatCode="0.00_);[Red]\(0.00\)">
                  <c:v>8.057</c:v>
                </c:pt>
                <c:pt idx="241" c:formatCode="0.00_);[Red]\(0.00\)">
                  <c:v>8.091</c:v>
                </c:pt>
                <c:pt idx="242" c:formatCode="0.00_);[Red]\(0.00\)">
                  <c:v>8.124</c:v>
                </c:pt>
                <c:pt idx="243" c:formatCode="0.00_);[Red]\(0.00\)">
                  <c:v>8.158</c:v>
                </c:pt>
                <c:pt idx="244" c:formatCode="0.00_);[Red]\(0.00\)">
                  <c:v>8.191</c:v>
                </c:pt>
                <c:pt idx="245" c:formatCode="0.00_);[Red]\(0.00\)">
                  <c:v>8.225</c:v>
                </c:pt>
                <c:pt idx="246" c:formatCode="0.00_);[Red]\(0.00\)">
                  <c:v>8.258</c:v>
                </c:pt>
                <c:pt idx="247" c:formatCode="0.00_);[Red]\(0.00\)">
                  <c:v>8.291</c:v>
                </c:pt>
                <c:pt idx="248" c:formatCode="0.00_);[Red]\(0.00\)">
                  <c:v>8.325</c:v>
                </c:pt>
                <c:pt idx="249" c:formatCode="0.00_);[Red]\(0.00\)">
                  <c:v>8.358</c:v>
                </c:pt>
                <c:pt idx="250" c:formatCode="0.00_);[Red]\(0.00\)">
                  <c:v>8.392</c:v>
                </c:pt>
                <c:pt idx="251" c:formatCode="0.00_);[Red]\(0.00\)">
                  <c:v>8.425</c:v>
                </c:pt>
                <c:pt idx="252" c:formatCode="0.00_);[Red]\(0.00\)">
                  <c:v>8.459</c:v>
                </c:pt>
                <c:pt idx="253" c:formatCode="0.00_);[Red]\(0.00\)">
                  <c:v>8.492</c:v>
                </c:pt>
                <c:pt idx="254" c:formatCode="0.00_);[Red]\(0.00\)">
                  <c:v>8.525</c:v>
                </c:pt>
                <c:pt idx="255" c:formatCode="0.00_);[Red]\(0.00\)">
                  <c:v>8.559</c:v>
                </c:pt>
                <c:pt idx="256" c:formatCode="0.00_);[Red]\(0.00\)">
                  <c:v>8.592</c:v>
                </c:pt>
                <c:pt idx="257" c:formatCode="0.00_);[Red]\(0.00\)">
                  <c:v>8.626</c:v>
                </c:pt>
                <c:pt idx="258" c:formatCode="0.00_);[Red]\(0.00\)">
                  <c:v>8.659</c:v>
                </c:pt>
                <c:pt idx="259" c:formatCode="0.00_);[Red]\(0.00\)">
                  <c:v>8.693</c:v>
                </c:pt>
                <c:pt idx="260" c:formatCode="0.00_);[Red]\(0.00\)">
                  <c:v>8.726</c:v>
                </c:pt>
                <c:pt idx="261" c:formatCode="0.00_);[Red]\(0.00\)">
                  <c:v>8.759</c:v>
                </c:pt>
                <c:pt idx="262" c:formatCode="0.00_);[Red]\(0.00\)">
                  <c:v>8.793</c:v>
                </c:pt>
                <c:pt idx="263" c:formatCode="0.00_);[Red]\(0.00\)">
                  <c:v>8.826</c:v>
                </c:pt>
                <c:pt idx="264" c:formatCode="0.00_);[Red]\(0.00\)">
                  <c:v>8.86</c:v>
                </c:pt>
                <c:pt idx="265" c:formatCode="0.00_);[Red]\(0.00\)">
                  <c:v>8.893</c:v>
                </c:pt>
                <c:pt idx="266" c:formatCode="0.00_);[Red]\(0.00\)">
                  <c:v>8.927</c:v>
                </c:pt>
                <c:pt idx="267" c:formatCode="0.00_);[Red]\(0.00\)">
                  <c:v>8.96</c:v>
                </c:pt>
                <c:pt idx="268" c:formatCode="0.00_);[Red]\(0.00\)">
                  <c:v>8.994</c:v>
                </c:pt>
                <c:pt idx="269" c:formatCode="0.00_);[Red]\(0.00\)">
                  <c:v>9.027</c:v>
                </c:pt>
                <c:pt idx="270" c:formatCode="0.00_);[Red]\(0.00\)">
                  <c:v>9.06</c:v>
                </c:pt>
                <c:pt idx="271" c:formatCode="0.00_);[Red]\(0.00\)">
                  <c:v>9.094</c:v>
                </c:pt>
                <c:pt idx="272" c:formatCode="0.00_);[Red]\(0.00\)">
                  <c:v>9.127</c:v>
                </c:pt>
                <c:pt idx="273" c:formatCode="0.00_);[Red]\(0.00\)">
                  <c:v>9.161</c:v>
                </c:pt>
                <c:pt idx="274" c:formatCode="0.00_);[Red]\(0.00\)">
                  <c:v>9.194</c:v>
                </c:pt>
                <c:pt idx="275" c:formatCode="0.00_);[Red]\(0.00\)">
                  <c:v>9.228</c:v>
                </c:pt>
                <c:pt idx="276" c:formatCode="0.00_);[Red]\(0.00\)">
                  <c:v>9.261</c:v>
                </c:pt>
                <c:pt idx="277" c:formatCode="0.00_);[Red]\(0.00\)">
                  <c:v>9.294</c:v>
                </c:pt>
                <c:pt idx="278" c:formatCode="0.00_);[Red]\(0.00\)">
                  <c:v>9.328</c:v>
                </c:pt>
                <c:pt idx="279" c:formatCode="0.00_);[Red]\(0.00\)">
                  <c:v>9.361</c:v>
                </c:pt>
                <c:pt idx="280" c:formatCode="0.00_);[Red]\(0.00\)">
                  <c:v>9.395</c:v>
                </c:pt>
                <c:pt idx="281" c:formatCode="0.00_);[Red]\(0.00\)">
                  <c:v>9.428</c:v>
                </c:pt>
                <c:pt idx="282" c:formatCode="0.00_);[Red]\(0.00\)">
                  <c:v>9.462</c:v>
                </c:pt>
                <c:pt idx="283" c:formatCode="0.00_);[Red]\(0.00\)">
                  <c:v>9.495</c:v>
                </c:pt>
                <c:pt idx="284" c:formatCode="0.00_);[Red]\(0.00\)">
                  <c:v>9.528</c:v>
                </c:pt>
                <c:pt idx="285" c:formatCode="0.00_);[Red]\(0.00\)">
                  <c:v>9.562</c:v>
                </c:pt>
                <c:pt idx="286" c:formatCode="0.00_);[Red]\(0.00\)">
                  <c:v>9.595</c:v>
                </c:pt>
                <c:pt idx="287" c:formatCode="0.00_);[Red]\(0.00\)">
                  <c:v>9.629</c:v>
                </c:pt>
                <c:pt idx="288" c:formatCode="0.00_);[Red]\(0.00\)">
                  <c:v>9.662</c:v>
                </c:pt>
                <c:pt idx="289" c:formatCode="0.00_);[Red]\(0.00\)">
                  <c:v>9.696</c:v>
                </c:pt>
                <c:pt idx="290" c:formatCode="0.00_);[Red]\(0.00\)">
                  <c:v>9.729</c:v>
                </c:pt>
                <c:pt idx="291" c:formatCode="0.00_);[Red]\(0.00\)">
                  <c:v>9.762</c:v>
                </c:pt>
                <c:pt idx="292" c:formatCode="0.00_);[Red]\(0.00\)">
                  <c:v>9.796</c:v>
                </c:pt>
                <c:pt idx="293" c:formatCode="0.00_);[Red]\(0.00\)">
                  <c:v>9.829</c:v>
                </c:pt>
                <c:pt idx="294" c:formatCode="0.00_);[Red]\(0.00\)">
                  <c:v>9.863</c:v>
                </c:pt>
                <c:pt idx="295" c:formatCode="0.00_);[Red]\(0.00\)">
                  <c:v>9.896</c:v>
                </c:pt>
                <c:pt idx="296" c:formatCode="0.00_);[Red]\(0.00\)">
                  <c:v>9.93</c:v>
                </c:pt>
                <c:pt idx="297" c:formatCode="0.00_);[Red]\(0.00\)">
                  <c:v>9.963</c:v>
                </c:pt>
                <c:pt idx="298" c:formatCode="0.00_);[Red]\(0.00\)">
                  <c:v>9.997</c:v>
                </c:pt>
                <c:pt idx="299" c:formatCode="0.00_);[Red]\(0.00\)">
                  <c:v>10.03</c:v>
                </c:pt>
                <c:pt idx="300" c:formatCode="0.00_);[Red]\(0.00\)">
                  <c:v>10.063</c:v>
                </c:pt>
                <c:pt idx="301" c:formatCode="0.00_);[Red]\(0.00\)">
                  <c:v>10.097</c:v>
                </c:pt>
                <c:pt idx="302" c:formatCode="0.00_);[Red]\(0.00\)">
                  <c:v>10.13</c:v>
                </c:pt>
                <c:pt idx="303" c:formatCode="0.00_);[Red]\(0.00\)">
                  <c:v>10.164</c:v>
                </c:pt>
                <c:pt idx="304" c:formatCode="0.00_);[Red]\(0.00\)">
                  <c:v>10.197</c:v>
                </c:pt>
                <c:pt idx="305" c:formatCode="0.00_);[Red]\(0.00\)">
                  <c:v>10.231</c:v>
                </c:pt>
                <c:pt idx="306" c:formatCode="0.00_);[Red]\(0.00\)">
                  <c:v>10.264</c:v>
                </c:pt>
                <c:pt idx="307" c:formatCode="0.00_);[Red]\(0.00\)">
                  <c:v>10.297</c:v>
                </c:pt>
                <c:pt idx="308" c:formatCode="0.00_);[Red]\(0.00\)">
                  <c:v>10.331</c:v>
                </c:pt>
                <c:pt idx="309" c:formatCode="0.00_);[Red]\(0.00\)">
                  <c:v>10.364</c:v>
                </c:pt>
                <c:pt idx="310" c:formatCode="0.00_);[Red]\(0.00\)">
                  <c:v>10.398</c:v>
                </c:pt>
                <c:pt idx="311" c:formatCode="0.00_);[Red]\(0.00\)">
                  <c:v>10.431</c:v>
                </c:pt>
                <c:pt idx="312" c:formatCode="0.00_);[Red]\(0.00\)">
                  <c:v>10.465</c:v>
                </c:pt>
                <c:pt idx="313" c:formatCode="0.00_);[Red]\(0.00\)">
                  <c:v>10.498</c:v>
                </c:pt>
                <c:pt idx="314" c:formatCode="0.00_);[Red]\(0.00\)">
                  <c:v>10.531</c:v>
                </c:pt>
                <c:pt idx="315" c:formatCode="0.00_);[Red]\(0.00\)">
                  <c:v>10.565</c:v>
                </c:pt>
                <c:pt idx="316" c:formatCode="0.00_);[Red]\(0.00\)">
                  <c:v>10.598</c:v>
                </c:pt>
                <c:pt idx="317" c:formatCode="0.00_);[Red]\(0.00\)">
                  <c:v>10.632</c:v>
                </c:pt>
                <c:pt idx="318" c:formatCode="0.00_);[Red]\(0.00\)">
                  <c:v>10.665</c:v>
                </c:pt>
                <c:pt idx="319" c:formatCode="0.00_);[Red]\(0.00\)">
                  <c:v>10.699</c:v>
                </c:pt>
                <c:pt idx="320" c:formatCode="0.00_);[Red]\(0.00\)">
                  <c:v>10.732</c:v>
                </c:pt>
                <c:pt idx="321" c:formatCode="0.00_);[Red]\(0.00\)">
                  <c:v>10.765</c:v>
                </c:pt>
                <c:pt idx="322" c:formatCode="0.00_);[Red]\(0.00\)">
                  <c:v>10.799</c:v>
                </c:pt>
                <c:pt idx="323" c:formatCode="0.00_);[Red]\(0.00\)">
                  <c:v>10.832</c:v>
                </c:pt>
                <c:pt idx="324" c:formatCode="0.00_);[Red]\(0.00\)">
                  <c:v>10.866</c:v>
                </c:pt>
                <c:pt idx="325" c:formatCode="0.00_);[Red]\(0.00\)">
                  <c:v>10.899</c:v>
                </c:pt>
                <c:pt idx="326" c:formatCode="0.00_);[Red]\(0.00\)">
                  <c:v>10.933</c:v>
                </c:pt>
                <c:pt idx="327" c:formatCode="0.00_);[Red]\(0.00\)">
                  <c:v>10.966</c:v>
                </c:pt>
                <c:pt idx="328" c:formatCode="0.00_);[Red]\(0.00\)">
                  <c:v>11</c:v>
                </c:pt>
                <c:pt idx="329" c:formatCode="0.00_);[Red]\(0.00\)">
                  <c:v>11.033</c:v>
                </c:pt>
                <c:pt idx="330" c:formatCode="0.00_);[Red]\(0.00\)">
                  <c:v>11.066</c:v>
                </c:pt>
                <c:pt idx="331" c:formatCode="0.00_);[Red]\(0.00\)">
                  <c:v>11.1</c:v>
                </c:pt>
                <c:pt idx="332" c:formatCode="0.00_);[Red]\(0.00\)">
                  <c:v>11.133</c:v>
                </c:pt>
                <c:pt idx="333" c:formatCode="0.00_);[Red]\(0.00\)">
                  <c:v>11.167</c:v>
                </c:pt>
                <c:pt idx="334" c:formatCode="0.00_);[Red]\(0.00\)">
                  <c:v>11.2</c:v>
                </c:pt>
                <c:pt idx="335" c:formatCode="0.00_);[Red]\(0.00\)">
                  <c:v>11.234</c:v>
                </c:pt>
                <c:pt idx="336" c:formatCode="0.00_);[Red]\(0.00\)">
                  <c:v>11.267</c:v>
                </c:pt>
                <c:pt idx="337" c:formatCode="0.00_);[Red]\(0.00\)">
                  <c:v>11.3</c:v>
                </c:pt>
                <c:pt idx="338" c:formatCode="0.00_);[Red]\(0.00\)">
                  <c:v>11.334</c:v>
                </c:pt>
                <c:pt idx="339" c:formatCode="0.00_);[Red]\(0.00\)">
                  <c:v>11.367</c:v>
                </c:pt>
                <c:pt idx="340" c:formatCode="0.00_);[Red]\(0.00\)">
                  <c:v>11.401</c:v>
                </c:pt>
                <c:pt idx="341" c:formatCode="0.00_);[Red]\(0.00\)">
                  <c:v>11.434</c:v>
                </c:pt>
                <c:pt idx="342" c:formatCode="0.00_);[Red]\(0.00\)">
                  <c:v>11.468</c:v>
                </c:pt>
                <c:pt idx="343" c:formatCode="0.00_);[Red]\(0.00\)">
                  <c:v>11.501</c:v>
                </c:pt>
                <c:pt idx="344" c:formatCode="0.00_);[Red]\(0.00\)">
                  <c:v>11.534</c:v>
                </c:pt>
                <c:pt idx="345" c:formatCode="0.00_);[Red]\(0.00\)">
                  <c:v>11.568</c:v>
                </c:pt>
                <c:pt idx="346" c:formatCode="0.00_);[Red]\(0.00\)">
                  <c:v>11.601</c:v>
                </c:pt>
                <c:pt idx="347" c:formatCode="0.00_);[Red]\(0.00\)">
                  <c:v>11.635</c:v>
                </c:pt>
                <c:pt idx="348" c:formatCode="0.00_);[Red]\(0.00\)">
                  <c:v>11.668</c:v>
                </c:pt>
                <c:pt idx="349" c:formatCode="0.00_);[Red]\(0.00\)">
                  <c:v>11.702</c:v>
                </c:pt>
                <c:pt idx="350" c:formatCode="0.00_);[Red]\(0.00\)">
                  <c:v>11.735</c:v>
                </c:pt>
                <c:pt idx="351" c:formatCode="0.00_);[Red]\(0.00\)">
                  <c:v>11.768</c:v>
                </c:pt>
                <c:pt idx="352" c:formatCode="0.00_);[Red]\(0.00\)">
                  <c:v>11.802</c:v>
                </c:pt>
                <c:pt idx="353" c:formatCode="0.00_);[Red]\(0.00\)">
                  <c:v>11.835</c:v>
                </c:pt>
                <c:pt idx="354" c:formatCode="0.00_);[Red]\(0.00\)">
                  <c:v>11.869</c:v>
                </c:pt>
                <c:pt idx="355" c:formatCode="0.00_);[Red]\(0.00\)">
                  <c:v>11.902</c:v>
                </c:pt>
                <c:pt idx="356" c:formatCode="0.00_);[Red]\(0.00\)">
                  <c:v>11.936</c:v>
                </c:pt>
                <c:pt idx="357" c:formatCode="0.00_);[Red]\(0.00\)">
                  <c:v>11.969</c:v>
                </c:pt>
                <c:pt idx="358" c:formatCode="0.00_);[Red]\(0.00\)">
                  <c:v>12.003</c:v>
                </c:pt>
                <c:pt idx="359" c:formatCode="0.00_);[Red]\(0.00\)">
                  <c:v>12.036</c:v>
                </c:pt>
                <c:pt idx="360" c:formatCode="0.00_);[Red]\(0.00\)">
                  <c:v>12.069</c:v>
                </c:pt>
                <c:pt idx="361" c:formatCode="0.00_);[Red]\(0.00\)">
                  <c:v>12.103</c:v>
                </c:pt>
                <c:pt idx="362" c:formatCode="0.00_);[Red]\(0.00\)">
                  <c:v>12.136</c:v>
                </c:pt>
                <c:pt idx="363" c:formatCode="0.00_);[Red]\(0.00\)">
                  <c:v>12.17</c:v>
                </c:pt>
                <c:pt idx="364" c:formatCode="0.00_);[Red]\(0.00\)">
                  <c:v>12.203</c:v>
                </c:pt>
                <c:pt idx="365" c:formatCode="0.00_);[Red]\(0.00\)">
                  <c:v>12.237</c:v>
                </c:pt>
                <c:pt idx="366" c:formatCode="0.00_);[Red]\(0.00\)">
                  <c:v>12.27</c:v>
                </c:pt>
                <c:pt idx="367" c:formatCode="0.00_);[Red]\(0.00\)">
                  <c:v>12.303</c:v>
                </c:pt>
                <c:pt idx="368" c:formatCode="0.00_);[Red]\(0.00\)">
                  <c:v>12.337</c:v>
                </c:pt>
                <c:pt idx="369" c:formatCode="0.00_);[Red]\(0.00\)">
                  <c:v>12.37</c:v>
                </c:pt>
                <c:pt idx="370" c:formatCode="0.00_);[Red]\(0.00\)">
                  <c:v>12.404</c:v>
                </c:pt>
                <c:pt idx="371" c:formatCode="0.00_);[Red]\(0.00\)">
                  <c:v>12.437</c:v>
                </c:pt>
                <c:pt idx="372" c:formatCode="0.00_);[Red]\(0.00\)">
                  <c:v>12.471</c:v>
                </c:pt>
                <c:pt idx="373" c:formatCode="0.00_);[Red]\(0.00\)">
                  <c:v>12.504</c:v>
                </c:pt>
                <c:pt idx="374" c:formatCode="0.00_);[Red]\(0.00\)">
                  <c:v>12.537</c:v>
                </c:pt>
                <c:pt idx="375" c:formatCode="0.00_);[Red]\(0.00\)">
                  <c:v>12.571</c:v>
                </c:pt>
                <c:pt idx="376" c:formatCode="0.00_);[Red]\(0.00\)">
                  <c:v>12.604</c:v>
                </c:pt>
                <c:pt idx="377" c:formatCode="0.00_);[Red]\(0.00\)">
                  <c:v>12.638</c:v>
                </c:pt>
                <c:pt idx="378" c:formatCode="0.00_);[Red]\(0.00\)">
                  <c:v>12.671</c:v>
                </c:pt>
                <c:pt idx="379" c:formatCode="0.00_);[Red]\(0.00\)">
                  <c:v>12.705</c:v>
                </c:pt>
                <c:pt idx="380" c:formatCode="0.00_);[Red]\(0.00\)">
                  <c:v>12.738</c:v>
                </c:pt>
                <c:pt idx="381" c:formatCode="0.00_);[Red]\(0.00\)">
                  <c:v>12.771</c:v>
                </c:pt>
                <c:pt idx="382" c:formatCode="0.00_);[Red]\(0.00\)">
                  <c:v>12.805</c:v>
                </c:pt>
                <c:pt idx="383" c:formatCode="0.00_);[Red]\(0.00\)">
                  <c:v>12.838</c:v>
                </c:pt>
                <c:pt idx="384" c:formatCode="0.00_);[Red]\(0.00\)">
                  <c:v>12.872</c:v>
                </c:pt>
                <c:pt idx="385" c:formatCode="0.00_);[Red]\(0.00\)">
                  <c:v>12.905</c:v>
                </c:pt>
                <c:pt idx="386" c:formatCode="0.00_);[Red]\(0.00\)">
                  <c:v>12.939</c:v>
                </c:pt>
                <c:pt idx="387" c:formatCode="0.00_);[Red]\(0.00\)">
                  <c:v>12.972</c:v>
                </c:pt>
                <c:pt idx="388" c:formatCode="0.00_);[Red]\(0.00\)">
                  <c:v>13.006</c:v>
                </c:pt>
                <c:pt idx="389" c:formatCode="0.00_);[Red]\(0.00\)">
                  <c:v>13.039</c:v>
                </c:pt>
                <c:pt idx="390" c:formatCode="0.00_);[Red]\(0.00\)">
                  <c:v>13.072</c:v>
                </c:pt>
                <c:pt idx="391" c:formatCode="0.00_);[Red]\(0.00\)">
                  <c:v>13.106</c:v>
                </c:pt>
                <c:pt idx="392" c:formatCode="0.00_);[Red]\(0.00\)">
                  <c:v>13.139</c:v>
                </c:pt>
                <c:pt idx="393" c:formatCode="0.00_);[Red]\(0.00\)">
                  <c:v>13.173</c:v>
                </c:pt>
                <c:pt idx="394" c:formatCode="0.00_);[Red]\(0.00\)">
                  <c:v>13.206</c:v>
                </c:pt>
                <c:pt idx="395" c:formatCode="0.00_);[Red]\(0.00\)">
                  <c:v>13.24</c:v>
                </c:pt>
                <c:pt idx="396" c:formatCode="0.00_);[Red]\(0.00\)">
                  <c:v>13.273</c:v>
                </c:pt>
                <c:pt idx="397" c:formatCode="0.00_);[Red]\(0.00\)">
                  <c:v>13.306</c:v>
                </c:pt>
                <c:pt idx="398" c:formatCode="0.00_);[Red]\(0.00\)">
                  <c:v>13.34</c:v>
                </c:pt>
                <c:pt idx="399" c:formatCode="0.00_);[Red]\(0.00\)">
                  <c:v>13.373</c:v>
                </c:pt>
                <c:pt idx="400" c:formatCode="0.00_);[Red]\(0.00\)">
                  <c:v>13.407</c:v>
                </c:pt>
                <c:pt idx="401" c:formatCode="0.00_);[Red]\(0.00\)">
                  <c:v>13.44</c:v>
                </c:pt>
                <c:pt idx="402" c:formatCode="0.00_);[Red]\(0.00\)">
                  <c:v>13.474</c:v>
                </c:pt>
                <c:pt idx="403" c:formatCode="0.00_);[Red]\(0.00\)">
                  <c:v>13.507</c:v>
                </c:pt>
                <c:pt idx="404" c:formatCode="0.00_);[Red]\(0.00\)">
                  <c:v>13.54</c:v>
                </c:pt>
                <c:pt idx="405" c:formatCode="0.00_);[Red]\(0.00\)">
                  <c:v>13.574</c:v>
                </c:pt>
                <c:pt idx="406" c:formatCode="0.00_);[Red]\(0.00\)">
                  <c:v>13.607</c:v>
                </c:pt>
                <c:pt idx="407" c:formatCode="0.00_);[Red]\(0.00\)">
                  <c:v>13.641</c:v>
                </c:pt>
                <c:pt idx="408" c:formatCode="0.00_);[Red]\(0.00\)">
                  <c:v>13.674</c:v>
                </c:pt>
                <c:pt idx="409" c:formatCode="0.00_);[Red]\(0.00\)">
                  <c:v>13.708</c:v>
                </c:pt>
                <c:pt idx="410" c:formatCode="0.00_);[Red]\(0.00\)">
                  <c:v>13.741</c:v>
                </c:pt>
                <c:pt idx="411" c:formatCode="0.00_);[Red]\(0.00\)">
                  <c:v>13.774</c:v>
                </c:pt>
                <c:pt idx="412" c:formatCode="0.00_);[Red]\(0.00\)">
                  <c:v>13.808</c:v>
                </c:pt>
                <c:pt idx="413" c:formatCode="0.00_);[Red]\(0.00\)">
                  <c:v>13.841</c:v>
                </c:pt>
                <c:pt idx="414" c:formatCode="0.00_);[Red]\(0.00\)">
                  <c:v>13.875</c:v>
                </c:pt>
                <c:pt idx="415" c:formatCode="0.00_);[Red]\(0.00\)">
                  <c:v>13.908</c:v>
                </c:pt>
                <c:pt idx="416" c:formatCode="0.00_);[Red]\(0.00\)">
                  <c:v>13.942</c:v>
                </c:pt>
                <c:pt idx="417" c:formatCode="0.00_);[Red]\(0.00\)">
                  <c:v>13.975</c:v>
                </c:pt>
                <c:pt idx="418" c:formatCode="0.00_);[Red]\(0.00\)">
                  <c:v>14.009</c:v>
                </c:pt>
                <c:pt idx="419" c:formatCode="0.00_);[Red]\(0.00\)">
                  <c:v>14.042</c:v>
                </c:pt>
                <c:pt idx="420" c:formatCode="0.00_);[Red]\(0.00\)">
                  <c:v>14.075</c:v>
                </c:pt>
                <c:pt idx="421" c:formatCode="0.00_);[Red]\(0.00\)">
                  <c:v>14.109</c:v>
                </c:pt>
                <c:pt idx="422" c:formatCode="0.00_);[Red]\(0.00\)">
                  <c:v>14.142</c:v>
                </c:pt>
                <c:pt idx="423" c:formatCode="0.00_);[Red]\(0.00\)">
                  <c:v>14.176</c:v>
                </c:pt>
                <c:pt idx="424" c:formatCode="0.00_);[Red]\(0.00\)">
                  <c:v>14.209</c:v>
                </c:pt>
                <c:pt idx="425" c:formatCode="0.00_);[Red]\(0.00\)">
                  <c:v>14.243</c:v>
                </c:pt>
                <c:pt idx="426" c:formatCode="0.00_);[Red]\(0.00\)">
                  <c:v>14.276</c:v>
                </c:pt>
                <c:pt idx="427" c:formatCode="0.00_);[Red]\(0.00\)">
                  <c:v>14.309</c:v>
                </c:pt>
                <c:pt idx="428" c:formatCode="0.00_);[Red]\(0.00\)">
                  <c:v>14.343</c:v>
                </c:pt>
                <c:pt idx="429" c:formatCode="0.00_);[Red]\(0.00\)">
                  <c:v>14.376</c:v>
                </c:pt>
                <c:pt idx="430" c:formatCode="0.00_);[Red]\(0.00\)">
                  <c:v>14.41</c:v>
                </c:pt>
                <c:pt idx="431" c:formatCode="0.00_);[Red]\(0.00\)">
                  <c:v>14.443</c:v>
                </c:pt>
                <c:pt idx="432" c:formatCode="0.00_);[Red]\(0.00\)">
                  <c:v>14.477</c:v>
                </c:pt>
                <c:pt idx="433" c:formatCode="0.00_);[Red]\(0.00\)">
                  <c:v>14.51</c:v>
                </c:pt>
                <c:pt idx="434" c:formatCode="0.00_);[Red]\(0.00\)">
                  <c:v>14.543</c:v>
                </c:pt>
                <c:pt idx="435" c:formatCode="0.00_);[Red]\(0.00\)">
                  <c:v>14.577</c:v>
                </c:pt>
                <c:pt idx="436" c:formatCode="0.00_);[Red]\(0.00\)">
                  <c:v>14.61</c:v>
                </c:pt>
                <c:pt idx="437" c:formatCode="0.00_);[Red]\(0.00\)">
                  <c:v>14.644</c:v>
                </c:pt>
                <c:pt idx="438" c:formatCode="0.00_);[Red]\(0.00\)">
                  <c:v>14.677</c:v>
                </c:pt>
                <c:pt idx="439" c:formatCode="0.00_);[Red]\(0.00\)">
                  <c:v>14.711</c:v>
                </c:pt>
                <c:pt idx="440" c:formatCode="0.00_);[Red]\(0.00\)">
                  <c:v>14.744</c:v>
                </c:pt>
                <c:pt idx="441" c:formatCode="0.00_);[Red]\(0.00\)">
                  <c:v>14.777</c:v>
                </c:pt>
                <c:pt idx="442" c:formatCode="0.00_);[Red]\(0.00\)">
                  <c:v>14.811</c:v>
                </c:pt>
                <c:pt idx="443" c:formatCode="0.00_);[Red]\(0.00\)">
                  <c:v>14.844</c:v>
                </c:pt>
                <c:pt idx="444" c:formatCode="0.00_);[Red]\(0.00\)">
                  <c:v>14.878</c:v>
                </c:pt>
                <c:pt idx="445" c:formatCode="0.00_);[Red]\(0.00\)">
                  <c:v>14.911</c:v>
                </c:pt>
                <c:pt idx="446" c:formatCode="0.00_);[Red]\(0.00\)">
                  <c:v>14.945</c:v>
                </c:pt>
                <c:pt idx="447" c:formatCode="0.00_);[Red]\(0.00\)">
                  <c:v>14.978</c:v>
                </c:pt>
                <c:pt idx="448" c:formatCode="0.00_);[Red]\(0.00\)">
                  <c:v>15.011</c:v>
                </c:pt>
                <c:pt idx="449" c:formatCode="0.00_);[Red]\(0.00\)">
                  <c:v>15.045</c:v>
                </c:pt>
                <c:pt idx="450" c:formatCode="0.00_);[Red]\(0.00\)">
                  <c:v>15.078</c:v>
                </c:pt>
                <c:pt idx="451" c:formatCode="0.00_);[Red]\(0.00\)">
                  <c:v>15.112</c:v>
                </c:pt>
                <c:pt idx="452" c:formatCode="0.00_);[Red]\(0.00\)">
                  <c:v>15.145</c:v>
                </c:pt>
                <c:pt idx="453" c:formatCode="0.00_);[Red]\(0.00\)">
                  <c:v>15.179</c:v>
                </c:pt>
                <c:pt idx="454" c:formatCode="0.00_);[Red]\(0.00\)">
                  <c:v>15.212</c:v>
                </c:pt>
                <c:pt idx="455" c:formatCode="0.00_);[Red]\(0.00\)">
                  <c:v>15.246</c:v>
                </c:pt>
                <c:pt idx="456" c:formatCode="0.00_);[Red]\(0.00\)">
                  <c:v>15.279</c:v>
                </c:pt>
                <c:pt idx="457" c:formatCode="0.00_);[Red]\(0.00\)">
                  <c:v>15.312</c:v>
                </c:pt>
                <c:pt idx="458" c:formatCode="0.00_);[Red]\(0.00\)">
                  <c:v>15.346</c:v>
                </c:pt>
                <c:pt idx="459" c:formatCode="0.00_);[Red]\(0.00\)">
                  <c:v>15.379</c:v>
                </c:pt>
                <c:pt idx="460" c:formatCode="0.00_);[Red]\(0.00\)">
                  <c:v>15.413</c:v>
                </c:pt>
                <c:pt idx="461" c:formatCode="0.00_);[Red]\(0.00\)">
                  <c:v>15.446</c:v>
                </c:pt>
                <c:pt idx="462" c:formatCode="0.00_);[Red]\(0.00\)">
                  <c:v>15.48</c:v>
                </c:pt>
                <c:pt idx="463" c:formatCode="0.00_);[Red]\(0.00\)">
                  <c:v>15.513</c:v>
                </c:pt>
                <c:pt idx="464" c:formatCode="0.00_);[Red]\(0.00\)">
                  <c:v>15.546</c:v>
                </c:pt>
                <c:pt idx="465" c:formatCode="0.00_);[Red]\(0.00\)">
                  <c:v>15.58</c:v>
                </c:pt>
                <c:pt idx="466" c:formatCode="0.00_);[Red]\(0.00\)">
                  <c:v>15.613</c:v>
                </c:pt>
                <c:pt idx="467" c:formatCode="0.00_);[Red]\(0.00\)">
                  <c:v>15.647</c:v>
                </c:pt>
                <c:pt idx="468" c:formatCode="0.00_);[Red]\(0.00\)">
                  <c:v>15.68</c:v>
                </c:pt>
                <c:pt idx="469" c:formatCode="0.00_);[Red]\(0.00\)">
                  <c:v>15.714</c:v>
                </c:pt>
                <c:pt idx="470" c:formatCode="0.00_);[Red]\(0.00\)">
                  <c:v>15.747</c:v>
                </c:pt>
                <c:pt idx="471" c:formatCode="0.00_);[Red]\(0.00\)">
                  <c:v>15.78</c:v>
                </c:pt>
                <c:pt idx="472" c:formatCode="0.00_);[Red]\(0.00\)">
                  <c:v>15.814</c:v>
                </c:pt>
                <c:pt idx="473" c:formatCode="0.00_);[Red]\(0.00\)">
                  <c:v>15.847</c:v>
                </c:pt>
                <c:pt idx="474" c:formatCode="0.00_);[Red]\(0.00\)">
                  <c:v>15.881</c:v>
                </c:pt>
                <c:pt idx="475" c:formatCode="0.00_);[Red]\(0.00\)">
                  <c:v>15.914</c:v>
                </c:pt>
                <c:pt idx="476" c:formatCode="0.00_);[Red]\(0.00\)">
                  <c:v>15.948</c:v>
                </c:pt>
                <c:pt idx="477" c:formatCode="0.00_);[Red]\(0.00\)">
                  <c:v>15.981</c:v>
                </c:pt>
                <c:pt idx="478" c:formatCode="0.00_);[Red]\(0.00\)">
                  <c:v>16.014</c:v>
                </c:pt>
                <c:pt idx="479" c:formatCode="0.00_);[Red]\(0.00\)">
                  <c:v>16.048</c:v>
                </c:pt>
                <c:pt idx="480" c:formatCode="0.00_);[Red]\(0.00\)">
                  <c:v>16.081</c:v>
                </c:pt>
                <c:pt idx="481" c:formatCode="0.00_);[Red]\(0.00\)">
                  <c:v>16.115</c:v>
                </c:pt>
                <c:pt idx="482" c:formatCode="0.00_);[Red]\(0.00\)">
                  <c:v>16.148</c:v>
                </c:pt>
                <c:pt idx="483" c:formatCode="0.00_);[Red]\(0.00\)">
                  <c:v>16.182</c:v>
                </c:pt>
                <c:pt idx="484" c:formatCode="0.00_);[Red]\(0.00\)">
                  <c:v>16.215</c:v>
                </c:pt>
                <c:pt idx="485" c:formatCode="0.00_);[Red]\(0.00\)">
                  <c:v>16.249</c:v>
                </c:pt>
                <c:pt idx="486" c:formatCode="0.00_);[Red]\(0.00\)">
                  <c:v>16.282</c:v>
                </c:pt>
                <c:pt idx="487" c:formatCode="0.00_);[Red]\(0.00\)">
                  <c:v>16.315</c:v>
                </c:pt>
                <c:pt idx="488" c:formatCode="0.00_);[Red]\(0.00\)">
                  <c:v>16.349</c:v>
                </c:pt>
                <c:pt idx="489" c:formatCode="0.00_);[Red]\(0.00\)">
                  <c:v>16.382</c:v>
                </c:pt>
                <c:pt idx="490" c:formatCode="0.00_);[Red]\(0.00\)">
                  <c:v>16.416</c:v>
                </c:pt>
                <c:pt idx="491" c:formatCode="0.00_);[Red]\(0.00\)">
                  <c:v>16.449</c:v>
                </c:pt>
                <c:pt idx="492" c:formatCode="0.00_);[Red]\(0.00\)">
                  <c:v>16.483</c:v>
                </c:pt>
                <c:pt idx="493" c:formatCode="0.00_);[Red]\(0.00\)">
                  <c:v>16.516</c:v>
                </c:pt>
                <c:pt idx="494" c:formatCode="0.00_);[Red]\(0.00\)">
                  <c:v>16.549</c:v>
                </c:pt>
                <c:pt idx="495" c:formatCode="0.00_);[Red]\(0.00\)">
                  <c:v>16.583</c:v>
                </c:pt>
                <c:pt idx="496" c:formatCode="0.00_);[Red]\(0.00\)">
                  <c:v>16.616</c:v>
                </c:pt>
                <c:pt idx="497" c:formatCode="0.00_);[Red]\(0.00\)">
                  <c:v>16.65</c:v>
                </c:pt>
                <c:pt idx="498" c:formatCode="0.00_);[Red]\(0.00\)">
                  <c:v>16.683</c:v>
                </c:pt>
                <c:pt idx="499" c:formatCode="0.00_);[Red]\(0.00\)">
                  <c:v>16.717</c:v>
                </c:pt>
                <c:pt idx="500" c:formatCode="0.00_);[Red]\(0.00\)">
                  <c:v>16.75</c:v>
                </c:pt>
                <c:pt idx="501" c:formatCode="0.00_);[Red]\(0.00\)">
                  <c:v>16.783</c:v>
                </c:pt>
                <c:pt idx="502" c:formatCode="0.00_);[Red]\(0.00\)">
                  <c:v>16.817</c:v>
                </c:pt>
                <c:pt idx="503" c:formatCode="0.00_);[Red]\(0.00\)">
                  <c:v>16.85</c:v>
                </c:pt>
                <c:pt idx="504" c:formatCode="0.00_);[Red]\(0.00\)">
                  <c:v>16.884</c:v>
                </c:pt>
                <c:pt idx="505" c:formatCode="0.00_);[Red]\(0.00\)">
                  <c:v>16.917</c:v>
                </c:pt>
                <c:pt idx="506" c:formatCode="0.00_);[Red]\(0.00\)">
                  <c:v>16.951</c:v>
                </c:pt>
                <c:pt idx="507" c:formatCode="0.00_);[Red]\(0.00\)">
                  <c:v>16.984</c:v>
                </c:pt>
                <c:pt idx="508" c:formatCode="0.00_);[Red]\(0.00\)">
                  <c:v>17.017</c:v>
                </c:pt>
                <c:pt idx="509" c:formatCode="0.00_);[Red]\(0.00\)">
                  <c:v>17.051</c:v>
                </c:pt>
                <c:pt idx="510" c:formatCode="0.00_);[Red]\(0.00\)">
                  <c:v>17.084</c:v>
                </c:pt>
                <c:pt idx="511" c:formatCode="0.00_);[Red]\(0.00\)">
                  <c:v>17.118</c:v>
                </c:pt>
                <c:pt idx="512" c:formatCode="0.00_);[Red]\(0.00\)">
                  <c:v>17.151</c:v>
                </c:pt>
                <c:pt idx="513" c:formatCode="0.00_);[Red]\(0.00\)">
                  <c:v>17.185</c:v>
                </c:pt>
                <c:pt idx="514" c:formatCode="0.00_);[Red]\(0.00\)">
                  <c:v>17.218</c:v>
                </c:pt>
                <c:pt idx="515" c:formatCode="0.00_);[Red]\(0.00\)">
                  <c:v>17.252</c:v>
                </c:pt>
                <c:pt idx="516" c:formatCode="0.00_);[Red]\(0.00\)">
                  <c:v>17.285</c:v>
                </c:pt>
                <c:pt idx="517" c:formatCode="0.00_);[Red]\(0.00\)">
                  <c:v>17.318</c:v>
                </c:pt>
                <c:pt idx="518" c:formatCode="0.00_);[Red]\(0.00\)">
                  <c:v>17.352</c:v>
                </c:pt>
                <c:pt idx="519" c:formatCode="0.00_);[Red]\(0.00\)">
                  <c:v>17.385</c:v>
                </c:pt>
                <c:pt idx="520" c:formatCode="0.00_);[Red]\(0.00\)">
                  <c:v>17.419</c:v>
                </c:pt>
                <c:pt idx="521" c:formatCode="0.00_);[Red]\(0.00\)">
                  <c:v>17.452</c:v>
                </c:pt>
                <c:pt idx="522" c:formatCode="0.00_);[Red]\(0.00\)">
                  <c:v>17.486</c:v>
                </c:pt>
                <c:pt idx="523" c:formatCode="0.00_);[Red]\(0.00\)">
                  <c:v>17.519</c:v>
                </c:pt>
                <c:pt idx="524" c:formatCode="0.00_);[Red]\(0.00\)">
                  <c:v>17.552</c:v>
                </c:pt>
                <c:pt idx="525" c:formatCode="0.00_);[Red]\(0.00\)">
                  <c:v>17.586</c:v>
                </c:pt>
                <c:pt idx="526" c:formatCode="0.00_);[Red]\(0.00\)">
                  <c:v>17.619</c:v>
                </c:pt>
                <c:pt idx="527" c:formatCode="0.00_);[Red]\(0.00\)">
                  <c:v>17.653</c:v>
                </c:pt>
                <c:pt idx="528" c:formatCode="0.00_);[Red]\(0.00\)">
                  <c:v>17.686</c:v>
                </c:pt>
                <c:pt idx="529" c:formatCode="0.00_);[Red]\(0.00\)">
                  <c:v>17.72</c:v>
                </c:pt>
                <c:pt idx="530" c:formatCode="0.00_);[Red]\(0.00\)">
                  <c:v>17.753</c:v>
                </c:pt>
                <c:pt idx="531" c:formatCode="0.00_);[Red]\(0.00\)">
                  <c:v>17.786</c:v>
                </c:pt>
                <c:pt idx="532" c:formatCode="0.00_);[Red]\(0.00\)">
                  <c:v>17.82</c:v>
                </c:pt>
                <c:pt idx="533" c:formatCode="0.00_);[Red]\(0.00\)">
                  <c:v>17.853</c:v>
                </c:pt>
                <c:pt idx="534" c:formatCode="0.00_);[Red]\(0.00\)">
                  <c:v>17.887</c:v>
                </c:pt>
                <c:pt idx="535" c:formatCode="0.00_);[Red]\(0.00\)">
                  <c:v>17.92</c:v>
                </c:pt>
                <c:pt idx="536" c:formatCode="0.00_);[Red]\(0.00\)">
                  <c:v>17.954</c:v>
                </c:pt>
                <c:pt idx="537" c:formatCode="0.00_);[Red]\(0.00\)">
                  <c:v>17.987</c:v>
                </c:pt>
                <c:pt idx="538" c:formatCode="0.00_);[Red]\(0.00\)">
                  <c:v>18.02</c:v>
                </c:pt>
                <c:pt idx="539" c:formatCode="0.00_);[Red]\(0.00\)">
                  <c:v>18.054</c:v>
                </c:pt>
                <c:pt idx="540" c:formatCode="0.00_);[Red]\(0.00\)">
                  <c:v>18.087</c:v>
                </c:pt>
                <c:pt idx="541" c:formatCode="0.00_);[Red]\(0.00\)">
                  <c:v>18.121</c:v>
                </c:pt>
                <c:pt idx="542" c:formatCode="0.00_);[Red]\(0.00\)">
                  <c:v>18.154</c:v>
                </c:pt>
                <c:pt idx="543" c:formatCode="0.00_);[Red]\(0.00\)">
                  <c:v>18.188</c:v>
                </c:pt>
                <c:pt idx="544" c:formatCode="0.00_);[Red]\(0.00\)">
                  <c:v>18.221</c:v>
                </c:pt>
                <c:pt idx="545" c:formatCode="0.00_);[Red]\(0.00\)">
                  <c:v>18.255</c:v>
                </c:pt>
                <c:pt idx="546" c:formatCode="0.00_);[Red]\(0.00\)">
                  <c:v>18.288</c:v>
                </c:pt>
                <c:pt idx="547" c:formatCode="0.00_);[Red]\(0.00\)">
                  <c:v>18.321</c:v>
                </c:pt>
                <c:pt idx="548" c:formatCode="0.00_);[Red]\(0.00\)">
                  <c:v>18.355</c:v>
                </c:pt>
                <c:pt idx="549" c:formatCode="0.00_);[Red]\(0.00\)">
                  <c:v>18.388</c:v>
                </c:pt>
                <c:pt idx="550" c:formatCode="0.00_);[Red]\(0.00\)">
                  <c:v>18.422</c:v>
                </c:pt>
                <c:pt idx="551" c:formatCode="0.00_);[Red]\(0.00\)">
                  <c:v>18.455</c:v>
                </c:pt>
                <c:pt idx="552" c:formatCode="0.00_);[Red]\(0.00\)">
                  <c:v>18.489</c:v>
                </c:pt>
                <c:pt idx="553" c:formatCode="0.00_);[Red]\(0.00\)">
                  <c:v>18.522</c:v>
                </c:pt>
                <c:pt idx="554" c:formatCode="0.00_);[Red]\(0.00\)">
                  <c:v>18.555</c:v>
                </c:pt>
                <c:pt idx="555" c:formatCode="0.00_);[Red]\(0.00\)">
                  <c:v>18.589</c:v>
                </c:pt>
                <c:pt idx="556" c:formatCode="0.00_);[Red]\(0.00\)">
                  <c:v>18.622</c:v>
                </c:pt>
                <c:pt idx="557" c:formatCode="0.00_);[Red]\(0.00\)">
                  <c:v>18.656</c:v>
                </c:pt>
                <c:pt idx="558" c:formatCode="0.00_);[Red]\(0.00\)">
                  <c:v>18.689</c:v>
                </c:pt>
                <c:pt idx="559" c:formatCode="0.00_);[Red]\(0.00\)">
                  <c:v>18.723</c:v>
                </c:pt>
                <c:pt idx="560" c:formatCode="0.00_);[Red]\(0.00\)">
                  <c:v>18.756</c:v>
                </c:pt>
                <c:pt idx="561" c:formatCode="0.00_);[Red]\(0.00\)">
                  <c:v>18.789</c:v>
                </c:pt>
                <c:pt idx="562" c:formatCode="0.00_);[Red]\(0.00\)">
                  <c:v>18.823</c:v>
                </c:pt>
                <c:pt idx="563" c:formatCode="0.00_);[Red]\(0.00\)">
                  <c:v>18.856</c:v>
                </c:pt>
                <c:pt idx="564" c:formatCode="0.00_);[Red]\(0.00\)">
                  <c:v>18.89</c:v>
                </c:pt>
                <c:pt idx="565" c:formatCode="0.00_);[Red]\(0.00\)">
                  <c:v>18.923</c:v>
                </c:pt>
                <c:pt idx="566" c:formatCode="0.00_);[Red]\(0.00\)">
                  <c:v>18.957</c:v>
                </c:pt>
                <c:pt idx="567" c:formatCode="0.00_);[Red]\(0.00\)">
                  <c:v>18.99</c:v>
                </c:pt>
                <c:pt idx="568" c:formatCode="0.00_);[Red]\(0.00\)">
                  <c:v>19.023</c:v>
                </c:pt>
                <c:pt idx="569" c:formatCode="0.00_);[Red]\(0.00\)">
                  <c:v>19.057</c:v>
                </c:pt>
                <c:pt idx="570" c:formatCode="0.00_);[Red]\(0.00\)">
                  <c:v>19.09</c:v>
                </c:pt>
                <c:pt idx="571" c:formatCode="0.00_);[Red]\(0.00\)">
                  <c:v>19.124</c:v>
                </c:pt>
                <c:pt idx="572" c:formatCode="0.00_);[Red]\(0.00\)">
                  <c:v>19.157</c:v>
                </c:pt>
                <c:pt idx="573" c:formatCode="0.00_);[Red]\(0.00\)">
                  <c:v>19.191</c:v>
                </c:pt>
                <c:pt idx="574" c:formatCode="0.00_);[Red]\(0.00\)">
                  <c:v>19.224</c:v>
                </c:pt>
                <c:pt idx="575" c:formatCode="0.00_);[Red]\(0.00\)">
                  <c:v>19.258</c:v>
                </c:pt>
                <c:pt idx="576" c:formatCode="0.00_);[Red]\(0.00\)">
                  <c:v>19.291</c:v>
                </c:pt>
                <c:pt idx="577" c:formatCode="0.00_);[Red]\(0.00\)">
                  <c:v>19.324</c:v>
                </c:pt>
                <c:pt idx="578" c:formatCode="0.00_);[Red]\(0.00\)">
                  <c:v>19.358</c:v>
                </c:pt>
                <c:pt idx="579" c:formatCode="0.00_);[Red]\(0.00\)">
                  <c:v>19.391</c:v>
                </c:pt>
                <c:pt idx="580" c:formatCode="0.00_);[Red]\(0.00\)">
                  <c:v>19.425</c:v>
                </c:pt>
                <c:pt idx="581" c:formatCode="0.00_);[Red]\(0.00\)">
                  <c:v>19.458</c:v>
                </c:pt>
                <c:pt idx="582" c:formatCode="0.00_);[Red]\(0.00\)">
                  <c:v>19.492</c:v>
                </c:pt>
                <c:pt idx="583" c:formatCode="0.00_);[Red]\(0.00\)">
                  <c:v>19.525</c:v>
                </c:pt>
                <c:pt idx="584" c:formatCode="0.00_);[Red]\(0.00\)">
                  <c:v>19.558</c:v>
                </c:pt>
                <c:pt idx="585" c:formatCode="0.00_);[Red]\(0.00\)">
                  <c:v>19.592</c:v>
                </c:pt>
                <c:pt idx="586" c:formatCode="0.00_);[Red]\(0.00\)">
                  <c:v>19.625</c:v>
                </c:pt>
                <c:pt idx="587" c:formatCode="0.00_);[Red]\(0.00\)">
                  <c:v>19.659</c:v>
                </c:pt>
                <c:pt idx="588" c:formatCode="0.00_);[Red]\(0.00\)">
                  <c:v>19.692</c:v>
                </c:pt>
                <c:pt idx="589" c:formatCode="0.00_);[Red]\(0.00\)">
                  <c:v>19.726</c:v>
                </c:pt>
                <c:pt idx="590" c:formatCode="0.00_);[Red]\(0.00\)">
                  <c:v>19.759</c:v>
                </c:pt>
                <c:pt idx="591" c:formatCode="0.00_);[Red]\(0.00\)">
                  <c:v>19.792</c:v>
                </c:pt>
                <c:pt idx="592" c:formatCode="0.00_);[Red]\(0.00\)">
                  <c:v>19.826</c:v>
                </c:pt>
                <c:pt idx="593" c:formatCode="0.00_);[Red]\(0.00\)">
                  <c:v>19.859</c:v>
                </c:pt>
                <c:pt idx="594" c:formatCode="0.00_);[Red]\(0.00\)">
                  <c:v>19.893</c:v>
                </c:pt>
                <c:pt idx="595" c:formatCode="0.00_);[Red]\(0.00\)">
                  <c:v>19.926</c:v>
                </c:pt>
                <c:pt idx="596" c:formatCode="0.00_);[Red]\(0.00\)">
                  <c:v>19.96</c:v>
                </c:pt>
                <c:pt idx="597" c:formatCode="0.00_);[Red]\(0.00\)">
                  <c:v>19.993</c:v>
                </c:pt>
                <c:pt idx="598" c:formatCode="0.00_);[Red]\(0.00\)">
                  <c:v>20.026</c:v>
                </c:pt>
                <c:pt idx="599" c:formatCode="0.00_);[Red]\(0.00\)">
                  <c:v>20.06</c:v>
                </c:pt>
                <c:pt idx="600" c:formatCode="0.00_);[Red]\(0.00\)">
                  <c:v>20.093</c:v>
                </c:pt>
                <c:pt idx="601" c:formatCode="0.00_);[Red]\(0.00\)">
                  <c:v>20.127</c:v>
                </c:pt>
                <c:pt idx="602" c:formatCode="0.00_);[Red]\(0.00\)">
                  <c:v>20.16</c:v>
                </c:pt>
                <c:pt idx="603" c:formatCode="0.00_);[Red]\(0.00\)">
                  <c:v>20.194</c:v>
                </c:pt>
                <c:pt idx="604" c:formatCode="0.00_);[Red]\(0.00\)">
                  <c:v>20.227</c:v>
                </c:pt>
                <c:pt idx="605" c:formatCode="0.00_);[Red]\(0.00\)">
                  <c:v>20.261</c:v>
                </c:pt>
                <c:pt idx="606" c:formatCode="0.00_);[Red]\(0.00\)">
                  <c:v>20.294</c:v>
                </c:pt>
                <c:pt idx="607" c:formatCode="0.00_);[Red]\(0.00\)">
                  <c:v>20.327</c:v>
                </c:pt>
                <c:pt idx="608" c:formatCode="0.00_);[Red]\(0.00\)">
                  <c:v>20.361</c:v>
                </c:pt>
                <c:pt idx="609" c:formatCode="0.00_);[Red]\(0.00\)">
                  <c:v>20.394</c:v>
                </c:pt>
                <c:pt idx="610" c:formatCode="0.00_);[Red]\(0.00\)">
                  <c:v>20.428</c:v>
                </c:pt>
                <c:pt idx="611" c:formatCode="0.00_);[Red]\(0.00\)">
                  <c:v>20.461</c:v>
                </c:pt>
                <c:pt idx="612" c:formatCode="0.00_);[Red]\(0.00\)">
                  <c:v>20.495</c:v>
                </c:pt>
                <c:pt idx="613" c:formatCode="0.00_);[Red]\(0.00\)">
                  <c:v>20.528</c:v>
                </c:pt>
                <c:pt idx="614" c:formatCode="0.00_);[Red]\(0.00\)">
                  <c:v>20.561</c:v>
                </c:pt>
                <c:pt idx="615" c:formatCode="0.00_);[Red]\(0.00\)">
                  <c:v>20.595</c:v>
                </c:pt>
                <c:pt idx="616" c:formatCode="0.00_);[Red]\(0.00\)">
                  <c:v>20.628</c:v>
                </c:pt>
                <c:pt idx="617" c:formatCode="0.00_);[Red]\(0.00\)">
                  <c:v>20.662</c:v>
                </c:pt>
                <c:pt idx="618" c:formatCode="0.00_);[Red]\(0.00\)">
                  <c:v>20.695</c:v>
                </c:pt>
                <c:pt idx="619" c:formatCode="0.00_);[Red]\(0.00\)">
                  <c:v>20.729</c:v>
                </c:pt>
                <c:pt idx="620" c:formatCode="0.00_);[Red]\(0.00\)">
                  <c:v>20.762</c:v>
                </c:pt>
                <c:pt idx="621" c:formatCode="0.00_);[Red]\(0.00\)">
                  <c:v>20.795</c:v>
                </c:pt>
                <c:pt idx="622" c:formatCode="0.00_);[Red]\(0.00\)">
                  <c:v>20.829</c:v>
                </c:pt>
                <c:pt idx="623" c:formatCode="0.00_);[Red]\(0.00\)">
                  <c:v>20.862</c:v>
                </c:pt>
                <c:pt idx="624" c:formatCode="0.00_);[Red]\(0.00\)">
                  <c:v>20.896</c:v>
                </c:pt>
                <c:pt idx="625" c:formatCode="0.00_);[Red]\(0.00\)">
                  <c:v>20.929</c:v>
                </c:pt>
                <c:pt idx="626" c:formatCode="0.00_);[Red]\(0.00\)">
                  <c:v>20.963</c:v>
                </c:pt>
                <c:pt idx="627" c:formatCode="0.00_);[Red]\(0.00\)">
                  <c:v>20.996</c:v>
                </c:pt>
                <c:pt idx="628" c:formatCode="0.00_);[Red]\(0.00\)">
                  <c:v>21.029</c:v>
                </c:pt>
                <c:pt idx="629" c:formatCode="0.00_);[Red]\(0.00\)">
                  <c:v>21.063</c:v>
                </c:pt>
                <c:pt idx="630" c:formatCode="0.00_);[Red]\(0.00\)">
                  <c:v>21.096</c:v>
                </c:pt>
                <c:pt idx="631" c:formatCode="0.00_);[Red]\(0.00\)">
                  <c:v>21.13</c:v>
                </c:pt>
                <c:pt idx="632" c:formatCode="0.00_);[Red]\(0.00\)">
                  <c:v>21.163</c:v>
                </c:pt>
                <c:pt idx="633" c:formatCode="0.00_);[Red]\(0.00\)">
                  <c:v>21.197</c:v>
                </c:pt>
                <c:pt idx="634" c:formatCode="0.00_);[Red]\(0.00\)">
                  <c:v>21.23</c:v>
                </c:pt>
                <c:pt idx="635" c:formatCode="0.00_);[Red]\(0.00\)">
                  <c:v>21.264</c:v>
                </c:pt>
                <c:pt idx="636" c:formatCode="0.00_);[Red]\(0.00\)">
                  <c:v>21.297</c:v>
                </c:pt>
                <c:pt idx="637" c:formatCode="0.00_);[Red]\(0.00\)">
                  <c:v>21.33</c:v>
                </c:pt>
                <c:pt idx="638" c:formatCode="0.00_);[Red]\(0.00\)">
                  <c:v>21.364</c:v>
                </c:pt>
                <c:pt idx="639" c:formatCode="0.00_);[Red]\(0.00\)">
                  <c:v>21.397</c:v>
                </c:pt>
                <c:pt idx="640" c:formatCode="0.00_);[Red]\(0.00\)">
                  <c:v>21.431</c:v>
                </c:pt>
                <c:pt idx="641" c:formatCode="0.00_);[Red]\(0.00\)">
                  <c:v>21.464</c:v>
                </c:pt>
                <c:pt idx="642" c:formatCode="0.00_);[Red]\(0.00\)">
                  <c:v>21.498</c:v>
                </c:pt>
                <c:pt idx="643" c:formatCode="0.00_);[Red]\(0.00\)">
                  <c:v>21.531</c:v>
                </c:pt>
                <c:pt idx="644" c:formatCode="0.00_);[Red]\(0.00\)">
                  <c:v>21.564</c:v>
                </c:pt>
                <c:pt idx="645" c:formatCode="0.00_);[Red]\(0.00\)">
                  <c:v>21.598</c:v>
                </c:pt>
                <c:pt idx="646" c:formatCode="0.00_);[Red]\(0.00\)">
                  <c:v>21.631</c:v>
                </c:pt>
                <c:pt idx="647" c:formatCode="0.00_);[Red]\(0.00\)">
                  <c:v>21.665</c:v>
                </c:pt>
                <c:pt idx="648" c:formatCode="0.00_);[Red]\(0.00\)">
                  <c:v>21.698</c:v>
                </c:pt>
                <c:pt idx="649" c:formatCode="0.00_);[Red]\(0.00\)">
                  <c:v>21.732</c:v>
                </c:pt>
                <c:pt idx="650" c:formatCode="0.00_);[Red]\(0.00\)">
                  <c:v>21.765</c:v>
                </c:pt>
                <c:pt idx="651" c:formatCode="0.00_);[Red]\(0.00\)">
                  <c:v>21.798</c:v>
                </c:pt>
                <c:pt idx="652" c:formatCode="0.00_);[Red]\(0.00\)">
                  <c:v>21.832</c:v>
                </c:pt>
                <c:pt idx="653" c:formatCode="0.00_);[Red]\(0.00\)">
                  <c:v>21.865</c:v>
                </c:pt>
                <c:pt idx="654" c:formatCode="0.00_);[Red]\(0.00\)">
                  <c:v>21.899</c:v>
                </c:pt>
                <c:pt idx="655" c:formatCode="0.00_);[Red]\(0.00\)">
                  <c:v>21.932</c:v>
                </c:pt>
                <c:pt idx="656" c:formatCode="0.00_);[Red]\(0.00\)">
                  <c:v>21.966</c:v>
                </c:pt>
                <c:pt idx="657" c:formatCode="0.00_);[Red]\(0.00\)">
                  <c:v>21.999</c:v>
                </c:pt>
                <c:pt idx="658" c:formatCode="0.00_);[Red]\(0.00\)">
                  <c:v>22.032</c:v>
                </c:pt>
                <c:pt idx="659" c:formatCode="0.00_);[Red]\(0.00\)">
                  <c:v>22.066</c:v>
                </c:pt>
                <c:pt idx="660" c:formatCode="0.00_);[Red]\(0.00\)">
                  <c:v>22.099</c:v>
                </c:pt>
                <c:pt idx="661" c:formatCode="0.00_);[Red]\(0.00\)">
                  <c:v>22.133</c:v>
                </c:pt>
                <c:pt idx="662" c:formatCode="0.00_);[Red]\(0.00\)">
                  <c:v>22.166</c:v>
                </c:pt>
                <c:pt idx="663" c:formatCode="0.00_);[Red]\(0.00\)">
                  <c:v>22.2</c:v>
                </c:pt>
                <c:pt idx="664" c:formatCode="0.00_);[Red]\(0.00\)">
                  <c:v>22.233</c:v>
                </c:pt>
                <c:pt idx="665" c:formatCode="0.00_);[Red]\(0.00\)">
                  <c:v>22.266</c:v>
                </c:pt>
                <c:pt idx="666" c:formatCode="0.00_);[Red]\(0.00\)">
                  <c:v>22.3</c:v>
                </c:pt>
                <c:pt idx="667" c:formatCode="0.00_);[Red]\(0.00\)">
                  <c:v>22.333</c:v>
                </c:pt>
                <c:pt idx="668" c:formatCode="0.00_);[Red]\(0.00\)">
                  <c:v>22.367</c:v>
                </c:pt>
                <c:pt idx="669" c:formatCode="0.00_);[Red]\(0.00\)">
                  <c:v>22.4</c:v>
                </c:pt>
                <c:pt idx="670" c:formatCode="0.00_);[Red]\(0.00\)">
                  <c:v>22.434</c:v>
                </c:pt>
                <c:pt idx="671" c:formatCode="0.00_);[Red]\(0.00\)">
                  <c:v>22.467</c:v>
                </c:pt>
                <c:pt idx="672" c:formatCode="0.00_);[Red]\(0.00\)">
                  <c:v>22.501</c:v>
                </c:pt>
                <c:pt idx="673" c:formatCode="0.00_);[Red]\(0.00\)">
                  <c:v>22.534</c:v>
                </c:pt>
                <c:pt idx="674" c:formatCode="0.00_);[Red]\(0.00\)">
                  <c:v>22.567</c:v>
                </c:pt>
                <c:pt idx="675" c:formatCode="0.00_);[Red]\(0.00\)">
                  <c:v>22.601</c:v>
                </c:pt>
                <c:pt idx="676" c:formatCode="0.00_);[Red]\(0.00\)">
                  <c:v>22.634</c:v>
                </c:pt>
                <c:pt idx="677" c:formatCode="0.00_);[Red]\(0.00\)">
                  <c:v>22.668</c:v>
                </c:pt>
                <c:pt idx="678" c:formatCode="0.00_);[Red]\(0.00\)">
                  <c:v>22.701</c:v>
                </c:pt>
                <c:pt idx="679" c:formatCode="0.00_);[Red]\(0.00\)">
                  <c:v>22.735</c:v>
                </c:pt>
                <c:pt idx="680" c:formatCode="0.00_);[Red]\(0.00\)">
                  <c:v>22.768</c:v>
                </c:pt>
                <c:pt idx="681" c:formatCode="0.00_);[Red]\(0.00\)">
                  <c:v>22.801</c:v>
                </c:pt>
                <c:pt idx="682" c:formatCode="0.00_);[Red]\(0.00\)">
                  <c:v>22.835</c:v>
                </c:pt>
                <c:pt idx="683" c:formatCode="0.00_);[Red]\(0.00\)">
                  <c:v>22.868</c:v>
                </c:pt>
                <c:pt idx="684" c:formatCode="0.00_);[Red]\(0.00\)">
                  <c:v>22.902</c:v>
                </c:pt>
                <c:pt idx="685" c:formatCode="0.00_);[Red]\(0.00\)">
                  <c:v>22.935</c:v>
                </c:pt>
                <c:pt idx="686" c:formatCode="0.00_);[Red]\(0.00\)">
                  <c:v>22.969</c:v>
                </c:pt>
                <c:pt idx="687" c:formatCode="0.00_);[Red]\(0.00\)">
                  <c:v>23.002</c:v>
                </c:pt>
                <c:pt idx="688" c:formatCode="0.00_);[Red]\(0.00\)">
                  <c:v>23.035</c:v>
                </c:pt>
                <c:pt idx="689" c:formatCode="0.00_);[Red]\(0.00\)">
                  <c:v>23.069</c:v>
                </c:pt>
                <c:pt idx="690" c:formatCode="0.00_);[Red]\(0.00\)">
                  <c:v>23.102</c:v>
                </c:pt>
                <c:pt idx="691" c:formatCode="0.00_);[Red]\(0.00\)">
                  <c:v>23.136</c:v>
                </c:pt>
                <c:pt idx="692" c:formatCode="0.00_);[Red]\(0.00\)">
                  <c:v>23.169</c:v>
                </c:pt>
                <c:pt idx="693" c:formatCode="0.00_);[Red]\(0.00\)">
                  <c:v>23.203</c:v>
                </c:pt>
                <c:pt idx="694" c:formatCode="0.00_);[Red]\(0.00\)">
                  <c:v>23.236</c:v>
                </c:pt>
                <c:pt idx="695" c:formatCode="0.00_);[Red]\(0.00\)">
                  <c:v>23.269</c:v>
                </c:pt>
                <c:pt idx="696" c:formatCode="0.00_);[Red]\(0.00\)">
                  <c:v>23.303</c:v>
                </c:pt>
                <c:pt idx="697" c:formatCode="0.00_);[Red]\(0.00\)">
                  <c:v>23.336</c:v>
                </c:pt>
                <c:pt idx="698" c:formatCode="0.00_);[Red]\(0.00\)">
                  <c:v>23.37</c:v>
                </c:pt>
                <c:pt idx="699" c:formatCode="0.00_);[Red]\(0.00\)">
                  <c:v>23.403</c:v>
                </c:pt>
                <c:pt idx="700" c:formatCode="0.00_);[Red]\(0.00\)">
                  <c:v>23.437</c:v>
                </c:pt>
                <c:pt idx="701" c:formatCode="0.00_);[Red]\(0.00\)">
                  <c:v>23.47</c:v>
                </c:pt>
                <c:pt idx="702" c:formatCode="0.00_);[Red]\(0.00\)">
                  <c:v>23.504</c:v>
                </c:pt>
                <c:pt idx="703" c:formatCode="0.00_);[Red]\(0.00\)">
                  <c:v>23.537</c:v>
                </c:pt>
                <c:pt idx="704" c:formatCode="0.00_);[Red]\(0.00\)">
                  <c:v>23.57</c:v>
                </c:pt>
                <c:pt idx="705" c:formatCode="0.00_);[Red]\(0.00\)">
                  <c:v>23.604</c:v>
                </c:pt>
                <c:pt idx="706" c:formatCode="0.00_);[Red]\(0.00\)">
                  <c:v>23.637</c:v>
                </c:pt>
                <c:pt idx="707" c:formatCode="0.00_);[Red]\(0.00\)">
                  <c:v>23.671</c:v>
                </c:pt>
                <c:pt idx="708" c:formatCode="0.00_);[Red]\(0.00\)">
                  <c:v>23.704</c:v>
                </c:pt>
                <c:pt idx="709" c:formatCode="0.00_);[Red]\(0.00\)">
                  <c:v>23.738</c:v>
                </c:pt>
                <c:pt idx="710" c:formatCode="0.00_);[Red]\(0.00\)">
                  <c:v>23.771</c:v>
                </c:pt>
                <c:pt idx="711" c:formatCode="0.00_);[Red]\(0.00\)">
                  <c:v>23.804</c:v>
                </c:pt>
                <c:pt idx="712" c:formatCode="0.00_);[Red]\(0.00\)">
                  <c:v>23.838</c:v>
                </c:pt>
                <c:pt idx="713" c:formatCode="0.00_);[Red]\(0.00\)">
                  <c:v>23.871</c:v>
                </c:pt>
                <c:pt idx="714" c:formatCode="0.00_);[Red]\(0.00\)">
                  <c:v>23.905</c:v>
                </c:pt>
                <c:pt idx="715" c:formatCode="0.00_);[Red]\(0.00\)">
                  <c:v>23.938</c:v>
                </c:pt>
                <c:pt idx="716" c:formatCode="0.00_);[Red]\(0.00\)">
                  <c:v>23.972</c:v>
                </c:pt>
                <c:pt idx="717" c:formatCode="0.00_);[Red]\(0.00\)">
                  <c:v>24.005</c:v>
                </c:pt>
                <c:pt idx="718" c:formatCode="0.00_);[Red]\(0.00\)">
                  <c:v>24.038</c:v>
                </c:pt>
                <c:pt idx="719" c:formatCode="0.00_);[Red]\(0.00\)">
                  <c:v>24.072</c:v>
                </c:pt>
                <c:pt idx="720" c:formatCode="0.00_);[Red]\(0.00\)">
                  <c:v>24.105</c:v>
                </c:pt>
                <c:pt idx="721" c:formatCode="0.00_);[Red]\(0.00\)">
                  <c:v>24.139</c:v>
                </c:pt>
                <c:pt idx="722" c:formatCode="0.00_);[Red]\(0.00\)">
                  <c:v>24.172</c:v>
                </c:pt>
                <c:pt idx="723" c:formatCode="0.00_);[Red]\(0.00\)">
                  <c:v>24.206</c:v>
                </c:pt>
                <c:pt idx="724" c:formatCode="0.00_);[Red]\(0.00\)">
                  <c:v>24.239</c:v>
                </c:pt>
                <c:pt idx="725" c:formatCode="0.00_);[Red]\(0.00\)">
                  <c:v>24.272</c:v>
                </c:pt>
                <c:pt idx="726" c:formatCode="0.00_);[Red]\(0.00\)">
                  <c:v>24.306</c:v>
                </c:pt>
                <c:pt idx="727" c:formatCode="0.00_);[Red]\(0.00\)">
                  <c:v>24.339</c:v>
                </c:pt>
                <c:pt idx="728" c:formatCode="0.00_);[Red]\(0.00\)">
                  <c:v>24.373</c:v>
                </c:pt>
                <c:pt idx="729" c:formatCode="0.00_);[Red]\(0.00\)">
                  <c:v>24.406</c:v>
                </c:pt>
                <c:pt idx="730" c:formatCode="0.00_);[Red]\(0.00\)">
                  <c:v>24.44</c:v>
                </c:pt>
                <c:pt idx="731" c:formatCode="0.00_);[Red]\(0.00\)">
                  <c:v>24.473</c:v>
                </c:pt>
                <c:pt idx="732" c:formatCode="0.00_);[Red]\(0.00\)">
                  <c:v>24.507</c:v>
                </c:pt>
                <c:pt idx="733" c:formatCode="0.00_);[Red]\(0.00\)">
                  <c:v>24.54</c:v>
                </c:pt>
                <c:pt idx="734" c:formatCode="0.00_);[Red]\(0.00\)">
                  <c:v>24.573</c:v>
                </c:pt>
                <c:pt idx="735" c:formatCode="0.00_);[Red]\(0.00\)">
                  <c:v>24.607</c:v>
                </c:pt>
                <c:pt idx="736" c:formatCode="0.00_);[Red]\(0.00\)">
                  <c:v>24.64</c:v>
                </c:pt>
                <c:pt idx="737" c:formatCode="0.00_);[Red]\(0.00\)">
                  <c:v>24.674</c:v>
                </c:pt>
                <c:pt idx="738" c:formatCode="0.00_);[Red]\(0.00\)">
                  <c:v>24.707</c:v>
                </c:pt>
                <c:pt idx="739" c:formatCode="0.00_);[Red]\(0.00\)">
                  <c:v>24.741</c:v>
                </c:pt>
                <c:pt idx="740" c:formatCode="0.00_);[Red]\(0.00\)">
                  <c:v>24.774</c:v>
                </c:pt>
                <c:pt idx="741" c:formatCode="0.00_);[Red]\(0.00\)">
                  <c:v>24.807</c:v>
                </c:pt>
                <c:pt idx="742" c:formatCode="0.00_);[Red]\(0.00\)">
                  <c:v>24.841</c:v>
                </c:pt>
                <c:pt idx="743" c:formatCode="0.00_);[Red]\(0.00\)">
                  <c:v>24.874</c:v>
                </c:pt>
                <c:pt idx="744" c:formatCode="0.00_);[Red]\(0.00\)">
                  <c:v>24.908</c:v>
                </c:pt>
                <c:pt idx="745" c:formatCode="0.00_);[Red]\(0.00\)">
                  <c:v>24.941</c:v>
                </c:pt>
                <c:pt idx="746" c:formatCode="0.00_);[Red]\(0.00\)">
                  <c:v>24.975</c:v>
                </c:pt>
                <c:pt idx="747" c:formatCode="0.00_);[Red]\(0.00\)">
                  <c:v>25.008</c:v>
                </c:pt>
                <c:pt idx="748" c:formatCode="0.00_);[Red]\(0.00\)">
                  <c:v>25.041</c:v>
                </c:pt>
                <c:pt idx="749" c:formatCode="0.00_);[Red]\(0.00\)">
                  <c:v>25.075</c:v>
                </c:pt>
                <c:pt idx="750" c:formatCode="0.00_);[Red]\(0.00\)">
                  <c:v>25.108</c:v>
                </c:pt>
                <c:pt idx="751" c:formatCode="0.00_);[Red]\(0.00\)">
                  <c:v>25.142</c:v>
                </c:pt>
                <c:pt idx="752" c:formatCode="0.00_);[Red]\(0.00\)">
                  <c:v>25.175</c:v>
                </c:pt>
                <c:pt idx="753" c:formatCode="0.00_);[Red]\(0.00\)">
                  <c:v>25.209</c:v>
                </c:pt>
                <c:pt idx="754" c:formatCode="0.00_);[Red]\(0.00\)">
                  <c:v>25.242</c:v>
                </c:pt>
                <c:pt idx="755" c:formatCode="0.00_);[Red]\(0.00\)">
                  <c:v>25.275</c:v>
                </c:pt>
                <c:pt idx="756" c:formatCode="0.00_);[Red]\(0.00\)">
                  <c:v>25.309</c:v>
                </c:pt>
                <c:pt idx="757" c:formatCode="0.00_);[Red]\(0.00\)">
                  <c:v>25.342</c:v>
                </c:pt>
                <c:pt idx="758" c:formatCode="0.00_);[Red]\(0.00\)">
                  <c:v>25.376</c:v>
                </c:pt>
                <c:pt idx="759" c:formatCode="0.00_);[Red]\(0.00\)">
                  <c:v>25.409</c:v>
                </c:pt>
                <c:pt idx="760" c:formatCode="0.00_);[Red]\(0.00\)">
                  <c:v>25.443</c:v>
                </c:pt>
                <c:pt idx="761" c:formatCode="0.00_);[Red]\(0.00\)">
                  <c:v>25.476</c:v>
                </c:pt>
                <c:pt idx="762" c:formatCode="0.00_);[Red]\(0.00\)">
                  <c:v>25.51</c:v>
                </c:pt>
                <c:pt idx="763" c:formatCode="0.00_);[Red]\(0.00\)">
                  <c:v>25.543</c:v>
                </c:pt>
                <c:pt idx="764" c:formatCode="0.00_);[Red]\(0.00\)">
                  <c:v>25.576</c:v>
                </c:pt>
                <c:pt idx="765" c:formatCode="0.00_);[Red]\(0.00\)">
                  <c:v>25.61</c:v>
                </c:pt>
                <c:pt idx="766" c:formatCode="0.00_);[Red]\(0.00\)">
                  <c:v>25.643</c:v>
                </c:pt>
                <c:pt idx="767" c:formatCode="0.00_);[Red]\(0.00\)">
                  <c:v>25.677</c:v>
                </c:pt>
                <c:pt idx="768" c:formatCode="0.00_);[Red]\(0.00\)">
                  <c:v>25.71</c:v>
                </c:pt>
                <c:pt idx="769" c:formatCode="0.00_);[Red]\(0.00\)">
                  <c:v>25.744</c:v>
                </c:pt>
                <c:pt idx="770" c:formatCode="0.00_);[Red]\(0.00\)">
                  <c:v>25.777</c:v>
                </c:pt>
                <c:pt idx="771" c:formatCode="0.00_);[Red]\(0.00\)">
                  <c:v>25.81</c:v>
                </c:pt>
                <c:pt idx="772" c:formatCode="0.00_);[Red]\(0.00\)">
                  <c:v>25.844</c:v>
                </c:pt>
                <c:pt idx="773" c:formatCode="0.00_);[Red]\(0.00\)">
                  <c:v>25.877</c:v>
                </c:pt>
                <c:pt idx="774" c:formatCode="0.00_);[Red]\(0.00\)">
                  <c:v>25.911</c:v>
                </c:pt>
                <c:pt idx="775" c:formatCode="0.00_);[Red]\(0.00\)">
                  <c:v>25.944</c:v>
                </c:pt>
                <c:pt idx="776" c:formatCode="0.00_);[Red]\(0.00\)">
                  <c:v>25.978</c:v>
                </c:pt>
                <c:pt idx="777" c:formatCode="0.00_);[Red]\(0.00\)">
                  <c:v>26.011</c:v>
                </c:pt>
                <c:pt idx="778" c:formatCode="0.00_);[Red]\(0.00\)">
                  <c:v>26.044</c:v>
                </c:pt>
                <c:pt idx="779" c:formatCode="0.00_);[Red]\(0.00\)">
                  <c:v>26.078</c:v>
                </c:pt>
                <c:pt idx="780" c:formatCode="0.00_);[Red]\(0.00\)">
                  <c:v>26.111</c:v>
                </c:pt>
                <c:pt idx="781" c:formatCode="0.00_);[Red]\(0.00\)">
                  <c:v>26.145</c:v>
                </c:pt>
                <c:pt idx="782" c:formatCode="0.00_);[Red]\(0.00\)">
                  <c:v>26.178</c:v>
                </c:pt>
                <c:pt idx="783" c:formatCode="0.00_);[Red]\(0.00\)">
                  <c:v>26.212</c:v>
                </c:pt>
                <c:pt idx="784" c:formatCode="0.00_);[Red]\(0.00\)">
                  <c:v>26.245</c:v>
                </c:pt>
                <c:pt idx="785" c:formatCode="0.00_);[Red]\(0.00\)">
                  <c:v>26.278</c:v>
                </c:pt>
                <c:pt idx="786" c:formatCode="0.00_);[Red]\(0.00\)">
                  <c:v>26.312</c:v>
                </c:pt>
                <c:pt idx="787" c:formatCode="0.00_);[Red]\(0.00\)">
                  <c:v>26.345</c:v>
                </c:pt>
                <c:pt idx="788" c:formatCode="0.00_);[Red]\(0.00\)">
                  <c:v>26.379</c:v>
                </c:pt>
                <c:pt idx="789" c:formatCode="0.00_);[Red]\(0.00\)">
                  <c:v>26.412</c:v>
                </c:pt>
                <c:pt idx="790" c:formatCode="0.00_);[Red]\(0.00\)">
                  <c:v>26.446</c:v>
                </c:pt>
                <c:pt idx="791" c:formatCode="0.00_);[Red]\(0.00\)">
                  <c:v>26.479</c:v>
                </c:pt>
                <c:pt idx="792" c:formatCode="0.00_);[Red]\(0.00\)">
                  <c:v>26.513</c:v>
                </c:pt>
                <c:pt idx="793" c:formatCode="0.00_);[Red]\(0.00\)">
                  <c:v>26.546</c:v>
                </c:pt>
                <c:pt idx="794" c:formatCode="0.00_);[Red]\(0.00\)">
                  <c:v>26.579</c:v>
                </c:pt>
                <c:pt idx="795" c:formatCode="0.00_);[Red]\(0.00\)">
                  <c:v>26.613</c:v>
                </c:pt>
                <c:pt idx="796" c:formatCode="0.00_);[Red]\(0.00\)">
                  <c:v>26.646</c:v>
                </c:pt>
                <c:pt idx="797" c:formatCode="0.00_);[Red]\(0.00\)">
                  <c:v>26.68</c:v>
                </c:pt>
                <c:pt idx="798" c:formatCode="0.00_);[Red]\(0.00\)">
                  <c:v>26.713</c:v>
                </c:pt>
                <c:pt idx="799" c:formatCode="0.00_);[Red]\(0.00\)">
                  <c:v>26.747</c:v>
                </c:pt>
                <c:pt idx="800" c:formatCode="0.00_);[Red]\(0.00\)">
                  <c:v>26.78</c:v>
                </c:pt>
                <c:pt idx="801" c:formatCode="0.00_);[Red]\(0.00\)">
                  <c:v>26.813</c:v>
                </c:pt>
                <c:pt idx="802" c:formatCode="0.00_);[Red]\(0.00\)">
                  <c:v>26.847</c:v>
                </c:pt>
                <c:pt idx="803" c:formatCode="0.00_);[Red]\(0.00\)">
                  <c:v>26.88</c:v>
                </c:pt>
                <c:pt idx="804" c:formatCode="0.00_);[Red]\(0.00\)">
                  <c:v>26.914</c:v>
                </c:pt>
                <c:pt idx="805" c:formatCode="0.00_);[Red]\(0.00\)">
                  <c:v>26.947</c:v>
                </c:pt>
                <c:pt idx="806" c:formatCode="0.00_);[Red]\(0.00\)">
                  <c:v>26.981</c:v>
                </c:pt>
                <c:pt idx="807" c:formatCode="0.00_);[Red]\(0.00\)">
                  <c:v>27.014</c:v>
                </c:pt>
                <c:pt idx="808" c:formatCode="0.00_);[Red]\(0.00\)">
                  <c:v>27.047</c:v>
                </c:pt>
                <c:pt idx="809" c:formatCode="0.00_);[Red]\(0.00\)">
                  <c:v>27.081</c:v>
                </c:pt>
                <c:pt idx="810" c:formatCode="0.00_);[Red]\(0.00\)">
                  <c:v>27.114</c:v>
                </c:pt>
                <c:pt idx="811" c:formatCode="0.00_);[Red]\(0.00\)">
                  <c:v>27.148</c:v>
                </c:pt>
                <c:pt idx="812" c:formatCode="0.00_);[Red]\(0.00\)">
                  <c:v>27.181</c:v>
                </c:pt>
                <c:pt idx="813" c:formatCode="0.00_);[Red]\(0.00\)">
                  <c:v>27.215</c:v>
                </c:pt>
                <c:pt idx="814" c:formatCode="0.00_);[Red]\(0.00\)">
                  <c:v>27.248</c:v>
                </c:pt>
                <c:pt idx="815" c:formatCode="0.00_);[Red]\(0.00\)">
                  <c:v>27.281</c:v>
                </c:pt>
                <c:pt idx="816" c:formatCode="0.00_);[Red]\(0.00\)">
                  <c:v>27.315</c:v>
                </c:pt>
                <c:pt idx="817" c:formatCode="0.00_);[Red]\(0.00\)">
                  <c:v>27.348</c:v>
                </c:pt>
                <c:pt idx="818" c:formatCode="0.00_);[Red]\(0.00\)">
                  <c:v>27.382</c:v>
                </c:pt>
                <c:pt idx="819" c:formatCode="0.00_);[Red]\(0.00\)">
                  <c:v>27.415</c:v>
                </c:pt>
                <c:pt idx="820" c:formatCode="0.00_);[Red]\(0.00\)">
                  <c:v>27.449</c:v>
                </c:pt>
                <c:pt idx="821" c:formatCode="0.00_);[Red]\(0.00\)">
                  <c:v>27.482</c:v>
                </c:pt>
                <c:pt idx="822" c:formatCode="0.00_);[Red]\(0.00\)">
                  <c:v>27.516</c:v>
                </c:pt>
                <c:pt idx="823" c:formatCode="0.00_);[Red]\(0.00\)">
                  <c:v>27.549</c:v>
                </c:pt>
                <c:pt idx="824" c:formatCode="0.00_);[Red]\(0.00\)">
                  <c:v>27.582</c:v>
                </c:pt>
                <c:pt idx="825" c:formatCode="0.00_);[Red]\(0.00\)">
                  <c:v>27.616</c:v>
                </c:pt>
                <c:pt idx="826" c:formatCode="0.00_);[Red]\(0.00\)">
                  <c:v>27.649</c:v>
                </c:pt>
                <c:pt idx="827" c:formatCode="0.00_);[Red]\(0.00\)">
                  <c:v>27.683</c:v>
                </c:pt>
                <c:pt idx="828" c:formatCode="0.00_);[Red]\(0.00\)">
                  <c:v>27.716</c:v>
                </c:pt>
                <c:pt idx="829" c:formatCode="0.00_);[Red]\(0.00\)">
                  <c:v>27.75</c:v>
                </c:pt>
                <c:pt idx="830" c:formatCode="0.00_);[Red]\(0.00\)">
                  <c:v>27.783</c:v>
                </c:pt>
                <c:pt idx="831" c:formatCode="0.00_);[Red]\(0.00\)">
                  <c:v>27.816</c:v>
                </c:pt>
                <c:pt idx="832" c:formatCode="0.00_);[Red]\(0.00\)">
                  <c:v>27.85</c:v>
                </c:pt>
                <c:pt idx="833" c:formatCode="0.00_);[Red]\(0.00\)">
                  <c:v>27.883</c:v>
                </c:pt>
                <c:pt idx="834" c:formatCode="0.00_);[Red]\(0.00\)">
                  <c:v>27.917</c:v>
                </c:pt>
                <c:pt idx="835" c:formatCode="0.00_);[Red]\(0.00\)">
                  <c:v>27.95</c:v>
                </c:pt>
                <c:pt idx="836" c:formatCode="0.00_);[Red]\(0.00\)">
                  <c:v>27.984</c:v>
                </c:pt>
                <c:pt idx="837" c:formatCode="0.00_);[Red]\(0.00\)">
                  <c:v>28.017</c:v>
                </c:pt>
                <c:pt idx="838" c:formatCode="0.00_);[Red]\(0.00\)">
                  <c:v>28.05</c:v>
                </c:pt>
                <c:pt idx="839" c:formatCode="0.00_);[Red]\(0.00\)">
                  <c:v>28.084</c:v>
                </c:pt>
                <c:pt idx="840" c:formatCode="0.00_);[Red]\(0.00\)">
                  <c:v>28.117</c:v>
                </c:pt>
                <c:pt idx="841" c:formatCode="0.00_);[Red]\(0.00\)">
                  <c:v>28.151</c:v>
                </c:pt>
                <c:pt idx="842" c:formatCode="0.00_);[Red]\(0.00\)">
                  <c:v>28.184</c:v>
                </c:pt>
                <c:pt idx="843" c:formatCode="0.00_);[Red]\(0.00\)">
                  <c:v>28.218</c:v>
                </c:pt>
                <c:pt idx="844" c:formatCode="0.00_);[Red]\(0.00\)">
                  <c:v>28.251</c:v>
                </c:pt>
                <c:pt idx="845" c:formatCode="0.00_);[Red]\(0.00\)">
                  <c:v>28.284</c:v>
                </c:pt>
                <c:pt idx="846" c:formatCode="0.00_);[Red]\(0.00\)">
                  <c:v>28.318</c:v>
                </c:pt>
                <c:pt idx="847" c:formatCode="0.00_);[Red]\(0.00\)">
                  <c:v>28.351</c:v>
                </c:pt>
                <c:pt idx="848" c:formatCode="0.00_);[Red]\(0.00\)">
                  <c:v>28.385</c:v>
                </c:pt>
                <c:pt idx="849" c:formatCode="0.00_);[Red]\(0.00\)">
                  <c:v>28.418</c:v>
                </c:pt>
                <c:pt idx="850" c:formatCode="0.00_);[Red]\(0.00\)">
                  <c:v>28.452</c:v>
                </c:pt>
                <c:pt idx="851" c:formatCode="0.00_);[Red]\(0.00\)">
                  <c:v>28.485</c:v>
                </c:pt>
                <c:pt idx="852" c:formatCode="0.00_);[Red]\(0.00\)">
                  <c:v>28.519</c:v>
                </c:pt>
                <c:pt idx="853" c:formatCode="0.00_);[Red]\(0.00\)">
                  <c:v>28.552</c:v>
                </c:pt>
                <c:pt idx="854" c:formatCode="0.00_);[Red]\(0.00\)">
                  <c:v>28.585</c:v>
                </c:pt>
                <c:pt idx="855" c:formatCode="0.00_);[Red]\(0.00\)">
                  <c:v>28.619</c:v>
                </c:pt>
                <c:pt idx="856" c:formatCode="0.00_);[Red]\(0.00\)">
                  <c:v>28.652</c:v>
                </c:pt>
                <c:pt idx="857" c:formatCode="0.00_);[Red]\(0.00\)">
                  <c:v>28.686</c:v>
                </c:pt>
                <c:pt idx="858" c:formatCode="0.00_);[Red]\(0.00\)">
                  <c:v>28.719</c:v>
                </c:pt>
                <c:pt idx="859" c:formatCode="0.00_);[Red]\(0.00\)">
                  <c:v>28.753</c:v>
                </c:pt>
                <c:pt idx="860" c:formatCode="0.00_);[Red]\(0.00\)">
                  <c:v>28.786</c:v>
                </c:pt>
                <c:pt idx="861" c:formatCode="0.00_);[Red]\(0.00\)">
                  <c:v>28.819</c:v>
                </c:pt>
                <c:pt idx="862" c:formatCode="0.00_);[Red]\(0.00\)">
                  <c:v>28.853</c:v>
                </c:pt>
                <c:pt idx="863" c:formatCode="0.00_);[Red]\(0.00\)">
                  <c:v>28.886</c:v>
                </c:pt>
                <c:pt idx="864" c:formatCode="0.00_);[Red]\(0.00\)">
                  <c:v>28.92</c:v>
                </c:pt>
                <c:pt idx="865" c:formatCode="0.00_);[Red]\(0.00\)">
                  <c:v>28.953</c:v>
                </c:pt>
                <c:pt idx="866" c:formatCode="0.00_);[Red]\(0.00\)">
                  <c:v>28.987</c:v>
                </c:pt>
                <c:pt idx="867" c:formatCode="0.00_);[Red]\(0.00\)">
                  <c:v>29.02</c:v>
                </c:pt>
                <c:pt idx="868" c:formatCode="0.00_);[Red]\(0.00\)">
                  <c:v>29.053</c:v>
                </c:pt>
                <c:pt idx="869" c:formatCode="0.00_);[Red]\(0.00\)">
                  <c:v>29.087</c:v>
                </c:pt>
                <c:pt idx="870" c:formatCode="0.00_);[Red]\(0.00\)">
                  <c:v>29.12</c:v>
                </c:pt>
                <c:pt idx="871" c:formatCode="0.00_);[Red]\(0.00\)">
                  <c:v>29.154</c:v>
                </c:pt>
                <c:pt idx="872" c:formatCode="0.00_);[Red]\(0.00\)">
                  <c:v>29.187</c:v>
                </c:pt>
                <c:pt idx="873" c:formatCode="0.00_);[Red]\(0.00\)">
                  <c:v>29.221</c:v>
                </c:pt>
                <c:pt idx="874" c:formatCode="0.00_);[Red]\(0.00\)">
                  <c:v>29.254</c:v>
                </c:pt>
                <c:pt idx="875" c:formatCode="0.00_);[Red]\(0.00\)">
                  <c:v>29.287</c:v>
                </c:pt>
                <c:pt idx="876" c:formatCode="0.00_);[Red]\(0.00\)">
                  <c:v>29.321</c:v>
                </c:pt>
                <c:pt idx="877" c:formatCode="0.00_);[Red]\(0.00\)">
                  <c:v>29.354</c:v>
                </c:pt>
                <c:pt idx="878" c:formatCode="0.00_);[Red]\(0.00\)">
                  <c:v>29.388</c:v>
                </c:pt>
                <c:pt idx="879" c:formatCode="0.00_);[Red]\(0.00\)">
                  <c:v>29.421</c:v>
                </c:pt>
                <c:pt idx="880" c:formatCode="0.00_);[Red]\(0.00\)">
                  <c:v>29.455</c:v>
                </c:pt>
                <c:pt idx="881" c:formatCode="0.00_);[Red]\(0.00\)">
                  <c:v>29.488</c:v>
                </c:pt>
              </c:numCache>
            </c:numRef>
          </c:cat>
          <c:val>
            <c:numRef>
              <c:f>A_08_52_36_83_正!$L$4:$L$885</c:f>
              <c:numCache>
                <c:formatCode>General</c:formatCode>
                <c:ptCount val="882"/>
                <c:pt idx="0">
                  <c:v>-3.49999999999996</c:v>
                </c:pt>
                <c:pt idx="1">
                  <c:v>-3.49999999999996</c:v>
                </c:pt>
                <c:pt idx="2">
                  <c:v>-3.49999999999996</c:v>
                </c:pt>
                <c:pt idx="3">
                  <c:v>-3.49999999999996</c:v>
                </c:pt>
                <c:pt idx="4">
                  <c:v>-3.49999999999996</c:v>
                </c:pt>
                <c:pt idx="5">
                  <c:v>-3.49999999999996</c:v>
                </c:pt>
                <c:pt idx="6">
                  <c:v>-3.49999999999996</c:v>
                </c:pt>
                <c:pt idx="7">
                  <c:v>-3.49999999999996</c:v>
                </c:pt>
                <c:pt idx="8">
                  <c:v>-3.49999999999996</c:v>
                </c:pt>
                <c:pt idx="9">
                  <c:v>-3.49999999999996</c:v>
                </c:pt>
                <c:pt idx="10">
                  <c:v>-3.49999999999996</c:v>
                </c:pt>
                <c:pt idx="11">
                  <c:v>-3.49999999999996</c:v>
                </c:pt>
                <c:pt idx="12">
                  <c:v>-3.49999999999996</c:v>
                </c:pt>
                <c:pt idx="13">
                  <c:v>-3.49999999999996</c:v>
                </c:pt>
                <c:pt idx="14">
                  <c:v>-3.49999999999996</c:v>
                </c:pt>
                <c:pt idx="15">
                  <c:v>-3.49999999999996</c:v>
                </c:pt>
                <c:pt idx="16">
                  <c:v>-3.49999999999996</c:v>
                </c:pt>
                <c:pt idx="17">
                  <c:v>-3.49999999999996</c:v>
                </c:pt>
                <c:pt idx="18">
                  <c:v>-3.49999999999996</c:v>
                </c:pt>
                <c:pt idx="19">
                  <c:v>-3.49999999999996</c:v>
                </c:pt>
                <c:pt idx="20">
                  <c:v>-3.49999999999996</c:v>
                </c:pt>
                <c:pt idx="21">
                  <c:v>-3.49999999999996</c:v>
                </c:pt>
                <c:pt idx="22">
                  <c:v>-3.49999999999996</c:v>
                </c:pt>
                <c:pt idx="23">
                  <c:v>-3.49999999999996</c:v>
                </c:pt>
                <c:pt idx="24">
                  <c:v>-3.49999999999996</c:v>
                </c:pt>
                <c:pt idx="25">
                  <c:v>-3.49999999999996</c:v>
                </c:pt>
                <c:pt idx="26">
                  <c:v>-3.49999999999996</c:v>
                </c:pt>
                <c:pt idx="27">
                  <c:v>-3.49999999999996</c:v>
                </c:pt>
                <c:pt idx="28">
                  <c:v>-3.49999999999996</c:v>
                </c:pt>
                <c:pt idx="29">
                  <c:v>-3.49999999999996</c:v>
                </c:pt>
                <c:pt idx="30">
                  <c:v>-3.49999999999996</c:v>
                </c:pt>
                <c:pt idx="31">
                  <c:v>-3.49999999999996</c:v>
                </c:pt>
                <c:pt idx="32">
                  <c:v>-3.49999999999996</c:v>
                </c:pt>
                <c:pt idx="33">
                  <c:v>-3.49999999999996</c:v>
                </c:pt>
                <c:pt idx="34">
                  <c:v>-3.49999999999996</c:v>
                </c:pt>
                <c:pt idx="35">
                  <c:v>-3.49999999999996</c:v>
                </c:pt>
                <c:pt idx="36">
                  <c:v>-3.49999999999996</c:v>
                </c:pt>
                <c:pt idx="37">
                  <c:v>-3.49999999999996</c:v>
                </c:pt>
                <c:pt idx="38">
                  <c:v>-3.49999999999996</c:v>
                </c:pt>
                <c:pt idx="39">
                  <c:v>-3.49999999999996</c:v>
                </c:pt>
                <c:pt idx="40">
                  <c:v>-3.49999999999996</c:v>
                </c:pt>
                <c:pt idx="41">
                  <c:v>-3.49999999999996</c:v>
                </c:pt>
                <c:pt idx="42">
                  <c:v>-3.49999999999996</c:v>
                </c:pt>
                <c:pt idx="43">
                  <c:v>-3.49999999999996</c:v>
                </c:pt>
                <c:pt idx="44">
                  <c:v>-3.49999999999996</c:v>
                </c:pt>
                <c:pt idx="45">
                  <c:v>-3.49999999999996</c:v>
                </c:pt>
                <c:pt idx="46">
                  <c:v>-3.49999999999996</c:v>
                </c:pt>
                <c:pt idx="47">
                  <c:v>-3.49999999999996</c:v>
                </c:pt>
                <c:pt idx="48">
                  <c:v>-3.49999999999996</c:v>
                </c:pt>
                <c:pt idx="49">
                  <c:v>-3.49999999999996</c:v>
                </c:pt>
                <c:pt idx="50">
                  <c:v>-3.49999999999996</c:v>
                </c:pt>
                <c:pt idx="51">
                  <c:v>-3.49999999999996</c:v>
                </c:pt>
                <c:pt idx="52">
                  <c:v>-3.49999999999996</c:v>
                </c:pt>
                <c:pt idx="53">
                  <c:v>-3.49999999999996</c:v>
                </c:pt>
                <c:pt idx="54">
                  <c:v>-3.49999999999996</c:v>
                </c:pt>
                <c:pt idx="55">
                  <c:v>-3.49999999999996</c:v>
                </c:pt>
                <c:pt idx="56">
                  <c:v>-3.49999999999996</c:v>
                </c:pt>
                <c:pt idx="57">
                  <c:v>-3.49999999999996</c:v>
                </c:pt>
                <c:pt idx="58">
                  <c:v>-3.49999999999996</c:v>
                </c:pt>
                <c:pt idx="59">
                  <c:v>-3.49999999999996</c:v>
                </c:pt>
                <c:pt idx="60">
                  <c:v>-3.49999999999996</c:v>
                </c:pt>
                <c:pt idx="61">
                  <c:v>-3.49999999999996</c:v>
                </c:pt>
                <c:pt idx="62">
                  <c:v>-3.49999999999996</c:v>
                </c:pt>
                <c:pt idx="63">
                  <c:v>-3.49999999999996</c:v>
                </c:pt>
                <c:pt idx="64">
                  <c:v>-3.49999999999996</c:v>
                </c:pt>
                <c:pt idx="65">
                  <c:v>-3.49999999999996</c:v>
                </c:pt>
                <c:pt idx="66">
                  <c:v>-3.49999999999996</c:v>
                </c:pt>
                <c:pt idx="67">
                  <c:v>-3.49999999999996</c:v>
                </c:pt>
                <c:pt idx="68">
                  <c:v>-3.49999999999996</c:v>
                </c:pt>
                <c:pt idx="69">
                  <c:v>-3.49999999999996</c:v>
                </c:pt>
                <c:pt idx="70">
                  <c:v>-3.49999999999996</c:v>
                </c:pt>
                <c:pt idx="71">
                  <c:v>-3.49999999999996</c:v>
                </c:pt>
                <c:pt idx="72">
                  <c:v>-3.49999999999996</c:v>
                </c:pt>
                <c:pt idx="73">
                  <c:v>-3.49999999999996</c:v>
                </c:pt>
                <c:pt idx="74">
                  <c:v>-3.49999999999996</c:v>
                </c:pt>
                <c:pt idx="75">
                  <c:v>-3.49999999999996</c:v>
                </c:pt>
                <c:pt idx="76">
                  <c:v>-3.49999999999996</c:v>
                </c:pt>
                <c:pt idx="77">
                  <c:v>-3.49999999999996</c:v>
                </c:pt>
                <c:pt idx="78">
                  <c:v>-3.49999999999996</c:v>
                </c:pt>
                <c:pt idx="79">
                  <c:v>-3.49999999999996</c:v>
                </c:pt>
                <c:pt idx="80">
                  <c:v>-3.49999999999996</c:v>
                </c:pt>
                <c:pt idx="81">
                  <c:v>-3.49999999999996</c:v>
                </c:pt>
                <c:pt idx="82">
                  <c:v>-3.49999999999996</c:v>
                </c:pt>
                <c:pt idx="83">
                  <c:v>-3.49999999999996</c:v>
                </c:pt>
                <c:pt idx="84">
                  <c:v>-3.49999999999996</c:v>
                </c:pt>
                <c:pt idx="85">
                  <c:v>-3.49999999999996</c:v>
                </c:pt>
                <c:pt idx="86">
                  <c:v>-3.49999999999996</c:v>
                </c:pt>
                <c:pt idx="87">
                  <c:v>-3.49999999999996</c:v>
                </c:pt>
                <c:pt idx="88">
                  <c:v>-3.49999999999996</c:v>
                </c:pt>
                <c:pt idx="89">
                  <c:v>-3.49999999999996</c:v>
                </c:pt>
                <c:pt idx="90">
                  <c:v>-3.49999999999996</c:v>
                </c:pt>
                <c:pt idx="91">
                  <c:v>-3.49999999999996</c:v>
                </c:pt>
                <c:pt idx="92">
                  <c:v>-3.49999999999996</c:v>
                </c:pt>
                <c:pt idx="93">
                  <c:v>-3.49999999999996</c:v>
                </c:pt>
                <c:pt idx="94">
                  <c:v>-3.49999999999996</c:v>
                </c:pt>
                <c:pt idx="95">
                  <c:v>-3.49999999999996</c:v>
                </c:pt>
                <c:pt idx="96">
                  <c:v>-3.49999999999996</c:v>
                </c:pt>
                <c:pt idx="97">
                  <c:v>-3.49999999999996</c:v>
                </c:pt>
                <c:pt idx="98">
                  <c:v>-3.49999999999996</c:v>
                </c:pt>
                <c:pt idx="99">
                  <c:v>-3.49999999999996</c:v>
                </c:pt>
                <c:pt idx="100">
                  <c:v>-3.49999999999996</c:v>
                </c:pt>
                <c:pt idx="101">
                  <c:v>-3.49999999999996</c:v>
                </c:pt>
                <c:pt idx="102">
                  <c:v>-3.49999999999996</c:v>
                </c:pt>
                <c:pt idx="103">
                  <c:v>-3.49999999999996</c:v>
                </c:pt>
                <c:pt idx="104">
                  <c:v>-3.49999999999996</c:v>
                </c:pt>
                <c:pt idx="105">
                  <c:v>-3.49999999999996</c:v>
                </c:pt>
                <c:pt idx="106">
                  <c:v>-3.49999999999996</c:v>
                </c:pt>
                <c:pt idx="107">
                  <c:v>-3.49999999999996</c:v>
                </c:pt>
                <c:pt idx="108">
                  <c:v>-3.49999999999996</c:v>
                </c:pt>
                <c:pt idx="109">
                  <c:v>-3.49999999999996</c:v>
                </c:pt>
                <c:pt idx="110">
                  <c:v>-3.49999999999996</c:v>
                </c:pt>
                <c:pt idx="111">
                  <c:v>-3.49999999999996</c:v>
                </c:pt>
                <c:pt idx="112">
                  <c:v>-3.49999999999996</c:v>
                </c:pt>
                <c:pt idx="113">
                  <c:v>16.1</c:v>
                </c:pt>
                <c:pt idx="114">
                  <c:v>16.1</c:v>
                </c:pt>
                <c:pt idx="115">
                  <c:v>16.1</c:v>
                </c:pt>
                <c:pt idx="116">
                  <c:v>16.1</c:v>
                </c:pt>
                <c:pt idx="117">
                  <c:v>16.1</c:v>
                </c:pt>
                <c:pt idx="118">
                  <c:v>16.1</c:v>
                </c:pt>
                <c:pt idx="119">
                  <c:v>16.1</c:v>
                </c:pt>
                <c:pt idx="120">
                  <c:v>16.1</c:v>
                </c:pt>
                <c:pt idx="121">
                  <c:v>16.1</c:v>
                </c:pt>
                <c:pt idx="122">
                  <c:v>16.1</c:v>
                </c:pt>
                <c:pt idx="123">
                  <c:v>16.1</c:v>
                </c:pt>
                <c:pt idx="124">
                  <c:v>16.1</c:v>
                </c:pt>
                <c:pt idx="125">
                  <c:v>16.1</c:v>
                </c:pt>
                <c:pt idx="126">
                  <c:v>16.1</c:v>
                </c:pt>
                <c:pt idx="127">
                  <c:v>16.1</c:v>
                </c:pt>
                <c:pt idx="128">
                  <c:v>16.1</c:v>
                </c:pt>
                <c:pt idx="129">
                  <c:v>16.1</c:v>
                </c:pt>
                <c:pt idx="130">
                  <c:v>16.1</c:v>
                </c:pt>
                <c:pt idx="131">
                  <c:v>16.1</c:v>
                </c:pt>
                <c:pt idx="132">
                  <c:v>16.1</c:v>
                </c:pt>
                <c:pt idx="133">
                  <c:v>16.1</c:v>
                </c:pt>
                <c:pt idx="134">
                  <c:v>16.1</c:v>
                </c:pt>
                <c:pt idx="135">
                  <c:v>16.1</c:v>
                </c:pt>
                <c:pt idx="136">
                  <c:v>16.1</c:v>
                </c:pt>
                <c:pt idx="137">
                  <c:v>16.1</c:v>
                </c:pt>
                <c:pt idx="138">
                  <c:v>-3.49999999999996</c:v>
                </c:pt>
                <c:pt idx="139">
                  <c:v>-3.49999999999996</c:v>
                </c:pt>
                <c:pt idx="140">
                  <c:v>-3.49999999999996</c:v>
                </c:pt>
                <c:pt idx="141">
                  <c:v>-3.49999999999996</c:v>
                </c:pt>
                <c:pt idx="142">
                  <c:v>-3.49999999999996</c:v>
                </c:pt>
                <c:pt idx="143">
                  <c:v>-3.49999999999996</c:v>
                </c:pt>
                <c:pt idx="144">
                  <c:v>-3.49999999999996</c:v>
                </c:pt>
                <c:pt idx="145">
                  <c:v>-3.49999999999996</c:v>
                </c:pt>
                <c:pt idx="146">
                  <c:v>-3.49999999999996</c:v>
                </c:pt>
                <c:pt idx="147">
                  <c:v>-3.49999999999996</c:v>
                </c:pt>
                <c:pt idx="148">
                  <c:v>-3.49999999999996</c:v>
                </c:pt>
                <c:pt idx="149">
                  <c:v>-3.49999999999996</c:v>
                </c:pt>
                <c:pt idx="150">
                  <c:v>-3.49999999999996</c:v>
                </c:pt>
                <c:pt idx="151">
                  <c:v>-3.49999999999996</c:v>
                </c:pt>
                <c:pt idx="152">
                  <c:v>-3.49999999999996</c:v>
                </c:pt>
                <c:pt idx="153">
                  <c:v>-3.49999999999996</c:v>
                </c:pt>
                <c:pt idx="154">
                  <c:v>-3.49999999999996</c:v>
                </c:pt>
                <c:pt idx="155">
                  <c:v>-3.49999999999996</c:v>
                </c:pt>
                <c:pt idx="156">
                  <c:v>-3.49999999999996</c:v>
                </c:pt>
                <c:pt idx="157">
                  <c:v>-3.49999999999996</c:v>
                </c:pt>
                <c:pt idx="158">
                  <c:v>-3.49999999999996</c:v>
                </c:pt>
                <c:pt idx="159">
                  <c:v>-3.49999999999996</c:v>
                </c:pt>
                <c:pt idx="160">
                  <c:v>-3.49999999999996</c:v>
                </c:pt>
                <c:pt idx="161">
                  <c:v>-3.49999999999996</c:v>
                </c:pt>
                <c:pt idx="162">
                  <c:v>-3.49999999999996</c:v>
                </c:pt>
                <c:pt idx="163">
                  <c:v>16.1</c:v>
                </c:pt>
                <c:pt idx="164">
                  <c:v>16.1</c:v>
                </c:pt>
                <c:pt idx="165">
                  <c:v>16.1</c:v>
                </c:pt>
                <c:pt idx="166">
                  <c:v>16.1</c:v>
                </c:pt>
                <c:pt idx="167">
                  <c:v>16.1</c:v>
                </c:pt>
                <c:pt idx="168">
                  <c:v>16.1</c:v>
                </c:pt>
                <c:pt idx="169">
                  <c:v>16.1</c:v>
                </c:pt>
                <c:pt idx="170">
                  <c:v>16.1</c:v>
                </c:pt>
                <c:pt idx="171">
                  <c:v>16.1</c:v>
                </c:pt>
                <c:pt idx="172">
                  <c:v>16.1</c:v>
                </c:pt>
                <c:pt idx="173">
                  <c:v>16.1</c:v>
                </c:pt>
                <c:pt idx="174">
                  <c:v>16.1</c:v>
                </c:pt>
                <c:pt idx="175">
                  <c:v>16.1</c:v>
                </c:pt>
                <c:pt idx="176">
                  <c:v>16.1</c:v>
                </c:pt>
                <c:pt idx="177">
                  <c:v>16.1</c:v>
                </c:pt>
                <c:pt idx="178">
                  <c:v>16.1</c:v>
                </c:pt>
                <c:pt idx="179">
                  <c:v>16.1</c:v>
                </c:pt>
                <c:pt idx="180">
                  <c:v>16.1</c:v>
                </c:pt>
                <c:pt idx="181">
                  <c:v>16.1</c:v>
                </c:pt>
                <c:pt idx="182">
                  <c:v>16.1</c:v>
                </c:pt>
                <c:pt idx="183">
                  <c:v>16.1</c:v>
                </c:pt>
                <c:pt idx="184">
                  <c:v>16.1</c:v>
                </c:pt>
                <c:pt idx="185">
                  <c:v>16.1</c:v>
                </c:pt>
                <c:pt idx="186">
                  <c:v>16.1</c:v>
                </c:pt>
                <c:pt idx="187">
                  <c:v>16.1</c:v>
                </c:pt>
                <c:pt idx="188">
                  <c:v>-3.49999999999996</c:v>
                </c:pt>
                <c:pt idx="189">
                  <c:v>-3.49999999999996</c:v>
                </c:pt>
                <c:pt idx="190">
                  <c:v>-3.49999999999996</c:v>
                </c:pt>
                <c:pt idx="191">
                  <c:v>-3.49999999999996</c:v>
                </c:pt>
                <c:pt idx="192">
                  <c:v>-3.49999999999996</c:v>
                </c:pt>
                <c:pt idx="193">
                  <c:v>-3.49999999999996</c:v>
                </c:pt>
                <c:pt idx="194">
                  <c:v>-3.49999999999996</c:v>
                </c:pt>
                <c:pt idx="195">
                  <c:v>-3.49999999999996</c:v>
                </c:pt>
                <c:pt idx="196">
                  <c:v>-3.49999999999996</c:v>
                </c:pt>
                <c:pt idx="197">
                  <c:v>-3.49999999999996</c:v>
                </c:pt>
                <c:pt idx="198">
                  <c:v>-3.49999999999996</c:v>
                </c:pt>
                <c:pt idx="199">
                  <c:v>-3.49999999999996</c:v>
                </c:pt>
                <c:pt idx="200">
                  <c:v>-3.49999999999996</c:v>
                </c:pt>
                <c:pt idx="201">
                  <c:v>-3.49999999999996</c:v>
                </c:pt>
                <c:pt idx="202">
                  <c:v>-3.49999999999996</c:v>
                </c:pt>
                <c:pt idx="203">
                  <c:v>-3.49999999999996</c:v>
                </c:pt>
                <c:pt idx="204">
                  <c:v>-3.49999999999996</c:v>
                </c:pt>
                <c:pt idx="205">
                  <c:v>-3.49999999999996</c:v>
                </c:pt>
                <c:pt idx="206">
                  <c:v>-3.49999999999996</c:v>
                </c:pt>
                <c:pt idx="207">
                  <c:v>-3.49999999999996</c:v>
                </c:pt>
                <c:pt idx="208">
                  <c:v>-3.49999999999996</c:v>
                </c:pt>
                <c:pt idx="209">
                  <c:v>-3.49999999999996</c:v>
                </c:pt>
                <c:pt idx="210">
                  <c:v>-3.49999999999996</c:v>
                </c:pt>
                <c:pt idx="211">
                  <c:v>-3.49999999999996</c:v>
                </c:pt>
                <c:pt idx="212">
                  <c:v>-3.49999999999996</c:v>
                </c:pt>
                <c:pt idx="213">
                  <c:v>16.1</c:v>
                </c:pt>
                <c:pt idx="214">
                  <c:v>16.1</c:v>
                </c:pt>
                <c:pt idx="215">
                  <c:v>16.1</c:v>
                </c:pt>
                <c:pt idx="216">
                  <c:v>16.1</c:v>
                </c:pt>
                <c:pt idx="217">
                  <c:v>16.1</c:v>
                </c:pt>
                <c:pt idx="218">
                  <c:v>16.1</c:v>
                </c:pt>
                <c:pt idx="219">
                  <c:v>16.1</c:v>
                </c:pt>
                <c:pt idx="220">
                  <c:v>16.1</c:v>
                </c:pt>
                <c:pt idx="221">
                  <c:v>16.1</c:v>
                </c:pt>
                <c:pt idx="222">
                  <c:v>16.1</c:v>
                </c:pt>
                <c:pt idx="223">
                  <c:v>16.1</c:v>
                </c:pt>
                <c:pt idx="224">
                  <c:v>16.1</c:v>
                </c:pt>
                <c:pt idx="225">
                  <c:v>16.1</c:v>
                </c:pt>
                <c:pt idx="226">
                  <c:v>16.1</c:v>
                </c:pt>
                <c:pt idx="227">
                  <c:v>16.1</c:v>
                </c:pt>
                <c:pt idx="228">
                  <c:v>16.1</c:v>
                </c:pt>
                <c:pt idx="229">
                  <c:v>16.1</c:v>
                </c:pt>
                <c:pt idx="230">
                  <c:v>16.1</c:v>
                </c:pt>
                <c:pt idx="231">
                  <c:v>16.1</c:v>
                </c:pt>
                <c:pt idx="232">
                  <c:v>16.1</c:v>
                </c:pt>
                <c:pt idx="233">
                  <c:v>16.1</c:v>
                </c:pt>
                <c:pt idx="234">
                  <c:v>16.1</c:v>
                </c:pt>
                <c:pt idx="235">
                  <c:v>16.1</c:v>
                </c:pt>
                <c:pt idx="236">
                  <c:v>16.1</c:v>
                </c:pt>
                <c:pt idx="237">
                  <c:v>16.1</c:v>
                </c:pt>
                <c:pt idx="238">
                  <c:v>16.1</c:v>
                </c:pt>
                <c:pt idx="239">
                  <c:v>-3.49999999999996</c:v>
                </c:pt>
                <c:pt idx="240">
                  <c:v>-3.49999999999996</c:v>
                </c:pt>
                <c:pt idx="241">
                  <c:v>-3.49999999999996</c:v>
                </c:pt>
                <c:pt idx="242">
                  <c:v>-3.49999999999996</c:v>
                </c:pt>
                <c:pt idx="243">
                  <c:v>-3.49999999999996</c:v>
                </c:pt>
                <c:pt idx="244">
                  <c:v>-3.49999999999996</c:v>
                </c:pt>
                <c:pt idx="245">
                  <c:v>-3.49999999999996</c:v>
                </c:pt>
                <c:pt idx="246">
                  <c:v>-3.49999999999996</c:v>
                </c:pt>
                <c:pt idx="247">
                  <c:v>-3.49999999999996</c:v>
                </c:pt>
                <c:pt idx="248">
                  <c:v>-3.49999999999996</c:v>
                </c:pt>
                <c:pt idx="249">
                  <c:v>-3.49999999999996</c:v>
                </c:pt>
                <c:pt idx="250">
                  <c:v>-3.49999999999996</c:v>
                </c:pt>
                <c:pt idx="251">
                  <c:v>-3.49999999999996</c:v>
                </c:pt>
                <c:pt idx="252">
                  <c:v>-3.49999999999996</c:v>
                </c:pt>
                <c:pt idx="253">
                  <c:v>-3.49999999999996</c:v>
                </c:pt>
                <c:pt idx="254">
                  <c:v>-3.49999999999996</c:v>
                </c:pt>
                <c:pt idx="255">
                  <c:v>-3.49999999999996</c:v>
                </c:pt>
                <c:pt idx="256">
                  <c:v>-3.49999999999996</c:v>
                </c:pt>
                <c:pt idx="257">
                  <c:v>-3.49999999999996</c:v>
                </c:pt>
                <c:pt idx="258">
                  <c:v>-3.49999999999996</c:v>
                </c:pt>
                <c:pt idx="259">
                  <c:v>-3.49999999999996</c:v>
                </c:pt>
                <c:pt idx="260">
                  <c:v>-3.49999999999996</c:v>
                </c:pt>
                <c:pt idx="261">
                  <c:v>-3.49999999999996</c:v>
                </c:pt>
                <c:pt idx="262">
                  <c:v>-3.49999999999996</c:v>
                </c:pt>
                <c:pt idx="263">
                  <c:v>-3.49999999999996</c:v>
                </c:pt>
                <c:pt idx="264">
                  <c:v>16.1</c:v>
                </c:pt>
                <c:pt idx="265">
                  <c:v>16.1</c:v>
                </c:pt>
                <c:pt idx="266">
                  <c:v>16.1</c:v>
                </c:pt>
                <c:pt idx="267">
                  <c:v>16.1</c:v>
                </c:pt>
                <c:pt idx="268">
                  <c:v>16.1</c:v>
                </c:pt>
                <c:pt idx="269">
                  <c:v>16.1</c:v>
                </c:pt>
                <c:pt idx="270">
                  <c:v>16.1</c:v>
                </c:pt>
                <c:pt idx="271">
                  <c:v>16.1</c:v>
                </c:pt>
                <c:pt idx="272">
                  <c:v>16.1</c:v>
                </c:pt>
                <c:pt idx="273">
                  <c:v>16.1</c:v>
                </c:pt>
                <c:pt idx="274">
                  <c:v>16.1</c:v>
                </c:pt>
                <c:pt idx="275">
                  <c:v>16.1</c:v>
                </c:pt>
                <c:pt idx="276">
                  <c:v>16.1</c:v>
                </c:pt>
                <c:pt idx="277">
                  <c:v>16.1</c:v>
                </c:pt>
                <c:pt idx="278">
                  <c:v>16.1</c:v>
                </c:pt>
                <c:pt idx="279">
                  <c:v>16.1</c:v>
                </c:pt>
                <c:pt idx="280">
                  <c:v>16.1</c:v>
                </c:pt>
                <c:pt idx="281">
                  <c:v>16.1</c:v>
                </c:pt>
                <c:pt idx="282">
                  <c:v>16.1</c:v>
                </c:pt>
                <c:pt idx="283">
                  <c:v>16.1</c:v>
                </c:pt>
                <c:pt idx="284">
                  <c:v>16.1</c:v>
                </c:pt>
                <c:pt idx="285">
                  <c:v>16.1</c:v>
                </c:pt>
                <c:pt idx="286">
                  <c:v>16.1</c:v>
                </c:pt>
                <c:pt idx="287">
                  <c:v>16.1</c:v>
                </c:pt>
                <c:pt idx="288">
                  <c:v>16.1</c:v>
                </c:pt>
                <c:pt idx="289">
                  <c:v>-3.49999999999996</c:v>
                </c:pt>
                <c:pt idx="290">
                  <c:v>-3.49999999999996</c:v>
                </c:pt>
                <c:pt idx="291">
                  <c:v>-3.49999999999996</c:v>
                </c:pt>
                <c:pt idx="292">
                  <c:v>-3.49999999999996</c:v>
                </c:pt>
                <c:pt idx="293">
                  <c:v>-3.49999999999996</c:v>
                </c:pt>
                <c:pt idx="294">
                  <c:v>-3.49999999999996</c:v>
                </c:pt>
                <c:pt idx="295">
                  <c:v>-3.49999999999996</c:v>
                </c:pt>
                <c:pt idx="296">
                  <c:v>-3.49999999999996</c:v>
                </c:pt>
                <c:pt idx="297">
                  <c:v>-3.49999999999996</c:v>
                </c:pt>
                <c:pt idx="298">
                  <c:v>-3.49999999999996</c:v>
                </c:pt>
                <c:pt idx="299">
                  <c:v>-3.49999999999996</c:v>
                </c:pt>
                <c:pt idx="300">
                  <c:v>-3.49999999999996</c:v>
                </c:pt>
                <c:pt idx="301">
                  <c:v>-3.49999999999996</c:v>
                </c:pt>
                <c:pt idx="302">
                  <c:v>-3.49999999999996</c:v>
                </c:pt>
                <c:pt idx="303">
                  <c:v>-3.49999999999996</c:v>
                </c:pt>
                <c:pt idx="304">
                  <c:v>-3.49999999999996</c:v>
                </c:pt>
                <c:pt idx="305">
                  <c:v>-3.49999999999996</c:v>
                </c:pt>
                <c:pt idx="306">
                  <c:v>-3.49999999999996</c:v>
                </c:pt>
                <c:pt idx="307">
                  <c:v>-3.49999999999996</c:v>
                </c:pt>
                <c:pt idx="308">
                  <c:v>-3.49999999999996</c:v>
                </c:pt>
                <c:pt idx="309">
                  <c:v>-3.49999999999996</c:v>
                </c:pt>
                <c:pt idx="310">
                  <c:v>-3.49999999999996</c:v>
                </c:pt>
                <c:pt idx="311">
                  <c:v>-3.49999999999996</c:v>
                </c:pt>
                <c:pt idx="312">
                  <c:v>-3.49999999999996</c:v>
                </c:pt>
                <c:pt idx="313">
                  <c:v>-3.49999999999996</c:v>
                </c:pt>
                <c:pt idx="314">
                  <c:v>16.1</c:v>
                </c:pt>
                <c:pt idx="315">
                  <c:v>16.1</c:v>
                </c:pt>
                <c:pt idx="316">
                  <c:v>16.1</c:v>
                </c:pt>
                <c:pt idx="317">
                  <c:v>16.1</c:v>
                </c:pt>
                <c:pt idx="318">
                  <c:v>16.1</c:v>
                </c:pt>
                <c:pt idx="319">
                  <c:v>16.1</c:v>
                </c:pt>
                <c:pt idx="320">
                  <c:v>16.1</c:v>
                </c:pt>
                <c:pt idx="321">
                  <c:v>16.1</c:v>
                </c:pt>
                <c:pt idx="322">
                  <c:v>16.1</c:v>
                </c:pt>
                <c:pt idx="323">
                  <c:v>16.1</c:v>
                </c:pt>
                <c:pt idx="324">
                  <c:v>16.1</c:v>
                </c:pt>
                <c:pt idx="325">
                  <c:v>16.1</c:v>
                </c:pt>
                <c:pt idx="326">
                  <c:v>16.1</c:v>
                </c:pt>
                <c:pt idx="327">
                  <c:v>16.1</c:v>
                </c:pt>
                <c:pt idx="328">
                  <c:v>16.1</c:v>
                </c:pt>
                <c:pt idx="329">
                  <c:v>16.1</c:v>
                </c:pt>
                <c:pt idx="330">
                  <c:v>16.1</c:v>
                </c:pt>
                <c:pt idx="331">
                  <c:v>16.1</c:v>
                </c:pt>
                <c:pt idx="332">
                  <c:v>16.1</c:v>
                </c:pt>
                <c:pt idx="333">
                  <c:v>16.1</c:v>
                </c:pt>
                <c:pt idx="334">
                  <c:v>16.1</c:v>
                </c:pt>
                <c:pt idx="335">
                  <c:v>16.1</c:v>
                </c:pt>
                <c:pt idx="336">
                  <c:v>16.1</c:v>
                </c:pt>
                <c:pt idx="337">
                  <c:v>16.1</c:v>
                </c:pt>
                <c:pt idx="338">
                  <c:v>16.1</c:v>
                </c:pt>
                <c:pt idx="339">
                  <c:v>-3.49999999999996</c:v>
                </c:pt>
                <c:pt idx="340">
                  <c:v>-3.49999999999996</c:v>
                </c:pt>
                <c:pt idx="341">
                  <c:v>-3.49999999999996</c:v>
                </c:pt>
                <c:pt idx="342">
                  <c:v>-3.49999999999996</c:v>
                </c:pt>
                <c:pt idx="343">
                  <c:v>-3.49999999999996</c:v>
                </c:pt>
                <c:pt idx="344">
                  <c:v>-3.49999999999996</c:v>
                </c:pt>
                <c:pt idx="345">
                  <c:v>-3.49999999999996</c:v>
                </c:pt>
                <c:pt idx="346">
                  <c:v>-3.49999999999996</c:v>
                </c:pt>
                <c:pt idx="347">
                  <c:v>-3.49999999999996</c:v>
                </c:pt>
                <c:pt idx="348">
                  <c:v>-3.49999999999996</c:v>
                </c:pt>
                <c:pt idx="349">
                  <c:v>-3.49999999999996</c:v>
                </c:pt>
                <c:pt idx="350">
                  <c:v>-3.49999999999996</c:v>
                </c:pt>
                <c:pt idx="351">
                  <c:v>-3.49999999999996</c:v>
                </c:pt>
                <c:pt idx="352">
                  <c:v>-3.49999999999996</c:v>
                </c:pt>
                <c:pt idx="353">
                  <c:v>-3.49999999999996</c:v>
                </c:pt>
                <c:pt idx="354">
                  <c:v>-3.49999999999996</c:v>
                </c:pt>
                <c:pt idx="355">
                  <c:v>-3.49999999999996</c:v>
                </c:pt>
                <c:pt idx="356">
                  <c:v>-3.49999999999996</c:v>
                </c:pt>
                <c:pt idx="357">
                  <c:v>-3.49999999999996</c:v>
                </c:pt>
                <c:pt idx="358">
                  <c:v>-3.49999999999996</c:v>
                </c:pt>
                <c:pt idx="359">
                  <c:v>-3.49999999999996</c:v>
                </c:pt>
                <c:pt idx="360">
                  <c:v>-3.49999999999996</c:v>
                </c:pt>
                <c:pt idx="361">
                  <c:v>-3.49999999999996</c:v>
                </c:pt>
                <c:pt idx="362">
                  <c:v>-3.49999999999996</c:v>
                </c:pt>
                <c:pt idx="363">
                  <c:v>-3.49999999999996</c:v>
                </c:pt>
                <c:pt idx="364">
                  <c:v>16.1</c:v>
                </c:pt>
                <c:pt idx="365">
                  <c:v>16.1</c:v>
                </c:pt>
                <c:pt idx="366">
                  <c:v>16.1</c:v>
                </c:pt>
                <c:pt idx="367">
                  <c:v>16.1</c:v>
                </c:pt>
                <c:pt idx="368">
                  <c:v>16.1</c:v>
                </c:pt>
                <c:pt idx="369">
                  <c:v>16.1</c:v>
                </c:pt>
                <c:pt idx="370">
                  <c:v>16.1</c:v>
                </c:pt>
                <c:pt idx="371">
                  <c:v>16.1</c:v>
                </c:pt>
                <c:pt idx="372">
                  <c:v>16.1</c:v>
                </c:pt>
                <c:pt idx="373">
                  <c:v>16.1</c:v>
                </c:pt>
                <c:pt idx="374">
                  <c:v>16.1</c:v>
                </c:pt>
                <c:pt idx="375">
                  <c:v>16.1</c:v>
                </c:pt>
                <c:pt idx="376">
                  <c:v>16.1</c:v>
                </c:pt>
                <c:pt idx="377">
                  <c:v>16.1</c:v>
                </c:pt>
                <c:pt idx="378">
                  <c:v>16.1</c:v>
                </c:pt>
                <c:pt idx="379">
                  <c:v>16.1</c:v>
                </c:pt>
                <c:pt idx="380">
                  <c:v>16.1</c:v>
                </c:pt>
                <c:pt idx="381">
                  <c:v>16.1</c:v>
                </c:pt>
                <c:pt idx="382">
                  <c:v>16.1</c:v>
                </c:pt>
                <c:pt idx="383">
                  <c:v>16.1</c:v>
                </c:pt>
                <c:pt idx="384">
                  <c:v>16.1</c:v>
                </c:pt>
                <c:pt idx="385">
                  <c:v>16.1</c:v>
                </c:pt>
                <c:pt idx="386">
                  <c:v>16.1</c:v>
                </c:pt>
                <c:pt idx="387">
                  <c:v>16.1</c:v>
                </c:pt>
                <c:pt idx="388">
                  <c:v>16.1</c:v>
                </c:pt>
                <c:pt idx="389">
                  <c:v>-3.49999999999996</c:v>
                </c:pt>
                <c:pt idx="390">
                  <c:v>-3.49999999999996</c:v>
                </c:pt>
                <c:pt idx="391">
                  <c:v>-3.49999999999996</c:v>
                </c:pt>
                <c:pt idx="392">
                  <c:v>-3.49999999999996</c:v>
                </c:pt>
                <c:pt idx="393">
                  <c:v>-3.49999999999996</c:v>
                </c:pt>
                <c:pt idx="394">
                  <c:v>-3.49999999999996</c:v>
                </c:pt>
                <c:pt idx="395">
                  <c:v>-3.49999999999996</c:v>
                </c:pt>
                <c:pt idx="396">
                  <c:v>-3.49999999999996</c:v>
                </c:pt>
                <c:pt idx="397">
                  <c:v>-3.49999999999996</c:v>
                </c:pt>
                <c:pt idx="398">
                  <c:v>-3.49999999999996</c:v>
                </c:pt>
                <c:pt idx="399">
                  <c:v>-3.49999999999996</c:v>
                </c:pt>
                <c:pt idx="400">
                  <c:v>-3.49999999999996</c:v>
                </c:pt>
                <c:pt idx="401">
                  <c:v>-3.49999999999996</c:v>
                </c:pt>
                <c:pt idx="402">
                  <c:v>-3.49999999999996</c:v>
                </c:pt>
                <c:pt idx="403">
                  <c:v>-3.49999999999996</c:v>
                </c:pt>
                <c:pt idx="404">
                  <c:v>-3.49999999999996</c:v>
                </c:pt>
                <c:pt idx="405">
                  <c:v>-3.49999999999996</c:v>
                </c:pt>
                <c:pt idx="406">
                  <c:v>-3.49999999999996</c:v>
                </c:pt>
                <c:pt idx="407">
                  <c:v>-3.49999999999996</c:v>
                </c:pt>
                <c:pt idx="408">
                  <c:v>-3.49999999999996</c:v>
                </c:pt>
                <c:pt idx="409">
                  <c:v>-3.49999999999996</c:v>
                </c:pt>
                <c:pt idx="410">
                  <c:v>-3.49999999999996</c:v>
                </c:pt>
                <c:pt idx="411">
                  <c:v>-3.49999999999996</c:v>
                </c:pt>
                <c:pt idx="412">
                  <c:v>-3.49999999999996</c:v>
                </c:pt>
                <c:pt idx="413">
                  <c:v>-3.49999999999996</c:v>
                </c:pt>
                <c:pt idx="414">
                  <c:v>16.1</c:v>
                </c:pt>
                <c:pt idx="415">
                  <c:v>16.1</c:v>
                </c:pt>
                <c:pt idx="416">
                  <c:v>16.1</c:v>
                </c:pt>
                <c:pt idx="417">
                  <c:v>16.1</c:v>
                </c:pt>
                <c:pt idx="418">
                  <c:v>16.1</c:v>
                </c:pt>
                <c:pt idx="419">
                  <c:v>16.1</c:v>
                </c:pt>
                <c:pt idx="420">
                  <c:v>16.1</c:v>
                </c:pt>
                <c:pt idx="421">
                  <c:v>16.1</c:v>
                </c:pt>
                <c:pt idx="422">
                  <c:v>16.1</c:v>
                </c:pt>
                <c:pt idx="423">
                  <c:v>16.1</c:v>
                </c:pt>
                <c:pt idx="424">
                  <c:v>16.1</c:v>
                </c:pt>
                <c:pt idx="425">
                  <c:v>16.1</c:v>
                </c:pt>
                <c:pt idx="426">
                  <c:v>16.1</c:v>
                </c:pt>
                <c:pt idx="427">
                  <c:v>16.1</c:v>
                </c:pt>
                <c:pt idx="428">
                  <c:v>16.1</c:v>
                </c:pt>
                <c:pt idx="429">
                  <c:v>16.1</c:v>
                </c:pt>
                <c:pt idx="430">
                  <c:v>16.1</c:v>
                </c:pt>
                <c:pt idx="431">
                  <c:v>16.1</c:v>
                </c:pt>
                <c:pt idx="432">
                  <c:v>16.1</c:v>
                </c:pt>
                <c:pt idx="433">
                  <c:v>16.1</c:v>
                </c:pt>
                <c:pt idx="434">
                  <c:v>16.1</c:v>
                </c:pt>
                <c:pt idx="435">
                  <c:v>16.1</c:v>
                </c:pt>
                <c:pt idx="436">
                  <c:v>16.1</c:v>
                </c:pt>
                <c:pt idx="437">
                  <c:v>16.1</c:v>
                </c:pt>
                <c:pt idx="438">
                  <c:v>16.1</c:v>
                </c:pt>
                <c:pt idx="439">
                  <c:v>16.1</c:v>
                </c:pt>
                <c:pt idx="440">
                  <c:v>-3.49999999999996</c:v>
                </c:pt>
                <c:pt idx="441">
                  <c:v>-3.49999999999996</c:v>
                </c:pt>
                <c:pt idx="442">
                  <c:v>-3.49999999999996</c:v>
                </c:pt>
                <c:pt idx="443">
                  <c:v>-3.49999999999996</c:v>
                </c:pt>
                <c:pt idx="444">
                  <c:v>-3.49999999999996</c:v>
                </c:pt>
                <c:pt idx="445">
                  <c:v>-3.49999999999996</c:v>
                </c:pt>
                <c:pt idx="446">
                  <c:v>-3.49999999999996</c:v>
                </c:pt>
                <c:pt idx="447">
                  <c:v>-3.49999999999996</c:v>
                </c:pt>
                <c:pt idx="448">
                  <c:v>-3.49999999999996</c:v>
                </c:pt>
                <c:pt idx="449">
                  <c:v>-3.49999999999996</c:v>
                </c:pt>
                <c:pt idx="450">
                  <c:v>-3.49999999999996</c:v>
                </c:pt>
                <c:pt idx="451">
                  <c:v>-3.49999999999996</c:v>
                </c:pt>
                <c:pt idx="452">
                  <c:v>-3.49999999999996</c:v>
                </c:pt>
                <c:pt idx="453">
                  <c:v>-3.49999999999996</c:v>
                </c:pt>
                <c:pt idx="454">
                  <c:v>-3.49999999999996</c:v>
                </c:pt>
                <c:pt idx="455">
                  <c:v>-3.49999999999996</c:v>
                </c:pt>
                <c:pt idx="456">
                  <c:v>-3.49999999999996</c:v>
                </c:pt>
                <c:pt idx="457">
                  <c:v>-3.49999999999996</c:v>
                </c:pt>
                <c:pt idx="458">
                  <c:v>-3.49999999999996</c:v>
                </c:pt>
                <c:pt idx="459">
                  <c:v>-3.49999999999996</c:v>
                </c:pt>
                <c:pt idx="460">
                  <c:v>-3.49999999999996</c:v>
                </c:pt>
                <c:pt idx="461">
                  <c:v>-3.49999999999996</c:v>
                </c:pt>
                <c:pt idx="462">
                  <c:v>-3.49999999999996</c:v>
                </c:pt>
                <c:pt idx="463">
                  <c:v>-3.49999999999996</c:v>
                </c:pt>
                <c:pt idx="464">
                  <c:v>-3.49999999999996</c:v>
                </c:pt>
                <c:pt idx="465">
                  <c:v>16.1</c:v>
                </c:pt>
                <c:pt idx="466">
                  <c:v>16.1</c:v>
                </c:pt>
                <c:pt idx="467">
                  <c:v>16.1</c:v>
                </c:pt>
                <c:pt idx="468">
                  <c:v>16.1</c:v>
                </c:pt>
                <c:pt idx="469">
                  <c:v>16.1</c:v>
                </c:pt>
                <c:pt idx="470">
                  <c:v>16.1</c:v>
                </c:pt>
                <c:pt idx="471">
                  <c:v>16.1</c:v>
                </c:pt>
                <c:pt idx="472">
                  <c:v>16.1</c:v>
                </c:pt>
                <c:pt idx="473">
                  <c:v>16.1</c:v>
                </c:pt>
                <c:pt idx="474">
                  <c:v>16.1</c:v>
                </c:pt>
                <c:pt idx="475">
                  <c:v>16.1</c:v>
                </c:pt>
                <c:pt idx="476">
                  <c:v>16.1</c:v>
                </c:pt>
                <c:pt idx="477">
                  <c:v>16.1</c:v>
                </c:pt>
                <c:pt idx="478">
                  <c:v>16.1</c:v>
                </c:pt>
                <c:pt idx="479">
                  <c:v>16.1</c:v>
                </c:pt>
                <c:pt idx="480">
                  <c:v>16.1</c:v>
                </c:pt>
                <c:pt idx="481">
                  <c:v>16.1</c:v>
                </c:pt>
                <c:pt idx="482">
                  <c:v>16.1</c:v>
                </c:pt>
                <c:pt idx="483">
                  <c:v>16.1</c:v>
                </c:pt>
                <c:pt idx="484">
                  <c:v>16.1</c:v>
                </c:pt>
                <c:pt idx="485">
                  <c:v>16.1</c:v>
                </c:pt>
                <c:pt idx="486">
                  <c:v>16.1</c:v>
                </c:pt>
                <c:pt idx="487">
                  <c:v>16.1</c:v>
                </c:pt>
                <c:pt idx="488">
                  <c:v>16.1</c:v>
                </c:pt>
                <c:pt idx="489">
                  <c:v>16.1</c:v>
                </c:pt>
                <c:pt idx="490">
                  <c:v>-3.49999999999996</c:v>
                </c:pt>
                <c:pt idx="491">
                  <c:v>-3.49999999999996</c:v>
                </c:pt>
                <c:pt idx="492">
                  <c:v>-3.49999999999996</c:v>
                </c:pt>
                <c:pt idx="493">
                  <c:v>-3.49999999999996</c:v>
                </c:pt>
                <c:pt idx="494">
                  <c:v>-3.49999999999996</c:v>
                </c:pt>
                <c:pt idx="495">
                  <c:v>-3.49999999999996</c:v>
                </c:pt>
                <c:pt idx="496">
                  <c:v>-3.49999999999996</c:v>
                </c:pt>
                <c:pt idx="497">
                  <c:v>-3.49999999999996</c:v>
                </c:pt>
                <c:pt idx="498">
                  <c:v>-3.49999999999996</c:v>
                </c:pt>
                <c:pt idx="499">
                  <c:v>-3.49999999999996</c:v>
                </c:pt>
                <c:pt idx="500">
                  <c:v>-3.49999999999996</c:v>
                </c:pt>
                <c:pt idx="501">
                  <c:v>-3.49999999999996</c:v>
                </c:pt>
                <c:pt idx="502">
                  <c:v>-3.49999999999996</c:v>
                </c:pt>
                <c:pt idx="503">
                  <c:v>-3.49999999999996</c:v>
                </c:pt>
                <c:pt idx="504">
                  <c:v>-3.49999999999996</c:v>
                </c:pt>
                <c:pt idx="505">
                  <c:v>-3.49999999999996</c:v>
                </c:pt>
                <c:pt idx="506">
                  <c:v>-3.49999999999996</c:v>
                </c:pt>
                <c:pt idx="507">
                  <c:v>-3.49999999999996</c:v>
                </c:pt>
                <c:pt idx="508">
                  <c:v>-3.49999999999996</c:v>
                </c:pt>
                <c:pt idx="509">
                  <c:v>-3.49999999999996</c:v>
                </c:pt>
                <c:pt idx="510">
                  <c:v>-3.49999999999996</c:v>
                </c:pt>
                <c:pt idx="511">
                  <c:v>-3.49999999999996</c:v>
                </c:pt>
                <c:pt idx="512">
                  <c:v>-3.49999999999996</c:v>
                </c:pt>
                <c:pt idx="513">
                  <c:v>-3.49999999999996</c:v>
                </c:pt>
                <c:pt idx="514">
                  <c:v>-3.49999999999996</c:v>
                </c:pt>
                <c:pt idx="515">
                  <c:v>16.1</c:v>
                </c:pt>
                <c:pt idx="516">
                  <c:v>16.1</c:v>
                </c:pt>
                <c:pt idx="517">
                  <c:v>16.1</c:v>
                </c:pt>
                <c:pt idx="518">
                  <c:v>16.1</c:v>
                </c:pt>
                <c:pt idx="519">
                  <c:v>16.1</c:v>
                </c:pt>
                <c:pt idx="520">
                  <c:v>16.1</c:v>
                </c:pt>
                <c:pt idx="521">
                  <c:v>16.1</c:v>
                </c:pt>
                <c:pt idx="522">
                  <c:v>16.1</c:v>
                </c:pt>
                <c:pt idx="523">
                  <c:v>16.1</c:v>
                </c:pt>
                <c:pt idx="524">
                  <c:v>16.1</c:v>
                </c:pt>
                <c:pt idx="525">
                  <c:v>16.1</c:v>
                </c:pt>
                <c:pt idx="526">
                  <c:v>16.1</c:v>
                </c:pt>
                <c:pt idx="527">
                  <c:v>16.1</c:v>
                </c:pt>
                <c:pt idx="528">
                  <c:v>16.1</c:v>
                </c:pt>
                <c:pt idx="529">
                  <c:v>16.1</c:v>
                </c:pt>
                <c:pt idx="530">
                  <c:v>16.1</c:v>
                </c:pt>
                <c:pt idx="531">
                  <c:v>16.1</c:v>
                </c:pt>
                <c:pt idx="532">
                  <c:v>16.1</c:v>
                </c:pt>
                <c:pt idx="533">
                  <c:v>16.1</c:v>
                </c:pt>
                <c:pt idx="534">
                  <c:v>16.1</c:v>
                </c:pt>
                <c:pt idx="535">
                  <c:v>16.1</c:v>
                </c:pt>
                <c:pt idx="536">
                  <c:v>16.1</c:v>
                </c:pt>
                <c:pt idx="537">
                  <c:v>16.1</c:v>
                </c:pt>
                <c:pt idx="538">
                  <c:v>16.1</c:v>
                </c:pt>
                <c:pt idx="539">
                  <c:v>16.1</c:v>
                </c:pt>
                <c:pt idx="540">
                  <c:v>16.1</c:v>
                </c:pt>
                <c:pt idx="541">
                  <c:v>-3.49999999999996</c:v>
                </c:pt>
                <c:pt idx="542">
                  <c:v>-3.49999999999996</c:v>
                </c:pt>
                <c:pt idx="543">
                  <c:v>-3.49999999999996</c:v>
                </c:pt>
                <c:pt idx="544">
                  <c:v>-3.49999999999996</c:v>
                </c:pt>
                <c:pt idx="545">
                  <c:v>-3.49999999999996</c:v>
                </c:pt>
                <c:pt idx="546">
                  <c:v>-3.49999999999996</c:v>
                </c:pt>
                <c:pt idx="547">
                  <c:v>-3.49999999999996</c:v>
                </c:pt>
                <c:pt idx="548">
                  <c:v>-3.49999999999996</c:v>
                </c:pt>
                <c:pt idx="549">
                  <c:v>-3.49999999999996</c:v>
                </c:pt>
                <c:pt idx="550">
                  <c:v>-3.49999999999996</c:v>
                </c:pt>
                <c:pt idx="551">
                  <c:v>-3.49999999999996</c:v>
                </c:pt>
                <c:pt idx="552">
                  <c:v>-3.49999999999996</c:v>
                </c:pt>
                <c:pt idx="553">
                  <c:v>-3.49999999999996</c:v>
                </c:pt>
                <c:pt idx="554">
                  <c:v>-3.49999999999996</c:v>
                </c:pt>
                <c:pt idx="555">
                  <c:v>-3.49999999999996</c:v>
                </c:pt>
                <c:pt idx="556">
                  <c:v>-3.49999999999996</c:v>
                </c:pt>
                <c:pt idx="557">
                  <c:v>-3.49999999999996</c:v>
                </c:pt>
                <c:pt idx="558">
                  <c:v>-3.49999999999996</c:v>
                </c:pt>
                <c:pt idx="559">
                  <c:v>-3.49999999999996</c:v>
                </c:pt>
                <c:pt idx="560">
                  <c:v>-3.49999999999996</c:v>
                </c:pt>
                <c:pt idx="561">
                  <c:v>-3.49999999999996</c:v>
                </c:pt>
                <c:pt idx="562">
                  <c:v>-3.49999999999996</c:v>
                </c:pt>
                <c:pt idx="563">
                  <c:v>-3.49999999999996</c:v>
                </c:pt>
                <c:pt idx="564">
                  <c:v>-3.49999999999996</c:v>
                </c:pt>
                <c:pt idx="565">
                  <c:v>16.1</c:v>
                </c:pt>
                <c:pt idx="566">
                  <c:v>16.1</c:v>
                </c:pt>
                <c:pt idx="567">
                  <c:v>16.1</c:v>
                </c:pt>
                <c:pt idx="568">
                  <c:v>16.1</c:v>
                </c:pt>
                <c:pt idx="569">
                  <c:v>16.1</c:v>
                </c:pt>
                <c:pt idx="570">
                  <c:v>16.1</c:v>
                </c:pt>
                <c:pt idx="571">
                  <c:v>16.1</c:v>
                </c:pt>
                <c:pt idx="572">
                  <c:v>16.1</c:v>
                </c:pt>
                <c:pt idx="573">
                  <c:v>16.1</c:v>
                </c:pt>
                <c:pt idx="574">
                  <c:v>16.1</c:v>
                </c:pt>
                <c:pt idx="575">
                  <c:v>16.1</c:v>
                </c:pt>
                <c:pt idx="576">
                  <c:v>16.1</c:v>
                </c:pt>
                <c:pt idx="577">
                  <c:v>16.1</c:v>
                </c:pt>
                <c:pt idx="578">
                  <c:v>16.1</c:v>
                </c:pt>
                <c:pt idx="579">
                  <c:v>16.1</c:v>
                </c:pt>
                <c:pt idx="580">
                  <c:v>16.1</c:v>
                </c:pt>
                <c:pt idx="581">
                  <c:v>16.1</c:v>
                </c:pt>
                <c:pt idx="582">
                  <c:v>16.1</c:v>
                </c:pt>
                <c:pt idx="583">
                  <c:v>16.1</c:v>
                </c:pt>
                <c:pt idx="584">
                  <c:v>16.1</c:v>
                </c:pt>
                <c:pt idx="585">
                  <c:v>16.1</c:v>
                </c:pt>
                <c:pt idx="586">
                  <c:v>16.1</c:v>
                </c:pt>
                <c:pt idx="587">
                  <c:v>16.1</c:v>
                </c:pt>
                <c:pt idx="588">
                  <c:v>16.1</c:v>
                </c:pt>
                <c:pt idx="589">
                  <c:v>16.1</c:v>
                </c:pt>
                <c:pt idx="590">
                  <c:v>16.1</c:v>
                </c:pt>
                <c:pt idx="591">
                  <c:v>-3.49999999999996</c:v>
                </c:pt>
                <c:pt idx="592">
                  <c:v>-3.49999999999996</c:v>
                </c:pt>
                <c:pt idx="593">
                  <c:v>-3.49999999999996</c:v>
                </c:pt>
                <c:pt idx="594">
                  <c:v>-3.49999999999996</c:v>
                </c:pt>
                <c:pt idx="595">
                  <c:v>-3.49999999999996</c:v>
                </c:pt>
                <c:pt idx="596">
                  <c:v>-3.49999999999996</c:v>
                </c:pt>
                <c:pt idx="597">
                  <c:v>-3.49999999999996</c:v>
                </c:pt>
                <c:pt idx="598">
                  <c:v>-3.49999999999996</c:v>
                </c:pt>
                <c:pt idx="599">
                  <c:v>-3.49999999999996</c:v>
                </c:pt>
                <c:pt idx="600">
                  <c:v>-3.49999999999996</c:v>
                </c:pt>
                <c:pt idx="601">
                  <c:v>-3.49999999999996</c:v>
                </c:pt>
                <c:pt idx="602">
                  <c:v>-3.49999999999996</c:v>
                </c:pt>
                <c:pt idx="603">
                  <c:v>-3.49999999999996</c:v>
                </c:pt>
                <c:pt idx="604">
                  <c:v>-3.49999999999996</c:v>
                </c:pt>
                <c:pt idx="605">
                  <c:v>-3.49999999999996</c:v>
                </c:pt>
                <c:pt idx="606">
                  <c:v>-3.49999999999996</c:v>
                </c:pt>
                <c:pt idx="607">
                  <c:v>-3.49999999999996</c:v>
                </c:pt>
                <c:pt idx="608">
                  <c:v>-3.49999999999996</c:v>
                </c:pt>
                <c:pt idx="609">
                  <c:v>-3.49999999999996</c:v>
                </c:pt>
                <c:pt idx="610">
                  <c:v>-3.49999999999996</c:v>
                </c:pt>
                <c:pt idx="611">
                  <c:v>-3.49999999999996</c:v>
                </c:pt>
                <c:pt idx="612">
                  <c:v>-3.49999999999996</c:v>
                </c:pt>
                <c:pt idx="613">
                  <c:v>-3.49999999999996</c:v>
                </c:pt>
                <c:pt idx="614">
                  <c:v>-3.49999999999996</c:v>
                </c:pt>
                <c:pt idx="615">
                  <c:v>-3.49999999999996</c:v>
                </c:pt>
                <c:pt idx="616">
                  <c:v>-3.49999999999996</c:v>
                </c:pt>
                <c:pt idx="617">
                  <c:v>-3.49999999999996</c:v>
                </c:pt>
                <c:pt idx="618">
                  <c:v>-3.49999999999996</c:v>
                </c:pt>
                <c:pt idx="619">
                  <c:v>-3.49999999999996</c:v>
                </c:pt>
                <c:pt idx="620">
                  <c:v>-3.49999999999996</c:v>
                </c:pt>
                <c:pt idx="621">
                  <c:v>-3.49999999999996</c:v>
                </c:pt>
                <c:pt idx="622">
                  <c:v>-3.49999999999996</c:v>
                </c:pt>
                <c:pt idx="623">
                  <c:v>-3.49999999999996</c:v>
                </c:pt>
                <c:pt idx="624">
                  <c:v>-3.49999999999996</c:v>
                </c:pt>
                <c:pt idx="625">
                  <c:v>-3.49999999999996</c:v>
                </c:pt>
                <c:pt idx="626">
                  <c:v>-3.49999999999996</c:v>
                </c:pt>
                <c:pt idx="627">
                  <c:v>-3.49999999999996</c:v>
                </c:pt>
                <c:pt idx="628">
                  <c:v>-3.49999999999996</c:v>
                </c:pt>
                <c:pt idx="629">
                  <c:v>-3.49999999999996</c:v>
                </c:pt>
                <c:pt idx="630">
                  <c:v>-3.49999999999996</c:v>
                </c:pt>
                <c:pt idx="631">
                  <c:v>-3.49999999999996</c:v>
                </c:pt>
                <c:pt idx="632">
                  <c:v>-3.49999999999996</c:v>
                </c:pt>
                <c:pt idx="633">
                  <c:v>-3.49999999999996</c:v>
                </c:pt>
                <c:pt idx="634">
                  <c:v>-3.49999999999996</c:v>
                </c:pt>
                <c:pt idx="635">
                  <c:v>-3.49999999999996</c:v>
                </c:pt>
                <c:pt idx="636">
                  <c:v>-3.49999999999996</c:v>
                </c:pt>
                <c:pt idx="637">
                  <c:v>-3.49999999999996</c:v>
                </c:pt>
                <c:pt idx="638">
                  <c:v>-3.49999999999996</c:v>
                </c:pt>
                <c:pt idx="639">
                  <c:v>-3.49999999999996</c:v>
                </c:pt>
                <c:pt idx="640">
                  <c:v>-3.49999999999996</c:v>
                </c:pt>
                <c:pt idx="641">
                  <c:v>-3.49999999999996</c:v>
                </c:pt>
                <c:pt idx="642">
                  <c:v>-3.49999999999996</c:v>
                </c:pt>
                <c:pt idx="643">
                  <c:v>-3.49999999999996</c:v>
                </c:pt>
                <c:pt idx="644">
                  <c:v>-3.49999999999996</c:v>
                </c:pt>
                <c:pt idx="645">
                  <c:v>-3.49999999999996</c:v>
                </c:pt>
                <c:pt idx="646">
                  <c:v>-3.49999999999996</c:v>
                </c:pt>
                <c:pt idx="647">
                  <c:v>-3.49999999999996</c:v>
                </c:pt>
                <c:pt idx="648">
                  <c:v>-3.49999999999996</c:v>
                </c:pt>
                <c:pt idx="649">
                  <c:v>-3.49999999999996</c:v>
                </c:pt>
                <c:pt idx="650">
                  <c:v>-3.49999999999996</c:v>
                </c:pt>
                <c:pt idx="651">
                  <c:v>-3.49999999999996</c:v>
                </c:pt>
                <c:pt idx="652">
                  <c:v>-3.49999999999996</c:v>
                </c:pt>
                <c:pt idx="653">
                  <c:v>-3.49999999999996</c:v>
                </c:pt>
                <c:pt idx="654">
                  <c:v>-3.49999999999996</c:v>
                </c:pt>
                <c:pt idx="655">
                  <c:v>-3.49999999999996</c:v>
                </c:pt>
                <c:pt idx="656">
                  <c:v>-3.49999999999996</c:v>
                </c:pt>
                <c:pt idx="657">
                  <c:v>-3.49999999999996</c:v>
                </c:pt>
                <c:pt idx="658">
                  <c:v>-3.49999999999996</c:v>
                </c:pt>
                <c:pt idx="659">
                  <c:v>-3.49999999999996</c:v>
                </c:pt>
                <c:pt idx="660">
                  <c:v>-3.49999999999996</c:v>
                </c:pt>
                <c:pt idx="661">
                  <c:v>-3.49999999999996</c:v>
                </c:pt>
                <c:pt idx="662">
                  <c:v>-3.49999999999996</c:v>
                </c:pt>
                <c:pt idx="663">
                  <c:v>-3.49999999999996</c:v>
                </c:pt>
                <c:pt idx="664">
                  <c:v>-3.49999999999996</c:v>
                </c:pt>
                <c:pt idx="665">
                  <c:v>-3.49999999999996</c:v>
                </c:pt>
                <c:pt idx="666">
                  <c:v>-3.49999999999996</c:v>
                </c:pt>
                <c:pt idx="667">
                  <c:v>-3.49999999999996</c:v>
                </c:pt>
                <c:pt idx="668">
                  <c:v>-3.49999999999996</c:v>
                </c:pt>
                <c:pt idx="669">
                  <c:v>-3.49999999999996</c:v>
                </c:pt>
                <c:pt idx="670">
                  <c:v>-3.49999999999996</c:v>
                </c:pt>
                <c:pt idx="671">
                  <c:v>-3.49999999999996</c:v>
                </c:pt>
                <c:pt idx="672">
                  <c:v>-3.49999999999996</c:v>
                </c:pt>
                <c:pt idx="673">
                  <c:v>-3.49999999999996</c:v>
                </c:pt>
                <c:pt idx="674">
                  <c:v>-3.49999999999996</c:v>
                </c:pt>
                <c:pt idx="675">
                  <c:v>-3.49999999999996</c:v>
                </c:pt>
                <c:pt idx="676">
                  <c:v>-3.49999999999996</c:v>
                </c:pt>
                <c:pt idx="677">
                  <c:v>-3.49999999999996</c:v>
                </c:pt>
                <c:pt idx="678">
                  <c:v>-3.49999999999996</c:v>
                </c:pt>
                <c:pt idx="679">
                  <c:v>-3.49999999999996</c:v>
                </c:pt>
                <c:pt idx="680">
                  <c:v>-3.49999999999996</c:v>
                </c:pt>
                <c:pt idx="681">
                  <c:v>-3.49999999999996</c:v>
                </c:pt>
                <c:pt idx="682">
                  <c:v>-3.49999999999996</c:v>
                </c:pt>
                <c:pt idx="683">
                  <c:v>-3.49999999999996</c:v>
                </c:pt>
                <c:pt idx="684">
                  <c:v>-3.49999999999996</c:v>
                </c:pt>
                <c:pt idx="685">
                  <c:v>-3.49999999999996</c:v>
                </c:pt>
                <c:pt idx="686">
                  <c:v>-3.49999999999996</c:v>
                </c:pt>
                <c:pt idx="687">
                  <c:v>-3.49999999999996</c:v>
                </c:pt>
                <c:pt idx="688">
                  <c:v>-3.49999999999996</c:v>
                </c:pt>
                <c:pt idx="689">
                  <c:v>-3.49999999999996</c:v>
                </c:pt>
                <c:pt idx="690">
                  <c:v>-3.49999999999996</c:v>
                </c:pt>
                <c:pt idx="691">
                  <c:v>-3.49999999999996</c:v>
                </c:pt>
                <c:pt idx="692">
                  <c:v>-3.49999999999996</c:v>
                </c:pt>
                <c:pt idx="693">
                  <c:v>-3.49999999999996</c:v>
                </c:pt>
                <c:pt idx="694">
                  <c:v>-3.49999999999996</c:v>
                </c:pt>
                <c:pt idx="695">
                  <c:v>-3.49999999999996</c:v>
                </c:pt>
                <c:pt idx="696">
                  <c:v>-3.49999999999996</c:v>
                </c:pt>
                <c:pt idx="697">
                  <c:v>-3.49999999999996</c:v>
                </c:pt>
                <c:pt idx="698">
                  <c:v>-3.49999999999996</c:v>
                </c:pt>
                <c:pt idx="699">
                  <c:v>-3.49999999999996</c:v>
                </c:pt>
                <c:pt idx="700">
                  <c:v>-3.49999999999996</c:v>
                </c:pt>
                <c:pt idx="701">
                  <c:v>-3.49999999999996</c:v>
                </c:pt>
                <c:pt idx="702">
                  <c:v>-3.49999999999996</c:v>
                </c:pt>
                <c:pt idx="703">
                  <c:v>-3.49999999999996</c:v>
                </c:pt>
                <c:pt idx="704">
                  <c:v>-3.49999999999996</c:v>
                </c:pt>
                <c:pt idx="705">
                  <c:v>-3.49999999999996</c:v>
                </c:pt>
                <c:pt idx="706">
                  <c:v>-3.49999999999996</c:v>
                </c:pt>
                <c:pt idx="707">
                  <c:v>-3.49999999999996</c:v>
                </c:pt>
                <c:pt idx="708">
                  <c:v>-3.49999999999996</c:v>
                </c:pt>
                <c:pt idx="709">
                  <c:v>-3.49999999999996</c:v>
                </c:pt>
                <c:pt idx="710">
                  <c:v>-3.49999999999996</c:v>
                </c:pt>
                <c:pt idx="711">
                  <c:v>-3.49999999999996</c:v>
                </c:pt>
                <c:pt idx="712">
                  <c:v>-3.49999999999996</c:v>
                </c:pt>
                <c:pt idx="713">
                  <c:v>-3.49999999999996</c:v>
                </c:pt>
                <c:pt idx="714">
                  <c:v>-3.49999999999996</c:v>
                </c:pt>
                <c:pt idx="715">
                  <c:v>-3.49999999999996</c:v>
                </c:pt>
                <c:pt idx="716">
                  <c:v>-3.49999999999996</c:v>
                </c:pt>
                <c:pt idx="717">
                  <c:v>-3.49999999999996</c:v>
                </c:pt>
                <c:pt idx="718">
                  <c:v>-3.49999999999996</c:v>
                </c:pt>
                <c:pt idx="719">
                  <c:v>-3.49999999999996</c:v>
                </c:pt>
                <c:pt idx="720">
                  <c:v>-3.49999999999996</c:v>
                </c:pt>
                <c:pt idx="721">
                  <c:v>-3.49999999999996</c:v>
                </c:pt>
                <c:pt idx="722">
                  <c:v>-3.49999999999996</c:v>
                </c:pt>
                <c:pt idx="723">
                  <c:v>-3.49999999999996</c:v>
                </c:pt>
                <c:pt idx="724">
                  <c:v>-3.49999999999996</c:v>
                </c:pt>
                <c:pt idx="725">
                  <c:v>-3.49999999999996</c:v>
                </c:pt>
                <c:pt idx="726">
                  <c:v>-3.49999999999996</c:v>
                </c:pt>
                <c:pt idx="727">
                  <c:v>-3.49999999999996</c:v>
                </c:pt>
                <c:pt idx="728">
                  <c:v>-3.49999999999996</c:v>
                </c:pt>
                <c:pt idx="729">
                  <c:v>-3.49999999999996</c:v>
                </c:pt>
                <c:pt idx="730">
                  <c:v>-3.49999999999996</c:v>
                </c:pt>
                <c:pt idx="731">
                  <c:v>-3.49999999999996</c:v>
                </c:pt>
                <c:pt idx="732">
                  <c:v>-3.49999999999996</c:v>
                </c:pt>
                <c:pt idx="733">
                  <c:v>-3.49999999999996</c:v>
                </c:pt>
                <c:pt idx="734">
                  <c:v>-3.49999999999996</c:v>
                </c:pt>
                <c:pt idx="735">
                  <c:v>-3.49999999999996</c:v>
                </c:pt>
                <c:pt idx="736">
                  <c:v>-3.49999999999996</c:v>
                </c:pt>
                <c:pt idx="737">
                  <c:v>-3.49999999999996</c:v>
                </c:pt>
                <c:pt idx="738">
                  <c:v>-3.49999999999996</c:v>
                </c:pt>
                <c:pt idx="739">
                  <c:v>-3.49999999999996</c:v>
                </c:pt>
                <c:pt idx="740">
                  <c:v>-3.49999999999996</c:v>
                </c:pt>
                <c:pt idx="741">
                  <c:v>-3.49999999999996</c:v>
                </c:pt>
                <c:pt idx="742">
                  <c:v>-3.49999999999996</c:v>
                </c:pt>
                <c:pt idx="743">
                  <c:v>-3.49999999999996</c:v>
                </c:pt>
                <c:pt idx="744">
                  <c:v>-3.49999999999996</c:v>
                </c:pt>
                <c:pt idx="745">
                  <c:v>-3.49999999999996</c:v>
                </c:pt>
                <c:pt idx="746">
                  <c:v>-3.49999999999996</c:v>
                </c:pt>
                <c:pt idx="747">
                  <c:v>-3.49999999999996</c:v>
                </c:pt>
                <c:pt idx="748">
                  <c:v>-3.49999999999996</c:v>
                </c:pt>
                <c:pt idx="749">
                  <c:v>-3.49999999999996</c:v>
                </c:pt>
                <c:pt idx="750">
                  <c:v>-3.49999999999996</c:v>
                </c:pt>
                <c:pt idx="751">
                  <c:v>-3.49999999999996</c:v>
                </c:pt>
                <c:pt idx="752">
                  <c:v>-3.49999999999996</c:v>
                </c:pt>
                <c:pt idx="753">
                  <c:v>-3.49999999999996</c:v>
                </c:pt>
                <c:pt idx="754">
                  <c:v>-3.49999999999996</c:v>
                </c:pt>
                <c:pt idx="755">
                  <c:v>-3.49999999999996</c:v>
                </c:pt>
                <c:pt idx="756">
                  <c:v>-3.49999999999996</c:v>
                </c:pt>
                <c:pt idx="757">
                  <c:v>-3.49999999999996</c:v>
                </c:pt>
                <c:pt idx="758">
                  <c:v>-3.49999999999996</c:v>
                </c:pt>
                <c:pt idx="759">
                  <c:v>-3.49999999999996</c:v>
                </c:pt>
                <c:pt idx="760">
                  <c:v>-3.49999999999996</c:v>
                </c:pt>
                <c:pt idx="761">
                  <c:v>-3.49999999999996</c:v>
                </c:pt>
                <c:pt idx="762">
                  <c:v>-3.49999999999996</c:v>
                </c:pt>
                <c:pt idx="763">
                  <c:v>-3.49999999999996</c:v>
                </c:pt>
                <c:pt idx="764">
                  <c:v>-3.49999999999996</c:v>
                </c:pt>
                <c:pt idx="765">
                  <c:v>-3.49999999999996</c:v>
                </c:pt>
                <c:pt idx="766">
                  <c:v>-3.49999999999996</c:v>
                </c:pt>
                <c:pt idx="767">
                  <c:v>-3.49999999999996</c:v>
                </c:pt>
                <c:pt idx="768">
                  <c:v>-3.49999999999996</c:v>
                </c:pt>
                <c:pt idx="769">
                  <c:v>-3.49999999999996</c:v>
                </c:pt>
                <c:pt idx="770">
                  <c:v>-3.49999999999996</c:v>
                </c:pt>
                <c:pt idx="771">
                  <c:v>-3.49999999999996</c:v>
                </c:pt>
                <c:pt idx="772">
                  <c:v>-3.49999999999996</c:v>
                </c:pt>
                <c:pt idx="773">
                  <c:v>-3.49999999999996</c:v>
                </c:pt>
                <c:pt idx="774">
                  <c:v>-3.49999999999996</c:v>
                </c:pt>
                <c:pt idx="775">
                  <c:v>-3.49999999999996</c:v>
                </c:pt>
                <c:pt idx="776">
                  <c:v>-3.49999999999996</c:v>
                </c:pt>
                <c:pt idx="777">
                  <c:v>-3.49999999999996</c:v>
                </c:pt>
                <c:pt idx="778">
                  <c:v>-3.49999999999996</c:v>
                </c:pt>
                <c:pt idx="779">
                  <c:v>-3.49999999999996</c:v>
                </c:pt>
                <c:pt idx="780">
                  <c:v>-3.49999999999996</c:v>
                </c:pt>
                <c:pt idx="781">
                  <c:v>-3.49999999999996</c:v>
                </c:pt>
                <c:pt idx="782">
                  <c:v>-3.49999999999996</c:v>
                </c:pt>
                <c:pt idx="783">
                  <c:v>-3.49999999999996</c:v>
                </c:pt>
                <c:pt idx="784">
                  <c:v>-3.49999999999996</c:v>
                </c:pt>
                <c:pt idx="785">
                  <c:v>-3.49999999999996</c:v>
                </c:pt>
                <c:pt idx="786">
                  <c:v>-3.49999999999996</c:v>
                </c:pt>
                <c:pt idx="787">
                  <c:v>-3.49999999999996</c:v>
                </c:pt>
                <c:pt idx="788">
                  <c:v>-3.49999999999996</c:v>
                </c:pt>
                <c:pt idx="789">
                  <c:v>-3.49999999999996</c:v>
                </c:pt>
                <c:pt idx="790">
                  <c:v>-3.49999999999996</c:v>
                </c:pt>
                <c:pt idx="791">
                  <c:v>-3.49999999999996</c:v>
                </c:pt>
                <c:pt idx="792">
                  <c:v>-3.49999999999996</c:v>
                </c:pt>
                <c:pt idx="793">
                  <c:v>-3.49999999999996</c:v>
                </c:pt>
                <c:pt idx="794">
                  <c:v>-3.49999999999996</c:v>
                </c:pt>
                <c:pt idx="795">
                  <c:v>-3.49999999999996</c:v>
                </c:pt>
                <c:pt idx="796">
                  <c:v>-3.49999999999996</c:v>
                </c:pt>
                <c:pt idx="797">
                  <c:v>-3.49999999999996</c:v>
                </c:pt>
                <c:pt idx="798">
                  <c:v>-3.49999999999996</c:v>
                </c:pt>
                <c:pt idx="799">
                  <c:v>-3.49999999999996</c:v>
                </c:pt>
                <c:pt idx="800">
                  <c:v>-3.49999999999996</c:v>
                </c:pt>
                <c:pt idx="801">
                  <c:v>-3.49999999999996</c:v>
                </c:pt>
                <c:pt idx="802">
                  <c:v>-3.49999999999996</c:v>
                </c:pt>
                <c:pt idx="803">
                  <c:v>-3.49999999999996</c:v>
                </c:pt>
                <c:pt idx="804">
                  <c:v>-3.49999999999996</c:v>
                </c:pt>
                <c:pt idx="805">
                  <c:v>-3.49999999999996</c:v>
                </c:pt>
                <c:pt idx="806">
                  <c:v>-3.49999999999996</c:v>
                </c:pt>
                <c:pt idx="807">
                  <c:v>-3.49999999999996</c:v>
                </c:pt>
                <c:pt idx="808">
                  <c:v>-3.49999999999996</c:v>
                </c:pt>
                <c:pt idx="809">
                  <c:v>-3.49999999999996</c:v>
                </c:pt>
                <c:pt idx="810">
                  <c:v>-3.49999999999996</c:v>
                </c:pt>
                <c:pt idx="811">
                  <c:v>-3.49999999999996</c:v>
                </c:pt>
                <c:pt idx="812">
                  <c:v>-3.49999999999996</c:v>
                </c:pt>
                <c:pt idx="813">
                  <c:v>-3.49999999999996</c:v>
                </c:pt>
                <c:pt idx="814">
                  <c:v>-3.49999999999996</c:v>
                </c:pt>
                <c:pt idx="815">
                  <c:v>-3.49999999999996</c:v>
                </c:pt>
                <c:pt idx="816">
                  <c:v>-3.49999999999996</c:v>
                </c:pt>
                <c:pt idx="817">
                  <c:v>-3.49999999999996</c:v>
                </c:pt>
                <c:pt idx="818">
                  <c:v>-3.49999999999996</c:v>
                </c:pt>
                <c:pt idx="819">
                  <c:v>-3.49999999999996</c:v>
                </c:pt>
                <c:pt idx="820">
                  <c:v>-3.49999999999996</c:v>
                </c:pt>
                <c:pt idx="821">
                  <c:v>-3.49999999999996</c:v>
                </c:pt>
                <c:pt idx="822">
                  <c:v>-3.49999999999996</c:v>
                </c:pt>
                <c:pt idx="823">
                  <c:v>-3.49999999999996</c:v>
                </c:pt>
                <c:pt idx="824">
                  <c:v>-3.49999999999996</c:v>
                </c:pt>
                <c:pt idx="825">
                  <c:v>-3.49999999999996</c:v>
                </c:pt>
                <c:pt idx="826">
                  <c:v>-3.49999999999996</c:v>
                </c:pt>
                <c:pt idx="827">
                  <c:v>-3.49999999999996</c:v>
                </c:pt>
                <c:pt idx="828">
                  <c:v>-3.49999999999996</c:v>
                </c:pt>
                <c:pt idx="829">
                  <c:v>-3.49999999999996</c:v>
                </c:pt>
                <c:pt idx="830">
                  <c:v>-3.49999999999996</c:v>
                </c:pt>
                <c:pt idx="831">
                  <c:v>-3.49999999999996</c:v>
                </c:pt>
                <c:pt idx="832">
                  <c:v>-3.49999999999996</c:v>
                </c:pt>
                <c:pt idx="833">
                  <c:v>-3.49999999999996</c:v>
                </c:pt>
                <c:pt idx="834">
                  <c:v>-3.49999999999996</c:v>
                </c:pt>
                <c:pt idx="835">
                  <c:v>-3.49999999999996</c:v>
                </c:pt>
                <c:pt idx="836">
                  <c:v>-3.49999999999996</c:v>
                </c:pt>
                <c:pt idx="837">
                  <c:v>-3.49999999999996</c:v>
                </c:pt>
                <c:pt idx="838">
                  <c:v>-3.49999999999996</c:v>
                </c:pt>
                <c:pt idx="839">
                  <c:v>-3.49999999999996</c:v>
                </c:pt>
                <c:pt idx="840">
                  <c:v>-3.49999999999996</c:v>
                </c:pt>
                <c:pt idx="841">
                  <c:v>-3.49999999999996</c:v>
                </c:pt>
                <c:pt idx="842">
                  <c:v>-3.49999999999996</c:v>
                </c:pt>
                <c:pt idx="843">
                  <c:v>-3.49999999999996</c:v>
                </c:pt>
                <c:pt idx="844">
                  <c:v>-3.49999999999996</c:v>
                </c:pt>
                <c:pt idx="845">
                  <c:v>-3.49999999999996</c:v>
                </c:pt>
                <c:pt idx="846">
                  <c:v>-3.49999999999996</c:v>
                </c:pt>
                <c:pt idx="847">
                  <c:v>-3.49999999999996</c:v>
                </c:pt>
                <c:pt idx="848">
                  <c:v>-3.49999999999996</c:v>
                </c:pt>
                <c:pt idx="849">
                  <c:v>-3.49999999999996</c:v>
                </c:pt>
                <c:pt idx="850">
                  <c:v>-3.49999999999996</c:v>
                </c:pt>
                <c:pt idx="851">
                  <c:v>-3.49999999999996</c:v>
                </c:pt>
                <c:pt idx="852">
                  <c:v>-3.49999999999996</c:v>
                </c:pt>
                <c:pt idx="853">
                  <c:v>-3.49999999999996</c:v>
                </c:pt>
                <c:pt idx="854">
                  <c:v>-3.49999999999996</c:v>
                </c:pt>
                <c:pt idx="855">
                  <c:v>-3.49999999999996</c:v>
                </c:pt>
                <c:pt idx="856">
                  <c:v>-3.49999999999996</c:v>
                </c:pt>
                <c:pt idx="857">
                  <c:v>-3.49999999999996</c:v>
                </c:pt>
                <c:pt idx="858">
                  <c:v>-3.49999999999996</c:v>
                </c:pt>
                <c:pt idx="859">
                  <c:v>-3.49999999999996</c:v>
                </c:pt>
                <c:pt idx="860">
                  <c:v>-3.49999999999996</c:v>
                </c:pt>
                <c:pt idx="861">
                  <c:v>-3.49999999999996</c:v>
                </c:pt>
                <c:pt idx="862">
                  <c:v>-3.49999999999996</c:v>
                </c:pt>
                <c:pt idx="863">
                  <c:v>-3.49999999999996</c:v>
                </c:pt>
                <c:pt idx="864">
                  <c:v>-3.49999999999996</c:v>
                </c:pt>
                <c:pt idx="865">
                  <c:v>-3.49999999999996</c:v>
                </c:pt>
                <c:pt idx="866">
                  <c:v>-3.49999999999996</c:v>
                </c:pt>
                <c:pt idx="867">
                  <c:v>-3.49999999999996</c:v>
                </c:pt>
                <c:pt idx="868">
                  <c:v>-3.49999999999996</c:v>
                </c:pt>
                <c:pt idx="869">
                  <c:v>-3.49999999999996</c:v>
                </c:pt>
                <c:pt idx="870">
                  <c:v>-3.49999999999996</c:v>
                </c:pt>
                <c:pt idx="871">
                  <c:v>-3.49999999999996</c:v>
                </c:pt>
                <c:pt idx="872">
                  <c:v>-3.49999999999996</c:v>
                </c:pt>
                <c:pt idx="873">
                  <c:v>-3.49999999999996</c:v>
                </c:pt>
                <c:pt idx="874">
                  <c:v>-3.49999999999996</c:v>
                </c:pt>
                <c:pt idx="875">
                  <c:v>-3.49999999999996</c:v>
                </c:pt>
                <c:pt idx="876">
                  <c:v>-3.49999999999996</c:v>
                </c:pt>
                <c:pt idx="877">
                  <c:v>-3.49999999999996</c:v>
                </c:pt>
                <c:pt idx="878">
                  <c:v>-3.49999999999996</c:v>
                </c:pt>
                <c:pt idx="879">
                  <c:v>-3.49999999999996</c:v>
                </c:pt>
                <c:pt idx="880">
                  <c:v>-3.49999999999996</c:v>
                </c:pt>
                <c:pt idx="881">
                  <c:v>-3.49999999999996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7286088"/>
        <c:axId val="299168280"/>
      </c:lineChart>
      <c:catAx>
        <c:axId val="587286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168280"/>
        <c:crosses val="autoZero"/>
        <c:auto val="1"/>
        <c:lblAlgn val="ctr"/>
        <c:lblOffset val="100"/>
        <c:noMultiLvlLbl val="0"/>
      </c:catAx>
      <c:valAx>
        <c:axId val="29916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28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de599e-2f34-496a-9890-4272b3758d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'A_10_14_37_3-0.4'!$K$3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'A_10_14_37_3-0.4'!$J$4:$J$334</c:f>
              <c:numCache>
                <c:formatCode>0.00_);[Red]\(0.00\)</c:formatCode>
                <c:ptCount val="331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0.268</c:v>
                </c:pt>
                <c:pt idx="8" c:formatCode="0.00_);[Red]\(0.00\)">
                  <c:v>0.301</c:v>
                </c:pt>
                <c:pt idx="9" c:formatCode="0.00_);[Red]\(0.00\)">
                  <c:v>0.335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0.435</c:v>
                </c:pt>
                <c:pt idx="13" c:formatCode="0.00_);[Red]\(0.00\)">
                  <c:v>0.468</c:v>
                </c:pt>
                <c:pt idx="14" c:formatCode="0.00_);[Red]\(0.00\)">
                  <c:v>0.502</c:v>
                </c:pt>
                <c:pt idx="15" c:formatCode="0.00_);[Red]\(0.00\)">
                  <c:v>0.535</c:v>
                </c:pt>
                <c:pt idx="16" c:formatCode="0.00_);[Red]\(0.00\)">
                  <c:v>0.569</c:v>
                </c:pt>
                <c:pt idx="17" c:formatCode="0.00_);[Red]\(0.00\)">
                  <c:v>0.602</c:v>
                </c:pt>
                <c:pt idx="18" c:formatCode="0.00_);[Red]\(0.00\)">
                  <c:v>0.636</c:v>
                </c:pt>
                <c:pt idx="19" c:formatCode="0.00_);[Red]\(0.00\)">
                  <c:v>0.669</c:v>
                </c:pt>
                <c:pt idx="20" c:formatCode="0.00_);[Red]\(0.00\)">
                  <c:v>0.702</c:v>
                </c:pt>
                <c:pt idx="21" c:formatCode="0.00_);[Red]\(0.00\)">
                  <c:v>0.736</c:v>
                </c:pt>
                <c:pt idx="22" c:formatCode="0.00_);[Red]\(0.00\)">
                  <c:v>0.769</c:v>
                </c:pt>
                <c:pt idx="23" c:formatCode="0.00_);[Red]\(0.00\)">
                  <c:v>0.803</c:v>
                </c:pt>
                <c:pt idx="24" c:formatCode="0.00_);[Red]\(0.00\)">
                  <c:v>0.836</c:v>
                </c:pt>
                <c:pt idx="25" c:formatCode="0.00_);[Red]\(0.00\)">
                  <c:v>0.87</c:v>
                </c:pt>
                <c:pt idx="26" c:formatCode="0.00_);[Red]\(0.00\)">
                  <c:v>0.903</c:v>
                </c:pt>
                <c:pt idx="27" c:formatCode="0.00_);[Red]\(0.00\)">
                  <c:v>0.937</c:v>
                </c:pt>
                <c:pt idx="28" c:formatCode="0.00_);[Red]\(0.00\)">
                  <c:v>0.97</c:v>
                </c:pt>
                <c:pt idx="29" c:formatCode="0.00_);[Red]\(0.00\)">
                  <c:v>1.004</c:v>
                </c:pt>
                <c:pt idx="30" c:formatCode="0.00_);[Red]\(0.00\)">
                  <c:v>1.037</c:v>
                </c:pt>
                <c:pt idx="31" c:formatCode="0.00_);[Red]\(0.00\)">
                  <c:v>1.07</c:v>
                </c:pt>
                <c:pt idx="32" c:formatCode="0.00_);[Red]\(0.00\)">
                  <c:v>1.104</c:v>
                </c:pt>
                <c:pt idx="33" c:formatCode="0.00_);[Red]\(0.00\)">
                  <c:v>1.137</c:v>
                </c:pt>
                <c:pt idx="34" c:formatCode="0.00_);[Red]\(0.00\)">
                  <c:v>1.171</c:v>
                </c:pt>
                <c:pt idx="35" c:formatCode="0.00_);[Red]\(0.00\)">
                  <c:v>1.204</c:v>
                </c:pt>
                <c:pt idx="36" c:formatCode="0.00_);[Red]\(0.00\)">
                  <c:v>1.238</c:v>
                </c:pt>
                <c:pt idx="37" c:formatCode="0.00_);[Red]\(0.00\)">
                  <c:v>1.271</c:v>
                </c:pt>
                <c:pt idx="38" c:formatCode="0.00_);[Red]\(0.00\)">
                  <c:v>1.305</c:v>
                </c:pt>
                <c:pt idx="39" c:formatCode="0.00_);[Red]\(0.00\)">
                  <c:v>1.338</c:v>
                </c:pt>
                <c:pt idx="40" c:formatCode="0.00_);[Red]\(0.00\)">
                  <c:v>1.371</c:v>
                </c:pt>
                <c:pt idx="41" c:formatCode="0.00_);[Red]\(0.00\)">
                  <c:v>1.405</c:v>
                </c:pt>
                <c:pt idx="42" c:formatCode="0.00_);[Red]\(0.00\)">
                  <c:v>1.438</c:v>
                </c:pt>
                <c:pt idx="43" c:formatCode="0.00_);[Red]\(0.00\)">
                  <c:v>1.472</c:v>
                </c:pt>
                <c:pt idx="44" c:formatCode="0.00_);[Red]\(0.00\)">
                  <c:v>1.505</c:v>
                </c:pt>
                <c:pt idx="45" c:formatCode="0.00_);[Red]\(0.00\)">
                  <c:v>1.539</c:v>
                </c:pt>
                <c:pt idx="46" c:formatCode="0.00_);[Red]\(0.00\)">
                  <c:v>1.572</c:v>
                </c:pt>
                <c:pt idx="47" c:formatCode="0.00_);[Red]\(0.00\)">
                  <c:v>1.606</c:v>
                </c:pt>
                <c:pt idx="48" c:formatCode="0.00_);[Red]\(0.00\)">
                  <c:v>1.639</c:v>
                </c:pt>
                <c:pt idx="49" c:formatCode="0.00_);[Red]\(0.00\)">
                  <c:v>1.673</c:v>
                </c:pt>
                <c:pt idx="50" c:formatCode="0.00_);[Red]\(0.00\)">
                  <c:v>1.706</c:v>
                </c:pt>
                <c:pt idx="51" c:formatCode="0.00_);[Red]\(0.00\)">
                  <c:v>1.739</c:v>
                </c:pt>
                <c:pt idx="52" c:formatCode="0.00_);[Red]\(0.00\)">
                  <c:v>1.773</c:v>
                </c:pt>
                <c:pt idx="53" c:formatCode="0.00_);[Red]\(0.00\)">
                  <c:v>1.806</c:v>
                </c:pt>
                <c:pt idx="54" c:formatCode="0.00_);[Red]\(0.00\)">
                  <c:v>1.84</c:v>
                </c:pt>
                <c:pt idx="55" c:formatCode="0.00_);[Red]\(0.00\)">
                  <c:v>1.873</c:v>
                </c:pt>
                <c:pt idx="56" c:formatCode="0.00_);[Red]\(0.00\)">
                  <c:v>1.907</c:v>
                </c:pt>
                <c:pt idx="57" c:formatCode="0.00_);[Red]\(0.00\)">
                  <c:v>1.94</c:v>
                </c:pt>
                <c:pt idx="58" c:formatCode="0.00_);[Red]\(0.00\)">
                  <c:v>1.974</c:v>
                </c:pt>
                <c:pt idx="59" c:formatCode="0.00_);[Red]\(0.00\)">
                  <c:v>2.007</c:v>
                </c:pt>
                <c:pt idx="60" c:formatCode="0.00_);[Red]\(0.00\)">
                  <c:v>2.04</c:v>
                </c:pt>
                <c:pt idx="61" c:formatCode="0.00_);[Red]\(0.00\)">
                  <c:v>2.074</c:v>
                </c:pt>
                <c:pt idx="62" c:formatCode="0.00_);[Red]\(0.00\)">
                  <c:v>2.107</c:v>
                </c:pt>
                <c:pt idx="63" c:formatCode="0.00_);[Red]\(0.00\)">
                  <c:v>2.141</c:v>
                </c:pt>
                <c:pt idx="64" c:formatCode="0.00_);[Red]\(0.00\)">
                  <c:v>2.174</c:v>
                </c:pt>
                <c:pt idx="65" c:formatCode="0.00_);[Red]\(0.00\)">
                  <c:v>2.208</c:v>
                </c:pt>
                <c:pt idx="66" c:formatCode="0.00_);[Red]\(0.00\)">
                  <c:v>2.241</c:v>
                </c:pt>
                <c:pt idx="67" c:formatCode="0.00_);[Red]\(0.00\)">
                  <c:v>2.275</c:v>
                </c:pt>
                <c:pt idx="68" c:formatCode="0.00_);[Red]\(0.00\)">
                  <c:v>2.308</c:v>
                </c:pt>
                <c:pt idx="69" c:formatCode="0.00_);[Red]\(0.00\)">
                  <c:v>2.342</c:v>
                </c:pt>
                <c:pt idx="70" c:formatCode="0.00_);[Red]\(0.00\)">
                  <c:v>2.375</c:v>
                </c:pt>
                <c:pt idx="71" c:formatCode="0.00_);[Red]\(0.00\)">
                  <c:v>2.408</c:v>
                </c:pt>
                <c:pt idx="72" c:formatCode="0.00_);[Red]\(0.00\)">
                  <c:v>2.442</c:v>
                </c:pt>
                <c:pt idx="73" c:formatCode="0.00_);[Red]\(0.00\)">
                  <c:v>2.475</c:v>
                </c:pt>
                <c:pt idx="74" c:formatCode="0.00_);[Red]\(0.00\)">
                  <c:v>2.509</c:v>
                </c:pt>
                <c:pt idx="75" c:formatCode="0.00_);[Red]\(0.00\)">
                  <c:v>2.542</c:v>
                </c:pt>
                <c:pt idx="76" c:formatCode="0.00_);[Red]\(0.00\)">
                  <c:v>2.576</c:v>
                </c:pt>
                <c:pt idx="77" c:formatCode="0.00_);[Red]\(0.00\)">
                  <c:v>2.609</c:v>
                </c:pt>
                <c:pt idx="78" c:formatCode="0.00_);[Red]\(0.00\)">
                  <c:v>2.643</c:v>
                </c:pt>
                <c:pt idx="79" c:formatCode="0.00_);[Red]\(0.00\)">
                  <c:v>2.676</c:v>
                </c:pt>
                <c:pt idx="80" c:formatCode="0.00_);[Red]\(0.00\)">
                  <c:v>2.709</c:v>
                </c:pt>
                <c:pt idx="81" c:formatCode="0.00_);[Red]\(0.00\)">
                  <c:v>2.743</c:v>
                </c:pt>
                <c:pt idx="82" c:formatCode="0.00_);[Red]\(0.00\)">
                  <c:v>2.776</c:v>
                </c:pt>
                <c:pt idx="83" c:formatCode="0.00_);[Red]\(0.00\)">
                  <c:v>2.81</c:v>
                </c:pt>
                <c:pt idx="84" c:formatCode="0.00_);[Red]\(0.00\)">
                  <c:v>2.843</c:v>
                </c:pt>
                <c:pt idx="85" c:formatCode="0.00_);[Red]\(0.00\)">
                  <c:v>2.877</c:v>
                </c:pt>
                <c:pt idx="86" c:formatCode="0.00_);[Red]\(0.00\)">
                  <c:v>2.91</c:v>
                </c:pt>
                <c:pt idx="87" c:formatCode="0.00_);[Red]\(0.00\)">
                  <c:v>2.944</c:v>
                </c:pt>
                <c:pt idx="88" c:formatCode="0.00_);[Red]\(0.00\)">
                  <c:v>2.977</c:v>
                </c:pt>
                <c:pt idx="89" c:formatCode="0.00_);[Red]\(0.00\)">
                  <c:v>3.011</c:v>
                </c:pt>
                <c:pt idx="90" c:formatCode="0.00_);[Red]\(0.00\)">
                  <c:v>3.044</c:v>
                </c:pt>
                <c:pt idx="91" c:formatCode="0.00_);[Red]\(0.00\)">
                  <c:v>3.077</c:v>
                </c:pt>
                <c:pt idx="92" c:formatCode="0.00_);[Red]\(0.00\)">
                  <c:v>3.111</c:v>
                </c:pt>
                <c:pt idx="93" c:formatCode="0.00_);[Red]\(0.00\)">
                  <c:v>3.144</c:v>
                </c:pt>
                <c:pt idx="94" c:formatCode="0.00_);[Red]\(0.00\)">
                  <c:v>3.178</c:v>
                </c:pt>
                <c:pt idx="95" c:formatCode="0.00_);[Red]\(0.00\)">
                  <c:v>3.211</c:v>
                </c:pt>
                <c:pt idx="96" c:formatCode="0.00_);[Red]\(0.00\)">
                  <c:v>3.245</c:v>
                </c:pt>
                <c:pt idx="97" c:formatCode="0.00_);[Red]\(0.00\)">
                  <c:v>3.278</c:v>
                </c:pt>
                <c:pt idx="98" c:formatCode="0.00_);[Red]\(0.00\)">
                  <c:v>3.312</c:v>
                </c:pt>
                <c:pt idx="99" c:formatCode="0.00_);[Red]\(0.00\)">
                  <c:v>3.345</c:v>
                </c:pt>
                <c:pt idx="100" c:formatCode="0.00_);[Red]\(0.00\)">
                  <c:v>3.378</c:v>
                </c:pt>
                <c:pt idx="101" c:formatCode="0.00_);[Red]\(0.00\)">
                  <c:v>3.412</c:v>
                </c:pt>
                <c:pt idx="102" c:formatCode="0.00_);[Red]\(0.00\)">
                  <c:v>3.445</c:v>
                </c:pt>
                <c:pt idx="103" c:formatCode="0.00_);[Red]\(0.00\)">
                  <c:v>3.479</c:v>
                </c:pt>
                <c:pt idx="104" c:formatCode="0.00_);[Red]\(0.00\)">
                  <c:v>3.512</c:v>
                </c:pt>
                <c:pt idx="105" c:formatCode="0.00_);[Red]\(0.00\)">
                  <c:v>3.546</c:v>
                </c:pt>
                <c:pt idx="106" c:formatCode="0.00_);[Red]\(0.00\)">
                  <c:v>3.579</c:v>
                </c:pt>
                <c:pt idx="107" c:formatCode="0.00_);[Red]\(0.00\)">
                  <c:v>3.613</c:v>
                </c:pt>
                <c:pt idx="108" c:formatCode="0.00_);[Red]\(0.00\)">
                  <c:v>3.646</c:v>
                </c:pt>
                <c:pt idx="109" c:formatCode="0.00_);[Red]\(0.00\)">
                  <c:v>3.68</c:v>
                </c:pt>
                <c:pt idx="110" c:formatCode="0.00_);[Red]\(0.00\)">
                  <c:v>3.713</c:v>
                </c:pt>
                <c:pt idx="111" c:formatCode="0.00_);[Red]\(0.00\)">
                  <c:v>3.746</c:v>
                </c:pt>
                <c:pt idx="112" c:formatCode="0.00_);[Red]\(0.00\)">
                  <c:v>3.78</c:v>
                </c:pt>
                <c:pt idx="113" c:formatCode="0.00_);[Red]\(0.00\)">
                  <c:v>3.813</c:v>
                </c:pt>
                <c:pt idx="114" c:formatCode="0.00_);[Red]\(0.00\)">
                  <c:v>3.847</c:v>
                </c:pt>
                <c:pt idx="115" c:formatCode="0.00_);[Red]\(0.00\)">
                  <c:v>3.88</c:v>
                </c:pt>
                <c:pt idx="116" c:formatCode="0.00_);[Red]\(0.00\)">
                  <c:v>3.914</c:v>
                </c:pt>
                <c:pt idx="117" c:formatCode="0.00_);[Red]\(0.00\)">
                  <c:v>3.947</c:v>
                </c:pt>
                <c:pt idx="118" c:formatCode="0.00_);[Red]\(0.00\)">
                  <c:v>3.981</c:v>
                </c:pt>
                <c:pt idx="119" c:formatCode="0.00_);[Red]\(0.00\)">
                  <c:v>4.014</c:v>
                </c:pt>
                <c:pt idx="120" c:formatCode="0.00_);[Red]\(0.00\)">
                  <c:v>4.047</c:v>
                </c:pt>
                <c:pt idx="121" c:formatCode="0.00_);[Red]\(0.00\)">
                  <c:v>4.081</c:v>
                </c:pt>
                <c:pt idx="122" c:formatCode="0.00_);[Red]\(0.00\)">
                  <c:v>4.114</c:v>
                </c:pt>
                <c:pt idx="123" c:formatCode="0.00_);[Red]\(0.00\)">
                  <c:v>4.148</c:v>
                </c:pt>
                <c:pt idx="124" c:formatCode="0.00_);[Red]\(0.00\)">
                  <c:v>4.181</c:v>
                </c:pt>
                <c:pt idx="125" c:formatCode="0.00_);[Red]\(0.00\)">
                  <c:v>4.215</c:v>
                </c:pt>
                <c:pt idx="126" c:formatCode="0.00_);[Red]\(0.00\)">
                  <c:v>4.248</c:v>
                </c:pt>
                <c:pt idx="127" c:formatCode="0.00_);[Red]\(0.00\)">
                  <c:v>4.282</c:v>
                </c:pt>
                <c:pt idx="128" c:formatCode="0.00_);[Red]\(0.00\)">
                  <c:v>4.315</c:v>
                </c:pt>
                <c:pt idx="129" c:formatCode="0.00_);[Red]\(0.00\)">
                  <c:v>4.349</c:v>
                </c:pt>
                <c:pt idx="130" c:formatCode="0.00_);[Red]\(0.00\)">
                  <c:v>4.382</c:v>
                </c:pt>
                <c:pt idx="131" c:formatCode="0.00_);[Red]\(0.00\)">
                  <c:v>4.415</c:v>
                </c:pt>
                <c:pt idx="132" c:formatCode="0.00_);[Red]\(0.00\)">
                  <c:v>4.449</c:v>
                </c:pt>
                <c:pt idx="133" c:formatCode="0.00_);[Red]\(0.00\)">
                  <c:v>4.482</c:v>
                </c:pt>
                <c:pt idx="134" c:formatCode="0.00_);[Red]\(0.00\)">
                  <c:v>4.516</c:v>
                </c:pt>
                <c:pt idx="135" c:formatCode="0.00_);[Red]\(0.00\)">
                  <c:v>4.549</c:v>
                </c:pt>
                <c:pt idx="136" c:formatCode="0.00_);[Red]\(0.00\)">
                  <c:v>4.583</c:v>
                </c:pt>
                <c:pt idx="137" c:formatCode="0.00_);[Red]\(0.00\)">
                  <c:v>4.616</c:v>
                </c:pt>
                <c:pt idx="138" c:formatCode="0.00_);[Red]\(0.00\)">
                  <c:v>4.65</c:v>
                </c:pt>
                <c:pt idx="139" c:formatCode="0.00_);[Red]\(0.00\)">
                  <c:v>4.683</c:v>
                </c:pt>
                <c:pt idx="140" c:formatCode="0.00_);[Red]\(0.00\)">
                  <c:v>4.716</c:v>
                </c:pt>
                <c:pt idx="141" c:formatCode="0.00_);[Red]\(0.00\)">
                  <c:v>4.75</c:v>
                </c:pt>
                <c:pt idx="142" c:formatCode="0.00_);[Red]\(0.00\)">
                  <c:v>4.783</c:v>
                </c:pt>
                <c:pt idx="143" c:formatCode="0.00_);[Red]\(0.00\)">
                  <c:v>4.817</c:v>
                </c:pt>
                <c:pt idx="144" c:formatCode="0.00_);[Red]\(0.00\)">
                  <c:v>4.85</c:v>
                </c:pt>
                <c:pt idx="145" c:formatCode="0.00_);[Red]\(0.00\)">
                  <c:v>4.884</c:v>
                </c:pt>
                <c:pt idx="146" c:formatCode="0.00_);[Red]\(0.00\)">
                  <c:v>4.917</c:v>
                </c:pt>
                <c:pt idx="147" c:formatCode="0.00_);[Red]\(0.00\)">
                  <c:v>4.951</c:v>
                </c:pt>
                <c:pt idx="148" c:formatCode="0.00_);[Red]\(0.00\)">
                  <c:v>4.984</c:v>
                </c:pt>
                <c:pt idx="149" c:formatCode="0.00_);[Red]\(0.00\)">
                  <c:v>5.018</c:v>
                </c:pt>
                <c:pt idx="150" c:formatCode="0.00_);[Red]\(0.00\)">
                  <c:v>5.051</c:v>
                </c:pt>
                <c:pt idx="151" c:formatCode="0.00_);[Red]\(0.00\)">
                  <c:v>5.084</c:v>
                </c:pt>
                <c:pt idx="152" c:formatCode="0.00_);[Red]\(0.00\)">
                  <c:v>5.118</c:v>
                </c:pt>
                <c:pt idx="153" c:formatCode="0.00_);[Red]\(0.00\)">
                  <c:v>5.151</c:v>
                </c:pt>
                <c:pt idx="154" c:formatCode="0.00_);[Red]\(0.00\)">
                  <c:v>5.185</c:v>
                </c:pt>
                <c:pt idx="155" c:formatCode="0.00_);[Red]\(0.00\)">
                  <c:v>5.218</c:v>
                </c:pt>
                <c:pt idx="156" c:formatCode="0.00_);[Red]\(0.00\)">
                  <c:v>5.252</c:v>
                </c:pt>
                <c:pt idx="157" c:formatCode="0.00_);[Red]\(0.00\)">
                  <c:v>5.285</c:v>
                </c:pt>
                <c:pt idx="158" c:formatCode="0.00_);[Red]\(0.00\)">
                  <c:v>5.319</c:v>
                </c:pt>
                <c:pt idx="159" c:formatCode="0.00_);[Red]\(0.00\)">
                  <c:v>5.352</c:v>
                </c:pt>
                <c:pt idx="160" c:formatCode="0.00_);[Red]\(0.00\)">
                  <c:v>5.385</c:v>
                </c:pt>
                <c:pt idx="161" c:formatCode="0.00_);[Red]\(0.00\)">
                  <c:v>5.419</c:v>
                </c:pt>
                <c:pt idx="162" c:formatCode="0.00_);[Red]\(0.00\)">
                  <c:v>5.452</c:v>
                </c:pt>
                <c:pt idx="163" c:formatCode="0.00_);[Red]\(0.00\)">
                  <c:v>5.486</c:v>
                </c:pt>
                <c:pt idx="164" c:formatCode="0.00_);[Red]\(0.00\)">
                  <c:v>5.519</c:v>
                </c:pt>
                <c:pt idx="165" c:formatCode="0.00_);[Red]\(0.00\)">
                  <c:v>5.553</c:v>
                </c:pt>
                <c:pt idx="166" c:formatCode="0.00_);[Red]\(0.00\)">
                  <c:v>5.586</c:v>
                </c:pt>
                <c:pt idx="167" c:formatCode="0.00_);[Red]\(0.00\)">
                  <c:v>5.62</c:v>
                </c:pt>
                <c:pt idx="168" c:formatCode="0.00_);[Red]\(0.00\)">
                  <c:v>5.653</c:v>
                </c:pt>
                <c:pt idx="169" c:formatCode="0.00_);[Red]\(0.00\)">
                  <c:v>5.687</c:v>
                </c:pt>
                <c:pt idx="170" c:formatCode="0.00_);[Red]\(0.00\)">
                  <c:v>5.72</c:v>
                </c:pt>
                <c:pt idx="171" c:formatCode="0.00_);[Red]\(0.00\)">
                  <c:v>5.753</c:v>
                </c:pt>
                <c:pt idx="172" c:formatCode="0.00_);[Red]\(0.00\)">
                  <c:v>5.787</c:v>
                </c:pt>
                <c:pt idx="173" c:formatCode="0.00_);[Red]\(0.00\)">
                  <c:v>5.82</c:v>
                </c:pt>
                <c:pt idx="174" c:formatCode="0.00_);[Red]\(0.00\)">
                  <c:v>5.854</c:v>
                </c:pt>
                <c:pt idx="175" c:formatCode="0.00_);[Red]\(0.00\)">
                  <c:v>5.887</c:v>
                </c:pt>
                <c:pt idx="176" c:formatCode="0.00_);[Red]\(0.00\)">
                  <c:v>5.921</c:v>
                </c:pt>
                <c:pt idx="177" c:formatCode="0.00_);[Red]\(0.00\)">
                  <c:v>5.954</c:v>
                </c:pt>
                <c:pt idx="178" c:formatCode="0.00_);[Red]\(0.00\)">
                  <c:v>5.988</c:v>
                </c:pt>
                <c:pt idx="179" c:formatCode="0.00_);[Red]\(0.00\)">
                  <c:v>6.021</c:v>
                </c:pt>
                <c:pt idx="180" c:formatCode="0.00_);[Red]\(0.00\)">
                  <c:v>6.054</c:v>
                </c:pt>
                <c:pt idx="181" c:formatCode="0.00_);[Red]\(0.00\)">
                  <c:v>6.088</c:v>
                </c:pt>
                <c:pt idx="182" c:formatCode="0.00_);[Red]\(0.00\)">
                  <c:v>6.121</c:v>
                </c:pt>
                <c:pt idx="183" c:formatCode="0.00_);[Red]\(0.00\)">
                  <c:v>6.155</c:v>
                </c:pt>
                <c:pt idx="184" c:formatCode="0.00_);[Red]\(0.00\)">
                  <c:v>6.188</c:v>
                </c:pt>
                <c:pt idx="185" c:formatCode="0.00_);[Red]\(0.00\)">
                  <c:v>6.222</c:v>
                </c:pt>
                <c:pt idx="186" c:formatCode="0.00_);[Red]\(0.00\)">
                  <c:v>6.255</c:v>
                </c:pt>
                <c:pt idx="187" c:formatCode="0.00_);[Red]\(0.00\)">
                  <c:v>6.289</c:v>
                </c:pt>
                <c:pt idx="188" c:formatCode="0.00_);[Red]\(0.00\)">
                  <c:v>6.322</c:v>
                </c:pt>
                <c:pt idx="189" c:formatCode="0.00_);[Red]\(0.00\)">
                  <c:v>6.356</c:v>
                </c:pt>
                <c:pt idx="190" c:formatCode="0.00_);[Red]\(0.00\)">
                  <c:v>6.389</c:v>
                </c:pt>
                <c:pt idx="191" c:formatCode="0.00_);[Red]\(0.00\)">
                  <c:v>6.422</c:v>
                </c:pt>
                <c:pt idx="192" c:formatCode="0.00_);[Red]\(0.00\)">
                  <c:v>6.456</c:v>
                </c:pt>
                <c:pt idx="193" c:formatCode="0.00_);[Red]\(0.00\)">
                  <c:v>6.489</c:v>
                </c:pt>
                <c:pt idx="194" c:formatCode="0.00_);[Red]\(0.00\)">
                  <c:v>6.523</c:v>
                </c:pt>
                <c:pt idx="195" c:formatCode="0.00_);[Red]\(0.00\)">
                  <c:v>6.556</c:v>
                </c:pt>
                <c:pt idx="196" c:formatCode="0.00_);[Red]\(0.00\)">
                  <c:v>6.59</c:v>
                </c:pt>
                <c:pt idx="197" c:formatCode="0.00_);[Red]\(0.00\)">
                  <c:v>6.623</c:v>
                </c:pt>
                <c:pt idx="198" c:formatCode="0.00_);[Red]\(0.00\)">
                  <c:v>6.657</c:v>
                </c:pt>
                <c:pt idx="199" c:formatCode="0.00_);[Red]\(0.00\)">
                  <c:v>6.69</c:v>
                </c:pt>
                <c:pt idx="200" c:formatCode="0.00_);[Red]\(0.00\)">
                  <c:v>6.724</c:v>
                </c:pt>
                <c:pt idx="201" c:formatCode="0.00_);[Red]\(0.00\)">
                  <c:v>6.757</c:v>
                </c:pt>
                <c:pt idx="202" c:formatCode="0.00_);[Red]\(0.00\)">
                  <c:v>6.79</c:v>
                </c:pt>
                <c:pt idx="203" c:formatCode="0.00_);[Red]\(0.00\)">
                  <c:v>6.824</c:v>
                </c:pt>
                <c:pt idx="204" c:formatCode="0.00_);[Red]\(0.00\)">
                  <c:v>6.857</c:v>
                </c:pt>
                <c:pt idx="205" c:formatCode="0.00_);[Red]\(0.00\)">
                  <c:v>6.891</c:v>
                </c:pt>
                <c:pt idx="206" c:formatCode="0.00_);[Red]\(0.00\)">
                  <c:v>6.924</c:v>
                </c:pt>
                <c:pt idx="207" c:formatCode="0.00_);[Red]\(0.00\)">
                  <c:v>6.958</c:v>
                </c:pt>
                <c:pt idx="208" c:formatCode="0.00_);[Red]\(0.00\)">
                  <c:v>6.991</c:v>
                </c:pt>
                <c:pt idx="209" c:formatCode="0.00_);[Red]\(0.00\)">
                  <c:v>7.025</c:v>
                </c:pt>
                <c:pt idx="210" c:formatCode="0.00_);[Red]\(0.00\)">
                  <c:v>7.058</c:v>
                </c:pt>
                <c:pt idx="211" c:formatCode="0.00_);[Red]\(0.00\)">
                  <c:v>7.091</c:v>
                </c:pt>
                <c:pt idx="212" c:formatCode="0.00_);[Red]\(0.00\)">
                  <c:v>7.125</c:v>
                </c:pt>
                <c:pt idx="213" c:formatCode="0.00_);[Red]\(0.00\)">
                  <c:v>7.158</c:v>
                </c:pt>
                <c:pt idx="214" c:formatCode="0.00_);[Red]\(0.00\)">
                  <c:v>7.192</c:v>
                </c:pt>
                <c:pt idx="215" c:formatCode="0.00_);[Red]\(0.00\)">
                  <c:v>7.225</c:v>
                </c:pt>
                <c:pt idx="216" c:formatCode="0.00_);[Red]\(0.00\)">
                  <c:v>7.259</c:v>
                </c:pt>
                <c:pt idx="217" c:formatCode="0.00_);[Red]\(0.00\)">
                  <c:v>7.292</c:v>
                </c:pt>
                <c:pt idx="218" c:formatCode="0.00_);[Red]\(0.00\)">
                  <c:v>7.326</c:v>
                </c:pt>
                <c:pt idx="219" c:formatCode="0.00_);[Red]\(0.00\)">
                  <c:v>7.359</c:v>
                </c:pt>
                <c:pt idx="220" c:formatCode="0.00_);[Red]\(0.00\)">
                  <c:v>7.393</c:v>
                </c:pt>
                <c:pt idx="221" c:formatCode="0.00_);[Red]\(0.00\)">
                  <c:v>7.426</c:v>
                </c:pt>
                <c:pt idx="222" c:formatCode="0.00_);[Red]\(0.00\)">
                  <c:v>7.459</c:v>
                </c:pt>
                <c:pt idx="223" c:formatCode="0.00_);[Red]\(0.00\)">
                  <c:v>7.493</c:v>
                </c:pt>
                <c:pt idx="224" c:formatCode="0.00_);[Red]\(0.00\)">
                  <c:v>7.526</c:v>
                </c:pt>
                <c:pt idx="225" c:formatCode="0.00_);[Red]\(0.00\)">
                  <c:v>7.56</c:v>
                </c:pt>
                <c:pt idx="226" c:formatCode="0.00_);[Red]\(0.00\)">
                  <c:v>7.593</c:v>
                </c:pt>
                <c:pt idx="227" c:formatCode="0.00_);[Red]\(0.00\)">
                  <c:v>7.627</c:v>
                </c:pt>
                <c:pt idx="228" c:formatCode="0.00_);[Red]\(0.00\)">
                  <c:v>7.66</c:v>
                </c:pt>
                <c:pt idx="229" c:formatCode="0.00_);[Red]\(0.00\)">
                  <c:v>7.694</c:v>
                </c:pt>
                <c:pt idx="230" c:formatCode="0.00_);[Red]\(0.00\)">
                  <c:v>7.727</c:v>
                </c:pt>
                <c:pt idx="231" c:formatCode="0.00_);[Red]\(0.00\)">
                  <c:v>7.76</c:v>
                </c:pt>
                <c:pt idx="232" c:formatCode="0.00_);[Red]\(0.00\)">
                  <c:v>7.794</c:v>
                </c:pt>
                <c:pt idx="233" c:formatCode="0.00_);[Red]\(0.00\)">
                  <c:v>7.827</c:v>
                </c:pt>
                <c:pt idx="234" c:formatCode="0.00_);[Red]\(0.00\)">
                  <c:v>7.861</c:v>
                </c:pt>
                <c:pt idx="235" c:formatCode="0.00_);[Red]\(0.00\)">
                  <c:v>7.894</c:v>
                </c:pt>
                <c:pt idx="236" c:formatCode="0.00_);[Red]\(0.00\)">
                  <c:v>7.928</c:v>
                </c:pt>
                <c:pt idx="237" c:formatCode="0.00_);[Red]\(0.00\)">
                  <c:v>7.961</c:v>
                </c:pt>
                <c:pt idx="238" c:formatCode="0.00_);[Red]\(0.00\)">
                  <c:v>7.995</c:v>
                </c:pt>
                <c:pt idx="239" c:formatCode="0.00_);[Red]\(0.00\)">
                  <c:v>8.028</c:v>
                </c:pt>
                <c:pt idx="240" c:formatCode="0.00_);[Red]\(0.00\)">
                  <c:v>8.062</c:v>
                </c:pt>
                <c:pt idx="241" c:formatCode="0.00_);[Red]\(0.00\)">
                  <c:v>8.095</c:v>
                </c:pt>
                <c:pt idx="242" c:formatCode="0.00_);[Red]\(0.00\)">
                  <c:v>8.128</c:v>
                </c:pt>
                <c:pt idx="243" c:formatCode="0.00_);[Red]\(0.00\)">
                  <c:v>8.162</c:v>
                </c:pt>
                <c:pt idx="244" c:formatCode="0.00_);[Red]\(0.00\)">
                  <c:v>8.195</c:v>
                </c:pt>
                <c:pt idx="245" c:formatCode="0.00_);[Red]\(0.00\)">
                  <c:v>8.229</c:v>
                </c:pt>
                <c:pt idx="246" c:formatCode="0.00_);[Red]\(0.00\)">
                  <c:v>8.262</c:v>
                </c:pt>
                <c:pt idx="247" c:formatCode="0.00_);[Red]\(0.00\)">
                  <c:v>8.296</c:v>
                </c:pt>
                <c:pt idx="248" c:formatCode="0.00_);[Red]\(0.00\)">
                  <c:v>8.329</c:v>
                </c:pt>
                <c:pt idx="249" c:formatCode="0.00_);[Red]\(0.00\)">
                  <c:v>8.363</c:v>
                </c:pt>
                <c:pt idx="250" c:formatCode="0.00_);[Red]\(0.00\)">
                  <c:v>8.396</c:v>
                </c:pt>
                <c:pt idx="251" c:formatCode="0.00_);[Red]\(0.00\)">
                  <c:v>8.429</c:v>
                </c:pt>
                <c:pt idx="252" c:formatCode="0.00_);[Red]\(0.00\)">
                  <c:v>8.463</c:v>
                </c:pt>
                <c:pt idx="253" c:formatCode="0.00_);[Red]\(0.00\)">
                  <c:v>8.496</c:v>
                </c:pt>
                <c:pt idx="254" c:formatCode="0.00_);[Red]\(0.00\)">
                  <c:v>8.53</c:v>
                </c:pt>
                <c:pt idx="255" c:formatCode="0.00_);[Red]\(0.00\)">
                  <c:v>8.563</c:v>
                </c:pt>
                <c:pt idx="256" c:formatCode="0.00_);[Red]\(0.00\)">
                  <c:v>8.597</c:v>
                </c:pt>
                <c:pt idx="257" c:formatCode="0.00_);[Red]\(0.00\)">
                  <c:v>8.63</c:v>
                </c:pt>
                <c:pt idx="258" c:formatCode="0.00_);[Red]\(0.00\)">
                  <c:v>8.664</c:v>
                </c:pt>
                <c:pt idx="259" c:formatCode="0.00_);[Red]\(0.00\)">
                  <c:v>8.697</c:v>
                </c:pt>
                <c:pt idx="260" c:formatCode="0.00_);[Red]\(0.00\)">
                  <c:v>8.731</c:v>
                </c:pt>
                <c:pt idx="261" c:formatCode="0.00_);[Red]\(0.00\)">
                  <c:v>8.764</c:v>
                </c:pt>
                <c:pt idx="262" c:formatCode="0.00_);[Red]\(0.00\)">
                  <c:v>8.797</c:v>
                </c:pt>
                <c:pt idx="263" c:formatCode="0.00_);[Red]\(0.00\)">
                  <c:v>8.831</c:v>
                </c:pt>
                <c:pt idx="264" c:formatCode="0.00_);[Red]\(0.00\)">
                  <c:v>8.864</c:v>
                </c:pt>
                <c:pt idx="265" c:formatCode="0.00_);[Red]\(0.00\)">
                  <c:v>8.898</c:v>
                </c:pt>
                <c:pt idx="266" c:formatCode="0.00_);[Red]\(0.00\)">
                  <c:v>8.931</c:v>
                </c:pt>
                <c:pt idx="267" c:formatCode="0.00_);[Red]\(0.00\)">
                  <c:v>8.965</c:v>
                </c:pt>
                <c:pt idx="268" c:formatCode="0.00_);[Red]\(0.00\)">
                  <c:v>8.998</c:v>
                </c:pt>
                <c:pt idx="269" c:formatCode="0.00_);[Red]\(0.00\)">
                  <c:v>9.032</c:v>
                </c:pt>
                <c:pt idx="270" c:formatCode="0.00_);[Red]\(0.00\)">
                  <c:v>9.065</c:v>
                </c:pt>
                <c:pt idx="271" c:formatCode="0.00_);[Red]\(0.00\)">
                  <c:v>9.098</c:v>
                </c:pt>
                <c:pt idx="272" c:formatCode="0.00_);[Red]\(0.00\)">
                  <c:v>9.132</c:v>
                </c:pt>
                <c:pt idx="273" c:formatCode="0.00_);[Red]\(0.00\)">
                  <c:v>9.165</c:v>
                </c:pt>
                <c:pt idx="274" c:formatCode="0.00_);[Red]\(0.00\)">
                  <c:v>9.199</c:v>
                </c:pt>
                <c:pt idx="275" c:formatCode="0.00_);[Red]\(0.00\)">
                  <c:v>9.232</c:v>
                </c:pt>
                <c:pt idx="276" c:formatCode="0.00_);[Red]\(0.00\)">
                  <c:v>9.266</c:v>
                </c:pt>
                <c:pt idx="277" c:formatCode="0.00_);[Red]\(0.00\)">
                  <c:v>9.299</c:v>
                </c:pt>
                <c:pt idx="278" c:formatCode="0.00_);[Red]\(0.00\)">
                  <c:v>9.333</c:v>
                </c:pt>
                <c:pt idx="279" c:formatCode="0.00_);[Red]\(0.00\)">
                  <c:v>9.366</c:v>
                </c:pt>
                <c:pt idx="280" c:formatCode="0.00_);[Red]\(0.00\)">
                  <c:v>9.4</c:v>
                </c:pt>
                <c:pt idx="281" c:formatCode="0.00_);[Red]\(0.00\)">
                  <c:v>9.433</c:v>
                </c:pt>
                <c:pt idx="282" c:formatCode="0.00_);[Red]\(0.00\)">
                  <c:v>9.466</c:v>
                </c:pt>
                <c:pt idx="283" c:formatCode="0.00_);[Red]\(0.00\)">
                  <c:v>9.5</c:v>
                </c:pt>
                <c:pt idx="284" c:formatCode="0.00_);[Red]\(0.00\)">
                  <c:v>9.533</c:v>
                </c:pt>
                <c:pt idx="285" c:formatCode="0.00_);[Red]\(0.00\)">
                  <c:v>9.567</c:v>
                </c:pt>
                <c:pt idx="286" c:formatCode="0.00_);[Red]\(0.00\)">
                  <c:v>9.6</c:v>
                </c:pt>
                <c:pt idx="287" c:formatCode="0.00_);[Red]\(0.00\)">
                  <c:v>9.634</c:v>
                </c:pt>
                <c:pt idx="288" c:formatCode="0.00_);[Red]\(0.00\)">
                  <c:v>9.667</c:v>
                </c:pt>
                <c:pt idx="289" c:formatCode="0.00_);[Red]\(0.00\)">
                  <c:v>9.701</c:v>
                </c:pt>
                <c:pt idx="290" c:formatCode="0.00_);[Red]\(0.00\)">
                  <c:v>9.734</c:v>
                </c:pt>
                <c:pt idx="291" c:formatCode="0.00_);[Red]\(0.00\)">
                  <c:v>9.767</c:v>
                </c:pt>
                <c:pt idx="292" c:formatCode="0.00_);[Red]\(0.00\)">
                  <c:v>9.801</c:v>
                </c:pt>
                <c:pt idx="293" c:formatCode="0.00_);[Red]\(0.00\)">
                  <c:v>9.834</c:v>
                </c:pt>
                <c:pt idx="294" c:formatCode="0.00_);[Red]\(0.00\)">
                  <c:v>9.868</c:v>
                </c:pt>
                <c:pt idx="295" c:formatCode="0.00_);[Red]\(0.00\)">
                  <c:v>9.901</c:v>
                </c:pt>
                <c:pt idx="296" c:formatCode="0.00_);[Red]\(0.00\)">
                  <c:v>9.935</c:v>
                </c:pt>
                <c:pt idx="297" c:formatCode="0.00_);[Red]\(0.00\)">
                  <c:v>9.968</c:v>
                </c:pt>
                <c:pt idx="298" c:formatCode="0.00_);[Red]\(0.00\)">
                  <c:v>10.002</c:v>
                </c:pt>
                <c:pt idx="299" c:formatCode="0.00_);[Red]\(0.00\)">
                  <c:v>10.035</c:v>
                </c:pt>
                <c:pt idx="300" c:formatCode="0.00_);[Red]\(0.00\)">
                  <c:v>10.069</c:v>
                </c:pt>
                <c:pt idx="301" c:formatCode="0.00_);[Red]\(0.00\)">
                  <c:v>10.102</c:v>
                </c:pt>
                <c:pt idx="302" c:formatCode="0.00_);[Red]\(0.00\)">
                  <c:v>10.135</c:v>
                </c:pt>
                <c:pt idx="303" c:formatCode="0.00_);[Red]\(0.00\)">
                  <c:v>10.169</c:v>
                </c:pt>
                <c:pt idx="304" c:formatCode="0.00_);[Red]\(0.00\)">
                  <c:v>10.202</c:v>
                </c:pt>
                <c:pt idx="305" c:formatCode="0.00_);[Red]\(0.00\)">
                  <c:v>10.236</c:v>
                </c:pt>
                <c:pt idx="306" c:formatCode="0.00_);[Red]\(0.00\)">
                  <c:v>10.269</c:v>
                </c:pt>
                <c:pt idx="307" c:formatCode="0.00_);[Red]\(0.00\)">
                  <c:v>10.303</c:v>
                </c:pt>
                <c:pt idx="308" c:formatCode="0.00_);[Red]\(0.00\)">
                  <c:v>10.336</c:v>
                </c:pt>
                <c:pt idx="309" c:formatCode="0.00_);[Red]\(0.00\)">
                  <c:v>10.37</c:v>
                </c:pt>
                <c:pt idx="310" c:formatCode="0.00_);[Red]\(0.00\)">
                  <c:v>10.403</c:v>
                </c:pt>
                <c:pt idx="311" c:formatCode="0.00_);[Red]\(0.00\)">
                  <c:v>10.436</c:v>
                </c:pt>
                <c:pt idx="312" c:formatCode="0.00_);[Red]\(0.00\)">
                  <c:v>10.47</c:v>
                </c:pt>
                <c:pt idx="313" c:formatCode="0.00_);[Red]\(0.00\)">
                  <c:v>10.503</c:v>
                </c:pt>
                <c:pt idx="314" c:formatCode="0.00_);[Red]\(0.00\)">
                  <c:v>10.537</c:v>
                </c:pt>
                <c:pt idx="315" c:formatCode="0.00_);[Red]\(0.00\)">
                  <c:v>10.57</c:v>
                </c:pt>
                <c:pt idx="316" c:formatCode="0.00_);[Red]\(0.00\)">
                  <c:v>10.604</c:v>
                </c:pt>
                <c:pt idx="317" c:formatCode="0.00_);[Red]\(0.00\)">
                  <c:v>10.637</c:v>
                </c:pt>
                <c:pt idx="318" c:formatCode="0.00_);[Red]\(0.00\)">
                  <c:v>10.671</c:v>
                </c:pt>
                <c:pt idx="319" c:formatCode="0.00_);[Red]\(0.00\)">
                  <c:v>10.704</c:v>
                </c:pt>
                <c:pt idx="320" c:formatCode="0.00_);[Red]\(0.00\)">
                  <c:v>10.738</c:v>
                </c:pt>
                <c:pt idx="321" c:formatCode="0.00_);[Red]\(0.00\)">
                  <c:v>10.771</c:v>
                </c:pt>
                <c:pt idx="322" c:formatCode="0.00_);[Red]\(0.00\)">
                  <c:v>10.804</c:v>
                </c:pt>
                <c:pt idx="323" c:formatCode="0.00_);[Red]\(0.00\)">
                  <c:v>10.838</c:v>
                </c:pt>
                <c:pt idx="324" c:formatCode="0.00_);[Red]\(0.00\)">
                  <c:v>10.871</c:v>
                </c:pt>
                <c:pt idx="325" c:formatCode="0.00_);[Red]\(0.00\)">
                  <c:v>10.905</c:v>
                </c:pt>
                <c:pt idx="326" c:formatCode="0.00_);[Red]\(0.00\)">
                  <c:v>10.938</c:v>
                </c:pt>
                <c:pt idx="327" c:formatCode="0.00_);[Red]\(0.00\)">
                  <c:v>10.972</c:v>
                </c:pt>
                <c:pt idx="328" c:formatCode="0.00_);[Red]\(0.00\)">
                  <c:v>11.005</c:v>
                </c:pt>
                <c:pt idx="329" c:formatCode="0.00_);[Red]\(0.00\)">
                  <c:v>11.039</c:v>
                </c:pt>
                <c:pt idx="330" c:formatCode="0.00_);[Red]\(0.00\)">
                  <c:v>11.072</c:v>
                </c:pt>
              </c:numCache>
            </c:numRef>
          </c:cat>
          <c:val>
            <c:numRef>
              <c:f>'A_10_14_37_3-0.4'!$K$4:$K$334</c:f>
              <c:numCache>
                <c:formatCode>0.000_ </c:formatCode>
                <c:ptCount val="331"/>
                <c:pt idx="0">
                  <c:v>0</c:v>
                </c:pt>
                <c:pt idx="1">
                  <c:v>0</c:v>
                </c:pt>
                <c:pt idx="2">
                  <c:v>0.100000000000031</c:v>
                </c:pt>
                <c:pt idx="3">
                  <c:v>0.100000000000031</c:v>
                </c:pt>
                <c:pt idx="4">
                  <c:v>0.100000000000031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0.100000000000031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-0.0999999999999612</c:v>
                </c:pt>
                <c:pt idx="16">
                  <c:v>0</c:v>
                </c:pt>
                <c:pt idx="17">
                  <c:v>-0.0999999999999612</c:v>
                </c:pt>
                <c:pt idx="18">
                  <c:v>-0.0999999999999612</c:v>
                </c:pt>
                <c:pt idx="19">
                  <c:v>-0.0999999999999612</c:v>
                </c:pt>
                <c:pt idx="20">
                  <c:v>0</c:v>
                </c:pt>
                <c:pt idx="21">
                  <c:v>0</c:v>
                </c:pt>
                <c:pt idx="22">
                  <c:v>-0.0999999999999612</c:v>
                </c:pt>
                <c:pt idx="23">
                  <c:v>-0.0999999999999612</c:v>
                </c:pt>
                <c:pt idx="24">
                  <c:v>-0.0999999999999612</c:v>
                </c:pt>
                <c:pt idx="25">
                  <c:v>-0.0999999999999612</c:v>
                </c:pt>
                <c:pt idx="26">
                  <c:v>-0.0999999999999612</c:v>
                </c:pt>
                <c:pt idx="27">
                  <c:v>0</c:v>
                </c:pt>
                <c:pt idx="28">
                  <c:v>-0.0999999999999612</c:v>
                </c:pt>
                <c:pt idx="29">
                  <c:v>0</c:v>
                </c:pt>
                <c:pt idx="30">
                  <c:v>-0.0999999999999612</c:v>
                </c:pt>
                <c:pt idx="31">
                  <c:v>0</c:v>
                </c:pt>
                <c:pt idx="32">
                  <c:v>0</c:v>
                </c:pt>
                <c:pt idx="33">
                  <c:v>0.100000000000031</c:v>
                </c:pt>
                <c:pt idx="34">
                  <c:v>0</c:v>
                </c:pt>
                <c:pt idx="35">
                  <c:v>0.199999999999992</c:v>
                </c:pt>
                <c:pt idx="36">
                  <c:v>0.100000000000031</c:v>
                </c:pt>
                <c:pt idx="37">
                  <c:v>0</c:v>
                </c:pt>
                <c:pt idx="38">
                  <c:v>0.100000000000031</c:v>
                </c:pt>
                <c:pt idx="39">
                  <c:v>0.100000000000031</c:v>
                </c:pt>
                <c:pt idx="40">
                  <c:v>0.100000000000031</c:v>
                </c:pt>
                <c:pt idx="41">
                  <c:v>0.100000000000031</c:v>
                </c:pt>
                <c:pt idx="42">
                  <c:v>0.100000000000031</c:v>
                </c:pt>
                <c:pt idx="43">
                  <c:v>0</c:v>
                </c:pt>
                <c:pt idx="44">
                  <c:v>0.100000000000031</c:v>
                </c:pt>
                <c:pt idx="45">
                  <c:v>0.100000000000031</c:v>
                </c:pt>
                <c:pt idx="46">
                  <c:v>0.100000000000031</c:v>
                </c:pt>
                <c:pt idx="47">
                  <c:v>0.100000000000031</c:v>
                </c:pt>
                <c:pt idx="48">
                  <c:v>0</c:v>
                </c:pt>
                <c:pt idx="49">
                  <c:v>-0.0999999999999612</c:v>
                </c:pt>
                <c:pt idx="50">
                  <c:v>0.100000000000031</c:v>
                </c:pt>
                <c:pt idx="51">
                  <c:v>0.100000000000031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-0.0999999999999612</c:v>
                </c:pt>
                <c:pt idx="56">
                  <c:v>-0.0999999999999612</c:v>
                </c:pt>
                <c:pt idx="57">
                  <c:v>-0.0999999999999612</c:v>
                </c:pt>
                <c:pt idx="58">
                  <c:v>-0.0999999999999612</c:v>
                </c:pt>
                <c:pt idx="59">
                  <c:v>-0.0999999999999612</c:v>
                </c:pt>
                <c:pt idx="60">
                  <c:v>-0.0999999999999612</c:v>
                </c:pt>
                <c:pt idx="61">
                  <c:v>0</c:v>
                </c:pt>
                <c:pt idx="62">
                  <c:v>-0.0999999999999612</c:v>
                </c:pt>
                <c:pt idx="63">
                  <c:v>0</c:v>
                </c:pt>
                <c:pt idx="64">
                  <c:v>-0.0999999999999612</c:v>
                </c:pt>
                <c:pt idx="65">
                  <c:v>0</c:v>
                </c:pt>
                <c:pt idx="66">
                  <c:v>0</c:v>
                </c:pt>
                <c:pt idx="67">
                  <c:v>0.100000000000031</c:v>
                </c:pt>
                <c:pt idx="68">
                  <c:v>-0.0999999999999612</c:v>
                </c:pt>
                <c:pt idx="69">
                  <c:v>0</c:v>
                </c:pt>
                <c:pt idx="70">
                  <c:v>-0.0999999999999612</c:v>
                </c:pt>
                <c:pt idx="71">
                  <c:v>0</c:v>
                </c:pt>
                <c:pt idx="72">
                  <c:v>0.100000000000031</c:v>
                </c:pt>
                <c:pt idx="73">
                  <c:v>0.100000000000031</c:v>
                </c:pt>
                <c:pt idx="74">
                  <c:v>0.100000000000031</c:v>
                </c:pt>
                <c:pt idx="75">
                  <c:v>0.100000000000031</c:v>
                </c:pt>
                <c:pt idx="76">
                  <c:v>0.199999999999992</c:v>
                </c:pt>
                <c:pt idx="77">
                  <c:v>0.100000000000031</c:v>
                </c:pt>
                <c:pt idx="78">
                  <c:v>0</c:v>
                </c:pt>
                <c:pt idx="79">
                  <c:v>0.199999999999992</c:v>
                </c:pt>
                <c:pt idx="80">
                  <c:v>0</c:v>
                </c:pt>
                <c:pt idx="81">
                  <c:v>0.100000000000031</c:v>
                </c:pt>
                <c:pt idx="82">
                  <c:v>0.100000000000031</c:v>
                </c:pt>
                <c:pt idx="83">
                  <c:v>0.100000000000031</c:v>
                </c:pt>
                <c:pt idx="84">
                  <c:v>0</c:v>
                </c:pt>
                <c:pt idx="85">
                  <c:v>0.100000000000031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-0.0999999999999612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-0.199999999999992</c:v>
                </c:pt>
                <c:pt idx="94">
                  <c:v>-0.299999999999953</c:v>
                </c:pt>
                <c:pt idx="95">
                  <c:v>-0.499999999999945</c:v>
                </c:pt>
                <c:pt idx="96">
                  <c:v>-0.499999999999945</c:v>
                </c:pt>
                <c:pt idx="97">
                  <c:v>-0.799999999999967</c:v>
                </c:pt>
                <c:pt idx="98">
                  <c:v>-0.799999999999967</c:v>
                </c:pt>
                <c:pt idx="99">
                  <c:v>-0.899999999999998</c:v>
                </c:pt>
                <c:pt idx="100">
                  <c:v>-0.899999999999998</c:v>
                </c:pt>
                <c:pt idx="101">
                  <c:v>-0.999999999999959</c:v>
                </c:pt>
                <c:pt idx="102">
                  <c:v>-0.799999999999967</c:v>
                </c:pt>
                <c:pt idx="103">
                  <c:v>-0.799999999999967</c:v>
                </c:pt>
                <c:pt idx="104">
                  <c:v>-0.599999999999976</c:v>
                </c:pt>
                <c:pt idx="105">
                  <c:v>-0.299999999999953</c:v>
                </c:pt>
                <c:pt idx="106">
                  <c:v>0</c:v>
                </c:pt>
                <c:pt idx="107">
                  <c:v>0.199999999999992</c:v>
                </c:pt>
                <c:pt idx="108">
                  <c:v>0.700000000000006</c:v>
                </c:pt>
                <c:pt idx="109">
                  <c:v>1.20000000000002</c:v>
                </c:pt>
                <c:pt idx="110">
                  <c:v>1.6</c:v>
                </c:pt>
                <c:pt idx="111">
                  <c:v>2.90000000000006</c:v>
                </c:pt>
                <c:pt idx="112">
                  <c:v>3.80000000000005</c:v>
                </c:pt>
                <c:pt idx="113">
                  <c:v>4.60000000000002</c:v>
                </c:pt>
                <c:pt idx="114">
                  <c:v>5.70000000000001</c:v>
                </c:pt>
                <c:pt idx="115">
                  <c:v>6.40000000000002</c:v>
                </c:pt>
                <c:pt idx="116">
                  <c:v>6.90000000000003</c:v>
                </c:pt>
                <c:pt idx="117">
                  <c:v>6.99999999999999</c:v>
                </c:pt>
                <c:pt idx="118">
                  <c:v>6.90000000000003</c:v>
                </c:pt>
                <c:pt idx="119">
                  <c:v>6.90000000000003</c:v>
                </c:pt>
                <c:pt idx="120">
                  <c:v>6.70000000000004</c:v>
                </c:pt>
                <c:pt idx="121">
                  <c:v>6.40000000000002</c:v>
                </c:pt>
                <c:pt idx="122">
                  <c:v>6.09999999999999</c:v>
                </c:pt>
                <c:pt idx="123">
                  <c:v>5.9</c:v>
                </c:pt>
                <c:pt idx="124">
                  <c:v>5.50000000000002</c:v>
                </c:pt>
                <c:pt idx="125">
                  <c:v>5</c:v>
                </c:pt>
                <c:pt idx="126">
                  <c:v>4.60000000000002</c:v>
                </c:pt>
                <c:pt idx="127">
                  <c:v>4.00000000000005</c:v>
                </c:pt>
                <c:pt idx="128">
                  <c:v>2.69999999999999</c:v>
                </c:pt>
                <c:pt idx="129">
                  <c:v>2.00000000000006</c:v>
                </c:pt>
                <c:pt idx="130">
                  <c:v>1.30000000000005</c:v>
                </c:pt>
                <c:pt idx="131">
                  <c:v>0.300000000000022</c:v>
                </c:pt>
                <c:pt idx="132">
                  <c:v>-0.199999999999992</c:v>
                </c:pt>
                <c:pt idx="133">
                  <c:v>-0.599999999999976</c:v>
                </c:pt>
                <c:pt idx="134">
                  <c:v>-0.700000000000006</c:v>
                </c:pt>
                <c:pt idx="135">
                  <c:v>-0.899999999999998</c:v>
                </c:pt>
                <c:pt idx="136">
                  <c:v>-0.599999999999976</c:v>
                </c:pt>
                <c:pt idx="137">
                  <c:v>-0.499999999999945</c:v>
                </c:pt>
                <c:pt idx="138">
                  <c:v>-0.299999999999953</c:v>
                </c:pt>
                <c:pt idx="139">
                  <c:v>-0.0999999999999612</c:v>
                </c:pt>
                <c:pt idx="140">
                  <c:v>0.199999999999992</c:v>
                </c:pt>
                <c:pt idx="141">
                  <c:v>0.400000000000053</c:v>
                </c:pt>
                <c:pt idx="142">
                  <c:v>0.500000000000014</c:v>
                </c:pt>
                <c:pt idx="143">
                  <c:v>0.800000000000037</c:v>
                </c:pt>
                <c:pt idx="144">
                  <c:v>1.00000000000003</c:v>
                </c:pt>
                <c:pt idx="145">
                  <c:v>1.09999999999999</c:v>
                </c:pt>
                <c:pt idx="146">
                  <c:v>1.40000000000001</c:v>
                </c:pt>
                <c:pt idx="147">
                  <c:v>1.50000000000004</c:v>
                </c:pt>
                <c:pt idx="148">
                  <c:v>1.8</c:v>
                </c:pt>
                <c:pt idx="149">
                  <c:v>2.80000000000002</c:v>
                </c:pt>
                <c:pt idx="150">
                  <c:v>3.30000000000004</c:v>
                </c:pt>
                <c:pt idx="151">
                  <c:v>3.59999999999999</c:v>
                </c:pt>
                <c:pt idx="152">
                  <c:v>3.90000000000001</c:v>
                </c:pt>
                <c:pt idx="153">
                  <c:v>4.20000000000004</c:v>
                </c:pt>
                <c:pt idx="154">
                  <c:v>4.3</c:v>
                </c:pt>
                <c:pt idx="155">
                  <c:v>4.49999999999999</c:v>
                </c:pt>
                <c:pt idx="156">
                  <c:v>4.70000000000005</c:v>
                </c:pt>
                <c:pt idx="157">
                  <c:v>5.70000000000001</c:v>
                </c:pt>
                <c:pt idx="158">
                  <c:v>6.20000000000003</c:v>
                </c:pt>
                <c:pt idx="159">
                  <c:v>6.8</c:v>
                </c:pt>
                <c:pt idx="160">
                  <c:v>6.99999999999999</c:v>
                </c:pt>
                <c:pt idx="161">
                  <c:v>7.10000000000002</c:v>
                </c:pt>
                <c:pt idx="162">
                  <c:v>7.10000000000002</c:v>
                </c:pt>
                <c:pt idx="163">
                  <c:v>6.90000000000003</c:v>
                </c:pt>
                <c:pt idx="164">
                  <c:v>6.8</c:v>
                </c:pt>
                <c:pt idx="165">
                  <c:v>6.70000000000004</c:v>
                </c:pt>
                <c:pt idx="166">
                  <c:v>6.50000000000005</c:v>
                </c:pt>
                <c:pt idx="167">
                  <c:v>6.30000000000006</c:v>
                </c:pt>
                <c:pt idx="168">
                  <c:v>6.00000000000003</c:v>
                </c:pt>
                <c:pt idx="169">
                  <c:v>5.80000000000004</c:v>
                </c:pt>
                <c:pt idx="170">
                  <c:v>5.50000000000002</c:v>
                </c:pt>
                <c:pt idx="171">
                  <c:v>5.30000000000003</c:v>
                </c:pt>
                <c:pt idx="172">
                  <c:v>5.10000000000004</c:v>
                </c:pt>
                <c:pt idx="173">
                  <c:v>4.90000000000004</c:v>
                </c:pt>
                <c:pt idx="174">
                  <c:v>4.70000000000005</c:v>
                </c:pt>
                <c:pt idx="175">
                  <c:v>4.60000000000002</c:v>
                </c:pt>
                <c:pt idx="176">
                  <c:v>4.20000000000004</c:v>
                </c:pt>
                <c:pt idx="177">
                  <c:v>3.30000000000004</c:v>
                </c:pt>
                <c:pt idx="178">
                  <c:v>2.60000000000003</c:v>
                </c:pt>
                <c:pt idx="179">
                  <c:v>2.20000000000005</c:v>
                </c:pt>
                <c:pt idx="180">
                  <c:v>1.90000000000003</c:v>
                </c:pt>
                <c:pt idx="181">
                  <c:v>1.8</c:v>
                </c:pt>
                <c:pt idx="182">
                  <c:v>1.90000000000003</c:v>
                </c:pt>
                <c:pt idx="183">
                  <c:v>2.00000000000006</c:v>
                </c:pt>
                <c:pt idx="184">
                  <c:v>2.20000000000005</c:v>
                </c:pt>
                <c:pt idx="185">
                  <c:v>2.30000000000001</c:v>
                </c:pt>
                <c:pt idx="186">
                  <c:v>2.60000000000003</c:v>
                </c:pt>
                <c:pt idx="187">
                  <c:v>2.80000000000002</c:v>
                </c:pt>
                <c:pt idx="188">
                  <c:v>2.90000000000006</c:v>
                </c:pt>
                <c:pt idx="189">
                  <c:v>3.20000000000001</c:v>
                </c:pt>
                <c:pt idx="190">
                  <c:v>3.50000000000003</c:v>
                </c:pt>
                <c:pt idx="191">
                  <c:v>3.80000000000005</c:v>
                </c:pt>
                <c:pt idx="192">
                  <c:v>4.10000000000001</c:v>
                </c:pt>
                <c:pt idx="193">
                  <c:v>4.3</c:v>
                </c:pt>
                <c:pt idx="194">
                  <c:v>4.40000000000003</c:v>
                </c:pt>
                <c:pt idx="195">
                  <c:v>4.70000000000005</c:v>
                </c:pt>
                <c:pt idx="196">
                  <c:v>5.70000000000001</c:v>
                </c:pt>
                <c:pt idx="197">
                  <c:v>6.30000000000006</c:v>
                </c:pt>
                <c:pt idx="198">
                  <c:v>6.50000000000005</c:v>
                </c:pt>
                <c:pt idx="199">
                  <c:v>6.90000000000003</c:v>
                </c:pt>
                <c:pt idx="200">
                  <c:v>6.99999999999999</c:v>
                </c:pt>
                <c:pt idx="201">
                  <c:v>6.99999999999999</c:v>
                </c:pt>
                <c:pt idx="202">
                  <c:v>6.90000000000003</c:v>
                </c:pt>
                <c:pt idx="203">
                  <c:v>6.99999999999999</c:v>
                </c:pt>
                <c:pt idx="204">
                  <c:v>6.8</c:v>
                </c:pt>
                <c:pt idx="205">
                  <c:v>6.50000000000005</c:v>
                </c:pt>
                <c:pt idx="206">
                  <c:v>6.40000000000002</c:v>
                </c:pt>
                <c:pt idx="207">
                  <c:v>6.20000000000003</c:v>
                </c:pt>
                <c:pt idx="208">
                  <c:v>5.9</c:v>
                </c:pt>
                <c:pt idx="209">
                  <c:v>5.70000000000001</c:v>
                </c:pt>
                <c:pt idx="210">
                  <c:v>5.30000000000003</c:v>
                </c:pt>
                <c:pt idx="211">
                  <c:v>5.30000000000003</c:v>
                </c:pt>
                <c:pt idx="212">
                  <c:v>5</c:v>
                </c:pt>
                <c:pt idx="213">
                  <c:v>4.60000000000002</c:v>
                </c:pt>
                <c:pt idx="214">
                  <c:v>4.40000000000003</c:v>
                </c:pt>
                <c:pt idx="215">
                  <c:v>3.30000000000004</c:v>
                </c:pt>
                <c:pt idx="216">
                  <c:v>2.60000000000003</c:v>
                </c:pt>
                <c:pt idx="217">
                  <c:v>2.30000000000001</c:v>
                </c:pt>
                <c:pt idx="218">
                  <c:v>1.70000000000003</c:v>
                </c:pt>
                <c:pt idx="219">
                  <c:v>1.40000000000001</c:v>
                </c:pt>
                <c:pt idx="220">
                  <c:v>0.600000000000045</c:v>
                </c:pt>
                <c:pt idx="221">
                  <c:v>0.199999999999992</c:v>
                </c:pt>
                <c:pt idx="222">
                  <c:v>0</c:v>
                </c:pt>
                <c:pt idx="223">
                  <c:v>0</c:v>
                </c:pt>
                <c:pt idx="224">
                  <c:v>-0.0999999999999612</c:v>
                </c:pt>
                <c:pt idx="225">
                  <c:v>0</c:v>
                </c:pt>
                <c:pt idx="226">
                  <c:v>0.100000000000031</c:v>
                </c:pt>
                <c:pt idx="227">
                  <c:v>0.199999999999992</c:v>
                </c:pt>
                <c:pt idx="228">
                  <c:v>0.500000000000014</c:v>
                </c:pt>
                <c:pt idx="229">
                  <c:v>0.800000000000037</c:v>
                </c:pt>
                <c:pt idx="230">
                  <c:v>1.09999999999999</c:v>
                </c:pt>
                <c:pt idx="231">
                  <c:v>1.30000000000005</c:v>
                </c:pt>
                <c:pt idx="232">
                  <c:v>1.70000000000003</c:v>
                </c:pt>
                <c:pt idx="233">
                  <c:v>2.69999999999999</c:v>
                </c:pt>
                <c:pt idx="234">
                  <c:v>3.30000000000004</c:v>
                </c:pt>
                <c:pt idx="235">
                  <c:v>3.80000000000005</c:v>
                </c:pt>
                <c:pt idx="236">
                  <c:v>4.3</c:v>
                </c:pt>
                <c:pt idx="237">
                  <c:v>4.40000000000003</c:v>
                </c:pt>
                <c:pt idx="238">
                  <c:v>4.49999999999999</c:v>
                </c:pt>
                <c:pt idx="239">
                  <c:v>4.49999999999999</c:v>
                </c:pt>
                <c:pt idx="240">
                  <c:v>4.40000000000003</c:v>
                </c:pt>
                <c:pt idx="241">
                  <c:v>4.3</c:v>
                </c:pt>
                <c:pt idx="242">
                  <c:v>4.20000000000004</c:v>
                </c:pt>
                <c:pt idx="243">
                  <c:v>4.10000000000001</c:v>
                </c:pt>
                <c:pt idx="244">
                  <c:v>3.90000000000001</c:v>
                </c:pt>
                <c:pt idx="245">
                  <c:v>3.59999999999999</c:v>
                </c:pt>
                <c:pt idx="246">
                  <c:v>3.4</c:v>
                </c:pt>
                <c:pt idx="247">
                  <c:v>3.20000000000001</c:v>
                </c:pt>
                <c:pt idx="248">
                  <c:v>3.00000000000002</c:v>
                </c:pt>
                <c:pt idx="249">
                  <c:v>2.80000000000002</c:v>
                </c:pt>
                <c:pt idx="250">
                  <c:v>2.5</c:v>
                </c:pt>
                <c:pt idx="251">
                  <c:v>2.20000000000005</c:v>
                </c:pt>
                <c:pt idx="252">
                  <c:v>2.00000000000006</c:v>
                </c:pt>
                <c:pt idx="253">
                  <c:v>1.8</c:v>
                </c:pt>
                <c:pt idx="254">
                  <c:v>1.50000000000004</c:v>
                </c:pt>
                <c:pt idx="255">
                  <c:v>0.500000000000014</c:v>
                </c:pt>
                <c:pt idx="256">
                  <c:v>-0.0999999999999612</c:v>
                </c:pt>
                <c:pt idx="257">
                  <c:v>-0.700000000000006</c:v>
                </c:pt>
                <c:pt idx="258">
                  <c:v>-0.899999999999998</c:v>
                </c:pt>
                <c:pt idx="259">
                  <c:v>-0.899999999999998</c:v>
                </c:pt>
                <c:pt idx="260">
                  <c:v>-0.899999999999998</c:v>
                </c:pt>
                <c:pt idx="261">
                  <c:v>-0.899999999999998</c:v>
                </c:pt>
                <c:pt idx="262">
                  <c:v>-0.700000000000006</c:v>
                </c:pt>
                <c:pt idx="263">
                  <c:v>-0.599999999999976</c:v>
                </c:pt>
                <c:pt idx="264">
                  <c:v>-0.599999999999976</c:v>
                </c:pt>
                <c:pt idx="265">
                  <c:v>-0.299999999999953</c:v>
                </c:pt>
                <c:pt idx="266">
                  <c:v>-0.0999999999999612</c:v>
                </c:pt>
                <c:pt idx="267">
                  <c:v>0.199999999999992</c:v>
                </c:pt>
                <c:pt idx="268">
                  <c:v>0.400000000000053</c:v>
                </c:pt>
                <c:pt idx="269">
                  <c:v>0.600000000000045</c:v>
                </c:pt>
                <c:pt idx="270">
                  <c:v>1.00000000000003</c:v>
                </c:pt>
                <c:pt idx="271">
                  <c:v>1.20000000000002</c:v>
                </c:pt>
                <c:pt idx="272">
                  <c:v>1.40000000000001</c:v>
                </c:pt>
                <c:pt idx="273">
                  <c:v>1.90000000000003</c:v>
                </c:pt>
                <c:pt idx="274">
                  <c:v>2.90000000000006</c:v>
                </c:pt>
                <c:pt idx="275">
                  <c:v>3.50000000000003</c:v>
                </c:pt>
                <c:pt idx="276">
                  <c:v>3.90000000000001</c:v>
                </c:pt>
                <c:pt idx="277">
                  <c:v>4.10000000000001</c:v>
                </c:pt>
                <c:pt idx="278">
                  <c:v>4.10000000000001</c:v>
                </c:pt>
                <c:pt idx="279">
                  <c:v>4.20000000000004</c:v>
                </c:pt>
                <c:pt idx="280">
                  <c:v>4.20000000000004</c:v>
                </c:pt>
                <c:pt idx="281">
                  <c:v>4.10000000000001</c:v>
                </c:pt>
                <c:pt idx="282">
                  <c:v>3.90000000000001</c:v>
                </c:pt>
                <c:pt idx="283">
                  <c:v>3.80000000000005</c:v>
                </c:pt>
                <c:pt idx="284">
                  <c:v>3.59999999999999</c:v>
                </c:pt>
                <c:pt idx="285">
                  <c:v>3.4</c:v>
                </c:pt>
                <c:pt idx="286">
                  <c:v>3.20000000000001</c:v>
                </c:pt>
                <c:pt idx="287">
                  <c:v>3.10000000000005</c:v>
                </c:pt>
                <c:pt idx="288">
                  <c:v>3.00000000000002</c:v>
                </c:pt>
                <c:pt idx="289">
                  <c:v>2.60000000000003</c:v>
                </c:pt>
                <c:pt idx="290">
                  <c:v>2.30000000000001</c:v>
                </c:pt>
                <c:pt idx="291">
                  <c:v>1.90000000000003</c:v>
                </c:pt>
                <c:pt idx="292">
                  <c:v>1.70000000000003</c:v>
                </c:pt>
                <c:pt idx="293">
                  <c:v>1.40000000000001</c:v>
                </c:pt>
                <c:pt idx="294">
                  <c:v>0.400000000000053</c:v>
                </c:pt>
                <c:pt idx="295">
                  <c:v>-0.0999999999999612</c:v>
                </c:pt>
                <c:pt idx="296">
                  <c:v>-0.599999999999976</c:v>
                </c:pt>
                <c:pt idx="297">
                  <c:v>-0.899999999999998</c:v>
                </c:pt>
                <c:pt idx="298">
                  <c:v>-0.999999999999959</c:v>
                </c:pt>
                <c:pt idx="299">
                  <c:v>-0.999999999999959</c:v>
                </c:pt>
                <c:pt idx="300">
                  <c:v>-0.999999999999959</c:v>
                </c:pt>
                <c:pt idx="301">
                  <c:v>-0.899999999999998</c:v>
                </c:pt>
                <c:pt idx="302">
                  <c:v>-0.799999999999967</c:v>
                </c:pt>
                <c:pt idx="303">
                  <c:v>-0.599999999999976</c:v>
                </c:pt>
                <c:pt idx="304">
                  <c:v>-0.299999999999953</c:v>
                </c:pt>
                <c:pt idx="305">
                  <c:v>-0.199999999999992</c:v>
                </c:pt>
                <c:pt idx="306">
                  <c:v>0</c:v>
                </c:pt>
                <c:pt idx="307">
                  <c:v>0.300000000000022</c:v>
                </c:pt>
                <c:pt idx="308">
                  <c:v>0.500000000000014</c:v>
                </c:pt>
                <c:pt idx="309">
                  <c:v>0.800000000000037</c:v>
                </c:pt>
                <c:pt idx="310">
                  <c:v>1.20000000000002</c:v>
                </c:pt>
                <c:pt idx="311">
                  <c:v>1.30000000000005</c:v>
                </c:pt>
                <c:pt idx="312">
                  <c:v>1.6</c:v>
                </c:pt>
                <c:pt idx="313">
                  <c:v>2.69999999999999</c:v>
                </c:pt>
                <c:pt idx="314">
                  <c:v>3.30000000000004</c:v>
                </c:pt>
                <c:pt idx="315">
                  <c:v>3.70000000000002</c:v>
                </c:pt>
                <c:pt idx="316">
                  <c:v>4.00000000000005</c:v>
                </c:pt>
                <c:pt idx="317">
                  <c:v>4.20000000000004</c:v>
                </c:pt>
                <c:pt idx="318">
                  <c:v>4.20000000000004</c:v>
                </c:pt>
                <c:pt idx="319">
                  <c:v>4.3</c:v>
                </c:pt>
                <c:pt idx="320">
                  <c:v>4.10000000000001</c:v>
                </c:pt>
                <c:pt idx="321">
                  <c:v>4.00000000000005</c:v>
                </c:pt>
                <c:pt idx="322">
                  <c:v>3.90000000000001</c:v>
                </c:pt>
                <c:pt idx="323">
                  <c:v>3.70000000000002</c:v>
                </c:pt>
                <c:pt idx="324">
                  <c:v>3.50000000000003</c:v>
                </c:pt>
                <c:pt idx="325">
                  <c:v>3.4</c:v>
                </c:pt>
                <c:pt idx="326">
                  <c:v>3.00000000000002</c:v>
                </c:pt>
                <c:pt idx="327">
                  <c:v>2.80000000000002</c:v>
                </c:pt>
                <c:pt idx="328">
                  <c:v>2.5</c:v>
                </c:pt>
                <c:pt idx="329">
                  <c:v>2.40000000000004</c:v>
                </c:pt>
                <c:pt idx="330">
                  <c:v>2.00000000000006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'A_10_14_37_3-0.4'!$L$3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'A_10_14_37_3-0.4'!$J$4:$J$334</c:f>
              <c:numCache>
                <c:formatCode>0.00_);[Red]\(0.00\)</c:formatCode>
                <c:ptCount val="331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0.268</c:v>
                </c:pt>
                <c:pt idx="8" c:formatCode="0.00_);[Red]\(0.00\)">
                  <c:v>0.301</c:v>
                </c:pt>
                <c:pt idx="9" c:formatCode="0.00_);[Red]\(0.00\)">
                  <c:v>0.335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0.435</c:v>
                </c:pt>
                <c:pt idx="13" c:formatCode="0.00_);[Red]\(0.00\)">
                  <c:v>0.468</c:v>
                </c:pt>
                <c:pt idx="14" c:formatCode="0.00_);[Red]\(0.00\)">
                  <c:v>0.502</c:v>
                </c:pt>
                <c:pt idx="15" c:formatCode="0.00_);[Red]\(0.00\)">
                  <c:v>0.535</c:v>
                </c:pt>
                <c:pt idx="16" c:formatCode="0.00_);[Red]\(0.00\)">
                  <c:v>0.569</c:v>
                </c:pt>
                <c:pt idx="17" c:formatCode="0.00_);[Red]\(0.00\)">
                  <c:v>0.602</c:v>
                </c:pt>
                <c:pt idx="18" c:formatCode="0.00_);[Red]\(0.00\)">
                  <c:v>0.636</c:v>
                </c:pt>
                <c:pt idx="19" c:formatCode="0.00_);[Red]\(0.00\)">
                  <c:v>0.669</c:v>
                </c:pt>
                <c:pt idx="20" c:formatCode="0.00_);[Red]\(0.00\)">
                  <c:v>0.702</c:v>
                </c:pt>
                <c:pt idx="21" c:formatCode="0.00_);[Red]\(0.00\)">
                  <c:v>0.736</c:v>
                </c:pt>
                <c:pt idx="22" c:formatCode="0.00_);[Red]\(0.00\)">
                  <c:v>0.769</c:v>
                </c:pt>
                <c:pt idx="23" c:formatCode="0.00_);[Red]\(0.00\)">
                  <c:v>0.803</c:v>
                </c:pt>
                <c:pt idx="24" c:formatCode="0.00_);[Red]\(0.00\)">
                  <c:v>0.836</c:v>
                </c:pt>
                <c:pt idx="25" c:formatCode="0.00_);[Red]\(0.00\)">
                  <c:v>0.87</c:v>
                </c:pt>
                <c:pt idx="26" c:formatCode="0.00_);[Red]\(0.00\)">
                  <c:v>0.903</c:v>
                </c:pt>
                <c:pt idx="27" c:formatCode="0.00_);[Red]\(0.00\)">
                  <c:v>0.937</c:v>
                </c:pt>
                <c:pt idx="28" c:formatCode="0.00_);[Red]\(0.00\)">
                  <c:v>0.97</c:v>
                </c:pt>
                <c:pt idx="29" c:formatCode="0.00_);[Red]\(0.00\)">
                  <c:v>1.004</c:v>
                </c:pt>
                <c:pt idx="30" c:formatCode="0.00_);[Red]\(0.00\)">
                  <c:v>1.037</c:v>
                </c:pt>
                <c:pt idx="31" c:formatCode="0.00_);[Red]\(0.00\)">
                  <c:v>1.07</c:v>
                </c:pt>
                <c:pt idx="32" c:formatCode="0.00_);[Red]\(0.00\)">
                  <c:v>1.104</c:v>
                </c:pt>
                <c:pt idx="33" c:formatCode="0.00_);[Red]\(0.00\)">
                  <c:v>1.137</c:v>
                </c:pt>
                <c:pt idx="34" c:formatCode="0.00_);[Red]\(0.00\)">
                  <c:v>1.171</c:v>
                </c:pt>
                <c:pt idx="35" c:formatCode="0.00_);[Red]\(0.00\)">
                  <c:v>1.204</c:v>
                </c:pt>
                <c:pt idx="36" c:formatCode="0.00_);[Red]\(0.00\)">
                  <c:v>1.238</c:v>
                </c:pt>
                <c:pt idx="37" c:formatCode="0.00_);[Red]\(0.00\)">
                  <c:v>1.271</c:v>
                </c:pt>
                <c:pt idx="38" c:formatCode="0.00_);[Red]\(0.00\)">
                  <c:v>1.305</c:v>
                </c:pt>
                <c:pt idx="39" c:formatCode="0.00_);[Red]\(0.00\)">
                  <c:v>1.338</c:v>
                </c:pt>
                <c:pt idx="40" c:formatCode="0.00_);[Red]\(0.00\)">
                  <c:v>1.371</c:v>
                </c:pt>
                <c:pt idx="41" c:formatCode="0.00_);[Red]\(0.00\)">
                  <c:v>1.405</c:v>
                </c:pt>
                <c:pt idx="42" c:formatCode="0.00_);[Red]\(0.00\)">
                  <c:v>1.438</c:v>
                </c:pt>
                <c:pt idx="43" c:formatCode="0.00_);[Red]\(0.00\)">
                  <c:v>1.472</c:v>
                </c:pt>
                <c:pt idx="44" c:formatCode="0.00_);[Red]\(0.00\)">
                  <c:v>1.505</c:v>
                </c:pt>
                <c:pt idx="45" c:formatCode="0.00_);[Red]\(0.00\)">
                  <c:v>1.539</c:v>
                </c:pt>
                <c:pt idx="46" c:formatCode="0.00_);[Red]\(0.00\)">
                  <c:v>1.572</c:v>
                </c:pt>
                <c:pt idx="47" c:formatCode="0.00_);[Red]\(0.00\)">
                  <c:v>1.606</c:v>
                </c:pt>
                <c:pt idx="48" c:formatCode="0.00_);[Red]\(0.00\)">
                  <c:v>1.639</c:v>
                </c:pt>
                <c:pt idx="49" c:formatCode="0.00_);[Red]\(0.00\)">
                  <c:v>1.673</c:v>
                </c:pt>
                <c:pt idx="50" c:formatCode="0.00_);[Red]\(0.00\)">
                  <c:v>1.706</c:v>
                </c:pt>
                <c:pt idx="51" c:formatCode="0.00_);[Red]\(0.00\)">
                  <c:v>1.739</c:v>
                </c:pt>
                <c:pt idx="52" c:formatCode="0.00_);[Red]\(0.00\)">
                  <c:v>1.773</c:v>
                </c:pt>
                <c:pt idx="53" c:formatCode="0.00_);[Red]\(0.00\)">
                  <c:v>1.806</c:v>
                </c:pt>
                <c:pt idx="54" c:formatCode="0.00_);[Red]\(0.00\)">
                  <c:v>1.84</c:v>
                </c:pt>
                <c:pt idx="55" c:formatCode="0.00_);[Red]\(0.00\)">
                  <c:v>1.873</c:v>
                </c:pt>
                <c:pt idx="56" c:formatCode="0.00_);[Red]\(0.00\)">
                  <c:v>1.907</c:v>
                </c:pt>
                <c:pt idx="57" c:formatCode="0.00_);[Red]\(0.00\)">
                  <c:v>1.94</c:v>
                </c:pt>
                <c:pt idx="58" c:formatCode="0.00_);[Red]\(0.00\)">
                  <c:v>1.974</c:v>
                </c:pt>
                <c:pt idx="59" c:formatCode="0.00_);[Red]\(0.00\)">
                  <c:v>2.007</c:v>
                </c:pt>
                <c:pt idx="60" c:formatCode="0.00_);[Red]\(0.00\)">
                  <c:v>2.04</c:v>
                </c:pt>
                <c:pt idx="61" c:formatCode="0.00_);[Red]\(0.00\)">
                  <c:v>2.074</c:v>
                </c:pt>
                <c:pt idx="62" c:formatCode="0.00_);[Red]\(0.00\)">
                  <c:v>2.107</c:v>
                </c:pt>
                <c:pt idx="63" c:formatCode="0.00_);[Red]\(0.00\)">
                  <c:v>2.141</c:v>
                </c:pt>
                <c:pt idx="64" c:formatCode="0.00_);[Red]\(0.00\)">
                  <c:v>2.174</c:v>
                </c:pt>
                <c:pt idx="65" c:formatCode="0.00_);[Red]\(0.00\)">
                  <c:v>2.208</c:v>
                </c:pt>
                <c:pt idx="66" c:formatCode="0.00_);[Red]\(0.00\)">
                  <c:v>2.241</c:v>
                </c:pt>
                <c:pt idx="67" c:formatCode="0.00_);[Red]\(0.00\)">
                  <c:v>2.275</c:v>
                </c:pt>
                <c:pt idx="68" c:formatCode="0.00_);[Red]\(0.00\)">
                  <c:v>2.308</c:v>
                </c:pt>
                <c:pt idx="69" c:formatCode="0.00_);[Red]\(0.00\)">
                  <c:v>2.342</c:v>
                </c:pt>
                <c:pt idx="70" c:formatCode="0.00_);[Red]\(0.00\)">
                  <c:v>2.375</c:v>
                </c:pt>
                <c:pt idx="71" c:formatCode="0.00_);[Red]\(0.00\)">
                  <c:v>2.408</c:v>
                </c:pt>
                <c:pt idx="72" c:formatCode="0.00_);[Red]\(0.00\)">
                  <c:v>2.442</c:v>
                </c:pt>
                <c:pt idx="73" c:formatCode="0.00_);[Red]\(0.00\)">
                  <c:v>2.475</c:v>
                </c:pt>
                <c:pt idx="74" c:formatCode="0.00_);[Red]\(0.00\)">
                  <c:v>2.509</c:v>
                </c:pt>
                <c:pt idx="75" c:formatCode="0.00_);[Red]\(0.00\)">
                  <c:v>2.542</c:v>
                </c:pt>
                <c:pt idx="76" c:formatCode="0.00_);[Red]\(0.00\)">
                  <c:v>2.576</c:v>
                </c:pt>
                <c:pt idx="77" c:formatCode="0.00_);[Red]\(0.00\)">
                  <c:v>2.609</c:v>
                </c:pt>
                <c:pt idx="78" c:formatCode="0.00_);[Red]\(0.00\)">
                  <c:v>2.643</c:v>
                </c:pt>
                <c:pt idx="79" c:formatCode="0.00_);[Red]\(0.00\)">
                  <c:v>2.676</c:v>
                </c:pt>
                <c:pt idx="80" c:formatCode="0.00_);[Red]\(0.00\)">
                  <c:v>2.709</c:v>
                </c:pt>
                <c:pt idx="81" c:formatCode="0.00_);[Red]\(0.00\)">
                  <c:v>2.743</c:v>
                </c:pt>
                <c:pt idx="82" c:formatCode="0.00_);[Red]\(0.00\)">
                  <c:v>2.776</c:v>
                </c:pt>
                <c:pt idx="83" c:formatCode="0.00_);[Red]\(0.00\)">
                  <c:v>2.81</c:v>
                </c:pt>
                <c:pt idx="84" c:formatCode="0.00_);[Red]\(0.00\)">
                  <c:v>2.843</c:v>
                </c:pt>
                <c:pt idx="85" c:formatCode="0.00_);[Red]\(0.00\)">
                  <c:v>2.877</c:v>
                </c:pt>
                <c:pt idx="86" c:formatCode="0.00_);[Red]\(0.00\)">
                  <c:v>2.91</c:v>
                </c:pt>
                <c:pt idx="87" c:formatCode="0.00_);[Red]\(0.00\)">
                  <c:v>2.944</c:v>
                </c:pt>
                <c:pt idx="88" c:formatCode="0.00_);[Red]\(0.00\)">
                  <c:v>2.977</c:v>
                </c:pt>
                <c:pt idx="89" c:formatCode="0.00_);[Red]\(0.00\)">
                  <c:v>3.011</c:v>
                </c:pt>
                <c:pt idx="90" c:formatCode="0.00_);[Red]\(0.00\)">
                  <c:v>3.044</c:v>
                </c:pt>
                <c:pt idx="91" c:formatCode="0.00_);[Red]\(0.00\)">
                  <c:v>3.077</c:v>
                </c:pt>
                <c:pt idx="92" c:formatCode="0.00_);[Red]\(0.00\)">
                  <c:v>3.111</c:v>
                </c:pt>
                <c:pt idx="93" c:formatCode="0.00_);[Red]\(0.00\)">
                  <c:v>3.144</c:v>
                </c:pt>
                <c:pt idx="94" c:formatCode="0.00_);[Red]\(0.00\)">
                  <c:v>3.178</c:v>
                </c:pt>
                <c:pt idx="95" c:formatCode="0.00_);[Red]\(0.00\)">
                  <c:v>3.211</c:v>
                </c:pt>
                <c:pt idx="96" c:formatCode="0.00_);[Red]\(0.00\)">
                  <c:v>3.245</c:v>
                </c:pt>
                <c:pt idx="97" c:formatCode="0.00_);[Red]\(0.00\)">
                  <c:v>3.278</c:v>
                </c:pt>
                <c:pt idx="98" c:formatCode="0.00_);[Red]\(0.00\)">
                  <c:v>3.312</c:v>
                </c:pt>
                <c:pt idx="99" c:formatCode="0.00_);[Red]\(0.00\)">
                  <c:v>3.345</c:v>
                </c:pt>
                <c:pt idx="100" c:formatCode="0.00_);[Red]\(0.00\)">
                  <c:v>3.378</c:v>
                </c:pt>
                <c:pt idx="101" c:formatCode="0.00_);[Red]\(0.00\)">
                  <c:v>3.412</c:v>
                </c:pt>
                <c:pt idx="102" c:formatCode="0.00_);[Red]\(0.00\)">
                  <c:v>3.445</c:v>
                </c:pt>
                <c:pt idx="103" c:formatCode="0.00_);[Red]\(0.00\)">
                  <c:v>3.479</c:v>
                </c:pt>
                <c:pt idx="104" c:formatCode="0.00_);[Red]\(0.00\)">
                  <c:v>3.512</c:v>
                </c:pt>
                <c:pt idx="105" c:formatCode="0.00_);[Red]\(0.00\)">
                  <c:v>3.546</c:v>
                </c:pt>
                <c:pt idx="106" c:formatCode="0.00_);[Red]\(0.00\)">
                  <c:v>3.579</c:v>
                </c:pt>
                <c:pt idx="107" c:formatCode="0.00_);[Red]\(0.00\)">
                  <c:v>3.613</c:v>
                </c:pt>
                <c:pt idx="108" c:formatCode="0.00_);[Red]\(0.00\)">
                  <c:v>3.646</c:v>
                </c:pt>
                <c:pt idx="109" c:formatCode="0.00_);[Red]\(0.00\)">
                  <c:v>3.68</c:v>
                </c:pt>
                <c:pt idx="110" c:formatCode="0.00_);[Red]\(0.00\)">
                  <c:v>3.713</c:v>
                </c:pt>
                <c:pt idx="111" c:formatCode="0.00_);[Red]\(0.00\)">
                  <c:v>3.746</c:v>
                </c:pt>
                <c:pt idx="112" c:formatCode="0.00_);[Red]\(0.00\)">
                  <c:v>3.78</c:v>
                </c:pt>
                <c:pt idx="113" c:formatCode="0.00_);[Red]\(0.00\)">
                  <c:v>3.813</c:v>
                </c:pt>
                <c:pt idx="114" c:formatCode="0.00_);[Red]\(0.00\)">
                  <c:v>3.847</c:v>
                </c:pt>
                <c:pt idx="115" c:formatCode="0.00_);[Red]\(0.00\)">
                  <c:v>3.88</c:v>
                </c:pt>
                <c:pt idx="116" c:formatCode="0.00_);[Red]\(0.00\)">
                  <c:v>3.914</c:v>
                </c:pt>
                <c:pt idx="117" c:formatCode="0.00_);[Red]\(0.00\)">
                  <c:v>3.947</c:v>
                </c:pt>
                <c:pt idx="118" c:formatCode="0.00_);[Red]\(0.00\)">
                  <c:v>3.981</c:v>
                </c:pt>
                <c:pt idx="119" c:formatCode="0.00_);[Red]\(0.00\)">
                  <c:v>4.014</c:v>
                </c:pt>
                <c:pt idx="120" c:formatCode="0.00_);[Red]\(0.00\)">
                  <c:v>4.047</c:v>
                </c:pt>
                <c:pt idx="121" c:formatCode="0.00_);[Red]\(0.00\)">
                  <c:v>4.081</c:v>
                </c:pt>
                <c:pt idx="122" c:formatCode="0.00_);[Red]\(0.00\)">
                  <c:v>4.114</c:v>
                </c:pt>
                <c:pt idx="123" c:formatCode="0.00_);[Red]\(0.00\)">
                  <c:v>4.148</c:v>
                </c:pt>
                <c:pt idx="124" c:formatCode="0.00_);[Red]\(0.00\)">
                  <c:v>4.181</c:v>
                </c:pt>
                <c:pt idx="125" c:formatCode="0.00_);[Red]\(0.00\)">
                  <c:v>4.215</c:v>
                </c:pt>
                <c:pt idx="126" c:formatCode="0.00_);[Red]\(0.00\)">
                  <c:v>4.248</c:v>
                </c:pt>
                <c:pt idx="127" c:formatCode="0.00_);[Red]\(0.00\)">
                  <c:v>4.282</c:v>
                </c:pt>
                <c:pt idx="128" c:formatCode="0.00_);[Red]\(0.00\)">
                  <c:v>4.315</c:v>
                </c:pt>
                <c:pt idx="129" c:formatCode="0.00_);[Red]\(0.00\)">
                  <c:v>4.349</c:v>
                </c:pt>
                <c:pt idx="130" c:formatCode="0.00_);[Red]\(0.00\)">
                  <c:v>4.382</c:v>
                </c:pt>
                <c:pt idx="131" c:formatCode="0.00_);[Red]\(0.00\)">
                  <c:v>4.415</c:v>
                </c:pt>
                <c:pt idx="132" c:formatCode="0.00_);[Red]\(0.00\)">
                  <c:v>4.449</c:v>
                </c:pt>
                <c:pt idx="133" c:formatCode="0.00_);[Red]\(0.00\)">
                  <c:v>4.482</c:v>
                </c:pt>
                <c:pt idx="134" c:formatCode="0.00_);[Red]\(0.00\)">
                  <c:v>4.516</c:v>
                </c:pt>
                <c:pt idx="135" c:formatCode="0.00_);[Red]\(0.00\)">
                  <c:v>4.549</c:v>
                </c:pt>
                <c:pt idx="136" c:formatCode="0.00_);[Red]\(0.00\)">
                  <c:v>4.583</c:v>
                </c:pt>
                <c:pt idx="137" c:formatCode="0.00_);[Red]\(0.00\)">
                  <c:v>4.616</c:v>
                </c:pt>
                <c:pt idx="138" c:formatCode="0.00_);[Red]\(0.00\)">
                  <c:v>4.65</c:v>
                </c:pt>
                <c:pt idx="139" c:formatCode="0.00_);[Red]\(0.00\)">
                  <c:v>4.683</c:v>
                </c:pt>
                <c:pt idx="140" c:formatCode="0.00_);[Red]\(0.00\)">
                  <c:v>4.716</c:v>
                </c:pt>
                <c:pt idx="141" c:formatCode="0.00_);[Red]\(0.00\)">
                  <c:v>4.75</c:v>
                </c:pt>
                <c:pt idx="142" c:formatCode="0.00_);[Red]\(0.00\)">
                  <c:v>4.783</c:v>
                </c:pt>
                <c:pt idx="143" c:formatCode="0.00_);[Red]\(0.00\)">
                  <c:v>4.817</c:v>
                </c:pt>
                <c:pt idx="144" c:formatCode="0.00_);[Red]\(0.00\)">
                  <c:v>4.85</c:v>
                </c:pt>
                <c:pt idx="145" c:formatCode="0.00_);[Red]\(0.00\)">
                  <c:v>4.884</c:v>
                </c:pt>
                <c:pt idx="146" c:formatCode="0.00_);[Red]\(0.00\)">
                  <c:v>4.917</c:v>
                </c:pt>
                <c:pt idx="147" c:formatCode="0.00_);[Red]\(0.00\)">
                  <c:v>4.951</c:v>
                </c:pt>
                <c:pt idx="148" c:formatCode="0.00_);[Red]\(0.00\)">
                  <c:v>4.984</c:v>
                </c:pt>
                <c:pt idx="149" c:formatCode="0.00_);[Red]\(0.00\)">
                  <c:v>5.018</c:v>
                </c:pt>
                <c:pt idx="150" c:formatCode="0.00_);[Red]\(0.00\)">
                  <c:v>5.051</c:v>
                </c:pt>
                <c:pt idx="151" c:formatCode="0.00_);[Red]\(0.00\)">
                  <c:v>5.084</c:v>
                </c:pt>
                <c:pt idx="152" c:formatCode="0.00_);[Red]\(0.00\)">
                  <c:v>5.118</c:v>
                </c:pt>
                <c:pt idx="153" c:formatCode="0.00_);[Red]\(0.00\)">
                  <c:v>5.151</c:v>
                </c:pt>
                <c:pt idx="154" c:formatCode="0.00_);[Red]\(0.00\)">
                  <c:v>5.185</c:v>
                </c:pt>
                <c:pt idx="155" c:formatCode="0.00_);[Red]\(0.00\)">
                  <c:v>5.218</c:v>
                </c:pt>
                <c:pt idx="156" c:formatCode="0.00_);[Red]\(0.00\)">
                  <c:v>5.252</c:v>
                </c:pt>
                <c:pt idx="157" c:formatCode="0.00_);[Red]\(0.00\)">
                  <c:v>5.285</c:v>
                </c:pt>
                <c:pt idx="158" c:formatCode="0.00_);[Red]\(0.00\)">
                  <c:v>5.319</c:v>
                </c:pt>
                <c:pt idx="159" c:formatCode="0.00_);[Red]\(0.00\)">
                  <c:v>5.352</c:v>
                </c:pt>
                <c:pt idx="160" c:formatCode="0.00_);[Red]\(0.00\)">
                  <c:v>5.385</c:v>
                </c:pt>
                <c:pt idx="161" c:formatCode="0.00_);[Red]\(0.00\)">
                  <c:v>5.419</c:v>
                </c:pt>
                <c:pt idx="162" c:formatCode="0.00_);[Red]\(0.00\)">
                  <c:v>5.452</c:v>
                </c:pt>
                <c:pt idx="163" c:formatCode="0.00_);[Red]\(0.00\)">
                  <c:v>5.486</c:v>
                </c:pt>
                <c:pt idx="164" c:formatCode="0.00_);[Red]\(0.00\)">
                  <c:v>5.519</c:v>
                </c:pt>
                <c:pt idx="165" c:formatCode="0.00_);[Red]\(0.00\)">
                  <c:v>5.553</c:v>
                </c:pt>
                <c:pt idx="166" c:formatCode="0.00_);[Red]\(0.00\)">
                  <c:v>5.586</c:v>
                </c:pt>
                <c:pt idx="167" c:formatCode="0.00_);[Red]\(0.00\)">
                  <c:v>5.62</c:v>
                </c:pt>
                <c:pt idx="168" c:formatCode="0.00_);[Red]\(0.00\)">
                  <c:v>5.653</c:v>
                </c:pt>
                <c:pt idx="169" c:formatCode="0.00_);[Red]\(0.00\)">
                  <c:v>5.687</c:v>
                </c:pt>
                <c:pt idx="170" c:formatCode="0.00_);[Red]\(0.00\)">
                  <c:v>5.72</c:v>
                </c:pt>
                <c:pt idx="171" c:formatCode="0.00_);[Red]\(0.00\)">
                  <c:v>5.753</c:v>
                </c:pt>
                <c:pt idx="172" c:formatCode="0.00_);[Red]\(0.00\)">
                  <c:v>5.787</c:v>
                </c:pt>
                <c:pt idx="173" c:formatCode="0.00_);[Red]\(0.00\)">
                  <c:v>5.82</c:v>
                </c:pt>
                <c:pt idx="174" c:formatCode="0.00_);[Red]\(0.00\)">
                  <c:v>5.854</c:v>
                </c:pt>
                <c:pt idx="175" c:formatCode="0.00_);[Red]\(0.00\)">
                  <c:v>5.887</c:v>
                </c:pt>
                <c:pt idx="176" c:formatCode="0.00_);[Red]\(0.00\)">
                  <c:v>5.921</c:v>
                </c:pt>
                <c:pt idx="177" c:formatCode="0.00_);[Red]\(0.00\)">
                  <c:v>5.954</c:v>
                </c:pt>
                <c:pt idx="178" c:formatCode="0.00_);[Red]\(0.00\)">
                  <c:v>5.988</c:v>
                </c:pt>
                <c:pt idx="179" c:formatCode="0.00_);[Red]\(0.00\)">
                  <c:v>6.021</c:v>
                </c:pt>
                <c:pt idx="180" c:formatCode="0.00_);[Red]\(0.00\)">
                  <c:v>6.054</c:v>
                </c:pt>
                <c:pt idx="181" c:formatCode="0.00_);[Red]\(0.00\)">
                  <c:v>6.088</c:v>
                </c:pt>
                <c:pt idx="182" c:formatCode="0.00_);[Red]\(0.00\)">
                  <c:v>6.121</c:v>
                </c:pt>
                <c:pt idx="183" c:formatCode="0.00_);[Red]\(0.00\)">
                  <c:v>6.155</c:v>
                </c:pt>
                <c:pt idx="184" c:formatCode="0.00_);[Red]\(0.00\)">
                  <c:v>6.188</c:v>
                </c:pt>
                <c:pt idx="185" c:formatCode="0.00_);[Red]\(0.00\)">
                  <c:v>6.222</c:v>
                </c:pt>
                <c:pt idx="186" c:formatCode="0.00_);[Red]\(0.00\)">
                  <c:v>6.255</c:v>
                </c:pt>
                <c:pt idx="187" c:formatCode="0.00_);[Red]\(0.00\)">
                  <c:v>6.289</c:v>
                </c:pt>
                <c:pt idx="188" c:formatCode="0.00_);[Red]\(0.00\)">
                  <c:v>6.322</c:v>
                </c:pt>
                <c:pt idx="189" c:formatCode="0.00_);[Red]\(0.00\)">
                  <c:v>6.356</c:v>
                </c:pt>
                <c:pt idx="190" c:formatCode="0.00_);[Red]\(0.00\)">
                  <c:v>6.389</c:v>
                </c:pt>
                <c:pt idx="191" c:formatCode="0.00_);[Red]\(0.00\)">
                  <c:v>6.422</c:v>
                </c:pt>
                <c:pt idx="192" c:formatCode="0.00_);[Red]\(0.00\)">
                  <c:v>6.456</c:v>
                </c:pt>
                <c:pt idx="193" c:formatCode="0.00_);[Red]\(0.00\)">
                  <c:v>6.489</c:v>
                </c:pt>
                <c:pt idx="194" c:formatCode="0.00_);[Red]\(0.00\)">
                  <c:v>6.523</c:v>
                </c:pt>
                <c:pt idx="195" c:formatCode="0.00_);[Red]\(0.00\)">
                  <c:v>6.556</c:v>
                </c:pt>
                <c:pt idx="196" c:formatCode="0.00_);[Red]\(0.00\)">
                  <c:v>6.59</c:v>
                </c:pt>
                <c:pt idx="197" c:formatCode="0.00_);[Red]\(0.00\)">
                  <c:v>6.623</c:v>
                </c:pt>
                <c:pt idx="198" c:formatCode="0.00_);[Red]\(0.00\)">
                  <c:v>6.657</c:v>
                </c:pt>
                <c:pt idx="199" c:formatCode="0.00_);[Red]\(0.00\)">
                  <c:v>6.69</c:v>
                </c:pt>
                <c:pt idx="200" c:formatCode="0.00_);[Red]\(0.00\)">
                  <c:v>6.724</c:v>
                </c:pt>
                <c:pt idx="201" c:formatCode="0.00_);[Red]\(0.00\)">
                  <c:v>6.757</c:v>
                </c:pt>
                <c:pt idx="202" c:formatCode="0.00_);[Red]\(0.00\)">
                  <c:v>6.79</c:v>
                </c:pt>
                <c:pt idx="203" c:formatCode="0.00_);[Red]\(0.00\)">
                  <c:v>6.824</c:v>
                </c:pt>
                <c:pt idx="204" c:formatCode="0.00_);[Red]\(0.00\)">
                  <c:v>6.857</c:v>
                </c:pt>
                <c:pt idx="205" c:formatCode="0.00_);[Red]\(0.00\)">
                  <c:v>6.891</c:v>
                </c:pt>
                <c:pt idx="206" c:formatCode="0.00_);[Red]\(0.00\)">
                  <c:v>6.924</c:v>
                </c:pt>
                <c:pt idx="207" c:formatCode="0.00_);[Red]\(0.00\)">
                  <c:v>6.958</c:v>
                </c:pt>
                <c:pt idx="208" c:formatCode="0.00_);[Red]\(0.00\)">
                  <c:v>6.991</c:v>
                </c:pt>
                <c:pt idx="209" c:formatCode="0.00_);[Red]\(0.00\)">
                  <c:v>7.025</c:v>
                </c:pt>
                <c:pt idx="210" c:formatCode="0.00_);[Red]\(0.00\)">
                  <c:v>7.058</c:v>
                </c:pt>
                <c:pt idx="211" c:formatCode="0.00_);[Red]\(0.00\)">
                  <c:v>7.091</c:v>
                </c:pt>
                <c:pt idx="212" c:formatCode="0.00_);[Red]\(0.00\)">
                  <c:v>7.125</c:v>
                </c:pt>
                <c:pt idx="213" c:formatCode="0.00_);[Red]\(0.00\)">
                  <c:v>7.158</c:v>
                </c:pt>
                <c:pt idx="214" c:formatCode="0.00_);[Red]\(0.00\)">
                  <c:v>7.192</c:v>
                </c:pt>
                <c:pt idx="215" c:formatCode="0.00_);[Red]\(0.00\)">
                  <c:v>7.225</c:v>
                </c:pt>
                <c:pt idx="216" c:formatCode="0.00_);[Red]\(0.00\)">
                  <c:v>7.259</c:v>
                </c:pt>
                <c:pt idx="217" c:formatCode="0.00_);[Red]\(0.00\)">
                  <c:v>7.292</c:v>
                </c:pt>
                <c:pt idx="218" c:formatCode="0.00_);[Red]\(0.00\)">
                  <c:v>7.326</c:v>
                </c:pt>
                <c:pt idx="219" c:formatCode="0.00_);[Red]\(0.00\)">
                  <c:v>7.359</c:v>
                </c:pt>
                <c:pt idx="220" c:formatCode="0.00_);[Red]\(0.00\)">
                  <c:v>7.393</c:v>
                </c:pt>
                <c:pt idx="221" c:formatCode="0.00_);[Red]\(0.00\)">
                  <c:v>7.426</c:v>
                </c:pt>
                <c:pt idx="222" c:formatCode="0.00_);[Red]\(0.00\)">
                  <c:v>7.459</c:v>
                </c:pt>
                <c:pt idx="223" c:formatCode="0.00_);[Red]\(0.00\)">
                  <c:v>7.493</c:v>
                </c:pt>
                <c:pt idx="224" c:formatCode="0.00_);[Red]\(0.00\)">
                  <c:v>7.526</c:v>
                </c:pt>
                <c:pt idx="225" c:formatCode="0.00_);[Red]\(0.00\)">
                  <c:v>7.56</c:v>
                </c:pt>
                <c:pt idx="226" c:formatCode="0.00_);[Red]\(0.00\)">
                  <c:v>7.593</c:v>
                </c:pt>
                <c:pt idx="227" c:formatCode="0.00_);[Red]\(0.00\)">
                  <c:v>7.627</c:v>
                </c:pt>
                <c:pt idx="228" c:formatCode="0.00_);[Red]\(0.00\)">
                  <c:v>7.66</c:v>
                </c:pt>
                <c:pt idx="229" c:formatCode="0.00_);[Red]\(0.00\)">
                  <c:v>7.694</c:v>
                </c:pt>
                <c:pt idx="230" c:formatCode="0.00_);[Red]\(0.00\)">
                  <c:v>7.727</c:v>
                </c:pt>
                <c:pt idx="231" c:formatCode="0.00_);[Red]\(0.00\)">
                  <c:v>7.76</c:v>
                </c:pt>
                <c:pt idx="232" c:formatCode="0.00_);[Red]\(0.00\)">
                  <c:v>7.794</c:v>
                </c:pt>
                <c:pt idx="233" c:formatCode="0.00_);[Red]\(0.00\)">
                  <c:v>7.827</c:v>
                </c:pt>
                <c:pt idx="234" c:formatCode="0.00_);[Red]\(0.00\)">
                  <c:v>7.861</c:v>
                </c:pt>
                <c:pt idx="235" c:formatCode="0.00_);[Red]\(0.00\)">
                  <c:v>7.894</c:v>
                </c:pt>
                <c:pt idx="236" c:formatCode="0.00_);[Red]\(0.00\)">
                  <c:v>7.928</c:v>
                </c:pt>
                <c:pt idx="237" c:formatCode="0.00_);[Red]\(0.00\)">
                  <c:v>7.961</c:v>
                </c:pt>
                <c:pt idx="238" c:formatCode="0.00_);[Red]\(0.00\)">
                  <c:v>7.995</c:v>
                </c:pt>
                <c:pt idx="239" c:formatCode="0.00_);[Red]\(0.00\)">
                  <c:v>8.028</c:v>
                </c:pt>
                <c:pt idx="240" c:formatCode="0.00_);[Red]\(0.00\)">
                  <c:v>8.062</c:v>
                </c:pt>
                <c:pt idx="241" c:formatCode="0.00_);[Red]\(0.00\)">
                  <c:v>8.095</c:v>
                </c:pt>
                <c:pt idx="242" c:formatCode="0.00_);[Red]\(0.00\)">
                  <c:v>8.128</c:v>
                </c:pt>
                <c:pt idx="243" c:formatCode="0.00_);[Red]\(0.00\)">
                  <c:v>8.162</c:v>
                </c:pt>
                <c:pt idx="244" c:formatCode="0.00_);[Red]\(0.00\)">
                  <c:v>8.195</c:v>
                </c:pt>
                <c:pt idx="245" c:formatCode="0.00_);[Red]\(0.00\)">
                  <c:v>8.229</c:v>
                </c:pt>
                <c:pt idx="246" c:formatCode="0.00_);[Red]\(0.00\)">
                  <c:v>8.262</c:v>
                </c:pt>
                <c:pt idx="247" c:formatCode="0.00_);[Red]\(0.00\)">
                  <c:v>8.296</c:v>
                </c:pt>
                <c:pt idx="248" c:formatCode="0.00_);[Red]\(0.00\)">
                  <c:v>8.329</c:v>
                </c:pt>
                <c:pt idx="249" c:formatCode="0.00_);[Red]\(0.00\)">
                  <c:v>8.363</c:v>
                </c:pt>
                <c:pt idx="250" c:formatCode="0.00_);[Red]\(0.00\)">
                  <c:v>8.396</c:v>
                </c:pt>
                <c:pt idx="251" c:formatCode="0.00_);[Red]\(0.00\)">
                  <c:v>8.429</c:v>
                </c:pt>
                <c:pt idx="252" c:formatCode="0.00_);[Red]\(0.00\)">
                  <c:v>8.463</c:v>
                </c:pt>
                <c:pt idx="253" c:formatCode="0.00_);[Red]\(0.00\)">
                  <c:v>8.496</c:v>
                </c:pt>
                <c:pt idx="254" c:formatCode="0.00_);[Red]\(0.00\)">
                  <c:v>8.53</c:v>
                </c:pt>
                <c:pt idx="255" c:formatCode="0.00_);[Red]\(0.00\)">
                  <c:v>8.563</c:v>
                </c:pt>
                <c:pt idx="256" c:formatCode="0.00_);[Red]\(0.00\)">
                  <c:v>8.597</c:v>
                </c:pt>
                <c:pt idx="257" c:formatCode="0.00_);[Red]\(0.00\)">
                  <c:v>8.63</c:v>
                </c:pt>
                <c:pt idx="258" c:formatCode="0.00_);[Red]\(0.00\)">
                  <c:v>8.664</c:v>
                </c:pt>
                <c:pt idx="259" c:formatCode="0.00_);[Red]\(0.00\)">
                  <c:v>8.697</c:v>
                </c:pt>
                <c:pt idx="260" c:formatCode="0.00_);[Red]\(0.00\)">
                  <c:v>8.731</c:v>
                </c:pt>
                <c:pt idx="261" c:formatCode="0.00_);[Red]\(0.00\)">
                  <c:v>8.764</c:v>
                </c:pt>
                <c:pt idx="262" c:formatCode="0.00_);[Red]\(0.00\)">
                  <c:v>8.797</c:v>
                </c:pt>
                <c:pt idx="263" c:formatCode="0.00_);[Red]\(0.00\)">
                  <c:v>8.831</c:v>
                </c:pt>
                <c:pt idx="264" c:formatCode="0.00_);[Red]\(0.00\)">
                  <c:v>8.864</c:v>
                </c:pt>
                <c:pt idx="265" c:formatCode="0.00_);[Red]\(0.00\)">
                  <c:v>8.898</c:v>
                </c:pt>
                <c:pt idx="266" c:formatCode="0.00_);[Red]\(0.00\)">
                  <c:v>8.931</c:v>
                </c:pt>
                <c:pt idx="267" c:formatCode="0.00_);[Red]\(0.00\)">
                  <c:v>8.965</c:v>
                </c:pt>
                <c:pt idx="268" c:formatCode="0.00_);[Red]\(0.00\)">
                  <c:v>8.998</c:v>
                </c:pt>
                <c:pt idx="269" c:formatCode="0.00_);[Red]\(0.00\)">
                  <c:v>9.032</c:v>
                </c:pt>
                <c:pt idx="270" c:formatCode="0.00_);[Red]\(0.00\)">
                  <c:v>9.065</c:v>
                </c:pt>
                <c:pt idx="271" c:formatCode="0.00_);[Red]\(0.00\)">
                  <c:v>9.098</c:v>
                </c:pt>
                <c:pt idx="272" c:formatCode="0.00_);[Red]\(0.00\)">
                  <c:v>9.132</c:v>
                </c:pt>
                <c:pt idx="273" c:formatCode="0.00_);[Red]\(0.00\)">
                  <c:v>9.165</c:v>
                </c:pt>
                <c:pt idx="274" c:formatCode="0.00_);[Red]\(0.00\)">
                  <c:v>9.199</c:v>
                </c:pt>
                <c:pt idx="275" c:formatCode="0.00_);[Red]\(0.00\)">
                  <c:v>9.232</c:v>
                </c:pt>
                <c:pt idx="276" c:formatCode="0.00_);[Red]\(0.00\)">
                  <c:v>9.266</c:v>
                </c:pt>
                <c:pt idx="277" c:formatCode="0.00_);[Red]\(0.00\)">
                  <c:v>9.299</c:v>
                </c:pt>
                <c:pt idx="278" c:formatCode="0.00_);[Red]\(0.00\)">
                  <c:v>9.333</c:v>
                </c:pt>
                <c:pt idx="279" c:formatCode="0.00_);[Red]\(0.00\)">
                  <c:v>9.366</c:v>
                </c:pt>
                <c:pt idx="280" c:formatCode="0.00_);[Red]\(0.00\)">
                  <c:v>9.4</c:v>
                </c:pt>
                <c:pt idx="281" c:formatCode="0.00_);[Red]\(0.00\)">
                  <c:v>9.433</c:v>
                </c:pt>
                <c:pt idx="282" c:formatCode="0.00_);[Red]\(0.00\)">
                  <c:v>9.466</c:v>
                </c:pt>
                <c:pt idx="283" c:formatCode="0.00_);[Red]\(0.00\)">
                  <c:v>9.5</c:v>
                </c:pt>
                <c:pt idx="284" c:formatCode="0.00_);[Red]\(0.00\)">
                  <c:v>9.533</c:v>
                </c:pt>
                <c:pt idx="285" c:formatCode="0.00_);[Red]\(0.00\)">
                  <c:v>9.567</c:v>
                </c:pt>
                <c:pt idx="286" c:formatCode="0.00_);[Red]\(0.00\)">
                  <c:v>9.6</c:v>
                </c:pt>
                <c:pt idx="287" c:formatCode="0.00_);[Red]\(0.00\)">
                  <c:v>9.634</c:v>
                </c:pt>
                <c:pt idx="288" c:formatCode="0.00_);[Red]\(0.00\)">
                  <c:v>9.667</c:v>
                </c:pt>
                <c:pt idx="289" c:formatCode="0.00_);[Red]\(0.00\)">
                  <c:v>9.701</c:v>
                </c:pt>
                <c:pt idx="290" c:formatCode="0.00_);[Red]\(0.00\)">
                  <c:v>9.734</c:v>
                </c:pt>
                <c:pt idx="291" c:formatCode="0.00_);[Red]\(0.00\)">
                  <c:v>9.767</c:v>
                </c:pt>
                <c:pt idx="292" c:formatCode="0.00_);[Red]\(0.00\)">
                  <c:v>9.801</c:v>
                </c:pt>
                <c:pt idx="293" c:formatCode="0.00_);[Red]\(0.00\)">
                  <c:v>9.834</c:v>
                </c:pt>
                <c:pt idx="294" c:formatCode="0.00_);[Red]\(0.00\)">
                  <c:v>9.868</c:v>
                </c:pt>
                <c:pt idx="295" c:formatCode="0.00_);[Red]\(0.00\)">
                  <c:v>9.901</c:v>
                </c:pt>
                <c:pt idx="296" c:formatCode="0.00_);[Red]\(0.00\)">
                  <c:v>9.935</c:v>
                </c:pt>
                <c:pt idx="297" c:formatCode="0.00_);[Red]\(0.00\)">
                  <c:v>9.968</c:v>
                </c:pt>
                <c:pt idx="298" c:formatCode="0.00_);[Red]\(0.00\)">
                  <c:v>10.002</c:v>
                </c:pt>
                <c:pt idx="299" c:formatCode="0.00_);[Red]\(0.00\)">
                  <c:v>10.035</c:v>
                </c:pt>
                <c:pt idx="300" c:formatCode="0.00_);[Red]\(0.00\)">
                  <c:v>10.069</c:v>
                </c:pt>
                <c:pt idx="301" c:formatCode="0.00_);[Red]\(0.00\)">
                  <c:v>10.102</c:v>
                </c:pt>
                <c:pt idx="302" c:formatCode="0.00_);[Red]\(0.00\)">
                  <c:v>10.135</c:v>
                </c:pt>
                <c:pt idx="303" c:formatCode="0.00_);[Red]\(0.00\)">
                  <c:v>10.169</c:v>
                </c:pt>
                <c:pt idx="304" c:formatCode="0.00_);[Red]\(0.00\)">
                  <c:v>10.202</c:v>
                </c:pt>
                <c:pt idx="305" c:formatCode="0.00_);[Red]\(0.00\)">
                  <c:v>10.236</c:v>
                </c:pt>
                <c:pt idx="306" c:formatCode="0.00_);[Red]\(0.00\)">
                  <c:v>10.269</c:v>
                </c:pt>
                <c:pt idx="307" c:formatCode="0.00_);[Red]\(0.00\)">
                  <c:v>10.303</c:v>
                </c:pt>
                <c:pt idx="308" c:formatCode="0.00_);[Red]\(0.00\)">
                  <c:v>10.336</c:v>
                </c:pt>
                <c:pt idx="309" c:formatCode="0.00_);[Red]\(0.00\)">
                  <c:v>10.37</c:v>
                </c:pt>
                <c:pt idx="310" c:formatCode="0.00_);[Red]\(0.00\)">
                  <c:v>10.403</c:v>
                </c:pt>
                <c:pt idx="311" c:formatCode="0.00_);[Red]\(0.00\)">
                  <c:v>10.436</c:v>
                </c:pt>
                <c:pt idx="312" c:formatCode="0.00_);[Red]\(0.00\)">
                  <c:v>10.47</c:v>
                </c:pt>
                <c:pt idx="313" c:formatCode="0.00_);[Red]\(0.00\)">
                  <c:v>10.503</c:v>
                </c:pt>
                <c:pt idx="314" c:formatCode="0.00_);[Red]\(0.00\)">
                  <c:v>10.537</c:v>
                </c:pt>
                <c:pt idx="315" c:formatCode="0.00_);[Red]\(0.00\)">
                  <c:v>10.57</c:v>
                </c:pt>
                <c:pt idx="316" c:formatCode="0.00_);[Red]\(0.00\)">
                  <c:v>10.604</c:v>
                </c:pt>
                <c:pt idx="317" c:formatCode="0.00_);[Red]\(0.00\)">
                  <c:v>10.637</c:v>
                </c:pt>
                <c:pt idx="318" c:formatCode="0.00_);[Red]\(0.00\)">
                  <c:v>10.671</c:v>
                </c:pt>
                <c:pt idx="319" c:formatCode="0.00_);[Red]\(0.00\)">
                  <c:v>10.704</c:v>
                </c:pt>
                <c:pt idx="320" c:formatCode="0.00_);[Red]\(0.00\)">
                  <c:v>10.738</c:v>
                </c:pt>
                <c:pt idx="321" c:formatCode="0.00_);[Red]\(0.00\)">
                  <c:v>10.771</c:v>
                </c:pt>
                <c:pt idx="322" c:formatCode="0.00_);[Red]\(0.00\)">
                  <c:v>10.804</c:v>
                </c:pt>
                <c:pt idx="323" c:formatCode="0.00_);[Red]\(0.00\)">
                  <c:v>10.838</c:v>
                </c:pt>
                <c:pt idx="324" c:formatCode="0.00_);[Red]\(0.00\)">
                  <c:v>10.871</c:v>
                </c:pt>
                <c:pt idx="325" c:formatCode="0.00_);[Red]\(0.00\)">
                  <c:v>10.905</c:v>
                </c:pt>
                <c:pt idx="326" c:formatCode="0.00_);[Red]\(0.00\)">
                  <c:v>10.938</c:v>
                </c:pt>
                <c:pt idx="327" c:formatCode="0.00_);[Red]\(0.00\)">
                  <c:v>10.972</c:v>
                </c:pt>
                <c:pt idx="328" c:formatCode="0.00_);[Red]\(0.00\)">
                  <c:v>11.005</c:v>
                </c:pt>
                <c:pt idx="329" c:formatCode="0.00_);[Red]\(0.00\)">
                  <c:v>11.039</c:v>
                </c:pt>
                <c:pt idx="330" c:formatCode="0.00_);[Red]\(0.00\)">
                  <c:v>11.072</c:v>
                </c:pt>
              </c:numCache>
            </c:numRef>
          </c:cat>
          <c:val>
            <c:numRef>
              <c:f>'A_10_14_37_3-0.4'!$L$4:$L$334</c:f>
              <c:numCache>
                <c:formatCode>General</c:formatCode>
                <c:ptCount val="331"/>
                <c:pt idx="0">
                  <c:v>0</c:v>
                </c:pt>
                <c:pt idx="1">
                  <c:v>-0.999999999999959</c:v>
                </c:pt>
                <c:pt idx="2">
                  <c:v>-0.999999999999959</c:v>
                </c:pt>
                <c:pt idx="3">
                  <c:v>-0.999999999999959</c:v>
                </c:pt>
                <c:pt idx="4">
                  <c:v>-0.999999999999959</c:v>
                </c:pt>
                <c:pt idx="5">
                  <c:v>-0.999999999999959</c:v>
                </c:pt>
                <c:pt idx="6">
                  <c:v>-0.999999999999959</c:v>
                </c:pt>
                <c:pt idx="7">
                  <c:v>-0.999999999999959</c:v>
                </c:pt>
                <c:pt idx="8">
                  <c:v>-0.999999999999959</c:v>
                </c:pt>
                <c:pt idx="9">
                  <c:v>-0.999999999999959</c:v>
                </c:pt>
                <c:pt idx="10">
                  <c:v>-0.999999999999959</c:v>
                </c:pt>
                <c:pt idx="11">
                  <c:v>-0.999999999999959</c:v>
                </c:pt>
                <c:pt idx="12">
                  <c:v>-0.999999999999959</c:v>
                </c:pt>
                <c:pt idx="13">
                  <c:v>-0.999999999999959</c:v>
                </c:pt>
                <c:pt idx="14">
                  <c:v>-0.999999999999959</c:v>
                </c:pt>
                <c:pt idx="15">
                  <c:v>-0.999999999999959</c:v>
                </c:pt>
                <c:pt idx="16">
                  <c:v>-0.999999999999959</c:v>
                </c:pt>
                <c:pt idx="17">
                  <c:v>-0.999999999999959</c:v>
                </c:pt>
                <c:pt idx="18">
                  <c:v>-0.999999999999959</c:v>
                </c:pt>
                <c:pt idx="19">
                  <c:v>-0.999999999999959</c:v>
                </c:pt>
                <c:pt idx="20">
                  <c:v>-0.999999999999959</c:v>
                </c:pt>
                <c:pt idx="21">
                  <c:v>-0.999999999999959</c:v>
                </c:pt>
                <c:pt idx="22">
                  <c:v>-0.999999999999959</c:v>
                </c:pt>
                <c:pt idx="23">
                  <c:v>-0.999999999999959</c:v>
                </c:pt>
                <c:pt idx="24">
                  <c:v>-0.999999999999959</c:v>
                </c:pt>
                <c:pt idx="25">
                  <c:v>-0.999999999999959</c:v>
                </c:pt>
                <c:pt idx="26">
                  <c:v>-0.999999999999959</c:v>
                </c:pt>
                <c:pt idx="27">
                  <c:v>-0.999999999999959</c:v>
                </c:pt>
                <c:pt idx="28">
                  <c:v>-0.999999999999959</c:v>
                </c:pt>
                <c:pt idx="29">
                  <c:v>-0.999999999999959</c:v>
                </c:pt>
                <c:pt idx="30">
                  <c:v>-0.999999999999959</c:v>
                </c:pt>
                <c:pt idx="31">
                  <c:v>-0.999999999999959</c:v>
                </c:pt>
                <c:pt idx="32">
                  <c:v>-0.999999999999959</c:v>
                </c:pt>
                <c:pt idx="33">
                  <c:v>-0.999999999999959</c:v>
                </c:pt>
                <c:pt idx="34">
                  <c:v>-0.999999999999959</c:v>
                </c:pt>
                <c:pt idx="35">
                  <c:v>-0.999999999999959</c:v>
                </c:pt>
                <c:pt idx="36">
                  <c:v>-0.999999999999959</c:v>
                </c:pt>
                <c:pt idx="37">
                  <c:v>-0.999999999999959</c:v>
                </c:pt>
                <c:pt idx="38">
                  <c:v>-0.999999999999959</c:v>
                </c:pt>
                <c:pt idx="39">
                  <c:v>-0.999999999999959</c:v>
                </c:pt>
                <c:pt idx="40">
                  <c:v>-0.999999999999959</c:v>
                </c:pt>
                <c:pt idx="41">
                  <c:v>-0.999999999999959</c:v>
                </c:pt>
                <c:pt idx="42">
                  <c:v>-0.999999999999959</c:v>
                </c:pt>
                <c:pt idx="43">
                  <c:v>-0.999999999999959</c:v>
                </c:pt>
                <c:pt idx="44">
                  <c:v>-0.999999999999959</c:v>
                </c:pt>
                <c:pt idx="45">
                  <c:v>-0.999999999999959</c:v>
                </c:pt>
                <c:pt idx="46">
                  <c:v>-0.999999999999959</c:v>
                </c:pt>
                <c:pt idx="47">
                  <c:v>-0.999999999999959</c:v>
                </c:pt>
                <c:pt idx="48">
                  <c:v>-0.999999999999959</c:v>
                </c:pt>
                <c:pt idx="49">
                  <c:v>-0.999999999999959</c:v>
                </c:pt>
                <c:pt idx="50">
                  <c:v>-0.999999999999959</c:v>
                </c:pt>
                <c:pt idx="51">
                  <c:v>-0.999999999999959</c:v>
                </c:pt>
                <c:pt idx="52">
                  <c:v>-0.999999999999959</c:v>
                </c:pt>
                <c:pt idx="53">
                  <c:v>-0.999999999999959</c:v>
                </c:pt>
                <c:pt idx="54">
                  <c:v>-0.999999999999959</c:v>
                </c:pt>
                <c:pt idx="55">
                  <c:v>-0.999999999999959</c:v>
                </c:pt>
                <c:pt idx="56">
                  <c:v>-0.999999999999959</c:v>
                </c:pt>
                <c:pt idx="57">
                  <c:v>-0.999999999999959</c:v>
                </c:pt>
                <c:pt idx="58">
                  <c:v>-0.999999999999959</c:v>
                </c:pt>
                <c:pt idx="59">
                  <c:v>-0.999999999999959</c:v>
                </c:pt>
                <c:pt idx="60">
                  <c:v>-0.999999999999959</c:v>
                </c:pt>
                <c:pt idx="61">
                  <c:v>-0.999999999999959</c:v>
                </c:pt>
                <c:pt idx="62">
                  <c:v>-0.999999999999959</c:v>
                </c:pt>
                <c:pt idx="63">
                  <c:v>-0.999999999999959</c:v>
                </c:pt>
                <c:pt idx="64">
                  <c:v>-0.999999999999959</c:v>
                </c:pt>
                <c:pt idx="65">
                  <c:v>-0.999999999999959</c:v>
                </c:pt>
                <c:pt idx="66">
                  <c:v>-0.999999999999959</c:v>
                </c:pt>
                <c:pt idx="67">
                  <c:v>-0.999999999999959</c:v>
                </c:pt>
                <c:pt idx="68">
                  <c:v>-0.999999999999959</c:v>
                </c:pt>
                <c:pt idx="69">
                  <c:v>-0.999999999999959</c:v>
                </c:pt>
                <c:pt idx="70">
                  <c:v>-0.999999999999959</c:v>
                </c:pt>
                <c:pt idx="71">
                  <c:v>-0.999999999999959</c:v>
                </c:pt>
                <c:pt idx="72">
                  <c:v>-0.999999999999959</c:v>
                </c:pt>
                <c:pt idx="73">
                  <c:v>-0.999999999999959</c:v>
                </c:pt>
                <c:pt idx="74">
                  <c:v>-0.999999999999959</c:v>
                </c:pt>
                <c:pt idx="75">
                  <c:v>-0.999999999999959</c:v>
                </c:pt>
                <c:pt idx="76">
                  <c:v>-0.999999999999959</c:v>
                </c:pt>
                <c:pt idx="77">
                  <c:v>-0.999999999999959</c:v>
                </c:pt>
                <c:pt idx="78">
                  <c:v>-0.999999999999959</c:v>
                </c:pt>
                <c:pt idx="79">
                  <c:v>-0.999999999999959</c:v>
                </c:pt>
                <c:pt idx="80">
                  <c:v>-0.999999999999959</c:v>
                </c:pt>
                <c:pt idx="81">
                  <c:v>-0.999999999999959</c:v>
                </c:pt>
                <c:pt idx="82">
                  <c:v>-0.999999999999959</c:v>
                </c:pt>
                <c:pt idx="83">
                  <c:v>-0.999999999999959</c:v>
                </c:pt>
                <c:pt idx="84">
                  <c:v>-0.999999999999959</c:v>
                </c:pt>
                <c:pt idx="85">
                  <c:v>-0.999999999999959</c:v>
                </c:pt>
                <c:pt idx="86">
                  <c:v>-0.999999999999959</c:v>
                </c:pt>
                <c:pt idx="87">
                  <c:v>-0.999999999999959</c:v>
                </c:pt>
                <c:pt idx="88">
                  <c:v>-0.999999999999959</c:v>
                </c:pt>
                <c:pt idx="89">
                  <c:v>-0.999999999999959</c:v>
                </c:pt>
                <c:pt idx="90">
                  <c:v>-0.999999999999959</c:v>
                </c:pt>
                <c:pt idx="91">
                  <c:v>-0.999999999999959</c:v>
                </c:pt>
                <c:pt idx="92">
                  <c:v>7.10000000000002</c:v>
                </c:pt>
                <c:pt idx="93">
                  <c:v>7.10000000000002</c:v>
                </c:pt>
                <c:pt idx="94">
                  <c:v>7.10000000000002</c:v>
                </c:pt>
                <c:pt idx="95">
                  <c:v>7.10000000000002</c:v>
                </c:pt>
                <c:pt idx="96">
                  <c:v>7.10000000000002</c:v>
                </c:pt>
                <c:pt idx="97">
                  <c:v>7.10000000000002</c:v>
                </c:pt>
                <c:pt idx="98">
                  <c:v>7.10000000000002</c:v>
                </c:pt>
                <c:pt idx="99">
                  <c:v>7.10000000000002</c:v>
                </c:pt>
                <c:pt idx="100">
                  <c:v>7.10000000000002</c:v>
                </c:pt>
                <c:pt idx="101">
                  <c:v>7.10000000000002</c:v>
                </c:pt>
                <c:pt idx="102">
                  <c:v>7.10000000000002</c:v>
                </c:pt>
                <c:pt idx="103">
                  <c:v>7.10000000000002</c:v>
                </c:pt>
                <c:pt idx="104">
                  <c:v>7.10000000000002</c:v>
                </c:pt>
                <c:pt idx="105">
                  <c:v>-0.999999999999959</c:v>
                </c:pt>
                <c:pt idx="106">
                  <c:v>-0.999999999999959</c:v>
                </c:pt>
                <c:pt idx="107">
                  <c:v>-0.999999999999959</c:v>
                </c:pt>
                <c:pt idx="108">
                  <c:v>-0.999999999999959</c:v>
                </c:pt>
                <c:pt idx="109">
                  <c:v>-0.999999999999959</c:v>
                </c:pt>
                <c:pt idx="110">
                  <c:v>-0.999999999999959</c:v>
                </c:pt>
                <c:pt idx="111">
                  <c:v>-0.999999999999959</c:v>
                </c:pt>
                <c:pt idx="112">
                  <c:v>-0.999999999999959</c:v>
                </c:pt>
                <c:pt idx="113">
                  <c:v>-0.999999999999959</c:v>
                </c:pt>
                <c:pt idx="114">
                  <c:v>-0.999999999999959</c:v>
                </c:pt>
                <c:pt idx="115">
                  <c:v>-0.999999999999959</c:v>
                </c:pt>
                <c:pt idx="116">
                  <c:v>7.10000000000002</c:v>
                </c:pt>
                <c:pt idx="117">
                  <c:v>7.10000000000002</c:v>
                </c:pt>
                <c:pt idx="118">
                  <c:v>7.10000000000002</c:v>
                </c:pt>
                <c:pt idx="119">
                  <c:v>7.10000000000002</c:v>
                </c:pt>
                <c:pt idx="120">
                  <c:v>7.10000000000002</c:v>
                </c:pt>
                <c:pt idx="121">
                  <c:v>7.10000000000002</c:v>
                </c:pt>
                <c:pt idx="122">
                  <c:v>7.10000000000002</c:v>
                </c:pt>
                <c:pt idx="123">
                  <c:v>7.10000000000002</c:v>
                </c:pt>
                <c:pt idx="124">
                  <c:v>7.10000000000002</c:v>
                </c:pt>
                <c:pt idx="125">
                  <c:v>7.10000000000002</c:v>
                </c:pt>
                <c:pt idx="126">
                  <c:v>7.10000000000002</c:v>
                </c:pt>
                <c:pt idx="127">
                  <c:v>7.10000000000002</c:v>
                </c:pt>
                <c:pt idx="128">
                  <c:v>7.10000000000002</c:v>
                </c:pt>
                <c:pt idx="129">
                  <c:v>-0.999999999999959</c:v>
                </c:pt>
                <c:pt idx="130">
                  <c:v>-0.999999999999959</c:v>
                </c:pt>
                <c:pt idx="131">
                  <c:v>-0.999999999999959</c:v>
                </c:pt>
                <c:pt idx="132">
                  <c:v>-0.999999999999959</c:v>
                </c:pt>
                <c:pt idx="133">
                  <c:v>-0.999999999999959</c:v>
                </c:pt>
                <c:pt idx="134">
                  <c:v>-0.999999999999959</c:v>
                </c:pt>
                <c:pt idx="135">
                  <c:v>-0.999999999999959</c:v>
                </c:pt>
                <c:pt idx="136">
                  <c:v>-0.999999999999959</c:v>
                </c:pt>
                <c:pt idx="137">
                  <c:v>-0.999999999999959</c:v>
                </c:pt>
                <c:pt idx="138">
                  <c:v>-0.999999999999959</c:v>
                </c:pt>
                <c:pt idx="139">
                  <c:v>-0.999999999999959</c:v>
                </c:pt>
                <c:pt idx="140">
                  <c:v>-0.999999999999959</c:v>
                </c:pt>
                <c:pt idx="141">
                  <c:v>7.10000000000002</c:v>
                </c:pt>
                <c:pt idx="142">
                  <c:v>7.10000000000002</c:v>
                </c:pt>
                <c:pt idx="143">
                  <c:v>7.10000000000002</c:v>
                </c:pt>
                <c:pt idx="144">
                  <c:v>7.10000000000002</c:v>
                </c:pt>
                <c:pt idx="145">
                  <c:v>7.10000000000002</c:v>
                </c:pt>
                <c:pt idx="146">
                  <c:v>7.10000000000002</c:v>
                </c:pt>
                <c:pt idx="147">
                  <c:v>7.10000000000002</c:v>
                </c:pt>
                <c:pt idx="148">
                  <c:v>7.10000000000002</c:v>
                </c:pt>
                <c:pt idx="149">
                  <c:v>7.10000000000002</c:v>
                </c:pt>
                <c:pt idx="150">
                  <c:v>7.10000000000002</c:v>
                </c:pt>
                <c:pt idx="151">
                  <c:v>7.10000000000002</c:v>
                </c:pt>
                <c:pt idx="152">
                  <c:v>7.10000000000002</c:v>
                </c:pt>
                <c:pt idx="153">
                  <c:v>-0.999999999999959</c:v>
                </c:pt>
                <c:pt idx="154">
                  <c:v>-0.999999999999959</c:v>
                </c:pt>
                <c:pt idx="155">
                  <c:v>-0.999999999999959</c:v>
                </c:pt>
                <c:pt idx="156">
                  <c:v>-0.999999999999959</c:v>
                </c:pt>
                <c:pt idx="157">
                  <c:v>-0.999999999999959</c:v>
                </c:pt>
                <c:pt idx="158">
                  <c:v>-0.999999999999959</c:v>
                </c:pt>
                <c:pt idx="159">
                  <c:v>-0.999999999999959</c:v>
                </c:pt>
                <c:pt idx="160">
                  <c:v>-0.999999999999959</c:v>
                </c:pt>
                <c:pt idx="161">
                  <c:v>-0.999999999999959</c:v>
                </c:pt>
                <c:pt idx="162">
                  <c:v>-0.999999999999959</c:v>
                </c:pt>
                <c:pt idx="163">
                  <c:v>-0.999999999999959</c:v>
                </c:pt>
                <c:pt idx="164">
                  <c:v>-0.999999999999959</c:v>
                </c:pt>
                <c:pt idx="165">
                  <c:v>-0.999999999999959</c:v>
                </c:pt>
                <c:pt idx="166">
                  <c:v>-0.999999999999959</c:v>
                </c:pt>
                <c:pt idx="167">
                  <c:v>-0.999999999999959</c:v>
                </c:pt>
                <c:pt idx="168">
                  <c:v>-0.999999999999959</c:v>
                </c:pt>
                <c:pt idx="169">
                  <c:v>-0.999999999999959</c:v>
                </c:pt>
                <c:pt idx="170">
                  <c:v>-0.999999999999959</c:v>
                </c:pt>
                <c:pt idx="171">
                  <c:v>-0.999999999999959</c:v>
                </c:pt>
                <c:pt idx="172">
                  <c:v>-0.999999999999959</c:v>
                </c:pt>
                <c:pt idx="173">
                  <c:v>-0.999999999999959</c:v>
                </c:pt>
                <c:pt idx="174">
                  <c:v>-0.999999999999959</c:v>
                </c:pt>
                <c:pt idx="175">
                  <c:v>-0.999999999999959</c:v>
                </c:pt>
                <c:pt idx="176">
                  <c:v>-0.999999999999959</c:v>
                </c:pt>
                <c:pt idx="177">
                  <c:v>-0.999999999999959</c:v>
                </c:pt>
                <c:pt idx="178">
                  <c:v>-0.999999999999959</c:v>
                </c:pt>
                <c:pt idx="179">
                  <c:v>-0.999999999999959</c:v>
                </c:pt>
                <c:pt idx="180">
                  <c:v>-0.999999999999959</c:v>
                </c:pt>
                <c:pt idx="181">
                  <c:v>-0.999999999999959</c:v>
                </c:pt>
                <c:pt idx="182">
                  <c:v>-0.999999999999959</c:v>
                </c:pt>
                <c:pt idx="183">
                  <c:v>-0.999999999999959</c:v>
                </c:pt>
                <c:pt idx="184">
                  <c:v>-0.999999999999959</c:v>
                </c:pt>
                <c:pt idx="185">
                  <c:v>-0.999999999999959</c:v>
                </c:pt>
                <c:pt idx="186">
                  <c:v>-0.999999999999959</c:v>
                </c:pt>
                <c:pt idx="187">
                  <c:v>-0.999999999999959</c:v>
                </c:pt>
                <c:pt idx="188">
                  <c:v>-0.999999999999959</c:v>
                </c:pt>
                <c:pt idx="189">
                  <c:v>-0.999999999999959</c:v>
                </c:pt>
                <c:pt idx="190">
                  <c:v>-0.999999999999959</c:v>
                </c:pt>
                <c:pt idx="191">
                  <c:v>-0.999999999999959</c:v>
                </c:pt>
                <c:pt idx="192">
                  <c:v>-0.999999999999959</c:v>
                </c:pt>
                <c:pt idx="193">
                  <c:v>-0.999999999999959</c:v>
                </c:pt>
                <c:pt idx="194">
                  <c:v>-0.999999999999959</c:v>
                </c:pt>
                <c:pt idx="195">
                  <c:v>-0.999999999999959</c:v>
                </c:pt>
                <c:pt idx="196">
                  <c:v>-0.999999999999959</c:v>
                </c:pt>
                <c:pt idx="197">
                  <c:v>-0.999999999999959</c:v>
                </c:pt>
                <c:pt idx="198">
                  <c:v>-0.999999999999959</c:v>
                </c:pt>
                <c:pt idx="199">
                  <c:v>-0.999999999999959</c:v>
                </c:pt>
                <c:pt idx="200">
                  <c:v>-0.999999999999959</c:v>
                </c:pt>
                <c:pt idx="201">
                  <c:v>-0.999999999999959</c:v>
                </c:pt>
                <c:pt idx="202">
                  <c:v>-0.999999999999959</c:v>
                </c:pt>
                <c:pt idx="203">
                  <c:v>-0.999999999999959</c:v>
                </c:pt>
                <c:pt idx="204">
                  <c:v>-0.999999999999959</c:v>
                </c:pt>
                <c:pt idx="205">
                  <c:v>-0.999999999999959</c:v>
                </c:pt>
                <c:pt idx="206">
                  <c:v>-0.999999999999959</c:v>
                </c:pt>
                <c:pt idx="207">
                  <c:v>-0.999999999999959</c:v>
                </c:pt>
                <c:pt idx="208">
                  <c:v>-0.999999999999959</c:v>
                </c:pt>
                <c:pt idx="209">
                  <c:v>-0.999999999999959</c:v>
                </c:pt>
                <c:pt idx="210">
                  <c:v>-0.999999999999959</c:v>
                </c:pt>
                <c:pt idx="211">
                  <c:v>-0.999999999999959</c:v>
                </c:pt>
                <c:pt idx="212">
                  <c:v>-0.999999999999959</c:v>
                </c:pt>
                <c:pt idx="213">
                  <c:v>-0.999999999999959</c:v>
                </c:pt>
                <c:pt idx="214">
                  <c:v>-0.999999999999959</c:v>
                </c:pt>
                <c:pt idx="215">
                  <c:v>-0.999999999999959</c:v>
                </c:pt>
                <c:pt idx="216">
                  <c:v>-0.999999999999959</c:v>
                </c:pt>
                <c:pt idx="217">
                  <c:v>-0.999999999999959</c:v>
                </c:pt>
                <c:pt idx="218">
                  <c:v>-0.999999999999959</c:v>
                </c:pt>
                <c:pt idx="219">
                  <c:v>-0.999999999999959</c:v>
                </c:pt>
                <c:pt idx="220">
                  <c:v>-0.999999999999959</c:v>
                </c:pt>
                <c:pt idx="221">
                  <c:v>-0.999999999999959</c:v>
                </c:pt>
                <c:pt idx="222">
                  <c:v>-0.999999999999959</c:v>
                </c:pt>
                <c:pt idx="223">
                  <c:v>-0.999999999999959</c:v>
                </c:pt>
                <c:pt idx="224">
                  <c:v>-0.999999999999959</c:v>
                </c:pt>
                <c:pt idx="225">
                  <c:v>-0.999999999999959</c:v>
                </c:pt>
                <c:pt idx="226">
                  <c:v>-0.999999999999959</c:v>
                </c:pt>
                <c:pt idx="227">
                  <c:v>-0.999999999999959</c:v>
                </c:pt>
                <c:pt idx="228">
                  <c:v>-0.999999999999959</c:v>
                </c:pt>
                <c:pt idx="229">
                  <c:v>-0.999999999999959</c:v>
                </c:pt>
                <c:pt idx="230">
                  <c:v>-0.999999999999959</c:v>
                </c:pt>
                <c:pt idx="231">
                  <c:v>-0.999999999999959</c:v>
                </c:pt>
                <c:pt idx="232">
                  <c:v>-0.999999999999959</c:v>
                </c:pt>
                <c:pt idx="233">
                  <c:v>-0.999999999999959</c:v>
                </c:pt>
                <c:pt idx="234">
                  <c:v>-0.999999999999959</c:v>
                </c:pt>
                <c:pt idx="235">
                  <c:v>-0.999999999999959</c:v>
                </c:pt>
                <c:pt idx="236">
                  <c:v>-0.999999999999959</c:v>
                </c:pt>
                <c:pt idx="237">
                  <c:v>-0.999999999999959</c:v>
                </c:pt>
                <c:pt idx="238">
                  <c:v>-0.999999999999959</c:v>
                </c:pt>
                <c:pt idx="239">
                  <c:v>-0.999999999999959</c:v>
                </c:pt>
                <c:pt idx="240">
                  <c:v>-0.999999999999959</c:v>
                </c:pt>
                <c:pt idx="241">
                  <c:v>-0.999999999999959</c:v>
                </c:pt>
                <c:pt idx="242">
                  <c:v>-0.999999999999959</c:v>
                </c:pt>
                <c:pt idx="243">
                  <c:v>-0.999999999999959</c:v>
                </c:pt>
                <c:pt idx="244">
                  <c:v>-0.999999999999959</c:v>
                </c:pt>
                <c:pt idx="245">
                  <c:v>-0.999999999999959</c:v>
                </c:pt>
                <c:pt idx="246">
                  <c:v>-0.999999999999959</c:v>
                </c:pt>
                <c:pt idx="247">
                  <c:v>-0.999999999999959</c:v>
                </c:pt>
                <c:pt idx="248">
                  <c:v>-0.999999999999959</c:v>
                </c:pt>
                <c:pt idx="249">
                  <c:v>-0.999999999999959</c:v>
                </c:pt>
                <c:pt idx="250">
                  <c:v>-0.999999999999959</c:v>
                </c:pt>
                <c:pt idx="251">
                  <c:v>-0.999999999999959</c:v>
                </c:pt>
                <c:pt idx="252">
                  <c:v>-0.999999999999959</c:v>
                </c:pt>
                <c:pt idx="253">
                  <c:v>-0.999999999999959</c:v>
                </c:pt>
                <c:pt idx="254">
                  <c:v>-0.999999999999959</c:v>
                </c:pt>
                <c:pt idx="255">
                  <c:v>-0.999999999999959</c:v>
                </c:pt>
                <c:pt idx="256">
                  <c:v>-0.999999999999959</c:v>
                </c:pt>
                <c:pt idx="257">
                  <c:v>-0.999999999999959</c:v>
                </c:pt>
                <c:pt idx="258">
                  <c:v>-0.999999999999959</c:v>
                </c:pt>
                <c:pt idx="259">
                  <c:v>-0.999999999999959</c:v>
                </c:pt>
                <c:pt idx="260">
                  <c:v>-0.999999999999959</c:v>
                </c:pt>
                <c:pt idx="261">
                  <c:v>-0.999999999999959</c:v>
                </c:pt>
                <c:pt idx="262">
                  <c:v>-0.999999999999959</c:v>
                </c:pt>
                <c:pt idx="263">
                  <c:v>-0.999999999999959</c:v>
                </c:pt>
                <c:pt idx="264">
                  <c:v>-0.999999999999959</c:v>
                </c:pt>
                <c:pt idx="265">
                  <c:v>-0.999999999999959</c:v>
                </c:pt>
                <c:pt idx="266">
                  <c:v>-0.999999999999959</c:v>
                </c:pt>
                <c:pt idx="267">
                  <c:v>-0.999999999999959</c:v>
                </c:pt>
                <c:pt idx="268">
                  <c:v>-0.999999999999959</c:v>
                </c:pt>
                <c:pt idx="269">
                  <c:v>-0.999999999999959</c:v>
                </c:pt>
                <c:pt idx="270">
                  <c:v>-0.999999999999959</c:v>
                </c:pt>
                <c:pt idx="271">
                  <c:v>-0.999999999999959</c:v>
                </c:pt>
                <c:pt idx="272">
                  <c:v>-0.999999999999959</c:v>
                </c:pt>
                <c:pt idx="273">
                  <c:v>-0.999999999999959</c:v>
                </c:pt>
                <c:pt idx="274">
                  <c:v>-0.999999999999959</c:v>
                </c:pt>
                <c:pt idx="275">
                  <c:v>-0.999999999999959</c:v>
                </c:pt>
                <c:pt idx="276">
                  <c:v>-0.999999999999959</c:v>
                </c:pt>
                <c:pt idx="277">
                  <c:v>-0.999999999999959</c:v>
                </c:pt>
                <c:pt idx="278">
                  <c:v>-0.999999999999959</c:v>
                </c:pt>
                <c:pt idx="279">
                  <c:v>-0.999999999999959</c:v>
                </c:pt>
                <c:pt idx="280">
                  <c:v>-0.999999999999959</c:v>
                </c:pt>
                <c:pt idx="281">
                  <c:v>-0.999999999999959</c:v>
                </c:pt>
                <c:pt idx="282">
                  <c:v>-0.999999999999959</c:v>
                </c:pt>
                <c:pt idx="283">
                  <c:v>-0.999999999999959</c:v>
                </c:pt>
                <c:pt idx="284">
                  <c:v>-0.999999999999959</c:v>
                </c:pt>
                <c:pt idx="285">
                  <c:v>-0.999999999999959</c:v>
                </c:pt>
                <c:pt idx="286">
                  <c:v>-0.999999999999959</c:v>
                </c:pt>
                <c:pt idx="287">
                  <c:v>-0.999999999999959</c:v>
                </c:pt>
                <c:pt idx="288">
                  <c:v>-0.999999999999959</c:v>
                </c:pt>
                <c:pt idx="289">
                  <c:v>-0.999999999999959</c:v>
                </c:pt>
                <c:pt idx="290">
                  <c:v>-0.999999999999959</c:v>
                </c:pt>
                <c:pt idx="291">
                  <c:v>-0.999999999999959</c:v>
                </c:pt>
                <c:pt idx="292">
                  <c:v>-0.999999999999959</c:v>
                </c:pt>
                <c:pt idx="293">
                  <c:v>-0.999999999999959</c:v>
                </c:pt>
                <c:pt idx="294">
                  <c:v>-0.999999999999959</c:v>
                </c:pt>
                <c:pt idx="295">
                  <c:v>-0.999999999999959</c:v>
                </c:pt>
                <c:pt idx="296">
                  <c:v>-0.999999999999959</c:v>
                </c:pt>
                <c:pt idx="297">
                  <c:v>-0.999999999999959</c:v>
                </c:pt>
                <c:pt idx="298">
                  <c:v>-0.999999999999959</c:v>
                </c:pt>
                <c:pt idx="299">
                  <c:v>-0.999999999999959</c:v>
                </c:pt>
                <c:pt idx="300">
                  <c:v>-0.999999999999959</c:v>
                </c:pt>
                <c:pt idx="301">
                  <c:v>-0.999999999999959</c:v>
                </c:pt>
                <c:pt idx="302">
                  <c:v>-0.999999999999959</c:v>
                </c:pt>
                <c:pt idx="303">
                  <c:v>-0.999999999999959</c:v>
                </c:pt>
                <c:pt idx="304">
                  <c:v>-0.999999999999959</c:v>
                </c:pt>
                <c:pt idx="305">
                  <c:v>-0.999999999999959</c:v>
                </c:pt>
                <c:pt idx="306">
                  <c:v>-0.999999999999959</c:v>
                </c:pt>
                <c:pt idx="307">
                  <c:v>-0.999999999999959</c:v>
                </c:pt>
                <c:pt idx="308">
                  <c:v>-0.999999999999959</c:v>
                </c:pt>
                <c:pt idx="309">
                  <c:v>-0.999999999999959</c:v>
                </c:pt>
                <c:pt idx="310">
                  <c:v>-0.999999999999959</c:v>
                </c:pt>
                <c:pt idx="311">
                  <c:v>-0.999999999999959</c:v>
                </c:pt>
                <c:pt idx="312">
                  <c:v>-0.999999999999959</c:v>
                </c:pt>
                <c:pt idx="313">
                  <c:v>-0.999999999999959</c:v>
                </c:pt>
                <c:pt idx="314">
                  <c:v>-0.999999999999959</c:v>
                </c:pt>
                <c:pt idx="315">
                  <c:v>-0.999999999999959</c:v>
                </c:pt>
                <c:pt idx="316">
                  <c:v>-0.999999999999959</c:v>
                </c:pt>
                <c:pt idx="317">
                  <c:v>-0.999999999999959</c:v>
                </c:pt>
                <c:pt idx="318">
                  <c:v>-0.999999999999959</c:v>
                </c:pt>
                <c:pt idx="319">
                  <c:v>-0.999999999999959</c:v>
                </c:pt>
                <c:pt idx="320">
                  <c:v>-0.999999999999959</c:v>
                </c:pt>
                <c:pt idx="321">
                  <c:v>-0.999999999999959</c:v>
                </c:pt>
                <c:pt idx="322">
                  <c:v>-0.999999999999959</c:v>
                </c:pt>
                <c:pt idx="323">
                  <c:v>-0.999999999999959</c:v>
                </c:pt>
                <c:pt idx="324">
                  <c:v>-0.999999999999959</c:v>
                </c:pt>
                <c:pt idx="325">
                  <c:v>-0.999999999999959</c:v>
                </c:pt>
                <c:pt idx="326">
                  <c:v>-0.999999999999959</c:v>
                </c:pt>
                <c:pt idx="327">
                  <c:v>-0.999999999999959</c:v>
                </c:pt>
                <c:pt idx="328">
                  <c:v>-0.999999999999959</c:v>
                </c:pt>
                <c:pt idx="329">
                  <c:v>-0.999999999999959</c:v>
                </c:pt>
                <c:pt idx="330">
                  <c:v>-0.999999999999959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7286088"/>
        <c:axId val="299168280"/>
      </c:lineChart>
      <c:catAx>
        <c:axId val="587286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168280"/>
        <c:crosses val="autoZero"/>
        <c:auto val="1"/>
        <c:lblAlgn val="ctr"/>
        <c:lblOffset val="100"/>
        <c:noMultiLvlLbl val="0"/>
      </c:catAx>
      <c:valAx>
        <c:axId val="29916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28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de599e-2f34-496a-9890-4272b3758d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'B_10_24_39_3-0.4'!$K$3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'B_10_24_39_3-0.4'!$J$4:$J$401</c:f>
              <c:numCache>
                <c:formatCode>0.00_);[Red]\(0.00\)</c:formatCode>
                <c:ptCount val="398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0.268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0.502</c:v>
                </c:pt>
                <c:pt idx="16" c:formatCode="0.00_);[Red]\(0.00\)">
                  <c:v>0.535</c:v>
                </c:pt>
                <c:pt idx="17" c:formatCode="0.00_);[Red]\(0.00\)">
                  <c:v>0.569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0.803</c:v>
                </c:pt>
                <c:pt idx="25" c:formatCode="0.00_);[Red]\(0.00\)">
                  <c:v>0.836</c:v>
                </c:pt>
                <c:pt idx="26" c:formatCode="0.00_);[Red]\(0.00\)">
                  <c:v>0.87</c:v>
                </c:pt>
                <c:pt idx="27" c:formatCode="0.00_);[Red]\(0.00\)">
                  <c:v>0.903</c:v>
                </c:pt>
                <c:pt idx="28" c:formatCode="0.00_);[Red]\(0.00\)">
                  <c:v>0.937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1.037</c:v>
                </c:pt>
                <c:pt idx="32" c:formatCode="0.00_);[Red]\(0.00\)">
                  <c:v>1.07</c:v>
                </c:pt>
                <c:pt idx="33" c:formatCode="0.00_);[Red]\(0.00\)">
                  <c:v>1.104</c:v>
                </c:pt>
                <c:pt idx="34" c:formatCode="0.00_);[Red]\(0.00\)">
                  <c:v>1.137</c:v>
                </c:pt>
                <c:pt idx="35" c:formatCode="0.00_);[Red]\(0.00\)">
                  <c:v>1.171</c:v>
                </c:pt>
                <c:pt idx="36" c:formatCode="0.00_);[Red]\(0.00\)">
                  <c:v>1.204</c:v>
                </c:pt>
                <c:pt idx="37" c:formatCode="0.00_);[Red]\(0.00\)">
                  <c:v>1.238</c:v>
                </c:pt>
                <c:pt idx="38" c:formatCode="0.00_);[Red]\(0.00\)">
                  <c:v>1.271</c:v>
                </c:pt>
                <c:pt idx="39" c:formatCode="0.00_);[Red]\(0.00\)">
                  <c:v>1.304</c:v>
                </c:pt>
                <c:pt idx="40" c:formatCode="0.00_);[Red]\(0.00\)">
                  <c:v>1.338</c:v>
                </c:pt>
                <c:pt idx="41" c:formatCode="0.00_);[Red]\(0.00\)">
                  <c:v>1.371</c:v>
                </c:pt>
                <c:pt idx="42" c:formatCode="0.00_);[Red]\(0.00\)">
                  <c:v>1.405</c:v>
                </c:pt>
                <c:pt idx="43" c:formatCode="0.00_);[Red]\(0.00\)">
                  <c:v>1.438</c:v>
                </c:pt>
                <c:pt idx="44" c:formatCode="0.00_);[Red]\(0.00\)">
                  <c:v>1.472</c:v>
                </c:pt>
                <c:pt idx="45" c:formatCode="0.00_);[Red]\(0.00\)">
                  <c:v>1.505</c:v>
                </c:pt>
                <c:pt idx="46" c:formatCode="0.00_);[Red]\(0.00\)">
                  <c:v>1.539</c:v>
                </c:pt>
                <c:pt idx="47" c:formatCode="0.00_);[Red]\(0.00\)">
                  <c:v>1.572</c:v>
                </c:pt>
                <c:pt idx="48" c:formatCode="0.00_);[Red]\(0.00\)">
                  <c:v>1.605</c:v>
                </c:pt>
                <c:pt idx="49" c:formatCode="0.00_);[Red]\(0.00\)">
                  <c:v>1.639</c:v>
                </c:pt>
                <c:pt idx="50" c:formatCode="0.00_);[Red]\(0.00\)">
                  <c:v>1.672</c:v>
                </c:pt>
                <c:pt idx="51" c:formatCode="0.00_);[Red]\(0.00\)">
                  <c:v>1.706</c:v>
                </c:pt>
                <c:pt idx="52" c:formatCode="0.00_);[Red]\(0.00\)">
                  <c:v>1.739</c:v>
                </c:pt>
                <c:pt idx="53" c:formatCode="0.00_);[Red]\(0.00\)">
                  <c:v>1.773</c:v>
                </c:pt>
                <c:pt idx="54" c:formatCode="0.00_);[Red]\(0.00\)">
                  <c:v>1.806</c:v>
                </c:pt>
                <c:pt idx="55" c:formatCode="0.00_);[Red]\(0.00\)">
                  <c:v>1.84</c:v>
                </c:pt>
                <c:pt idx="56" c:formatCode="0.00_);[Red]\(0.00\)">
                  <c:v>1.873</c:v>
                </c:pt>
                <c:pt idx="57" c:formatCode="0.00_);[Red]\(0.00\)">
                  <c:v>1.906</c:v>
                </c:pt>
                <c:pt idx="58" c:formatCode="0.00_);[Red]\(0.00\)">
                  <c:v>1.94</c:v>
                </c:pt>
                <c:pt idx="59" c:formatCode="0.00_);[Red]\(0.00\)">
                  <c:v>1.973</c:v>
                </c:pt>
                <c:pt idx="60" c:formatCode="0.00_);[Red]\(0.00\)">
                  <c:v>2.007</c:v>
                </c:pt>
                <c:pt idx="61" c:formatCode="0.00_);[Red]\(0.00\)">
                  <c:v>2.04</c:v>
                </c:pt>
                <c:pt idx="62" c:formatCode="0.00_);[Red]\(0.00\)">
                  <c:v>2.074</c:v>
                </c:pt>
                <c:pt idx="63" c:formatCode="0.00_);[Red]\(0.00\)">
                  <c:v>2.107</c:v>
                </c:pt>
                <c:pt idx="64" c:formatCode="0.00_);[Red]\(0.00\)">
                  <c:v>2.141</c:v>
                </c:pt>
                <c:pt idx="65" c:formatCode="0.00_);[Red]\(0.00\)">
                  <c:v>2.174</c:v>
                </c:pt>
                <c:pt idx="66" c:formatCode="0.00_);[Red]\(0.00\)">
                  <c:v>2.208</c:v>
                </c:pt>
                <c:pt idx="67" c:formatCode="0.00_);[Red]\(0.00\)">
                  <c:v>2.241</c:v>
                </c:pt>
                <c:pt idx="68" c:formatCode="0.00_);[Red]\(0.00\)">
                  <c:v>2.274</c:v>
                </c:pt>
                <c:pt idx="69" c:formatCode="0.00_);[Red]\(0.00\)">
                  <c:v>2.308</c:v>
                </c:pt>
                <c:pt idx="70" c:formatCode="0.00_);[Red]\(0.00\)">
                  <c:v>2.341</c:v>
                </c:pt>
                <c:pt idx="71" c:formatCode="0.00_);[Red]\(0.00\)">
                  <c:v>2.375</c:v>
                </c:pt>
                <c:pt idx="72" c:formatCode="0.00_);[Red]\(0.00\)">
                  <c:v>2.408</c:v>
                </c:pt>
                <c:pt idx="73" c:formatCode="0.00_);[Red]\(0.00\)">
                  <c:v>2.442</c:v>
                </c:pt>
                <c:pt idx="74" c:formatCode="0.00_);[Red]\(0.00\)">
                  <c:v>2.475</c:v>
                </c:pt>
                <c:pt idx="75" c:formatCode="0.00_);[Red]\(0.00\)">
                  <c:v>2.509</c:v>
                </c:pt>
                <c:pt idx="76" c:formatCode="0.00_);[Red]\(0.00\)">
                  <c:v>2.542</c:v>
                </c:pt>
                <c:pt idx="77" c:formatCode="0.00_);[Red]\(0.00\)">
                  <c:v>2.575</c:v>
                </c:pt>
                <c:pt idx="78" c:formatCode="0.00_);[Red]\(0.00\)">
                  <c:v>2.609</c:v>
                </c:pt>
                <c:pt idx="79" c:formatCode="0.00_);[Red]\(0.00\)">
                  <c:v>2.642</c:v>
                </c:pt>
                <c:pt idx="80" c:formatCode="0.00_);[Red]\(0.00\)">
                  <c:v>2.676</c:v>
                </c:pt>
                <c:pt idx="81" c:formatCode="0.00_);[Red]\(0.00\)">
                  <c:v>2.709</c:v>
                </c:pt>
                <c:pt idx="82" c:formatCode="0.00_);[Red]\(0.00\)">
                  <c:v>2.743</c:v>
                </c:pt>
                <c:pt idx="83" c:formatCode="0.00_);[Red]\(0.00\)">
                  <c:v>2.776</c:v>
                </c:pt>
                <c:pt idx="84" c:formatCode="0.00_);[Red]\(0.00\)">
                  <c:v>2.81</c:v>
                </c:pt>
                <c:pt idx="85" c:formatCode="0.00_);[Red]\(0.00\)">
                  <c:v>2.843</c:v>
                </c:pt>
                <c:pt idx="86" c:formatCode="0.00_);[Red]\(0.00\)">
                  <c:v>2.876</c:v>
                </c:pt>
                <c:pt idx="87" c:formatCode="0.00_);[Red]\(0.00\)">
                  <c:v>2.91</c:v>
                </c:pt>
                <c:pt idx="88" c:formatCode="0.00_);[Red]\(0.00\)">
                  <c:v>2.943</c:v>
                </c:pt>
                <c:pt idx="89" c:formatCode="0.00_);[Red]\(0.00\)">
                  <c:v>2.977</c:v>
                </c:pt>
                <c:pt idx="90" c:formatCode="0.00_);[Red]\(0.00\)">
                  <c:v>3.01</c:v>
                </c:pt>
                <c:pt idx="91" c:formatCode="0.00_);[Red]\(0.00\)">
                  <c:v>3.044</c:v>
                </c:pt>
                <c:pt idx="92" c:formatCode="0.00_);[Red]\(0.00\)">
                  <c:v>3.077</c:v>
                </c:pt>
                <c:pt idx="93" c:formatCode="0.00_);[Red]\(0.00\)">
                  <c:v>3.111</c:v>
                </c:pt>
                <c:pt idx="94" c:formatCode="0.00_);[Red]\(0.00\)">
                  <c:v>3.144</c:v>
                </c:pt>
                <c:pt idx="95" c:formatCode="0.00_);[Red]\(0.00\)">
                  <c:v>3.177</c:v>
                </c:pt>
                <c:pt idx="96" c:formatCode="0.00_);[Red]\(0.00\)">
                  <c:v>3.211</c:v>
                </c:pt>
                <c:pt idx="97" c:formatCode="0.00_);[Red]\(0.00\)">
                  <c:v>3.244</c:v>
                </c:pt>
                <c:pt idx="98" c:formatCode="0.00_);[Red]\(0.00\)">
                  <c:v>3.278</c:v>
                </c:pt>
                <c:pt idx="99" c:formatCode="0.00_);[Red]\(0.00\)">
                  <c:v>3.311</c:v>
                </c:pt>
                <c:pt idx="100" c:formatCode="0.00_);[Red]\(0.00\)">
                  <c:v>3.345</c:v>
                </c:pt>
                <c:pt idx="101" c:formatCode="0.00_);[Red]\(0.00\)">
                  <c:v>3.378</c:v>
                </c:pt>
                <c:pt idx="102" c:formatCode="0.00_);[Red]\(0.00\)">
                  <c:v>3.412</c:v>
                </c:pt>
                <c:pt idx="103" c:formatCode="0.00_);[Red]\(0.00\)">
                  <c:v>3.445</c:v>
                </c:pt>
                <c:pt idx="104" c:formatCode="0.00_);[Red]\(0.00\)">
                  <c:v>3.478</c:v>
                </c:pt>
                <c:pt idx="105" c:formatCode="0.00_);[Red]\(0.00\)">
                  <c:v>3.512</c:v>
                </c:pt>
                <c:pt idx="106" c:formatCode="0.00_);[Red]\(0.00\)">
                  <c:v>3.545</c:v>
                </c:pt>
                <c:pt idx="107" c:formatCode="0.00_);[Red]\(0.00\)">
                  <c:v>3.579</c:v>
                </c:pt>
                <c:pt idx="108" c:formatCode="0.00_);[Red]\(0.00\)">
                  <c:v>3.612</c:v>
                </c:pt>
                <c:pt idx="109" c:formatCode="0.00_);[Red]\(0.00\)">
                  <c:v>3.646</c:v>
                </c:pt>
                <c:pt idx="110" c:formatCode="0.00_);[Red]\(0.00\)">
                  <c:v>3.679</c:v>
                </c:pt>
                <c:pt idx="111" c:formatCode="0.00_);[Red]\(0.00\)">
                  <c:v>3.713</c:v>
                </c:pt>
                <c:pt idx="112" c:formatCode="0.00_);[Red]\(0.00\)">
                  <c:v>3.746</c:v>
                </c:pt>
                <c:pt idx="113" c:formatCode="0.00_);[Red]\(0.00\)">
                  <c:v>3.78</c:v>
                </c:pt>
                <c:pt idx="114" c:formatCode="0.00_);[Red]\(0.00\)">
                  <c:v>3.813</c:v>
                </c:pt>
                <c:pt idx="115" c:formatCode="0.00_);[Red]\(0.00\)">
                  <c:v>3.846</c:v>
                </c:pt>
                <c:pt idx="116" c:formatCode="0.00_);[Red]\(0.00\)">
                  <c:v>3.88</c:v>
                </c:pt>
                <c:pt idx="117" c:formatCode="0.00_);[Red]\(0.00\)">
                  <c:v>3.913</c:v>
                </c:pt>
                <c:pt idx="118" c:formatCode="0.00_);[Red]\(0.00\)">
                  <c:v>3.947</c:v>
                </c:pt>
                <c:pt idx="119" c:formatCode="0.00_);[Red]\(0.00\)">
                  <c:v>3.98</c:v>
                </c:pt>
                <c:pt idx="120" c:formatCode="0.00_);[Red]\(0.00\)">
                  <c:v>4.014</c:v>
                </c:pt>
                <c:pt idx="121" c:formatCode="0.00_);[Red]\(0.00\)">
                  <c:v>4.047</c:v>
                </c:pt>
                <c:pt idx="122" c:formatCode="0.00_);[Red]\(0.00\)">
                  <c:v>4.081</c:v>
                </c:pt>
                <c:pt idx="123" c:formatCode="0.00_);[Red]\(0.00\)">
                  <c:v>4.114</c:v>
                </c:pt>
                <c:pt idx="124" c:formatCode="0.00_);[Red]\(0.00\)">
                  <c:v>4.147</c:v>
                </c:pt>
                <c:pt idx="125" c:formatCode="0.00_);[Red]\(0.00\)">
                  <c:v>4.181</c:v>
                </c:pt>
                <c:pt idx="126" c:formatCode="0.00_);[Red]\(0.00\)">
                  <c:v>4.214</c:v>
                </c:pt>
                <c:pt idx="127" c:formatCode="0.00_);[Red]\(0.00\)">
                  <c:v>4.248</c:v>
                </c:pt>
                <c:pt idx="128" c:formatCode="0.00_);[Red]\(0.00\)">
                  <c:v>4.281</c:v>
                </c:pt>
                <c:pt idx="129" c:formatCode="0.00_);[Red]\(0.00\)">
                  <c:v>4.315</c:v>
                </c:pt>
                <c:pt idx="130" c:formatCode="0.00_);[Red]\(0.00\)">
                  <c:v>4.348</c:v>
                </c:pt>
                <c:pt idx="131" c:formatCode="0.00_);[Red]\(0.00\)">
                  <c:v>4.382</c:v>
                </c:pt>
                <c:pt idx="132" c:formatCode="0.00_);[Red]\(0.00\)">
                  <c:v>4.415</c:v>
                </c:pt>
                <c:pt idx="133" c:formatCode="0.00_);[Red]\(0.00\)">
                  <c:v>4.448</c:v>
                </c:pt>
                <c:pt idx="134" c:formatCode="0.00_);[Red]\(0.00\)">
                  <c:v>4.482</c:v>
                </c:pt>
                <c:pt idx="135" c:formatCode="0.00_);[Red]\(0.00\)">
                  <c:v>4.515</c:v>
                </c:pt>
                <c:pt idx="136" c:formatCode="0.00_);[Red]\(0.00\)">
                  <c:v>4.549</c:v>
                </c:pt>
                <c:pt idx="137" c:formatCode="0.00_);[Red]\(0.00\)">
                  <c:v>4.582</c:v>
                </c:pt>
                <c:pt idx="138" c:formatCode="0.00_);[Red]\(0.00\)">
                  <c:v>4.616</c:v>
                </c:pt>
                <c:pt idx="139" c:formatCode="0.00_);[Red]\(0.00\)">
                  <c:v>4.649</c:v>
                </c:pt>
                <c:pt idx="140" c:formatCode="0.00_);[Red]\(0.00\)">
                  <c:v>4.683</c:v>
                </c:pt>
                <c:pt idx="141" c:formatCode="0.00_);[Red]\(0.00\)">
                  <c:v>4.716</c:v>
                </c:pt>
                <c:pt idx="142" c:formatCode="0.00_);[Red]\(0.00\)">
                  <c:v>4.749</c:v>
                </c:pt>
                <c:pt idx="143" c:formatCode="0.00_);[Red]\(0.00\)">
                  <c:v>4.783</c:v>
                </c:pt>
                <c:pt idx="144" c:formatCode="0.00_);[Red]\(0.00\)">
                  <c:v>4.816</c:v>
                </c:pt>
                <c:pt idx="145" c:formatCode="0.00_);[Red]\(0.00\)">
                  <c:v>4.85</c:v>
                </c:pt>
                <c:pt idx="146" c:formatCode="0.00_);[Red]\(0.00\)">
                  <c:v>4.883</c:v>
                </c:pt>
                <c:pt idx="147" c:formatCode="0.00_);[Red]\(0.00\)">
                  <c:v>4.917</c:v>
                </c:pt>
                <c:pt idx="148" c:formatCode="0.00_);[Red]\(0.00\)">
                  <c:v>4.95</c:v>
                </c:pt>
                <c:pt idx="149" c:formatCode="0.00_);[Red]\(0.00\)">
                  <c:v>4.984</c:v>
                </c:pt>
                <c:pt idx="150" c:formatCode="0.00_);[Red]\(0.00\)">
                  <c:v>5.017</c:v>
                </c:pt>
                <c:pt idx="151" c:formatCode="0.00_);[Red]\(0.00\)">
                  <c:v>5.05</c:v>
                </c:pt>
                <c:pt idx="152" c:formatCode="0.00_);[Red]\(0.00\)">
                  <c:v>5.084</c:v>
                </c:pt>
                <c:pt idx="153" c:formatCode="0.00_);[Red]\(0.00\)">
                  <c:v>5.117</c:v>
                </c:pt>
                <c:pt idx="154" c:formatCode="0.00_);[Red]\(0.00\)">
                  <c:v>5.151</c:v>
                </c:pt>
                <c:pt idx="155" c:formatCode="0.00_);[Red]\(0.00\)">
                  <c:v>5.184</c:v>
                </c:pt>
                <c:pt idx="156" c:formatCode="0.00_);[Red]\(0.00\)">
                  <c:v>5.218</c:v>
                </c:pt>
                <c:pt idx="157" c:formatCode="0.00_);[Red]\(0.00\)">
                  <c:v>5.251</c:v>
                </c:pt>
                <c:pt idx="158" c:formatCode="0.00_);[Red]\(0.00\)">
                  <c:v>5.285</c:v>
                </c:pt>
                <c:pt idx="159" c:formatCode="0.00_);[Red]\(0.00\)">
                  <c:v>5.318</c:v>
                </c:pt>
                <c:pt idx="160" c:formatCode="0.00_);[Red]\(0.00\)">
                  <c:v>5.352</c:v>
                </c:pt>
                <c:pt idx="161" c:formatCode="0.00_);[Red]\(0.00\)">
                  <c:v>5.385</c:v>
                </c:pt>
                <c:pt idx="162" c:formatCode="0.00_);[Red]\(0.00\)">
                  <c:v>5.418</c:v>
                </c:pt>
                <c:pt idx="163" c:formatCode="0.00_);[Red]\(0.00\)">
                  <c:v>5.452</c:v>
                </c:pt>
                <c:pt idx="164" c:formatCode="0.00_);[Red]\(0.00\)">
                  <c:v>5.485</c:v>
                </c:pt>
                <c:pt idx="165" c:formatCode="0.00_);[Red]\(0.00\)">
                  <c:v>5.519</c:v>
                </c:pt>
                <c:pt idx="166" c:formatCode="0.00_);[Red]\(0.00\)">
                  <c:v>5.552</c:v>
                </c:pt>
                <c:pt idx="167" c:formatCode="0.00_);[Red]\(0.00\)">
                  <c:v>5.586</c:v>
                </c:pt>
                <c:pt idx="168" c:formatCode="0.00_);[Red]\(0.00\)">
                  <c:v>5.619</c:v>
                </c:pt>
                <c:pt idx="169" c:formatCode="0.00_);[Red]\(0.00\)">
                  <c:v>5.653</c:v>
                </c:pt>
                <c:pt idx="170" c:formatCode="0.00_);[Red]\(0.00\)">
                  <c:v>5.686</c:v>
                </c:pt>
                <c:pt idx="171" c:formatCode="0.00_);[Red]\(0.00\)">
                  <c:v>5.719</c:v>
                </c:pt>
                <c:pt idx="172" c:formatCode="0.00_);[Red]\(0.00\)">
                  <c:v>5.753</c:v>
                </c:pt>
                <c:pt idx="173" c:formatCode="0.00_);[Red]\(0.00\)">
                  <c:v>5.786</c:v>
                </c:pt>
                <c:pt idx="174" c:formatCode="0.00_);[Red]\(0.00\)">
                  <c:v>5.82</c:v>
                </c:pt>
                <c:pt idx="175" c:formatCode="0.00_);[Red]\(0.00\)">
                  <c:v>5.853</c:v>
                </c:pt>
                <c:pt idx="176" c:formatCode="0.00_);[Red]\(0.00\)">
                  <c:v>5.887</c:v>
                </c:pt>
                <c:pt idx="177" c:formatCode="0.00_);[Red]\(0.00\)">
                  <c:v>5.92</c:v>
                </c:pt>
                <c:pt idx="178" c:formatCode="0.00_);[Red]\(0.00\)">
                  <c:v>5.954</c:v>
                </c:pt>
                <c:pt idx="179" c:formatCode="0.00_);[Red]\(0.00\)">
                  <c:v>5.987</c:v>
                </c:pt>
                <c:pt idx="180" c:formatCode="0.00_);[Red]\(0.00\)">
                  <c:v>6.02</c:v>
                </c:pt>
                <c:pt idx="181" c:formatCode="0.00_);[Red]\(0.00\)">
                  <c:v>6.054</c:v>
                </c:pt>
                <c:pt idx="182" c:formatCode="0.00_);[Red]\(0.00\)">
                  <c:v>6.087</c:v>
                </c:pt>
                <c:pt idx="183" c:formatCode="0.00_);[Red]\(0.00\)">
                  <c:v>6.121</c:v>
                </c:pt>
                <c:pt idx="184" c:formatCode="0.00_);[Red]\(0.00\)">
                  <c:v>6.154</c:v>
                </c:pt>
                <c:pt idx="185" c:formatCode="0.00_);[Red]\(0.00\)">
                  <c:v>6.188</c:v>
                </c:pt>
                <c:pt idx="186" c:formatCode="0.00_);[Red]\(0.00\)">
                  <c:v>6.221</c:v>
                </c:pt>
                <c:pt idx="187" c:formatCode="0.00_);[Red]\(0.00\)">
                  <c:v>6.255</c:v>
                </c:pt>
                <c:pt idx="188" c:formatCode="0.00_);[Red]\(0.00\)">
                  <c:v>6.288</c:v>
                </c:pt>
                <c:pt idx="189" c:formatCode="0.00_);[Red]\(0.00\)">
                  <c:v>6.321</c:v>
                </c:pt>
                <c:pt idx="190" c:formatCode="0.00_);[Red]\(0.00\)">
                  <c:v>6.355</c:v>
                </c:pt>
                <c:pt idx="191" c:formatCode="0.00_);[Red]\(0.00\)">
                  <c:v>6.388</c:v>
                </c:pt>
                <c:pt idx="192" c:formatCode="0.00_);[Red]\(0.00\)">
                  <c:v>6.422</c:v>
                </c:pt>
                <c:pt idx="193" c:formatCode="0.00_);[Red]\(0.00\)">
                  <c:v>6.455</c:v>
                </c:pt>
                <c:pt idx="194" c:formatCode="0.00_);[Red]\(0.00\)">
                  <c:v>6.489</c:v>
                </c:pt>
                <c:pt idx="195" c:formatCode="0.00_);[Red]\(0.00\)">
                  <c:v>6.522</c:v>
                </c:pt>
                <c:pt idx="196" c:formatCode="0.00_);[Red]\(0.00\)">
                  <c:v>6.556</c:v>
                </c:pt>
                <c:pt idx="197" c:formatCode="0.00_);[Red]\(0.00\)">
                  <c:v>6.589</c:v>
                </c:pt>
                <c:pt idx="198" c:formatCode="0.00_);[Red]\(0.00\)">
                  <c:v>6.623</c:v>
                </c:pt>
                <c:pt idx="199" c:formatCode="0.00_);[Red]\(0.00\)">
                  <c:v>6.656</c:v>
                </c:pt>
                <c:pt idx="200" c:formatCode="0.00_);[Red]\(0.00\)">
                  <c:v>6.689</c:v>
                </c:pt>
                <c:pt idx="201" c:formatCode="0.00_);[Red]\(0.00\)">
                  <c:v>6.723</c:v>
                </c:pt>
                <c:pt idx="202" c:formatCode="0.00_);[Red]\(0.00\)">
                  <c:v>6.756</c:v>
                </c:pt>
                <c:pt idx="203" c:formatCode="0.00_);[Red]\(0.00\)">
                  <c:v>6.79</c:v>
                </c:pt>
                <c:pt idx="204" c:formatCode="0.00_);[Red]\(0.00\)">
                  <c:v>6.823</c:v>
                </c:pt>
                <c:pt idx="205" c:formatCode="0.00_);[Red]\(0.00\)">
                  <c:v>6.857</c:v>
                </c:pt>
                <c:pt idx="206" c:formatCode="0.00_);[Red]\(0.00\)">
                  <c:v>6.89</c:v>
                </c:pt>
                <c:pt idx="207" c:formatCode="0.00_);[Red]\(0.00\)">
                  <c:v>6.924</c:v>
                </c:pt>
                <c:pt idx="208" c:formatCode="0.00_);[Red]\(0.00\)">
                  <c:v>6.957</c:v>
                </c:pt>
                <c:pt idx="209" c:formatCode="0.00_);[Red]\(0.00\)">
                  <c:v>6.99</c:v>
                </c:pt>
                <c:pt idx="210" c:formatCode="0.00_);[Red]\(0.00\)">
                  <c:v>7.024</c:v>
                </c:pt>
                <c:pt idx="211" c:formatCode="0.00_);[Red]\(0.00\)">
                  <c:v>7.057</c:v>
                </c:pt>
                <c:pt idx="212" c:formatCode="0.00_);[Red]\(0.00\)">
                  <c:v>7.091</c:v>
                </c:pt>
                <c:pt idx="213" c:formatCode="0.00_);[Red]\(0.00\)">
                  <c:v>7.124</c:v>
                </c:pt>
                <c:pt idx="214" c:formatCode="0.00_);[Red]\(0.00\)">
                  <c:v>7.158</c:v>
                </c:pt>
                <c:pt idx="215" c:formatCode="0.00_);[Red]\(0.00\)">
                  <c:v>7.191</c:v>
                </c:pt>
                <c:pt idx="216" c:formatCode="0.00_);[Red]\(0.00\)">
                  <c:v>7.225</c:v>
                </c:pt>
                <c:pt idx="217" c:formatCode="0.00_);[Red]\(0.00\)">
                  <c:v>7.258</c:v>
                </c:pt>
                <c:pt idx="218" c:formatCode="0.00_);[Red]\(0.00\)">
                  <c:v>7.291</c:v>
                </c:pt>
                <c:pt idx="219" c:formatCode="0.00_);[Red]\(0.00\)">
                  <c:v>7.325</c:v>
                </c:pt>
                <c:pt idx="220" c:formatCode="0.00_);[Red]\(0.00\)">
                  <c:v>7.358</c:v>
                </c:pt>
                <c:pt idx="221" c:formatCode="0.00_);[Red]\(0.00\)">
                  <c:v>7.392</c:v>
                </c:pt>
                <c:pt idx="222" c:formatCode="0.00_);[Red]\(0.00\)">
                  <c:v>7.425</c:v>
                </c:pt>
                <c:pt idx="223" c:formatCode="0.00_);[Red]\(0.00\)">
                  <c:v>7.459</c:v>
                </c:pt>
                <c:pt idx="224" c:formatCode="0.00_);[Red]\(0.00\)">
                  <c:v>7.492</c:v>
                </c:pt>
                <c:pt idx="225" c:formatCode="0.00_);[Red]\(0.00\)">
                  <c:v>7.526</c:v>
                </c:pt>
                <c:pt idx="226" c:formatCode="0.00_);[Red]\(0.00\)">
                  <c:v>7.559</c:v>
                </c:pt>
                <c:pt idx="227" c:formatCode="0.00_);[Red]\(0.00\)">
                  <c:v>7.592</c:v>
                </c:pt>
                <c:pt idx="228" c:formatCode="0.00_);[Red]\(0.00\)">
                  <c:v>7.626</c:v>
                </c:pt>
                <c:pt idx="229" c:formatCode="0.00_);[Red]\(0.00\)">
                  <c:v>7.659</c:v>
                </c:pt>
                <c:pt idx="230" c:formatCode="0.00_);[Red]\(0.00\)">
                  <c:v>7.693</c:v>
                </c:pt>
                <c:pt idx="231" c:formatCode="0.00_);[Red]\(0.00\)">
                  <c:v>7.726</c:v>
                </c:pt>
                <c:pt idx="232" c:formatCode="0.00_);[Red]\(0.00\)">
                  <c:v>7.76</c:v>
                </c:pt>
                <c:pt idx="233" c:formatCode="0.00_);[Red]\(0.00\)">
                  <c:v>7.793</c:v>
                </c:pt>
                <c:pt idx="234" c:formatCode="0.00_);[Red]\(0.00\)">
                  <c:v>7.827</c:v>
                </c:pt>
                <c:pt idx="235" c:formatCode="0.00_);[Red]\(0.00\)">
                  <c:v>7.86</c:v>
                </c:pt>
                <c:pt idx="236" c:formatCode="0.00_);[Red]\(0.00\)">
                  <c:v>7.893</c:v>
                </c:pt>
                <c:pt idx="237" c:formatCode="0.00_);[Red]\(0.00\)">
                  <c:v>7.927</c:v>
                </c:pt>
                <c:pt idx="238" c:formatCode="0.00_);[Red]\(0.00\)">
                  <c:v>7.96</c:v>
                </c:pt>
                <c:pt idx="239" c:formatCode="0.00_);[Red]\(0.00\)">
                  <c:v>7.994</c:v>
                </c:pt>
                <c:pt idx="240" c:formatCode="0.00_);[Red]\(0.00\)">
                  <c:v>8.027</c:v>
                </c:pt>
                <c:pt idx="241" c:formatCode="0.00_);[Red]\(0.00\)">
                  <c:v>8.061</c:v>
                </c:pt>
                <c:pt idx="242" c:formatCode="0.00_);[Red]\(0.00\)">
                  <c:v>8.094</c:v>
                </c:pt>
                <c:pt idx="243" c:formatCode="0.00_);[Red]\(0.00\)">
                  <c:v>8.128</c:v>
                </c:pt>
                <c:pt idx="244" c:formatCode="0.00_);[Red]\(0.00\)">
                  <c:v>8.161</c:v>
                </c:pt>
                <c:pt idx="245" c:formatCode="0.00_);[Red]\(0.00\)">
                  <c:v>8.195</c:v>
                </c:pt>
                <c:pt idx="246" c:formatCode="0.00_);[Red]\(0.00\)">
                  <c:v>8.228</c:v>
                </c:pt>
                <c:pt idx="247" c:formatCode="0.00_);[Red]\(0.00\)">
                  <c:v>8.261</c:v>
                </c:pt>
                <c:pt idx="248" c:formatCode="0.00_);[Red]\(0.00\)">
                  <c:v>8.295</c:v>
                </c:pt>
                <c:pt idx="249" c:formatCode="0.00_);[Red]\(0.00\)">
                  <c:v>8.328</c:v>
                </c:pt>
                <c:pt idx="250" c:formatCode="0.00_);[Red]\(0.00\)">
                  <c:v>8.362</c:v>
                </c:pt>
                <c:pt idx="251" c:formatCode="0.00_);[Red]\(0.00\)">
                  <c:v>8.395</c:v>
                </c:pt>
                <c:pt idx="252" c:formatCode="0.00_);[Red]\(0.00\)">
                  <c:v>8.429</c:v>
                </c:pt>
                <c:pt idx="253" c:formatCode="0.00_);[Red]\(0.00\)">
                  <c:v>8.462</c:v>
                </c:pt>
                <c:pt idx="254" c:formatCode="0.00_);[Red]\(0.00\)">
                  <c:v>8.496</c:v>
                </c:pt>
                <c:pt idx="255" c:formatCode="0.00_);[Red]\(0.00\)">
                  <c:v>8.529</c:v>
                </c:pt>
                <c:pt idx="256" c:formatCode="0.00_);[Red]\(0.00\)">
                  <c:v>8.562</c:v>
                </c:pt>
                <c:pt idx="257" c:formatCode="0.00_);[Red]\(0.00\)">
                  <c:v>8.596</c:v>
                </c:pt>
                <c:pt idx="258" c:formatCode="0.00_);[Red]\(0.00\)">
                  <c:v>8.629</c:v>
                </c:pt>
                <c:pt idx="259" c:formatCode="0.00_);[Red]\(0.00\)">
                  <c:v>8.663</c:v>
                </c:pt>
                <c:pt idx="260" c:formatCode="0.00_);[Red]\(0.00\)">
                  <c:v>8.696</c:v>
                </c:pt>
                <c:pt idx="261" c:formatCode="0.00_);[Red]\(0.00\)">
                  <c:v>8.73</c:v>
                </c:pt>
                <c:pt idx="262" c:formatCode="0.00_);[Red]\(0.00\)">
                  <c:v>8.763</c:v>
                </c:pt>
                <c:pt idx="263" c:formatCode="0.00_);[Red]\(0.00\)">
                  <c:v>8.797</c:v>
                </c:pt>
                <c:pt idx="264" c:formatCode="0.00_);[Red]\(0.00\)">
                  <c:v>8.83</c:v>
                </c:pt>
                <c:pt idx="265" c:formatCode="0.00_);[Red]\(0.00\)">
                  <c:v>8.863</c:v>
                </c:pt>
                <c:pt idx="266" c:formatCode="0.00_);[Red]\(0.00\)">
                  <c:v>8.897</c:v>
                </c:pt>
                <c:pt idx="267" c:formatCode="0.00_);[Red]\(0.00\)">
                  <c:v>8.93</c:v>
                </c:pt>
                <c:pt idx="268" c:formatCode="0.00_);[Red]\(0.00\)">
                  <c:v>8.964</c:v>
                </c:pt>
                <c:pt idx="269" c:formatCode="0.00_);[Red]\(0.00\)">
                  <c:v>8.997</c:v>
                </c:pt>
                <c:pt idx="270" c:formatCode="0.00_);[Red]\(0.00\)">
                  <c:v>9.031</c:v>
                </c:pt>
                <c:pt idx="271" c:formatCode="0.00_);[Red]\(0.00\)">
                  <c:v>9.064</c:v>
                </c:pt>
                <c:pt idx="272" c:formatCode="0.00_);[Red]\(0.00\)">
                  <c:v>9.098</c:v>
                </c:pt>
                <c:pt idx="273" c:formatCode="0.00_);[Red]\(0.00\)">
                  <c:v>9.131</c:v>
                </c:pt>
                <c:pt idx="274" c:formatCode="0.00_);[Red]\(0.00\)">
                  <c:v>9.164</c:v>
                </c:pt>
                <c:pt idx="275" c:formatCode="0.00_);[Red]\(0.00\)">
                  <c:v>9.198</c:v>
                </c:pt>
                <c:pt idx="276" c:formatCode="0.00_);[Red]\(0.00\)">
                  <c:v>9.231</c:v>
                </c:pt>
                <c:pt idx="277" c:formatCode="0.00_);[Red]\(0.00\)">
                  <c:v>9.265</c:v>
                </c:pt>
                <c:pt idx="278" c:formatCode="0.00_);[Red]\(0.00\)">
                  <c:v>9.298</c:v>
                </c:pt>
                <c:pt idx="279" c:formatCode="0.00_);[Red]\(0.00\)">
                  <c:v>9.332</c:v>
                </c:pt>
                <c:pt idx="280" c:formatCode="0.00_);[Red]\(0.00\)">
                  <c:v>9.365</c:v>
                </c:pt>
                <c:pt idx="281" c:formatCode="0.00_);[Red]\(0.00\)">
                  <c:v>9.399</c:v>
                </c:pt>
                <c:pt idx="282" c:formatCode="0.00_);[Red]\(0.00\)">
                  <c:v>9.432</c:v>
                </c:pt>
                <c:pt idx="283" c:formatCode="0.00_);[Red]\(0.00\)">
                  <c:v>9.466</c:v>
                </c:pt>
                <c:pt idx="284" c:formatCode="0.00_);[Red]\(0.00\)">
                  <c:v>9.499</c:v>
                </c:pt>
                <c:pt idx="285" c:formatCode="0.00_);[Red]\(0.00\)">
                  <c:v>9.532</c:v>
                </c:pt>
                <c:pt idx="286" c:formatCode="0.00_);[Red]\(0.00\)">
                  <c:v>9.566</c:v>
                </c:pt>
                <c:pt idx="287" c:formatCode="0.00_);[Red]\(0.00\)">
                  <c:v>9.599</c:v>
                </c:pt>
                <c:pt idx="288" c:formatCode="0.00_);[Red]\(0.00\)">
                  <c:v>9.633</c:v>
                </c:pt>
                <c:pt idx="289" c:formatCode="0.00_);[Red]\(0.00\)">
                  <c:v>9.666</c:v>
                </c:pt>
                <c:pt idx="290" c:formatCode="0.00_);[Red]\(0.00\)">
                  <c:v>9.7</c:v>
                </c:pt>
                <c:pt idx="291" c:formatCode="0.00_);[Red]\(0.00\)">
                  <c:v>9.733</c:v>
                </c:pt>
                <c:pt idx="292" c:formatCode="0.00_);[Red]\(0.00\)">
                  <c:v>9.767</c:v>
                </c:pt>
                <c:pt idx="293" c:formatCode="0.00_);[Red]\(0.00\)">
                  <c:v>9.8</c:v>
                </c:pt>
                <c:pt idx="294" c:formatCode="0.00_);[Red]\(0.00\)">
                  <c:v>9.833</c:v>
                </c:pt>
                <c:pt idx="295" c:formatCode="0.00_);[Red]\(0.00\)">
                  <c:v>9.867</c:v>
                </c:pt>
                <c:pt idx="296" c:formatCode="0.00_);[Red]\(0.00\)">
                  <c:v>9.9</c:v>
                </c:pt>
                <c:pt idx="297" c:formatCode="0.00_);[Red]\(0.00\)">
                  <c:v>9.934</c:v>
                </c:pt>
                <c:pt idx="298" c:formatCode="0.00_);[Red]\(0.00\)">
                  <c:v>9.967</c:v>
                </c:pt>
                <c:pt idx="299" c:formatCode="0.00_);[Red]\(0.00\)">
                  <c:v>10.001</c:v>
                </c:pt>
                <c:pt idx="300" c:formatCode="0.00_);[Red]\(0.00\)">
                  <c:v>10.034</c:v>
                </c:pt>
                <c:pt idx="301" c:formatCode="0.00_);[Red]\(0.00\)">
                  <c:v>10.068</c:v>
                </c:pt>
                <c:pt idx="302" c:formatCode="0.00_);[Red]\(0.00\)">
                  <c:v>10.101</c:v>
                </c:pt>
                <c:pt idx="303" c:formatCode="0.00_);[Red]\(0.00\)">
                  <c:v>10.134</c:v>
                </c:pt>
                <c:pt idx="304" c:formatCode="0.00_);[Red]\(0.00\)">
                  <c:v>10.168</c:v>
                </c:pt>
                <c:pt idx="305" c:formatCode="0.00_);[Red]\(0.00\)">
                  <c:v>10.201</c:v>
                </c:pt>
                <c:pt idx="306" c:formatCode="0.00_);[Red]\(0.00\)">
                  <c:v>10.235</c:v>
                </c:pt>
                <c:pt idx="307" c:formatCode="0.00_);[Red]\(0.00\)">
                  <c:v>10.268</c:v>
                </c:pt>
                <c:pt idx="308" c:formatCode="0.00_);[Red]\(0.00\)">
                  <c:v>10.302</c:v>
                </c:pt>
                <c:pt idx="309" c:formatCode="0.00_);[Red]\(0.00\)">
                  <c:v>10.335</c:v>
                </c:pt>
                <c:pt idx="310" c:formatCode="0.00_);[Red]\(0.00\)">
                  <c:v>10.369</c:v>
                </c:pt>
                <c:pt idx="311" c:formatCode="0.00_);[Red]\(0.00\)">
                  <c:v>10.402</c:v>
                </c:pt>
                <c:pt idx="312" c:formatCode="0.00_);[Red]\(0.00\)">
                  <c:v>10.435</c:v>
                </c:pt>
                <c:pt idx="313" c:formatCode="0.00_);[Red]\(0.00\)">
                  <c:v>10.469</c:v>
                </c:pt>
                <c:pt idx="314" c:formatCode="0.00_);[Red]\(0.00\)">
                  <c:v>10.502</c:v>
                </c:pt>
                <c:pt idx="315" c:formatCode="0.00_);[Red]\(0.00\)">
                  <c:v>10.536</c:v>
                </c:pt>
                <c:pt idx="316" c:formatCode="0.00_);[Red]\(0.00\)">
                  <c:v>10.569</c:v>
                </c:pt>
                <c:pt idx="317" c:formatCode="0.00_);[Red]\(0.00\)">
                  <c:v>10.603</c:v>
                </c:pt>
                <c:pt idx="318" c:formatCode="0.00_);[Red]\(0.00\)">
                  <c:v>10.636</c:v>
                </c:pt>
                <c:pt idx="319" c:formatCode="0.00_);[Red]\(0.00\)">
                  <c:v>10.67</c:v>
                </c:pt>
                <c:pt idx="320" c:formatCode="0.00_);[Red]\(0.00\)">
                  <c:v>10.703</c:v>
                </c:pt>
                <c:pt idx="321" c:formatCode="0.00_);[Red]\(0.00\)">
                  <c:v>10.736</c:v>
                </c:pt>
                <c:pt idx="322" c:formatCode="0.00_);[Red]\(0.00\)">
                  <c:v>10.77</c:v>
                </c:pt>
                <c:pt idx="323" c:formatCode="0.00_);[Red]\(0.00\)">
                  <c:v>10.803</c:v>
                </c:pt>
                <c:pt idx="324" c:formatCode="0.00_);[Red]\(0.00\)">
                  <c:v>10.837</c:v>
                </c:pt>
                <c:pt idx="325" c:formatCode="0.00_);[Red]\(0.00\)">
                  <c:v>10.87</c:v>
                </c:pt>
                <c:pt idx="326" c:formatCode="0.00_);[Red]\(0.00\)">
                  <c:v>10.904</c:v>
                </c:pt>
                <c:pt idx="327" c:formatCode="0.00_);[Red]\(0.00\)">
                  <c:v>10.937</c:v>
                </c:pt>
                <c:pt idx="328" c:formatCode="0.00_);[Red]\(0.00\)">
                  <c:v>10.971</c:v>
                </c:pt>
                <c:pt idx="329" c:formatCode="0.00_);[Red]\(0.00\)">
                  <c:v>11.004</c:v>
                </c:pt>
                <c:pt idx="330" c:formatCode="0.00_);[Red]\(0.00\)">
                  <c:v>11.038</c:v>
                </c:pt>
                <c:pt idx="331" c:formatCode="0.00_);[Red]\(0.00\)">
                  <c:v>11.071</c:v>
                </c:pt>
                <c:pt idx="332" c:formatCode="0.00_);[Red]\(0.00\)">
                  <c:v>11.104</c:v>
                </c:pt>
                <c:pt idx="333" c:formatCode="0.00_);[Red]\(0.00\)">
                  <c:v>11.138</c:v>
                </c:pt>
                <c:pt idx="334" c:formatCode="0.00_);[Red]\(0.00\)">
                  <c:v>11.171</c:v>
                </c:pt>
                <c:pt idx="335" c:formatCode="0.00_);[Red]\(0.00\)">
                  <c:v>11.205</c:v>
                </c:pt>
                <c:pt idx="336" c:formatCode="0.00_);[Red]\(0.00\)">
                  <c:v>11.238</c:v>
                </c:pt>
                <c:pt idx="337" c:formatCode="0.00_);[Red]\(0.00\)">
                  <c:v>11.272</c:v>
                </c:pt>
                <c:pt idx="338" c:formatCode="0.00_);[Red]\(0.00\)">
                  <c:v>11.305</c:v>
                </c:pt>
                <c:pt idx="339" c:formatCode="0.00_);[Red]\(0.00\)">
                  <c:v>11.339</c:v>
                </c:pt>
                <c:pt idx="340" c:formatCode="0.00_);[Red]\(0.00\)">
                  <c:v>11.372</c:v>
                </c:pt>
                <c:pt idx="341" c:formatCode="0.00_);[Red]\(0.00\)">
                  <c:v>11.405</c:v>
                </c:pt>
                <c:pt idx="342" c:formatCode="0.00_);[Red]\(0.00\)">
                  <c:v>11.439</c:v>
                </c:pt>
                <c:pt idx="343" c:formatCode="0.00_);[Red]\(0.00\)">
                  <c:v>11.472</c:v>
                </c:pt>
                <c:pt idx="344" c:formatCode="0.00_);[Red]\(0.00\)">
                  <c:v>11.506</c:v>
                </c:pt>
                <c:pt idx="345" c:formatCode="0.00_);[Red]\(0.00\)">
                  <c:v>11.539</c:v>
                </c:pt>
                <c:pt idx="346" c:formatCode="0.00_);[Red]\(0.00\)">
                  <c:v>11.573</c:v>
                </c:pt>
                <c:pt idx="347" c:formatCode="0.00_);[Red]\(0.00\)">
                  <c:v>11.606</c:v>
                </c:pt>
                <c:pt idx="348" c:formatCode="0.00_);[Red]\(0.00\)">
                  <c:v>11.64</c:v>
                </c:pt>
                <c:pt idx="349" c:formatCode="0.00_);[Red]\(0.00\)">
                  <c:v>11.673</c:v>
                </c:pt>
                <c:pt idx="350" c:formatCode="0.00_);[Red]\(0.00\)">
                  <c:v>11.706</c:v>
                </c:pt>
                <c:pt idx="351" c:formatCode="0.00_);[Red]\(0.00\)">
                  <c:v>11.74</c:v>
                </c:pt>
                <c:pt idx="352" c:formatCode="0.00_);[Red]\(0.00\)">
                  <c:v>11.773</c:v>
                </c:pt>
                <c:pt idx="353" c:formatCode="0.00_);[Red]\(0.00\)">
                  <c:v>11.807</c:v>
                </c:pt>
                <c:pt idx="354" c:formatCode="0.00_);[Red]\(0.00\)">
                  <c:v>11.84</c:v>
                </c:pt>
                <c:pt idx="355" c:formatCode="0.00_);[Red]\(0.00\)">
                  <c:v>11.874</c:v>
                </c:pt>
                <c:pt idx="356" c:formatCode="0.00_);[Red]\(0.00\)">
                  <c:v>11.907</c:v>
                </c:pt>
                <c:pt idx="357" c:formatCode="0.00_);[Red]\(0.00\)">
                  <c:v>11.941</c:v>
                </c:pt>
                <c:pt idx="358" c:formatCode="0.00_);[Red]\(0.00\)">
                  <c:v>11.974</c:v>
                </c:pt>
                <c:pt idx="359" c:formatCode="0.00_);[Red]\(0.00\)">
                  <c:v>12.007</c:v>
                </c:pt>
                <c:pt idx="360" c:formatCode="0.00_);[Red]\(0.00\)">
                  <c:v>12.041</c:v>
                </c:pt>
                <c:pt idx="361" c:formatCode="0.00_);[Red]\(0.00\)">
                  <c:v>12.074</c:v>
                </c:pt>
                <c:pt idx="362" c:formatCode="0.00_);[Red]\(0.00\)">
                  <c:v>12.108</c:v>
                </c:pt>
                <c:pt idx="363" c:formatCode="0.00_);[Red]\(0.00\)">
                  <c:v>12.141</c:v>
                </c:pt>
                <c:pt idx="364" c:formatCode="0.00_);[Red]\(0.00\)">
                  <c:v>12.175</c:v>
                </c:pt>
                <c:pt idx="365" c:formatCode="0.00_);[Red]\(0.00\)">
                  <c:v>12.208</c:v>
                </c:pt>
                <c:pt idx="366" c:formatCode="0.00_);[Red]\(0.00\)">
                  <c:v>12.242</c:v>
                </c:pt>
                <c:pt idx="367" c:formatCode="0.00_);[Red]\(0.00\)">
                  <c:v>12.275</c:v>
                </c:pt>
                <c:pt idx="368" c:formatCode="0.00_);[Red]\(0.00\)">
                  <c:v>12.309</c:v>
                </c:pt>
                <c:pt idx="369" c:formatCode="0.00_);[Red]\(0.00\)">
                  <c:v>12.342</c:v>
                </c:pt>
                <c:pt idx="370" c:formatCode="0.00_);[Red]\(0.00\)">
                  <c:v>12.375</c:v>
                </c:pt>
                <c:pt idx="371" c:formatCode="0.00_);[Red]\(0.00\)">
                  <c:v>12.409</c:v>
                </c:pt>
                <c:pt idx="372" c:formatCode="0.00_);[Red]\(0.00\)">
                  <c:v>12.442</c:v>
                </c:pt>
                <c:pt idx="373" c:formatCode="0.00_);[Red]\(0.00\)">
                  <c:v>12.476</c:v>
                </c:pt>
                <c:pt idx="374" c:formatCode="0.00_);[Red]\(0.00\)">
                  <c:v>12.509</c:v>
                </c:pt>
                <c:pt idx="375" c:formatCode="0.00_);[Red]\(0.00\)">
                  <c:v>12.543</c:v>
                </c:pt>
                <c:pt idx="376" c:formatCode="0.00_);[Red]\(0.00\)">
                  <c:v>12.576</c:v>
                </c:pt>
                <c:pt idx="377" c:formatCode="0.00_);[Red]\(0.00\)">
                  <c:v>12.61</c:v>
                </c:pt>
                <c:pt idx="378" c:formatCode="0.00_);[Red]\(0.00\)">
                  <c:v>12.643</c:v>
                </c:pt>
                <c:pt idx="379" c:formatCode="0.00_);[Red]\(0.00\)">
                  <c:v>12.676</c:v>
                </c:pt>
                <c:pt idx="380" c:formatCode="0.00_);[Red]\(0.00\)">
                  <c:v>12.71</c:v>
                </c:pt>
                <c:pt idx="381" c:formatCode="0.00_);[Red]\(0.00\)">
                  <c:v>12.743</c:v>
                </c:pt>
                <c:pt idx="382" c:formatCode="0.00_);[Red]\(0.00\)">
                  <c:v>12.777</c:v>
                </c:pt>
                <c:pt idx="383" c:formatCode="0.00_);[Red]\(0.00\)">
                  <c:v>12.81</c:v>
                </c:pt>
                <c:pt idx="384" c:formatCode="0.00_);[Red]\(0.00\)">
                  <c:v>12.844</c:v>
                </c:pt>
                <c:pt idx="385" c:formatCode="0.00_);[Red]\(0.00\)">
                  <c:v>12.877</c:v>
                </c:pt>
                <c:pt idx="386" c:formatCode="0.00_);[Red]\(0.00\)">
                  <c:v>12.911</c:v>
                </c:pt>
                <c:pt idx="387" c:formatCode="0.00_);[Red]\(0.00\)">
                  <c:v>12.944</c:v>
                </c:pt>
                <c:pt idx="388" c:formatCode="0.00_);[Red]\(0.00\)">
                  <c:v>12.977</c:v>
                </c:pt>
                <c:pt idx="389" c:formatCode="0.00_);[Red]\(0.00\)">
                  <c:v>13.011</c:v>
                </c:pt>
                <c:pt idx="390" c:formatCode="0.00_);[Red]\(0.00\)">
                  <c:v>13.044</c:v>
                </c:pt>
                <c:pt idx="391" c:formatCode="0.00_);[Red]\(0.00\)">
                  <c:v>13.078</c:v>
                </c:pt>
                <c:pt idx="392" c:formatCode="0.00_);[Red]\(0.00\)">
                  <c:v>13.111</c:v>
                </c:pt>
                <c:pt idx="393" c:formatCode="0.00_);[Red]\(0.00\)">
                  <c:v>13.145</c:v>
                </c:pt>
                <c:pt idx="394" c:formatCode="0.00_);[Red]\(0.00\)">
                  <c:v>13.178</c:v>
                </c:pt>
                <c:pt idx="395" c:formatCode="0.00_);[Red]\(0.00\)">
                  <c:v>13.212</c:v>
                </c:pt>
                <c:pt idx="396" c:formatCode="0.00_);[Red]\(0.00\)">
                  <c:v>13.245</c:v>
                </c:pt>
                <c:pt idx="397" c:formatCode="0.00_);[Red]\(0.00\)">
                  <c:v>13.278</c:v>
                </c:pt>
              </c:numCache>
            </c:numRef>
          </c:cat>
          <c:val>
            <c:numRef>
              <c:f>'B_10_24_39_3-0.4'!$K$4:$K$401</c:f>
              <c:numCache>
                <c:formatCode>0.000_ </c:formatCode>
                <c:ptCount val="3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0.100000000000031</c:v>
                </c:pt>
                <c:pt idx="4">
                  <c:v>0.100000000000031</c:v>
                </c:pt>
                <c:pt idx="5">
                  <c:v>0.100000000000031</c:v>
                </c:pt>
                <c:pt idx="6">
                  <c:v>0.100000000000031</c:v>
                </c:pt>
                <c:pt idx="7">
                  <c:v>0.100000000000031</c:v>
                </c:pt>
                <c:pt idx="8">
                  <c:v>0</c:v>
                </c:pt>
                <c:pt idx="9">
                  <c:v>0</c:v>
                </c:pt>
                <c:pt idx="10">
                  <c:v>0.100000000000031</c:v>
                </c:pt>
                <c:pt idx="11">
                  <c:v>0.100000000000031</c:v>
                </c:pt>
                <c:pt idx="12">
                  <c:v>0.100000000000031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0.100000000000031</c:v>
                </c:pt>
                <c:pt idx="17">
                  <c:v>0.100000000000031</c:v>
                </c:pt>
                <c:pt idx="18">
                  <c:v>0.100000000000031</c:v>
                </c:pt>
                <c:pt idx="19">
                  <c:v>0</c:v>
                </c:pt>
                <c:pt idx="20">
                  <c:v>0</c:v>
                </c:pt>
                <c:pt idx="21">
                  <c:v>-0.100000000000031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-0.100000000000031</c:v>
                </c:pt>
                <c:pt idx="27">
                  <c:v>0</c:v>
                </c:pt>
                <c:pt idx="28">
                  <c:v>-0.100000000000031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-0.100000000000031</c:v>
                </c:pt>
                <c:pt idx="36">
                  <c:v>0</c:v>
                </c:pt>
                <c:pt idx="37">
                  <c:v>0</c:v>
                </c:pt>
                <c:pt idx="38">
                  <c:v>0.100000000000031</c:v>
                </c:pt>
                <c:pt idx="39">
                  <c:v>0.100000000000031</c:v>
                </c:pt>
                <c:pt idx="40">
                  <c:v>0</c:v>
                </c:pt>
                <c:pt idx="41">
                  <c:v>0.100000000000031</c:v>
                </c:pt>
                <c:pt idx="42">
                  <c:v>0.100000000000031</c:v>
                </c:pt>
                <c:pt idx="43">
                  <c:v>0</c:v>
                </c:pt>
                <c:pt idx="44">
                  <c:v>0.100000000000031</c:v>
                </c:pt>
                <c:pt idx="45">
                  <c:v>0</c:v>
                </c:pt>
                <c:pt idx="46">
                  <c:v>0.100000000000031</c:v>
                </c:pt>
                <c:pt idx="47">
                  <c:v>0.100000000000031</c:v>
                </c:pt>
                <c:pt idx="48">
                  <c:v>0.100000000000031</c:v>
                </c:pt>
                <c:pt idx="49">
                  <c:v>0</c:v>
                </c:pt>
                <c:pt idx="50">
                  <c:v>0.100000000000031</c:v>
                </c:pt>
                <c:pt idx="51">
                  <c:v>0</c:v>
                </c:pt>
                <c:pt idx="52">
                  <c:v>0.100000000000031</c:v>
                </c:pt>
                <c:pt idx="53">
                  <c:v>0.100000000000031</c:v>
                </c:pt>
                <c:pt idx="54">
                  <c:v>0</c:v>
                </c:pt>
                <c:pt idx="55">
                  <c:v>0.100000000000031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-0.100000000000031</c:v>
                </c:pt>
                <c:pt idx="67">
                  <c:v>0</c:v>
                </c:pt>
                <c:pt idx="68">
                  <c:v>-0.100000000000031</c:v>
                </c:pt>
                <c:pt idx="69">
                  <c:v>-0.100000000000031</c:v>
                </c:pt>
                <c:pt idx="70">
                  <c:v>-0.100000000000031</c:v>
                </c:pt>
                <c:pt idx="71">
                  <c:v>-0.100000000000031</c:v>
                </c:pt>
                <c:pt idx="72">
                  <c:v>-0.100000000000031</c:v>
                </c:pt>
                <c:pt idx="73">
                  <c:v>0</c:v>
                </c:pt>
                <c:pt idx="74">
                  <c:v>-0.199999999999992</c:v>
                </c:pt>
                <c:pt idx="75">
                  <c:v>-0.199999999999992</c:v>
                </c:pt>
                <c:pt idx="76">
                  <c:v>-0.100000000000031</c:v>
                </c:pt>
                <c:pt idx="77">
                  <c:v>-0.199999999999992</c:v>
                </c:pt>
                <c:pt idx="78">
                  <c:v>-0.199999999999992</c:v>
                </c:pt>
                <c:pt idx="79">
                  <c:v>-0.100000000000031</c:v>
                </c:pt>
                <c:pt idx="80">
                  <c:v>0</c:v>
                </c:pt>
                <c:pt idx="81">
                  <c:v>0.100000000000031</c:v>
                </c:pt>
                <c:pt idx="82">
                  <c:v>0.199999999999992</c:v>
                </c:pt>
                <c:pt idx="83">
                  <c:v>0.300000000000022</c:v>
                </c:pt>
                <c:pt idx="84">
                  <c:v>0.500000000000014</c:v>
                </c:pt>
                <c:pt idx="85">
                  <c:v>0.899999999999998</c:v>
                </c:pt>
                <c:pt idx="86">
                  <c:v>1.29999999999998</c:v>
                </c:pt>
                <c:pt idx="87">
                  <c:v>1.6</c:v>
                </c:pt>
                <c:pt idx="88">
                  <c:v>2.80000000000002</c:v>
                </c:pt>
                <c:pt idx="89">
                  <c:v>3.59999999999999</c:v>
                </c:pt>
                <c:pt idx="90">
                  <c:v>4.3</c:v>
                </c:pt>
                <c:pt idx="91">
                  <c:v>4.89999999999997</c:v>
                </c:pt>
                <c:pt idx="92">
                  <c:v>5.9</c:v>
                </c:pt>
                <c:pt idx="93">
                  <c:v>6.60000000000001</c:v>
                </c:pt>
                <c:pt idx="94">
                  <c:v>6.99999999999999</c:v>
                </c:pt>
                <c:pt idx="95">
                  <c:v>7.19999999999998</c:v>
                </c:pt>
                <c:pt idx="96">
                  <c:v>7.19999999999998</c:v>
                </c:pt>
                <c:pt idx="97">
                  <c:v>7.10000000000002</c:v>
                </c:pt>
                <c:pt idx="98">
                  <c:v>6.90000000000003</c:v>
                </c:pt>
                <c:pt idx="99">
                  <c:v>6.69999999999997</c:v>
                </c:pt>
                <c:pt idx="100">
                  <c:v>6.40000000000002</c:v>
                </c:pt>
                <c:pt idx="101">
                  <c:v>6.09999999999999</c:v>
                </c:pt>
                <c:pt idx="102">
                  <c:v>5.9</c:v>
                </c:pt>
                <c:pt idx="103">
                  <c:v>5.59999999999998</c:v>
                </c:pt>
                <c:pt idx="104">
                  <c:v>5.39999999999999</c:v>
                </c:pt>
                <c:pt idx="105">
                  <c:v>5.09999999999997</c:v>
                </c:pt>
                <c:pt idx="106">
                  <c:v>4.60000000000002</c:v>
                </c:pt>
                <c:pt idx="107">
                  <c:v>4.3</c:v>
                </c:pt>
                <c:pt idx="108">
                  <c:v>3.20000000000001</c:v>
                </c:pt>
                <c:pt idx="109">
                  <c:v>2.69999999999999</c:v>
                </c:pt>
                <c:pt idx="110">
                  <c:v>2.5</c:v>
                </c:pt>
                <c:pt idx="111">
                  <c:v>2.30000000000001</c:v>
                </c:pt>
                <c:pt idx="112">
                  <c:v>2.39999999999997</c:v>
                </c:pt>
                <c:pt idx="113">
                  <c:v>2.39999999999997</c:v>
                </c:pt>
                <c:pt idx="114">
                  <c:v>2.5</c:v>
                </c:pt>
                <c:pt idx="115">
                  <c:v>2.80000000000002</c:v>
                </c:pt>
                <c:pt idx="116">
                  <c:v>3.00000000000002</c:v>
                </c:pt>
                <c:pt idx="117">
                  <c:v>3.20000000000001</c:v>
                </c:pt>
                <c:pt idx="118">
                  <c:v>3.59999999999999</c:v>
                </c:pt>
                <c:pt idx="119">
                  <c:v>3.90000000000001</c:v>
                </c:pt>
                <c:pt idx="120">
                  <c:v>4.3</c:v>
                </c:pt>
                <c:pt idx="121">
                  <c:v>4.69999999999998</c:v>
                </c:pt>
                <c:pt idx="122">
                  <c:v>5.79999999999997</c:v>
                </c:pt>
                <c:pt idx="123">
                  <c:v>6.40000000000002</c:v>
                </c:pt>
                <c:pt idx="124">
                  <c:v>6.90000000000003</c:v>
                </c:pt>
                <c:pt idx="125">
                  <c:v>7.19999999999998</c:v>
                </c:pt>
                <c:pt idx="126">
                  <c:v>7.50000000000001</c:v>
                </c:pt>
                <c:pt idx="127">
                  <c:v>7.7</c:v>
                </c:pt>
                <c:pt idx="128">
                  <c:v>8.70000000000003</c:v>
                </c:pt>
                <c:pt idx="129">
                  <c:v>9.3</c:v>
                </c:pt>
                <c:pt idx="130">
                  <c:v>9.80000000000002</c:v>
                </c:pt>
                <c:pt idx="131">
                  <c:v>10</c:v>
                </c:pt>
                <c:pt idx="132">
                  <c:v>10.3</c:v>
                </c:pt>
                <c:pt idx="133">
                  <c:v>10.4</c:v>
                </c:pt>
                <c:pt idx="134">
                  <c:v>10.6</c:v>
                </c:pt>
                <c:pt idx="135">
                  <c:v>11.4</c:v>
                </c:pt>
                <c:pt idx="136">
                  <c:v>12.1</c:v>
                </c:pt>
                <c:pt idx="137">
                  <c:v>12.3</c:v>
                </c:pt>
                <c:pt idx="138">
                  <c:v>12.5</c:v>
                </c:pt>
                <c:pt idx="139">
                  <c:v>12.5</c:v>
                </c:pt>
                <c:pt idx="140">
                  <c:v>12.5</c:v>
                </c:pt>
                <c:pt idx="141">
                  <c:v>12.4</c:v>
                </c:pt>
                <c:pt idx="142">
                  <c:v>12.3</c:v>
                </c:pt>
                <c:pt idx="143">
                  <c:v>12.2</c:v>
                </c:pt>
                <c:pt idx="144">
                  <c:v>12.1</c:v>
                </c:pt>
                <c:pt idx="145">
                  <c:v>11.9</c:v>
                </c:pt>
                <c:pt idx="146">
                  <c:v>11.8</c:v>
                </c:pt>
                <c:pt idx="147">
                  <c:v>11.6</c:v>
                </c:pt>
                <c:pt idx="148">
                  <c:v>11.2</c:v>
                </c:pt>
                <c:pt idx="149">
                  <c:v>11.1</c:v>
                </c:pt>
                <c:pt idx="150">
                  <c:v>10.9</c:v>
                </c:pt>
                <c:pt idx="151">
                  <c:v>10.5</c:v>
                </c:pt>
                <c:pt idx="152">
                  <c:v>10.6</c:v>
                </c:pt>
                <c:pt idx="153">
                  <c:v>10.4</c:v>
                </c:pt>
                <c:pt idx="154">
                  <c:v>9.3</c:v>
                </c:pt>
                <c:pt idx="155">
                  <c:v>8.79999999999999</c:v>
                </c:pt>
                <c:pt idx="156">
                  <c:v>8.49999999999997</c:v>
                </c:pt>
                <c:pt idx="157">
                  <c:v>8.29999999999997</c:v>
                </c:pt>
                <c:pt idx="158">
                  <c:v>8.29999999999997</c:v>
                </c:pt>
                <c:pt idx="159">
                  <c:v>8.29999999999997</c:v>
                </c:pt>
                <c:pt idx="160">
                  <c:v>8.29999999999997</c:v>
                </c:pt>
                <c:pt idx="161">
                  <c:v>8.4</c:v>
                </c:pt>
                <c:pt idx="162">
                  <c:v>8.4</c:v>
                </c:pt>
                <c:pt idx="163">
                  <c:v>8.49999999999997</c:v>
                </c:pt>
                <c:pt idx="164">
                  <c:v>8.6</c:v>
                </c:pt>
                <c:pt idx="165">
                  <c:v>8.99999999999998</c:v>
                </c:pt>
                <c:pt idx="166">
                  <c:v>9.10000000000001</c:v>
                </c:pt>
                <c:pt idx="167">
                  <c:v>9.19999999999997</c:v>
                </c:pt>
                <c:pt idx="168">
                  <c:v>9.3</c:v>
                </c:pt>
                <c:pt idx="169">
                  <c:v>9.60000000000002</c:v>
                </c:pt>
                <c:pt idx="170">
                  <c:v>9.80000000000002</c:v>
                </c:pt>
                <c:pt idx="171">
                  <c:v>9.89999999999998</c:v>
                </c:pt>
                <c:pt idx="172">
                  <c:v>10.1</c:v>
                </c:pt>
                <c:pt idx="173">
                  <c:v>10.1</c:v>
                </c:pt>
                <c:pt idx="174">
                  <c:v>10.4</c:v>
                </c:pt>
                <c:pt idx="175">
                  <c:v>10.3</c:v>
                </c:pt>
                <c:pt idx="176">
                  <c:v>10.4</c:v>
                </c:pt>
                <c:pt idx="177">
                  <c:v>10.3</c:v>
                </c:pt>
                <c:pt idx="178">
                  <c:v>10.2</c:v>
                </c:pt>
                <c:pt idx="179">
                  <c:v>10.1</c:v>
                </c:pt>
                <c:pt idx="180">
                  <c:v>9.89999999999998</c:v>
                </c:pt>
                <c:pt idx="181">
                  <c:v>9.80000000000002</c:v>
                </c:pt>
                <c:pt idx="182">
                  <c:v>9.49999999999999</c:v>
                </c:pt>
                <c:pt idx="183">
                  <c:v>9.3</c:v>
                </c:pt>
                <c:pt idx="184">
                  <c:v>9.19999999999997</c:v>
                </c:pt>
                <c:pt idx="185">
                  <c:v>9.10000000000001</c:v>
                </c:pt>
                <c:pt idx="186">
                  <c:v>8.90000000000002</c:v>
                </c:pt>
                <c:pt idx="187">
                  <c:v>8.6</c:v>
                </c:pt>
                <c:pt idx="188">
                  <c:v>8.29999999999997</c:v>
                </c:pt>
                <c:pt idx="189">
                  <c:v>8.29999999999997</c:v>
                </c:pt>
                <c:pt idx="190">
                  <c:v>8.00000000000002</c:v>
                </c:pt>
                <c:pt idx="191">
                  <c:v>7.89999999999999</c:v>
                </c:pt>
                <c:pt idx="192">
                  <c:v>7.7</c:v>
                </c:pt>
                <c:pt idx="193">
                  <c:v>7.7</c:v>
                </c:pt>
                <c:pt idx="194">
                  <c:v>7.50000000000001</c:v>
                </c:pt>
                <c:pt idx="195">
                  <c:v>7.50000000000001</c:v>
                </c:pt>
                <c:pt idx="196">
                  <c:v>6.49999999999998</c:v>
                </c:pt>
                <c:pt idx="197">
                  <c:v>6.00000000000003</c:v>
                </c:pt>
                <c:pt idx="198">
                  <c:v>5.79999999999997</c:v>
                </c:pt>
                <c:pt idx="199">
                  <c:v>5.79999999999997</c:v>
                </c:pt>
                <c:pt idx="200">
                  <c:v>5.70000000000001</c:v>
                </c:pt>
                <c:pt idx="201">
                  <c:v>5.70000000000001</c:v>
                </c:pt>
                <c:pt idx="202">
                  <c:v>5.79999999999997</c:v>
                </c:pt>
                <c:pt idx="203">
                  <c:v>5.79999999999997</c:v>
                </c:pt>
                <c:pt idx="204">
                  <c:v>6.00000000000003</c:v>
                </c:pt>
                <c:pt idx="205">
                  <c:v>6.20000000000003</c:v>
                </c:pt>
                <c:pt idx="206">
                  <c:v>6.40000000000002</c:v>
                </c:pt>
                <c:pt idx="207">
                  <c:v>6.49999999999998</c:v>
                </c:pt>
                <c:pt idx="208">
                  <c:v>6.8</c:v>
                </c:pt>
                <c:pt idx="209">
                  <c:v>6.90000000000003</c:v>
                </c:pt>
                <c:pt idx="210">
                  <c:v>7.10000000000002</c:v>
                </c:pt>
                <c:pt idx="211">
                  <c:v>7.19999999999998</c:v>
                </c:pt>
                <c:pt idx="212">
                  <c:v>7.30000000000001</c:v>
                </c:pt>
                <c:pt idx="213">
                  <c:v>7.30000000000001</c:v>
                </c:pt>
                <c:pt idx="214">
                  <c:v>7.50000000000001</c:v>
                </c:pt>
                <c:pt idx="215">
                  <c:v>7.39999999999998</c:v>
                </c:pt>
                <c:pt idx="216">
                  <c:v>7.39999999999998</c:v>
                </c:pt>
                <c:pt idx="217">
                  <c:v>7.30000000000001</c:v>
                </c:pt>
                <c:pt idx="218">
                  <c:v>7.10000000000002</c:v>
                </c:pt>
                <c:pt idx="219">
                  <c:v>7.10000000000002</c:v>
                </c:pt>
                <c:pt idx="220">
                  <c:v>6.90000000000003</c:v>
                </c:pt>
                <c:pt idx="221">
                  <c:v>6.69999999999997</c:v>
                </c:pt>
                <c:pt idx="222">
                  <c:v>6.60000000000001</c:v>
                </c:pt>
                <c:pt idx="223">
                  <c:v>6.40000000000002</c:v>
                </c:pt>
                <c:pt idx="224">
                  <c:v>6.09999999999999</c:v>
                </c:pt>
                <c:pt idx="225">
                  <c:v>6.00000000000003</c:v>
                </c:pt>
                <c:pt idx="226">
                  <c:v>5.79999999999997</c:v>
                </c:pt>
                <c:pt idx="227">
                  <c:v>5.70000000000001</c:v>
                </c:pt>
                <c:pt idx="228">
                  <c:v>5.50000000000002</c:v>
                </c:pt>
                <c:pt idx="229">
                  <c:v>5.2</c:v>
                </c:pt>
                <c:pt idx="230">
                  <c:v>5</c:v>
                </c:pt>
                <c:pt idx="231">
                  <c:v>5</c:v>
                </c:pt>
                <c:pt idx="232">
                  <c:v>4.80000000000001</c:v>
                </c:pt>
                <c:pt idx="233">
                  <c:v>4.69999999999998</c:v>
                </c:pt>
                <c:pt idx="234">
                  <c:v>4.69999999999998</c:v>
                </c:pt>
                <c:pt idx="235">
                  <c:v>4.80000000000001</c:v>
                </c:pt>
                <c:pt idx="236">
                  <c:v>4.89999999999997</c:v>
                </c:pt>
                <c:pt idx="237">
                  <c:v>5</c:v>
                </c:pt>
                <c:pt idx="238">
                  <c:v>5.09999999999997</c:v>
                </c:pt>
                <c:pt idx="239">
                  <c:v>5.2</c:v>
                </c:pt>
                <c:pt idx="240">
                  <c:v>5.30000000000003</c:v>
                </c:pt>
                <c:pt idx="241">
                  <c:v>5.39999999999999</c:v>
                </c:pt>
                <c:pt idx="242">
                  <c:v>5.59999999999998</c:v>
                </c:pt>
                <c:pt idx="243">
                  <c:v>5.70000000000001</c:v>
                </c:pt>
                <c:pt idx="244">
                  <c:v>5.9</c:v>
                </c:pt>
                <c:pt idx="245">
                  <c:v>6.00000000000003</c:v>
                </c:pt>
                <c:pt idx="246">
                  <c:v>6.09999999999999</c:v>
                </c:pt>
                <c:pt idx="247">
                  <c:v>6.29999999999999</c:v>
                </c:pt>
                <c:pt idx="248">
                  <c:v>6.49999999999998</c:v>
                </c:pt>
                <c:pt idx="249">
                  <c:v>6.8</c:v>
                </c:pt>
                <c:pt idx="250">
                  <c:v>6.90000000000003</c:v>
                </c:pt>
                <c:pt idx="251">
                  <c:v>6.99999999999999</c:v>
                </c:pt>
                <c:pt idx="252">
                  <c:v>7.19999999999998</c:v>
                </c:pt>
                <c:pt idx="253">
                  <c:v>7.19999999999998</c:v>
                </c:pt>
                <c:pt idx="254">
                  <c:v>7.39999999999998</c:v>
                </c:pt>
                <c:pt idx="255">
                  <c:v>7.39999999999998</c:v>
                </c:pt>
                <c:pt idx="256">
                  <c:v>7.30000000000001</c:v>
                </c:pt>
                <c:pt idx="257">
                  <c:v>7.10000000000002</c:v>
                </c:pt>
                <c:pt idx="258">
                  <c:v>6.99999999999999</c:v>
                </c:pt>
                <c:pt idx="259">
                  <c:v>6.69999999999997</c:v>
                </c:pt>
                <c:pt idx="260">
                  <c:v>6.69999999999997</c:v>
                </c:pt>
                <c:pt idx="261">
                  <c:v>6.49999999999998</c:v>
                </c:pt>
                <c:pt idx="262">
                  <c:v>6.29999999999999</c:v>
                </c:pt>
                <c:pt idx="263">
                  <c:v>6.09999999999999</c:v>
                </c:pt>
                <c:pt idx="264">
                  <c:v>6.00000000000003</c:v>
                </c:pt>
                <c:pt idx="265">
                  <c:v>5.70000000000001</c:v>
                </c:pt>
                <c:pt idx="266">
                  <c:v>5.59999999999998</c:v>
                </c:pt>
                <c:pt idx="267">
                  <c:v>5.39999999999999</c:v>
                </c:pt>
                <c:pt idx="268">
                  <c:v>5.30000000000003</c:v>
                </c:pt>
                <c:pt idx="269">
                  <c:v>5</c:v>
                </c:pt>
                <c:pt idx="270">
                  <c:v>4.89999999999997</c:v>
                </c:pt>
                <c:pt idx="271">
                  <c:v>4.89999999999997</c:v>
                </c:pt>
                <c:pt idx="272">
                  <c:v>4.69999999999998</c:v>
                </c:pt>
                <c:pt idx="273">
                  <c:v>4.80000000000001</c:v>
                </c:pt>
                <c:pt idx="274">
                  <c:v>4.69999999999998</c:v>
                </c:pt>
                <c:pt idx="275">
                  <c:v>4.80000000000001</c:v>
                </c:pt>
                <c:pt idx="276">
                  <c:v>4.69999999999998</c:v>
                </c:pt>
                <c:pt idx="277">
                  <c:v>4.89999999999997</c:v>
                </c:pt>
                <c:pt idx="278">
                  <c:v>4.89999999999997</c:v>
                </c:pt>
                <c:pt idx="279">
                  <c:v>5.09999999999997</c:v>
                </c:pt>
                <c:pt idx="280">
                  <c:v>5.30000000000003</c:v>
                </c:pt>
                <c:pt idx="281">
                  <c:v>5.39999999999999</c:v>
                </c:pt>
                <c:pt idx="282">
                  <c:v>5.59999999999998</c:v>
                </c:pt>
                <c:pt idx="283">
                  <c:v>5.79999999999997</c:v>
                </c:pt>
                <c:pt idx="284">
                  <c:v>6.00000000000003</c:v>
                </c:pt>
                <c:pt idx="285">
                  <c:v>6.09999999999999</c:v>
                </c:pt>
                <c:pt idx="286">
                  <c:v>6.29999999999999</c:v>
                </c:pt>
                <c:pt idx="287">
                  <c:v>6.40000000000002</c:v>
                </c:pt>
                <c:pt idx="288">
                  <c:v>6.49999999999998</c:v>
                </c:pt>
                <c:pt idx="289">
                  <c:v>6.69999999999997</c:v>
                </c:pt>
                <c:pt idx="290">
                  <c:v>6.90000000000003</c:v>
                </c:pt>
                <c:pt idx="291">
                  <c:v>6.99999999999999</c:v>
                </c:pt>
                <c:pt idx="292">
                  <c:v>6.99999999999999</c:v>
                </c:pt>
                <c:pt idx="293">
                  <c:v>7.10000000000002</c:v>
                </c:pt>
                <c:pt idx="294">
                  <c:v>7.10000000000002</c:v>
                </c:pt>
                <c:pt idx="295">
                  <c:v>7.10000000000002</c:v>
                </c:pt>
                <c:pt idx="296">
                  <c:v>6.99999999999999</c:v>
                </c:pt>
                <c:pt idx="297">
                  <c:v>6.8</c:v>
                </c:pt>
                <c:pt idx="298">
                  <c:v>6.8</c:v>
                </c:pt>
                <c:pt idx="299">
                  <c:v>6.60000000000001</c:v>
                </c:pt>
                <c:pt idx="300">
                  <c:v>6.49999999999998</c:v>
                </c:pt>
                <c:pt idx="301">
                  <c:v>6.29999999999999</c:v>
                </c:pt>
                <c:pt idx="302">
                  <c:v>6.09999999999999</c:v>
                </c:pt>
                <c:pt idx="303">
                  <c:v>6.00000000000003</c:v>
                </c:pt>
                <c:pt idx="304">
                  <c:v>5.70000000000001</c:v>
                </c:pt>
                <c:pt idx="305">
                  <c:v>5.70000000000001</c:v>
                </c:pt>
                <c:pt idx="306">
                  <c:v>5.50000000000002</c:v>
                </c:pt>
                <c:pt idx="307">
                  <c:v>5.2</c:v>
                </c:pt>
                <c:pt idx="308">
                  <c:v>5.09999999999997</c:v>
                </c:pt>
                <c:pt idx="309">
                  <c:v>4.89999999999997</c:v>
                </c:pt>
                <c:pt idx="310">
                  <c:v>4.80000000000001</c:v>
                </c:pt>
                <c:pt idx="311">
                  <c:v>4.69999999999998</c:v>
                </c:pt>
                <c:pt idx="312">
                  <c:v>4.69999999999998</c:v>
                </c:pt>
                <c:pt idx="313">
                  <c:v>4.49999999999999</c:v>
                </c:pt>
                <c:pt idx="314">
                  <c:v>4.69999999999998</c:v>
                </c:pt>
                <c:pt idx="315">
                  <c:v>4.49999999999999</c:v>
                </c:pt>
                <c:pt idx="316">
                  <c:v>4.69999999999998</c:v>
                </c:pt>
                <c:pt idx="317">
                  <c:v>4.89999999999997</c:v>
                </c:pt>
                <c:pt idx="318">
                  <c:v>4.89999999999997</c:v>
                </c:pt>
                <c:pt idx="319">
                  <c:v>5.2</c:v>
                </c:pt>
                <c:pt idx="320">
                  <c:v>5.30000000000003</c:v>
                </c:pt>
                <c:pt idx="321">
                  <c:v>5.50000000000002</c:v>
                </c:pt>
                <c:pt idx="322">
                  <c:v>5.79999999999997</c:v>
                </c:pt>
                <c:pt idx="323">
                  <c:v>5.9</c:v>
                </c:pt>
                <c:pt idx="324">
                  <c:v>6.09999999999999</c:v>
                </c:pt>
                <c:pt idx="325">
                  <c:v>6.29999999999999</c:v>
                </c:pt>
                <c:pt idx="326">
                  <c:v>6.29999999999999</c:v>
                </c:pt>
                <c:pt idx="327">
                  <c:v>6.40000000000002</c:v>
                </c:pt>
                <c:pt idx="328">
                  <c:v>6.60000000000001</c:v>
                </c:pt>
                <c:pt idx="329">
                  <c:v>6.8</c:v>
                </c:pt>
                <c:pt idx="330">
                  <c:v>6.8</c:v>
                </c:pt>
                <c:pt idx="331">
                  <c:v>7.10000000000002</c:v>
                </c:pt>
                <c:pt idx="332">
                  <c:v>6.99999999999999</c:v>
                </c:pt>
                <c:pt idx="333">
                  <c:v>6.90000000000003</c:v>
                </c:pt>
                <c:pt idx="334">
                  <c:v>6.99999999999999</c:v>
                </c:pt>
                <c:pt idx="335">
                  <c:v>6.99999999999999</c:v>
                </c:pt>
                <c:pt idx="336">
                  <c:v>6.69999999999997</c:v>
                </c:pt>
                <c:pt idx="337">
                  <c:v>6.60000000000001</c:v>
                </c:pt>
                <c:pt idx="338">
                  <c:v>6.49999999999998</c:v>
                </c:pt>
                <c:pt idx="339">
                  <c:v>6.40000000000002</c:v>
                </c:pt>
                <c:pt idx="340">
                  <c:v>6.29999999999999</c:v>
                </c:pt>
                <c:pt idx="341">
                  <c:v>6.09999999999999</c:v>
                </c:pt>
                <c:pt idx="342">
                  <c:v>5.9</c:v>
                </c:pt>
                <c:pt idx="343">
                  <c:v>5.79999999999997</c:v>
                </c:pt>
                <c:pt idx="344">
                  <c:v>5.50000000000002</c:v>
                </c:pt>
                <c:pt idx="345">
                  <c:v>5.30000000000003</c:v>
                </c:pt>
                <c:pt idx="346">
                  <c:v>5.2</c:v>
                </c:pt>
                <c:pt idx="347">
                  <c:v>5</c:v>
                </c:pt>
                <c:pt idx="348">
                  <c:v>4.80000000000001</c:v>
                </c:pt>
                <c:pt idx="349">
                  <c:v>4.80000000000001</c:v>
                </c:pt>
                <c:pt idx="350">
                  <c:v>4.80000000000001</c:v>
                </c:pt>
                <c:pt idx="351">
                  <c:v>4.69999999999998</c:v>
                </c:pt>
                <c:pt idx="352">
                  <c:v>4.60000000000002</c:v>
                </c:pt>
                <c:pt idx="353">
                  <c:v>4.60000000000002</c:v>
                </c:pt>
                <c:pt idx="354">
                  <c:v>4.40000000000003</c:v>
                </c:pt>
                <c:pt idx="355">
                  <c:v>3.70000000000002</c:v>
                </c:pt>
                <c:pt idx="356">
                  <c:v>3.29999999999997</c:v>
                </c:pt>
                <c:pt idx="357">
                  <c:v>3.09999999999998</c:v>
                </c:pt>
                <c:pt idx="358">
                  <c:v>3.09999999999998</c:v>
                </c:pt>
                <c:pt idx="359">
                  <c:v>3.00000000000002</c:v>
                </c:pt>
                <c:pt idx="360">
                  <c:v>3.09999999999998</c:v>
                </c:pt>
                <c:pt idx="361">
                  <c:v>3.20000000000001</c:v>
                </c:pt>
                <c:pt idx="362">
                  <c:v>3.29999999999997</c:v>
                </c:pt>
                <c:pt idx="363">
                  <c:v>3.50000000000003</c:v>
                </c:pt>
                <c:pt idx="364">
                  <c:v>3.50000000000003</c:v>
                </c:pt>
                <c:pt idx="365">
                  <c:v>3.70000000000002</c:v>
                </c:pt>
                <c:pt idx="366">
                  <c:v>3.79999999999998</c:v>
                </c:pt>
                <c:pt idx="367">
                  <c:v>3.90000000000001</c:v>
                </c:pt>
                <c:pt idx="368">
                  <c:v>4.10000000000001</c:v>
                </c:pt>
                <c:pt idx="369">
                  <c:v>4.10000000000001</c:v>
                </c:pt>
                <c:pt idx="370">
                  <c:v>4.3</c:v>
                </c:pt>
                <c:pt idx="371">
                  <c:v>4.3</c:v>
                </c:pt>
                <c:pt idx="372">
                  <c:v>4.3</c:v>
                </c:pt>
                <c:pt idx="373">
                  <c:v>4.3</c:v>
                </c:pt>
                <c:pt idx="374">
                  <c:v>4.19999999999997</c:v>
                </c:pt>
                <c:pt idx="375">
                  <c:v>4.19999999999997</c:v>
                </c:pt>
                <c:pt idx="376">
                  <c:v>3.90000000000001</c:v>
                </c:pt>
                <c:pt idx="377">
                  <c:v>3.90000000000001</c:v>
                </c:pt>
                <c:pt idx="378">
                  <c:v>3.70000000000002</c:v>
                </c:pt>
                <c:pt idx="379">
                  <c:v>3.50000000000003</c:v>
                </c:pt>
                <c:pt idx="380">
                  <c:v>3.4</c:v>
                </c:pt>
                <c:pt idx="381">
                  <c:v>3.29999999999997</c:v>
                </c:pt>
                <c:pt idx="382">
                  <c:v>3.09999999999998</c:v>
                </c:pt>
                <c:pt idx="383">
                  <c:v>2.89999999999999</c:v>
                </c:pt>
                <c:pt idx="384">
                  <c:v>2.60000000000003</c:v>
                </c:pt>
                <c:pt idx="385">
                  <c:v>2.5</c:v>
                </c:pt>
                <c:pt idx="386">
                  <c:v>2.39999999999997</c:v>
                </c:pt>
                <c:pt idx="387">
                  <c:v>2.19999999999998</c:v>
                </c:pt>
                <c:pt idx="388">
                  <c:v>2.19999999999998</c:v>
                </c:pt>
                <c:pt idx="389">
                  <c:v>1.99999999999999</c:v>
                </c:pt>
                <c:pt idx="390">
                  <c:v>1.99999999999999</c:v>
                </c:pt>
                <c:pt idx="391">
                  <c:v>1.8</c:v>
                </c:pt>
                <c:pt idx="392">
                  <c:v>1.70000000000003</c:v>
                </c:pt>
                <c:pt idx="393">
                  <c:v>1.90000000000003</c:v>
                </c:pt>
                <c:pt idx="394">
                  <c:v>1.99999999999999</c:v>
                </c:pt>
                <c:pt idx="395">
                  <c:v>1.99999999999999</c:v>
                </c:pt>
                <c:pt idx="396">
                  <c:v>2.10000000000002</c:v>
                </c:pt>
                <c:pt idx="397">
                  <c:v>2.30000000000001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'B_10_24_39_3-0.4'!$L$3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'B_10_24_39_3-0.4'!$J$4:$J$401</c:f>
              <c:numCache>
                <c:formatCode>0.00_);[Red]\(0.00\)</c:formatCode>
                <c:ptCount val="398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0.268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0.502</c:v>
                </c:pt>
                <c:pt idx="16" c:formatCode="0.00_);[Red]\(0.00\)">
                  <c:v>0.535</c:v>
                </c:pt>
                <c:pt idx="17" c:formatCode="0.00_);[Red]\(0.00\)">
                  <c:v>0.569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0.803</c:v>
                </c:pt>
                <c:pt idx="25" c:formatCode="0.00_);[Red]\(0.00\)">
                  <c:v>0.836</c:v>
                </c:pt>
                <c:pt idx="26" c:formatCode="0.00_);[Red]\(0.00\)">
                  <c:v>0.87</c:v>
                </c:pt>
                <c:pt idx="27" c:formatCode="0.00_);[Red]\(0.00\)">
                  <c:v>0.903</c:v>
                </c:pt>
                <c:pt idx="28" c:formatCode="0.00_);[Red]\(0.00\)">
                  <c:v>0.937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1.037</c:v>
                </c:pt>
                <c:pt idx="32" c:formatCode="0.00_);[Red]\(0.00\)">
                  <c:v>1.07</c:v>
                </c:pt>
                <c:pt idx="33" c:formatCode="0.00_);[Red]\(0.00\)">
                  <c:v>1.104</c:v>
                </c:pt>
                <c:pt idx="34" c:formatCode="0.00_);[Red]\(0.00\)">
                  <c:v>1.137</c:v>
                </c:pt>
                <c:pt idx="35" c:formatCode="0.00_);[Red]\(0.00\)">
                  <c:v>1.171</c:v>
                </c:pt>
                <c:pt idx="36" c:formatCode="0.00_);[Red]\(0.00\)">
                  <c:v>1.204</c:v>
                </c:pt>
                <c:pt idx="37" c:formatCode="0.00_);[Red]\(0.00\)">
                  <c:v>1.238</c:v>
                </c:pt>
                <c:pt idx="38" c:formatCode="0.00_);[Red]\(0.00\)">
                  <c:v>1.271</c:v>
                </c:pt>
                <c:pt idx="39" c:formatCode="0.00_);[Red]\(0.00\)">
                  <c:v>1.304</c:v>
                </c:pt>
                <c:pt idx="40" c:formatCode="0.00_);[Red]\(0.00\)">
                  <c:v>1.338</c:v>
                </c:pt>
                <c:pt idx="41" c:formatCode="0.00_);[Red]\(0.00\)">
                  <c:v>1.371</c:v>
                </c:pt>
                <c:pt idx="42" c:formatCode="0.00_);[Red]\(0.00\)">
                  <c:v>1.405</c:v>
                </c:pt>
                <c:pt idx="43" c:formatCode="0.00_);[Red]\(0.00\)">
                  <c:v>1.438</c:v>
                </c:pt>
                <c:pt idx="44" c:formatCode="0.00_);[Red]\(0.00\)">
                  <c:v>1.472</c:v>
                </c:pt>
                <c:pt idx="45" c:formatCode="0.00_);[Red]\(0.00\)">
                  <c:v>1.505</c:v>
                </c:pt>
                <c:pt idx="46" c:formatCode="0.00_);[Red]\(0.00\)">
                  <c:v>1.539</c:v>
                </c:pt>
                <c:pt idx="47" c:formatCode="0.00_);[Red]\(0.00\)">
                  <c:v>1.572</c:v>
                </c:pt>
                <c:pt idx="48" c:formatCode="0.00_);[Red]\(0.00\)">
                  <c:v>1.605</c:v>
                </c:pt>
                <c:pt idx="49" c:formatCode="0.00_);[Red]\(0.00\)">
                  <c:v>1.639</c:v>
                </c:pt>
                <c:pt idx="50" c:formatCode="0.00_);[Red]\(0.00\)">
                  <c:v>1.672</c:v>
                </c:pt>
                <c:pt idx="51" c:formatCode="0.00_);[Red]\(0.00\)">
                  <c:v>1.706</c:v>
                </c:pt>
                <c:pt idx="52" c:formatCode="0.00_);[Red]\(0.00\)">
                  <c:v>1.739</c:v>
                </c:pt>
                <c:pt idx="53" c:formatCode="0.00_);[Red]\(0.00\)">
                  <c:v>1.773</c:v>
                </c:pt>
                <c:pt idx="54" c:formatCode="0.00_);[Red]\(0.00\)">
                  <c:v>1.806</c:v>
                </c:pt>
                <c:pt idx="55" c:formatCode="0.00_);[Red]\(0.00\)">
                  <c:v>1.84</c:v>
                </c:pt>
                <c:pt idx="56" c:formatCode="0.00_);[Red]\(0.00\)">
                  <c:v>1.873</c:v>
                </c:pt>
                <c:pt idx="57" c:formatCode="0.00_);[Red]\(0.00\)">
                  <c:v>1.906</c:v>
                </c:pt>
                <c:pt idx="58" c:formatCode="0.00_);[Red]\(0.00\)">
                  <c:v>1.94</c:v>
                </c:pt>
                <c:pt idx="59" c:formatCode="0.00_);[Red]\(0.00\)">
                  <c:v>1.973</c:v>
                </c:pt>
                <c:pt idx="60" c:formatCode="0.00_);[Red]\(0.00\)">
                  <c:v>2.007</c:v>
                </c:pt>
                <c:pt idx="61" c:formatCode="0.00_);[Red]\(0.00\)">
                  <c:v>2.04</c:v>
                </c:pt>
                <c:pt idx="62" c:formatCode="0.00_);[Red]\(0.00\)">
                  <c:v>2.074</c:v>
                </c:pt>
                <c:pt idx="63" c:formatCode="0.00_);[Red]\(0.00\)">
                  <c:v>2.107</c:v>
                </c:pt>
                <c:pt idx="64" c:formatCode="0.00_);[Red]\(0.00\)">
                  <c:v>2.141</c:v>
                </c:pt>
                <c:pt idx="65" c:formatCode="0.00_);[Red]\(0.00\)">
                  <c:v>2.174</c:v>
                </c:pt>
                <c:pt idx="66" c:formatCode="0.00_);[Red]\(0.00\)">
                  <c:v>2.208</c:v>
                </c:pt>
                <c:pt idx="67" c:formatCode="0.00_);[Red]\(0.00\)">
                  <c:v>2.241</c:v>
                </c:pt>
                <c:pt idx="68" c:formatCode="0.00_);[Red]\(0.00\)">
                  <c:v>2.274</c:v>
                </c:pt>
                <c:pt idx="69" c:formatCode="0.00_);[Red]\(0.00\)">
                  <c:v>2.308</c:v>
                </c:pt>
                <c:pt idx="70" c:formatCode="0.00_);[Red]\(0.00\)">
                  <c:v>2.341</c:v>
                </c:pt>
                <c:pt idx="71" c:formatCode="0.00_);[Red]\(0.00\)">
                  <c:v>2.375</c:v>
                </c:pt>
                <c:pt idx="72" c:formatCode="0.00_);[Red]\(0.00\)">
                  <c:v>2.408</c:v>
                </c:pt>
                <c:pt idx="73" c:formatCode="0.00_);[Red]\(0.00\)">
                  <c:v>2.442</c:v>
                </c:pt>
                <c:pt idx="74" c:formatCode="0.00_);[Red]\(0.00\)">
                  <c:v>2.475</c:v>
                </c:pt>
                <c:pt idx="75" c:formatCode="0.00_);[Red]\(0.00\)">
                  <c:v>2.509</c:v>
                </c:pt>
                <c:pt idx="76" c:formatCode="0.00_);[Red]\(0.00\)">
                  <c:v>2.542</c:v>
                </c:pt>
                <c:pt idx="77" c:formatCode="0.00_);[Red]\(0.00\)">
                  <c:v>2.575</c:v>
                </c:pt>
                <c:pt idx="78" c:formatCode="0.00_);[Red]\(0.00\)">
                  <c:v>2.609</c:v>
                </c:pt>
                <c:pt idx="79" c:formatCode="0.00_);[Red]\(0.00\)">
                  <c:v>2.642</c:v>
                </c:pt>
                <c:pt idx="80" c:formatCode="0.00_);[Red]\(0.00\)">
                  <c:v>2.676</c:v>
                </c:pt>
                <c:pt idx="81" c:formatCode="0.00_);[Red]\(0.00\)">
                  <c:v>2.709</c:v>
                </c:pt>
                <c:pt idx="82" c:formatCode="0.00_);[Red]\(0.00\)">
                  <c:v>2.743</c:v>
                </c:pt>
                <c:pt idx="83" c:formatCode="0.00_);[Red]\(0.00\)">
                  <c:v>2.776</c:v>
                </c:pt>
                <c:pt idx="84" c:formatCode="0.00_);[Red]\(0.00\)">
                  <c:v>2.81</c:v>
                </c:pt>
                <c:pt idx="85" c:formatCode="0.00_);[Red]\(0.00\)">
                  <c:v>2.843</c:v>
                </c:pt>
                <c:pt idx="86" c:formatCode="0.00_);[Red]\(0.00\)">
                  <c:v>2.876</c:v>
                </c:pt>
                <c:pt idx="87" c:formatCode="0.00_);[Red]\(0.00\)">
                  <c:v>2.91</c:v>
                </c:pt>
                <c:pt idx="88" c:formatCode="0.00_);[Red]\(0.00\)">
                  <c:v>2.943</c:v>
                </c:pt>
                <c:pt idx="89" c:formatCode="0.00_);[Red]\(0.00\)">
                  <c:v>2.977</c:v>
                </c:pt>
                <c:pt idx="90" c:formatCode="0.00_);[Red]\(0.00\)">
                  <c:v>3.01</c:v>
                </c:pt>
                <c:pt idx="91" c:formatCode="0.00_);[Red]\(0.00\)">
                  <c:v>3.044</c:v>
                </c:pt>
                <c:pt idx="92" c:formatCode="0.00_);[Red]\(0.00\)">
                  <c:v>3.077</c:v>
                </c:pt>
                <c:pt idx="93" c:formatCode="0.00_);[Red]\(0.00\)">
                  <c:v>3.111</c:v>
                </c:pt>
                <c:pt idx="94" c:formatCode="0.00_);[Red]\(0.00\)">
                  <c:v>3.144</c:v>
                </c:pt>
                <c:pt idx="95" c:formatCode="0.00_);[Red]\(0.00\)">
                  <c:v>3.177</c:v>
                </c:pt>
                <c:pt idx="96" c:formatCode="0.00_);[Red]\(0.00\)">
                  <c:v>3.211</c:v>
                </c:pt>
                <c:pt idx="97" c:formatCode="0.00_);[Red]\(0.00\)">
                  <c:v>3.244</c:v>
                </c:pt>
                <c:pt idx="98" c:formatCode="0.00_);[Red]\(0.00\)">
                  <c:v>3.278</c:v>
                </c:pt>
                <c:pt idx="99" c:formatCode="0.00_);[Red]\(0.00\)">
                  <c:v>3.311</c:v>
                </c:pt>
                <c:pt idx="100" c:formatCode="0.00_);[Red]\(0.00\)">
                  <c:v>3.345</c:v>
                </c:pt>
                <c:pt idx="101" c:formatCode="0.00_);[Red]\(0.00\)">
                  <c:v>3.378</c:v>
                </c:pt>
                <c:pt idx="102" c:formatCode="0.00_);[Red]\(0.00\)">
                  <c:v>3.412</c:v>
                </c:pt>
                <c:pt idx="103" c:formatCode="0.00_);[Red]\(0.00\)">
                  <c:v>3.445</c:v>
                </c:pt>
                <c:pt idx="104" c:formatCode="0.00_);[Red]\(0.00\)">
                  <c:v>3.478</c:v>
                </c:pt>
                <c:pt idx="105" c:formatCode="0.00_);[Red]\(0.00\)">
                  <c:v>3.512</c:v>
                </c:pt>
                <c:pt idx="106" c:formatCode="0.00_);[Red]\(0.00\)">
                  <c:v>3.545</c:v>
                </c:pt>
                <c:pt idx="107" c:formatCode="0.00_);[Red]\(0.00\)">
                  <c:v>3.579</c:v>
                </c:pt>
                <c:pt idx="108" c:formatCode="0.00_);[Red]\(0.00\)">
                  <c:v>3.612</c:v>
                </c:pt>
                <c:pt idx="109" c:formatCode="0.00_);[Red]\(0.00\)">
                  <c:v>3.646</c:v>
                </c:pt>
                <c:pt idx="110" c:formatCode="0.00_);[Red]\(0.00\)">
                  <c:v>3.679</c:v>
                </c:pt>
                <c:pt idx="111" c:formatCode="0.00_);[Red]\(0.00\)">
                  <c:v>3.713</c:v>
                </c:pt>
                <c:pt idx="112" c:formatCode="0.00_);[Red]\(0.00\)">
                  <c:v>3.746</c:v>
                </c:pt>
                <c:pt idx="113" c:formatCode="0.00_);[Red]\(0.00\)">
                  <c:v>3.78</c:v>
                </c:pt>
                <c:pt idx="114" c:formatCode="0.00_);[Red]\(0.00\)">
                  <c:v>3.813</c:v>
                </c:pt>
                <c:pt idx="115" c:formatCode="0.00_);[Red]\(0.00\)">
                  <c:v>3.846</c:v>
                </c:pt>
                <c:pt idx="116" c:formatCode="0.00_);[Red]\(0.00\)">
                  <c:v>3.88</c:v>
                </c:pt>
                <c:pt idx="117" c:formatCode="0.00_);[Red]\(0.00\)">
                  <c:v>3.913</c:v>
                </c:pt>
                <c:pt idx="118" c:formatCode="0.00_);[Red]\(0.00\)">
                  <c:v>3.947</c:v>
                </c:pt>
                <c:pt idx="119" c:formatCode="0.00_);[Red]\(0.00\)">
                  <c:v>3.98</c:v>
                </c:pt>
                <c:pt idx="120" c:formatCode="0.00_);[Red]\(0.00\)">
                  <c:v>4.014</c:v>
                </c:pt>
                <c:pt idx="121" c:formatCode="0.00_);[Red]\(0.00\)">
                  <c:v>4.047</c:v>
                </c:pt>
                <c:pt idx="122" c:formatCode="0.00_);[Red]\(0.00\)">
                  <c:v>4.081</c:v>
                </c:pt>
                <c:pt idx="123" c:formatCode="0.00_);[Red]\(0.00\)">
                  <c:v>4.114</c:v>
                </c:pt>
                <c:pt idx="124" c:formatCode="0.00_);[Red]\(0.00\)">
                  <c:v>4.147</c:v>
                </c:pt>
                <c:pt idx="125" c:formatCode="0.00_);[Red]\(0.00\)">
                  <c:v>4.181</c:v>
                </c:pt>
                <c:pt idx="126" c:formatCode="0.00_);[Red]\(0.00\)">
                  <c:v>4.214</c:v>
                </c:pt>
                <c:pt idx="127" c:formatCode="0.00_);[Red]\(0.00\)">
                  <c:v>4.248</c:v>
                </c:pt>
                <c:pt idx="128" c:formatCode="0.00_);[Red]\(0.00\)">
                  <c:v>4.281</c:v>
                </c:pt>
                <c:pt idx="129" c:formatCode="0.00_);[Red]\(0.00\)">
                  <c:v>4.315</c:v>
                </c:pt>
                <c:pt idx="130" c:formatCode="0.00_);[Red]\(0.00\)">
                  <c:v>4.348</c:v>
                </c:pt>
                <c:pt idx="131" c:formatCode="0.00_);[Red]\(0.00\)">
                  <c:v>4.382</c:v>
                </c:pt>
                <c:pt idx="132" c:formatCode="0.00_);[Red]\(0.00\)">
                  <c:v>4.415</c:v>
                </c:pt>
                <c:pt idx="133" c:formatCode="0.00_);[Red]\(0.00\)">
                  <c:v>4.448</c:v>
                </c:pt>
                <c:pt idx="134" c:formatCode="0.00_);[Red]\(0.00\)">
                  <c:v>4.482</c:v>
                </c:pt>
                <c:pt idx="135" c:formatCode="0.00_);[Red]\(0.00\)">
                  <c:v>4.515</c:v>
                </c:pt>
                <c:pt idx="136" c:formatCode="0.00_);[Red]\(0.00\)">
                  <c:v>4.549</c:v>
                </c:pt>
                <c:pt idx="137" c:formatCode="0.00_);[Red]\(0.00\)">
                  <c:v>4.582</c:v>
                </c:pt>
                <c:pt idx="138" c:formatCode="0.00_);[Red]\(0.00\)">
                  <c:v>4.616</c:v>
                </c:pt>
                <c:pt idx="139" c:formatCode="0.00_);[Red]\(0.00\)">
                  <c:v>4.649</c:v>
                </c:pt>
                <c:pt idx="140" c:formatCode="0.00_);[Red]\(0.00\)">
                  <c:v>4.683</c:v>
                </c:pt>
                <c:pt idx="141" c:formatCode="0.00_);[Red]\(0.00\)">
                  <c:v>4.716</c:v>
                </c:pt>
                <c:pt idx="142" c:formatCode="0.00_);[Red]\(0.00\)">
                  <c:v>4.749</c:v>
                </c:pt>
                <c:pt idx="143" c:formatCode="0.00_);[Red]\(0.00\)">
                  <c:v>4.783</c:v>
                </c:pt>
                <c:pt idx="144" c:formatCode="0.00_);[Red]\(0.00\)">
                  <c:v>4.816</c:v>
                </c:pt>
                <c:pt idx="145" c:formatCode="0.00_);[Red]\(0.00\)">
                  <c:v>4.85</c:v>
                </c:pt>
                <c:pt idx="146" c:formatCode="0.00_);[Red]\(0.00\)">
                  <c:v>4.883</c:v>
                </c:pt>
                <c:pt idx="147" c:formatCode="0.00_);[Red]\(0.00\)">
                  <c:v>4.917</c:v>
                </c:pt>
                <c:pt idx="148" c:formatCode="0.00_);[Red]\(0.00\)">
                  <c:v>4.95</c:v>
                </c:pt>
                <c:pt idx="149" c:formatCode="0.00_);[Red]\(0.00\)">
                  <c:v>4.984</c:v>
                </c:pt>
                <c:pt idx="150" c:formatCode="0.00_);[Red]\(0.00\)">
                  <c:v>5.017</c:v>
                </c:pt>
                <c:pt idx="151" c:formatCode="0.00_);[Red]\(0.00\)">
                  <c:v>5.05</c:v>
                </c:pt>
                <c:pt idx="152" c:formatCode="0.00_);[Red]\(0.00\)">
                  <c:v>5.084</c:v>
                </c:pt>
                <c:pt idx="153" c:formatCode="0.00_);[Red]\(0.00\)">
                  <c:v>5.117</c:v>
                </c:pt>
                <c:pt idx="154" c:formatCode="0.00_);[Red]\(0.00\)">
                  <c:v>5.151</c:v>
                </c:pt>
                <c:pt idx="155" c:formatCode="0.00_);[Red]\(0.00\)">
                  <c:v>5.184</c:v>
                </c:pt>
                <c:pt idx="156" c:formatCode="0.00_);[Red]\(0.00\)">
                  <c:v>5.218</c:v>
                </c:pt>
                <c:pt idx="157" c:formatCode="0.00_);[Red]\(0.00\)">
                  <c:v>5.251</c:v>
                </c:pt>
                <c:pt idx="158" c:formatCode="0.00_);[Red]\(0.00\)">
                  <c:v>5.285</c:v>
                </c:pt>
                <c:pt idx="159" c:formatCode="0.00_);[Red]\(0.00\)">
                  <c:v>5.318</c:v>
                </c:pt>
                <c:pt idx="160" c:formatCode="0.00_);[Red]\(0.00\)">
                  <c:v>5.352</c:v>
                </c:pt>
                <c:pt idx="161" c:formatCode="0.00_);[Red]\(0.00\)">
                  <c:v>5.385</c:v>
                </c:pt>
                <c:pt idx="162" c:formatCode="0.00_);[Red]\(0.00\)">
                  <c:v>5.418</c:v>
                </c:pt>
                <c:pt idx="163" c:formatCode="0.00_);[Red]\(0.00\)">
                  <c:v>5.452</c:v>
                </c:pt>
                <c:pt idx="164" c:formatCode="0.00_);[Red]\(0.00\)">
                  <c:v>5.485</c:v>
                </c:pt>
                <c:pt idx="165" c:formatCode="0.00_);[Red]\(0.00\)">
                  <c:v>5.519</c:v>
                </c:pt>
                <c:pt idx="166" c:formatCode="0.00_);[Red]\(0.00\)">
                  <c:v>5.552</c:v>
                </c:pt>
                <c:pt idx="167" c:formatCode="0.00_);[Red]\(0.00\)">
                  <c:v>5.586</c:v>
                </c:pt>
                <c:pt idx="168" c:formatCode="0.00_);[Red]\(0.00\)">
                  <c:v>5.619</c:v>
                </c:pt>
                <c:pt idx="169" c:formatCode="0.00_);[Red]\(0.00\)">
                  <c:v>5.653</c:v>
                </c:pt>
                <c:pt idx="170" c:formatCode="0.00_);[Red]\(0.00\)">
                  <c:v>5.686</c:v>
                </c:pt>
                <c:pt idx="171" c:formatCode="0.00_);[Red]\(0.00\)">
                  <c:v>5.719</c:v>
                </c:pt>
                <c:pt idx="172" c:formatCode="0.00_);[Red]\(0.00\)">
                  <c:v>5.753</c:v>
                </c:pt>
                <c:pt idx="173" c:formatCode="0.00_);[Red]\(0.00\)">
                  <c:v>5.786</c:v>
                </c:pt>
                <c:pt idx="174" c:formatCode="0.00_);[Red]\(0.00\)">
                  <c:v>5.82</c:v>
                </c:pt>
                <c:pt idx="175" c:formatCode="0.00_);[Red]\(0.00\)">
                  <c:v>5.853</c:v>
                </c:pt>
                <c:pt idx="176" c:formatCode="0.00_);[Red]\(0.00\)">
                  <c:v>5.887</c:v>
                </c:pt>
                <c:pt idx="177" c:formatCode="0.00_);[Red]\(0.00\)">
                  <c:v>5.92</c:v>
                </c:pt>
                <c:pt idx="178" c:formatCode="0.00_);[Red]\(0.00\)">
                  <c:v>5.954</c:v>
                </c:pt>
                <c:pt idx="179" c:formatCode="0.00_);[Red]\(0.00\)">
                  <c:v>5.987</c:v>
                </c:pt>
                <c:pt idx="180" c:formatCode="0.00_);[Red]\(0.00\)">
                  <c:v>6.02</c:v>
                </c:pt>
                <c:pt idx="181" c:formatCode="0.00_);[Red]\(0.00\)">
                  <c:v>6.054</c:v>
                </c:pt>
                <c:pt idx="182" c:formatCode="0.00_);[Red]\(0.00\)">
                  <c:v>6.087</c:v>
                </c:pt>
                <c:pt idx="183" c:formatCode="0.00_);[Red]\(0.00\)">
                  <c:v>6.121</c:v>
                </c:pt>
                <c:pt idx="184" c:formatCode="0.00_);[Red]\(0.00\)">
                  <c:v>6.154</c:v>
                </c:pt>
                <c:pt idx="185" c:formatCode="0.00_);[Red]\(0.00\)">
                  <c:v>6.188</c:v>
                </c:pt>
                <c:pt idx="186" c:formatCode="0.00_);[Red]\(0.00\)">
                  <c:v>6.221</c:v>
                </c:pt>
                <c:pt idx="187" c:formatCode="0.00_);[Red]\(0.00\)">
                  <c:v>6.255</c:v>
                </c:pt>
                <c:pt idx="188" c:formatCode="0.00_);[Red]\(0.00\)">
                  <c:v>6.288</c:v>
                </c:pt>
                <c:pt idx="189" c:formatCode="0.00_);[Red]\(0.00\)">
                  <c:v>6.321</c:v>
                </c:pt>
                <c:pt idx="190" c:formatCode="0.00_);[Red]\(0.00\)">
                  <c:v>6.355</c:v>
                </c:pt>
                <c:pt idx="191" c:formatCode="0.00_);[Red]\(0.00\)">
                  <c:v>6.388</c:v>
                </c:pt>
                <c:pt idx="192" c:formatCode="0.00_);[Red]\(0.00\)">
                  <c:v>6.422</c:v>
                </c:pt>
                <c:pt idx="193" c:formatCode="0.00_);[Red]\(0.00\)">
                  <c:v>6.455</c:v>
                </c:pt>
                <c:pt idx="194" c:formatCode="0.00_);[Red]\(0.00\)">
                  <c:v>6.489</c:v>
                </c:pt>
                <c:pt idx="195" c:formatCode="0.00_);[Red]\(0.00\)">
                  <c:v>6.522</c:v>
                </c:pt>
                <c:pt idx="196" c:formatCode="0.00_);[Red]\(0.00\)">
                  <c:v>6.556</c:v>
                </c:pt>
                <c:pt idx="197" c:formatCode="0.00_);[Red]\(0.00\)">
                  <c:v>6.589</c:v>
                </c:pt>
                <c:pt idx="198" c:formatCode="0.00_);[Red]\(0.00\)">
                  <c:v>6.623</c:v>
                </c:pt>
                <c:pt idx="199" c:formatCode="0.00_);[Red]\(0.00\)">
                  <c:v>6.656</c:v>
                </c:pt>
                <c:pt idx="200" c:formatCode="0.00_);[Red]\(0.00\)">
                  <c:v>6.689</c:v>
                </c:pt>
                <c:pt idx="201" c:formatCode="0.00_);[Red]\(0.00\)">
                  <c:v>6.723</c:v>
                </c:pt>
                <c:pt idx="202" c:formatCode="0.00_);[Red]\(0.00\)">
                  <c:v>6.756</c:v>
                </c:pt>
                <c:pt idx="203" c:formatCode="0.00_);[Red]\(0.00\)">
                  <c:v>6.79</c:v>
                </c:pt>
                <c:pt idx="204" c:formatCode="0.00_);[Red]\(0.00\)">
                  <c:v>6.823</c:v>
                </c:pt>
                <c:pt idx="205" c:formatCode="0.00_);[Red]\(0.00\)">
                  <c:v>6.857</c:v>
                </c:pt>
                <c:pt idx="206" c:formatCode="0.00_);[Red]\(0.00\)">
                  <c:v>6.89</c:v>
                </c:pt>
                <c:pt idx="207" c:formatCode="0.00_);[Red]\(0.00\)">
                  <c:v>6.924</c:v>
                </c:pt>
                <c:pt idx="208" c:formatCode="0.00_);[Red]\(0.00\)">
                  <c:v>6.957</c:v>
                </c:pt>
                <c:pt idx="209" c:formatCode="0.00_);[Red]\(0.00\)">
                  <c:v>6.99</c:v>
                </c:pt>
                <c:pt idx="210" c:formatCode="0.00_);[Red]\(0.00\)">
                  <c:v>7.024</c:v>
                </c:pt>
                <c:pt idx="211" c:formatCode="0.00_);[Red]\(0.00\)">
                  <c:v>7.057</c:v>
                </c:pt>
                <c:pt idx="212" c:formatCode="0.00_);[Red]\(0.00\)">
                  <c:v>7.091</c:v>
                </c:pt>
                <c:pt idx="213" c:formatCode="0.00_);[Red]\(0.00\)">
                  <c:v>7.124</c:v>
                </c:pt>
                <c:pt idx="214" c:formatCode="0.00_);[Red]\(0.00\)">
                  <c:v>7.158</c:v>
                </c:pt>
                <c:pt idx="215" c:formatCode="0.00_);[Red]\(0.00\)">
                  <c:v>7.191</c:v>
                </c:pt>
                <c:pt idx="216" c:formatCode="0.00_);[Red]\(0.00\)">
                  <c:v>7.225</c:v>
                </c:pt>
                <c:pt idx="217" c:formatCode="0.00_);[Red]\(0.00\)">
                  <c:v>7.258</c:v>
                </c:pt>
                <c:pt idx="218" c:formatCode="0.00_);[Red]\(0.00\)">
                  <c:v>7.291</c:v>
                </c:pt>
                <c:pt idx="219" c:formatCode="0.00_);[Red]\(0.00\)">
                  <c:v>7.325</c:v>
                </c:pt>
                <c:pt idx="220" c:formatCode="0.00_);[Red]\(0.00\)">
                  <c:v>7.358</c:v>
                </c:pt>
                <c:pt idx="221" c:formatCode="0.00_);[Red]\(0.00\)">
                  <c:v>7.392</c:v>
                </c:pt>
                <c:pt idx="222" c:formatCode="0.00_);[Red]\(0.00\)">
                  <c:v>7.425</c:v>
                </c:pt>
                <c:pt idx="223" c:formatCode="0.00_);[Red]\(0.00\)">
                  <c:v>7.459</c:v>
                </c:pt>
                <c:pt idx="224" c:formatCode="0.00_);[Red]\(0.00\)">
                  <c:v>7.492</c:v>
                </c:pt>
                <c:pt idx="225" c:formatCode="0.00_);[Red]\(0.00\)">
                  <c:v>7.526</c:v>
                </c:pt>
                <c:pt idx="226" c:formatCode="0.00_);[Red]\(0.00\)">
                  <c:v>7.559</c:v>
                </c:pt>
                <c:pt idx="227" c:formatCode="0.00_);[Red]\(0.00\)">
                  <c:v>7.592</c:v>
                </c:pt>
                <c:pt idx="228" c:formatCode="0.00_);[Red]\(0.00\)">
                  <c:v>7.626</c:v>
                </c:pt>
                <c:pt idx="229" c:formatCode="0.00_);[Red]\(0.00\)">
                  <c:v>7.659</c:v>
                </c:pt>
                <c:pt idx="230" c:formatCode="0.00_);[Red]\(0.00\)">
                  <c:v>7.693</c:v>
                </c:pt>
                <c:pt idx="231" c:formatCode="0.00_);[Red]\(0.00\)">
                  <c:v>7.726</c:v>
                </c:pt>
                <c:pt idx="232" c:formatCode="0.00_);[Red]\(0.00\)">
                  <c:v>7.76</c:v>
                </c:pt>
                <c:pt idx="233" c:formatCode="0.00_);[Red]\(0.00\)">
                  <c:v>7.793</c:v>
                </c:pt>
                <c:pt idx="234" c:formatCode="0.00_);[Red]\(0.00\)">
                  <c:v>7.827</c:v>
                </c:pt>
                <c:pt idx="235" c:formatCode="0.00_);[Red]\(0.00\)">
                  <c:v>7.86</c:v>
                </c:pt>
                <c:pt idx="236" c:formatCode="0.00_);[Red]\(0.00\)">
                  <c:v>7.893</c:v>
                </c:pt>
                <c:pt idx="237" c:formatCode="0.00_);[Red]\(0.00\)">
                  <c:v>7.927</c:v>
                </c:pt>
                <c:pt idx="238" c:formatCode="0.00_);[Red]\(0.00\)">
                  <c:v>7.96</c:v>
                </c:pt>
                <c:pt idx="239" c:formatCode="0.00_);[Red]\(0.00\)">
                  <c:v>7.994</c:v>
                </c:pt>
                <c:pt idx="240" c:formatCode="0.00_);[Red]\(0.00\)">
                  <c:v>8.027</c:v>
                </c:pt>
                <c:pt idx="241" c:formatCode="0.00_);[Red]\(0.00\)">
                  <c:v>8.061</c:v>
                </c:pt>
                <c:pt idx="242" c:formatCode="0.00_);[Red]\(0.00\)">
                  <c:v>8.094</c:v>
                </c:pt>
                <c:pt idx="243" c:formatCode="0.00_);[Red]\(0.00\)">
                  <c:v>8.128</c:v>
                </c:pt>
                <c:pt idx="244" c:formatCode="0.00_);[Red]\(0.00\)">
                  <c:v>8.161</c:v>
                </c:pt>
                <c:pt idx="245" c:formatCode="0.00_);[Red]\(0.00\)">
                  <c:v>8.195</c:v>
                </c:pt>
                <c:pt idx="246" c:formatCode="0.00_);[Red]\(0.00\)">
                  <c:v>8.228</c:v>
                </c:pt>
                <c:pt idx="247" c:formatCode="0.00_);[Red]\(0.00\)">
                  <c:v>8.261</c:v>
                </c:pt>
                <c:pt idx="248" c:formatCode="0.00_);[Red]\(0.00\)">
                  <c:v>8.295</c:v>
                </c:pt>
                <c:pt idx="249" c:formatCode="0.00_);[Red]\(0.00\)">
                  <c:v>8.328</c:v>
                </c:pt>
                <c:pt idx="250" c:formatCode="0.00_);[Red]\(0.00\)">
                  <c:v>8.362</c:v>
                </c:pt>
                <c:pt idx="251" c:formatCode="0.00_);[Red]\(0.00\)">
                  <c:v>8.395</c:v>
                </c:pt>
                <c:pt idx="252" c:formatCode="0.00_);[Red]\(0.00\)">
                  <c:v>8.429</c:v>
                </c:pt>
                <c:pt idx="253" c:formatCode="0.00_);[Red]\(0.00\)">
                  <c:v>8.462</c:v>
                </c:pt>
                <c:pt idx="254" c:formatCode="0.00_);[Red]\(0.00\)">
                  <c:v>8.496</c:v>
                </c:pt>
                <c:pt idx="255" c:formatCode="0.00_);[Red]\(0.00\)">
                  <c:v>8.529</c:v>
                </c:pt>
                <c:pt idx="256" c:formatCode="0.00_);[Red]\(0.00\)">
                  <c:v>8.562</c:v>
                </c:pt>
                <c:pt idx="257" c:formatCode="0.00_);[Red]\(0.00\)">
                  <c:v>8.596</c:v>
                </c:pt>
                <c:pt idx="258" c:formatCode="0.00_);[Red]\(0.00\)">
                  <c:v>8.629</c:v>
                </c:pt>
                <c:pt idx="259" c:formatCode="0.00_);[Red]\(0.00\)">
                  <c:v>8.663</c:v>
                </c:pt>
                <c:pt idx="260" c:formatCode="0.00_);[Red]\(0.00\)">
                  <c:v>8.696</c:v>
                </c:pt>
                <c:pt idx="261" c:formatCode="0.00_);[Red]\(0.00\)">
                  <c:v>8.73</c:v>
                </c:pt>
                <c:pt idx="262" c:formatCode="0.00_);[Red]\(0.00\)">
                  <c:v>8.763</c:v>
                </c:pt>
                <c:pt idx="263" c:formatCode="0.00_);[Red]\(0.00\)">
                  <c:v>8.797</c:v>
                </c:pt>
                <c:pt idx="264" c:formatCode="0.00_);[Red]\(0.00\)">
                  <c:v>8.83</c:v>
                </c:pt>
                <c:pt idx="265" c:formatCode="0.00_);[Red]\(0.00\)">
                  <c:v>8.863</c:v>
                </c:pt>
                <c:pt idx="266" c:formatCode="0.00_);[Red]\(0.00\)">
                  <c:v>8.897</c:v>
                </c:pt>
                <c:pt idx="267" c:formatCode="0.00_);[Red]\(0.00\)">
                  <c:v>8.93</c:v>
                </c:pt>
                <c:pt idx="268" c:formatCode="0.00_);[Red]\(0.00\)">
                  <c:v>8.964</c:v>
                </c:pt>
                <c:pt idx="269" c:formatCode="0.00_);[Red]\(0.00\)">
                  <c:v>8.997</c:v>
                </c:pt>
                <c:pt idx="270" c:formatCode="0.00_);[Red]\(0.00\)">
                  <c:v>9.031</c:v>
                </c:pt>
                <c:pt idx="271" c:formatCode="0.00_);[Red]\(0.00\)">
                  <c:v>9.064</c:v>
                </c:pt>
                <c:pt idx="272" c:formatCode="0.00_);[Red]\(0.00\)">
                  <c:v>9.098</c:v>
                </c:pt>
                <c:pt idx="273" c:formatCode="0.00_);[Red]\(0.00\)">
                  <c:v>9.131</c:v>
                </c:pt>
                <c:pt idx="274" c:formatCode="0.00_);[Red]\(0.00\)">
                  <c:v>9.164</c:v>
                </c:pt>
                <c:pt idx="275" c:formatCode="0.00_);[Red]\(0.00\)">
                  <c:v>9.198</c:v>
                </c:pt>
                <c:pt idx="276" c:formatCode="0.00_);[Red]\(0.00\)">
                  <c:v>9.231</c:v>
                </c:pt>
                <c:pt idx="277" c:formatCode="0.00_);[Red]\(0.00\)">
                  <c:v>9.265</c:v>
                </c:pt>
                <c:pt idx="278" c:formatCode="0.00_);[Red]\(0.00\)">
                  <c:v>9.298</c:v>
                </c:pt>
                <c:pt idx="279" c:formatCode="0.00_);[Red]\(0.00\)">
                  <c:v>9.332</c:v>
                </c:pt>
                <c:pt idx="280" c:formatCode="0.00_);[Red]\(0.00\)">
                  <c:v>9.365</c:v>
                </c:pt>
                <c:pt idx="281" c:formatCode="0.00_);[Red]\(0.00\)">
                  <c:v>9.399</c:v>
                </c:pt>
                <c:pt idx="282" c:formatCode="0.00_);[Red]\(0.00\)">
                  <c:v>9.432</c:v>
                </c:pt>
                <c:pt idx="283" c:formatCode="0.00_);[Red]\(0.00\)">
                  <c:v>9.466</c:v>
                </c:pt>
                <c:pt idx="284" c:formatCode="0.00_);[Red]\(0.00\)">
                  <c:v>9.499</c:v>
                </c:pt>
                <c:pt idx="285" c:formatCode="0.00_);[Red]\(0.00\)">
                  <c:v>9.532</c:v>
                </c:pt>
                <c:pt idx="286" c:formatCode="0.00_);[Red]\(0.00\)">
                  <c:v>9.566</c:v>
                </c:pt>
                <c:pt idx="287" c:formatCode="0.00_);[Red]\(0.00\)">
                  <c:v>9.599</c:v>
                </c:pt>
                <c:pt idx="288" c:formatCode="0.00_);[Red]\(0.00\)">
                  <c:v>9.633</c:v>
                </c:pt>
                <c:pt idx="289" c:formatCode="0.00_);[Red]\(0.00\)">
                  <c:v>9.666</c:v>
                </c:pt>
                <c:pt idx="290" c:formatCode="0.00_);[Red]\(0.00\)">
                  <c:v>9.7</c:v>
                </c:pt>
                <c:pt idx="291" c:formatCode="0.00_);[Red]\(0.00\)">
                  <c:v>9.733</c:v>
                </c:pt>
                <c:pt idx="292" c:formatCode="0.00_);[Red]\(0.00\)">
                  <c:v>9.767</c:v>
                </c:pt>
                <c:pt idx="293" c:formatCode="0.00_);[Red]\(0.00\)">
                  <c:v>9.8</c:v>
                </c:pt>
                <c:pt idx="294" c:formatCode="0.00_);[Red]\(0.00\)">
                  <c:v>9.833</c:v>
                </c:pt>
                <c:pt idx="295" c:formatCode="0.00_);[Red]\(0.00\)">
                  <c:v>9.867</c:v>
                </c:pt>
                <c:pt idx="296" c:formatCode="0.00_);[Red]\(0.00\)">
                  <c:v>9.9</c:v>
                </c:pt>
                <c:pt idx="297" c:formatCode="0.00_);[Red]\(0.00\)">
                  <c:v>9.934</c:v>
                </c:pt>
                <c:pt idx="298" c:formatCode="0.00_);[Red]\(0.00\)">
                  <c:v>9.967</c:v>
                </c:pt>
                <c:pt idx="299" c:formatCode="0.00_);[Red]\(0.00\)">
                  <c:v>10.001</c:v>
                </c:pt>
                <c:pt idx="300" c:formatCode="0.00_);[Red]\(0.00\)">
                  <c:v>10.034</c:v>
                </c:pt>
                <c:pt idx="301" c:formatCode="0.00_);[Red]\(0.00\)">
                  <c:v>10.068</c:v>
                </c:pt>
                <c:pt idx="302" c:formatCode="0.00_);[Red]\(0.00\)">
                  <c:v>10.101</c:v>
                </c:pt>
                <c:pt idx="303" c:formatCode="0.00_);[Red]\(0.00\)">
                  <c:v>10.134</c:v>
                </c:pt>
                <c:pt idx="304" c:formatCode="0.00_);[Red]\(0.00\)">
                  <c:v>10.168</c:v>
                </c:pt>
                <c:pt idx="305" c:formatCode="0.00_);[Red]\(0.00\)">
                  <c:v>10.201</c:v>
                </c:pt>
                <c:pt idx="306" c:formatCode="0.00_);[Red]\(0.00\)">
                  <c:v>10.235</c:v>
                </c:pt>
                <c:pt idx="307" c:formatCode="0.00_);[Red]\(0.00\)">
                  <c:v>10.268</c:v>
                </c:pt>
                <c:pt idx="308" c:formatCode="0.00_);[Red]\(0.00\)">
                  <c:v>10.302</c:v>
                </c:pt>
                <c:pt idx="309" c:formatCode="0.00_);[Red]\(0.00\)">
                  <c:v>10.335</c:v>
                </c:pt>
                <c:pt idx="310" c:formatCode="0.00_);[Red]\(0.00\)">
                  <c:v>10.369</c:v>
                </c:pt>
                <c:pt idx="311" c:formatCode="0.00_);[Red]\(0.00\)">
                  <c:v>10.402</c:v>
                </c:pt>
                <c:pt idx="312" c:formatCode="0.00_);[Red]\(0.00\)">
                  <c:v>10.435</c:v>
                </c:pt>
                <c:pt idx="313" c:formatCode="0.00_);[Red]\(0.00\)">
                  <c:v>10.469</c:v>
                </c:pt>
                <c:pt idx="314" c:formatCode="0.00_);[Red]\(0.00\)">
                  <c:v>10.502</c:v>
                </c:pt>
                <c:pt idx="315" c:formatCode="0.00_);[Red]\(0.00\)">
                  <c:v>10.536</c:v>
                </c:pt>
                <c:pt idx="316" c:formatCode="0.00_);[Red]\(0.00\)">
                  <c:v>10.569</c:v>
                </c:pt>
                <c:pt idx="317" c:formatCode="0.00_);[Red]\(0.00\)">
                  <c:v>10.603</c:v>
                </c:pt>
                <c:pt idx="318" c:formatCode="0.00_);[Red]\(0.00\)">
                  <c:v>10.636</c:v>
                </c:pt>
                <c:pt idx="319" c:formatCode="0.00_);[Red]\(0.00\)">
                  <c:v>10.67</c:v>
                </c:pt>
                <c:pt idx="320" c:formatCode="0.00_);[Red]\(0.00\)">
                  <c:v>10.703</c:v>
                </c:pt>
                <c:pt idx="321" c:formatCode="0.00_);[Red]\(0.00\)">
                  <c:v>10.736</c:v>
                </c:pt>
                <c:pt idx="322" c:formatCode="0.00_);[Red]\(0.00\)">
                  <c:v>10.77</c:v>
                </c:pt>
                <c:pt idx="323" c:formatCode="0.00_);[Red]\(0.00\)">
                  <c:v>10.803</c:v>
                </c:pt>
                <c:pt idx="324" c:formatCode="0.00_);[Red]\(0.00\)">
                  <c:v>10.837</c:v>
                </c:pt>
                <c:pt idx="325" c:formatCode="0.00_);[Red]\(0.00\)">
                  <c:v>10.87</c:v>
                </c:pt>
                <c:pt idx="326" c:formatCode="0.00_);[Red]\(0.00\)">
                  <c:v>10.904</c:v>
                </c:pt>
                <c:pt idx="327" c:formatCode="0.00_);[Red]\(0.00\)">
                  <c:v>10.937</c:v>
                </c:pt>
                <c:pt idx="328" c:formatCode="0.00_);[Red]\(0.00\)">
                  <c:v>10.971</c:v>
                </c:pt>
                <c:pt idx="329" c:formatCode="0.00_);[Red]\(0.00\)">
                  <c:v>11.004</c:v>
                </c:pt>
                <c:pt idx="330" c:formatCode="0.00_);[Red]\(0.00\)">
                  <c:v>11.038</c:v>
                </c:pt>
                <c:pt idx="331" c:formatCode="0.00_);[Red]\(0.00\)">
                  <c:v>11.071</c:v>
                </c:pt>
                <c:pt idx="332" c:formatCode="0.00_);[Red]\(0.00\)">
                  <c:v>11.104</c:v>
                </c:pt>
                <c:pt idx="333" c:formatCode="0.00_);[Red]\(0.00\)">
                  <c:v>11.138</c:v>
                </c:pt>
                <c:pt idx="334" c:formatCode="0.00_);[Red]\(0.00\)">
                  <c:v>11.171</c:v>
                </c:pt>
                <c:pt idx="335" c:formatCode="0.00_);[Red]\(0.00\)">
                  <c:v>11.205</c:v>
                </c:pt>
                <c:pt idx="336" c:formatCode="0.00_);[Red]\(0.00\)">
                  <c:v>11.238</c:v>
                </c:pt>
                <c:pt idx="337" c:formatCode="0.00_);[Red]\(0.00\)">
                  <c:v>11.272</c:v>
                </c:pt>
                <c:pt idx="338" c:formatCode="0.00_);[Red]\(0.00\)">
                  <c:v>11.305</c:v>
                </c:pt>
                <c:pt idx="339" c:formatCode="0.00_);[Red]\(0.00\)">
                  <c:v>11.339</c:v>
                </c:pt>
                <c:pt idx="340" c:formatCode="0.00_);[Red]\(0.00\)">
                  <c:v>11.372</c:v>
                </c:pt>
                <c:pt idx="341" c:formatCode="0.00_);[Red]\(0.00\)">
                  <c:v>11.405</c:v>
                </c:pt>
                <c:pt idx="342" c:formatCode="0.00_);[Red]\(0.00\)">
                  <c:v>11.439</c:v>
                </c:pt>
                <c:pt idx="343" c:formatCode="0.00_);[Red]\(0.00\)">
                  <c:v>11.472</c:v>
                </c:pt>
                <c:pt idx="344" c:formatCode="0.00_);[Red]\(0.00\)">
                  <c:v>11.506</c:v>
                </c:pt>
                <c:pt idx="345" c:formatCode="0.00_);[Red]\(0.00\)">
                  <c:v>11.539</c:v>
                </c:pt>
                <c:pt idx="346" c:formatCode="0.00_);[Red]\(0.00\)">
                  <c:v>11.573</c:v>
                </c:pt>
                <c:pt idx="347" c:formatCode="0.00_);[Red]\(0.00\)">
                  <c:v>11.606</c:v>
                </c:pt>
                <c:pt idx="348" c:formatCode="0.00_);[Red]\(0.00\)">
                  <c:v>11.64</c:v>
                </c:pt>
                <c:pt idx="349" c:formatCode="0.00_);[Red]\(0.00\)">
                  <c:v>11.673</c:v>
                </c:pt>
                <c:pt idx="350" c:formatCode="0.00_);[Red]\(0.00\)">
                  <c:v>11.706</c:v>
                </c:pt>
                <c:pt idx="351" c:formatCode="0.00_);[Red]\(0.00\)">
                  <c:v>11.74</c:v>
                </c:pt>
                <c:pt idx="352" c:formatCode="0.00_);[Red]\(0.00\)">
                  <c:v>11.773</c:v>
                </c:pt>
                <c:pt idx="353" c:formatCode="0.00_);[Red]\(0.00\)">
                  <c:v>11.807</c:v>
                </c:pt>
                <c:pt idx="354" c:formatCode="0.00_);[Red]\(0.00\)">
                  <c:v>11.84</c:v>
                </c:pt>
                <c:pt idx="355" c:formatCode="0.00_);[Red]\(0.00\)">
                  <c:v>11.874</c:v>
                </c:pt>
                <c:pt idx="356" c:formatCode="0.00_);[Red]\(0.00\)">
                  <c:v>11.907</c:v>
                </c:pt>
                <c:pt idx="357" c:formatCode="0.00_);[Red]\(0.00\)">
                  <c:v>11.941</c:v>
                </c:pt>
                <c:pt idx="358" c:formatCode="0.00_);[Red]\(0.00\)">
                  <c:v>11.974</c:v>
                </c:pt>
                <c:pt idx="359" c:formatCode="0.00_);[Red]\(0.00\)">
                  <c:v>12.007</c:v>
                </c:pt>
                <c:pt idx="360" c:formatCode="0.00_);[Red]\(0.00\)">
                  <c:v>12.041</c:v>
                </c:pt>
                <c:pt idx="361" c:formatCode="0.00_);[Red]\(0.00\)">
                  <c:v>12.074</c:v>
                </c:pt>
                <c:pt idx="362" c:formatCode="0.00_);[Red]\(0.00\)">
                  <c:v>12.108</c:v>
                </c:pt>
                <c:pt idx="363" c:formatCode="0.00_);[Red]\(0.00\)">
                  <c:v>12.141</c:v>
                </c:pt>
                <c:pt idx="364" c:formatCode="0.00_);[Red]\(0.00\)">
                  <c:v>12.175</c:v>
                </c:pt>
                <c:pt idx="365" c:formatCode="0.00_);[Red]\(0.00\)">
                  <c:v>12.208</c:v>
                </c:pt>
                <c:pt idx="366" c:formatCode="0.00_);[Red]\(0.00\)">
                  <c:v>12.242</c:v>
                </c:pt>
                <c:pt idx="367" c:formatCode="0.00_);[Red]\(0.00\)">
                  <c:v>12.275</c:v>
                </c:pt>
                <c:pt idx="368" c:formatCode="0.00_);[Red]\(0.00\)">
                  <c:v>12.309</c:v>
                </c:pt>
                <c:pt idx="369" c:formatCode="0.00_);[Red]\(0.00\)">
                  <c:v>12.342</c:v>
                </c:pt>
                <c:pt idx="370" c:formatCode="0.00_);[Red]\(0.00\)">
                  <c:v>12.375</c:v>
                </c:pt>
                <c:pt idx="371" c:formatCode="0.00_);[Red]\(0.00\)">
                  <c:v>12.409</c:v>
                </c:pt>
                <c:pt idx="372" c:formatCode="0.00_);[Red]\(0.00\)">
                  <c:v>12.442</c:v>
                </c:pt>
                <c:pt idx="373" c:formatCode="0.00_);[Red]\(0.00\)">
                  <c:v>12.476</c:v>
                </c:pt>
                <c:pt idx="374" c:formatCode="0.00_);[Red]\(0.00\)">
                  <c:v>12.509</c:v>
                </c:pt>
                <c:pt idx="375" c:formatCode="0.00_);[Red]\(0.00\)">
                  <c:v>12.543</c:v>
                </c:pt>
                <c:pt idx="376" c:formatCode="0.00_);[Red]\(0.00\)">
                  <c:v>12.576</c:v>
                </c:pt>
                <c:pt idx="377" c:formatCode="0.00_);[Red]\(0.00\)">
                  <c:v>12.61</c:v>
                </c:pt>
                <c:pt idx="378" c:formatCode="0.00_);[Red]\(0.00\)">
                  <c:v>12.643</c:v>
                </c:pt>
                <c:pt idx="379" c:formatCode="0.00_);[Red]\(0.00\)">
                  <c:v>12.676</c:v>
                </c:pt>
                <c:pt idx="380" c:formatCode="0.00_);[Red]\(0.00\)">
                  <c:v>12.71</c:v>
                </c:pt>
                <c:pt idx="381" c:formatCode="0.00_);[Red]\(0.00\)">
                  <c:v>12.743</c:v>
                </c:pt>
                <c:pt idx="382" c:formatCode="0.00_);[Red]\(0.00\)">
                  <c:v>12.777</c:v>
                </c:pt>
                <c:pt idx="383" c:formatCode="0.00_);[Red]\(0.00\)">
                  <c:v>12.81</c:v>
                </c:pt>
                <c:pt idx="384" c:formatCode="0.00_);[Red]\(0.00\)">
                  <c:v>12.844</c:v>
                </c:pt>
                <c:pt idx="385" c:formatCode="0.00_);[Red]\(0.00\)">
                  <c:v>12.877</c:v>
                </c:pt>
                <c:pt idx="386" c:formatCode="0.00_);[Red]\(0.00\)">
                  <c:v>12.911</c:v>
                </c:pt>
                <c:pt idx="387" c:formatCode="0.00_);[Red]\(0.00\)">
                  <c:v>12.944</c:v>
                </c:pt>
                <c:pt idx="388" c:formatCode="0.00_);[Red]\(0.00\)">
                  <c:v>12.977</c:v>
                </c:pt>
                <c:pt idx="389" c:formatCode="0.00_);[Red]\(0.00\)">
                  <c:v>13.011</c:v>
                </c:pt>
                <c:pt idx="390" c:formatCode="0.00_);[Red]\(0.00\)">
                  <c:v>13.044</c:v>
                </c:pt>
                <c:pt idx="391" c:formatCode="0.00_);[Red]\(0.00\)">
                  <c:v>13.078</c:v>
                </c:pt>
                <c:pt idx="392" c:formatCode="0.00_);[Red]\(0.00\)">
                  <c:v>13.111</c:v>
                </c:pt>
                <c:pt idx="393" c:formatCode="0.00_);[Red]\(0.00\)">
                  <c:v>13.145</c:v>
                </c:pt>
                <c:pt idx="394" c:formatCode="0.00_);[Red]\(0.00\)">
                  <c:v>13.178</c:v>
                </c:pt>
                <c:pt idx="395" c:formatCode="0.00_);[Red]\(0.00\)">
                  <c:v>13.212</c:v>
                </c:pt>
                <c:pt idx="396" c:formatCode="0.00_);[Red]\(0.00\)">
                  <c:v>13.245</c:v>
                </c:pt>
                <c:pt idx="397" c:formatCode="0.00_);[Red]\(0.00\)">
                  <c:v>13.278</c:v>
                </c:pt>
              </c:numCache>
            </c:numRef>
          </c:cat>
          <c:val>
            <c:numRef>
              <c:f>'B_10_24_39_3-0.4'!$L$4:$L$401</c:f>
              <c:numCache>
                <c:formatCode>General</c:formatCode>
                <c:ptCount val="398"/>
                <c:pt idx="0">
                  <c:v>0</c:v>
                </c:pt>
                <c:pt idx="1">
                  <c:v>-0.199999999999992</c:v>
                </c:pt>
                <c:pt idx="2">
                  <c:v>-0.199999999999992</c:v>
                </c:pt>
                <c:pt idx="3">
                  <c:v>-0.199999999999992</c:v>
                </c:pt>
                <c:pt idx="4">
                  <c:v>-0.199999999999992</c:v>
                </c:pt>
                <c:pt idx="5">
                  <c:v>-0.199999999999992</c:v>
                </c:pt>
                <c:pt idx="6">
                  <c:v>-0.199999999999992</c:v>
                </c:pt>
                <c:pt idx="7">
                  <c:v>-0.199999999999992</c:v>
                </c:pt>
                <c:pt idx="8">
                  <c:v>-0.199999999999992</c:v>
                </c:pt>
                <c:pt idx="9">
                  <c:v>-0.199999999999992</c:v>
                </c:pt>
                <c:pt idx="10">
                  <c:v>-0.199999999999992</c:v>
                </c:pt>
                <c:pt idx="11">
                  <c:v>-0.199999999999992</c:v>
                </c:pt>
                <c:pt idx="12">
                  <c:v>-0.199999999999992</c:v>
                </c:pt>
                <c:pt idx="13">
                  <c:v>-0.199999999999992</c:v>
                </c:pt>
                <c:pt idx="14">
                  <c:v>-0.199999999999992</c:v>
                </c:pt>
                <c:pt idx="15">
                  <c:v>-0.199999999999992</c:v>
                </c:pt>
                <c:pt idx="16">
                  <c:v>-0.199999999999992</c:v>
                </c:pt>
                <c:pt idx="17">
                  <c:v>-0.199999999999992</c:v>
                </c:pt>
                <c:pt idx="18">
                  <c:v>-0.199999999999992</c:v>
                </c:pt>
                <c:pt idx="19">
                  <c:v>-0.199999999999992</c:v>
                </c:pt>
                <c:pt idx="20">
                  <c:v>-0.199999999999992</c:v>
                </c:pt>
                <c:pt idx="21">
                  <c:v>-0.199999999999992</c:v>
                </c:pt>
                <c:pt idx="22">
                  <c:v>-0.199999999999992</c:v>
                </c:pt>
                <c:pt idx="23">
                  <c:v>-0.199999999999992</c:v>
                </c:pt>
                <c:pt idx="24">
                  <c:v>-0.199999999999992</c:v>
                </c:pt>
                <c:pt idx="25">
                  <c:v>-0.199999999999992</c:v>
                </c:pt>
                <c:pt idx="26">
                  <c:v>-0.199999999999992</c:v>
                </c:pt>
                <c:pt idx="27">
                  <c:v>-0.199999999999992</c:v>
                </c:pt>
                <c:pt idx="28">
                  <c:v>-0.199999999999992</c:v>
                </c:pt>
                <c:pt idx="29">
                  <c:v>-0.199999999999992</c:v>
                </c:pt>
                <c:pt idx="30">
                  <c:v>-0.199999999999992</c:v>
                </c:pt>
                <c:pt idx="31">
                  <c:v>-0.199999999999992</c:v>
                </c:pt>
                <c:pt idx="32">
                  <c:v>-0.199999999999992</c:v>
                </c:pt>
                <c:pt idx="33">
                  <c:v>-0.199999999999992</c:v>
                </c:pt>
                <c:pt idx="34">
                  <c:v>-0.199999999999992</c:v>
                </c:pt>
                <c:pt idx="35">
                  <c:v>-0.199999999999992</c:v>
                </c:pt>
                <c:pt idx="36">
                  <c:v>-0.199999999999992</c:v>
                </c:pt>
                <c:pt idx="37">
                  <c:v>-0.199999999999992</c:v>
                </c:pt>
                <c:pt idx="38">
                  <c:v>-0.199999999999992</c:v>
                </c:pt>
                <c:pt idx="39">
                  <c:v>-0.199999999999992</c:v>
                </c:pt>
                <c:pt idx="40">
                  <c:v>-0.199999999999992</c:v>
                </c:pt>
                <c:pt idx="41">
                  <c:v>-0.199999999999992</c:v>
                </c:pt>
                <c:pt idx="42">
                  <c:v>-0.199999999999992</c:v>
                </c:pt>
                <c:pt idx="43">
                  <c:v>-0.199999999999992</c:v>
                </c:pt>
                <c:pt idx="44">
                  <c:v>-0.199999999999992</c:v>
                </c:pt>
                <c:pt idx="45">
                  <c:v>-0.199999999999992</c:v>
                </c:pt>
                <c:pt idx="46">
                  <c:v>-0.199999999999992</c:v>
                </c:pt>
                <c:pt idx="47">
                  <c:v>-0.199999999999992</c:v>
                </c:pt>
                <c:pt idx="48">
                  <c:v>-0.199999999999992</c:v>
                </c:pt>
                <c:pt idx="49">
                  <c:v>-0.199999999999992</c:v>
                </c:pt>
                <c:pt idx="50">
                  <c:v>-0.199999999999992</c:v>
                </c:pt>
                <c:pt idx="51">
                  <c:v>-0.199999999999992</c:v>
                </c:pt>
                <c:pt idx="52">
                  <c:v>-0.199999999999992</c:v>
                </c:pt>
                <c:pt idx="53">
                  <c:v>-0.199999999999992</c:v>
                </c:pt>
                <c:pt idx="54">
                  <c:v>-0.199999999999992</c:v>
                </c:pt>
                <c:pt idx="55">
                  <c:v>-0.199999999999992</c:v>
                </c:pt>
                <c:pt idx="56">
                  <c:v>-0.199999999999992</c:v>
                </c:pt>
                <c:pt idx="57">
                  <c:v>-0.199999999999992</c:v>
                </c:pt>
                <c:pt idx="58">
                  <c:v>-0.199999999999992</c:v>
                </c:pt>
                <c:pt idx="59">
                  <c:v>-0.199999999999992</c:v>
                </c:pt>
                <c:pt idx="60">
                  <c:v>-0.199999999999992</c:v>
                </c:pt>
                <c:pt idx="61">
                  <c:v>-0.199999999999992</c:v>
                </c:pt>
                <c:pt idx="62">
                  <c:v>-0.199999999999992</c:v>
                </c:pt>
                <c:pt idx="63">
                  <c:v>-0.199999999999992</c:v>
                </c:pt>
                <c:pt idx="64">
                  <c:v>-0.199999999999992</c:v>
                </c:pt>
                <c:pt idx="65">
                  <c:v>-0.199999999999992</c:v>
                </c:pt>
                <c:pt idx="66">
                  <c:v>-0.199999999999992</c:v>
                </c:pt>
                <c:pt idx="67">
                  <c:v>-0.199999999999992</c:v>
                </c:pt>
                <c:pt idx="68">
                  <c:v>-0.199999999999992</c:v>
                </c:pt>
                <c:pt idx="69">
                  <c:v>-0.199999999999992</c:v>
                </c:pt>
                <c:pt idx="70">
                  <c:v>12.5</c:v>
                </c:pt>
                <c:pt idx="71">
                  <c:v>12.5</c:v>
                </c:pt>
                <c:pt idx="72">
                  <c:v>12.5</c:v>
                </c:pt>
                <c:pt idx="73">
                  <c:v>12.5</c:v>
                </c:pt>
                <c:pt idx="74">
                  <c:v>12.5</c:v>
                </c:pt>
                <c:pt idx="75">
                  <c:v>12.5</c:v>
                </c:pt>
                <c:pt idx="76">
                  <c:v>12.5</c:v>
                </c:pt>
                <c:pt idx="77">
                  <c:v>12.5</c:v>
                </c:pt>
                <c:pt idx="78">
                  <c:v>12.5</c:v>
                </c:pt>
                <c:pt idx="79">
                  <c:v>12.5</c:v>
                </c:pt>
                <c:pt idx="80">
                  <c:v>12.5</c:v>
                </c:pt>
                <c:pt idx="81">
                  <c:v>12.5</c:v>
                </c:pt>
                <c:pt idx="82">
                  <c:v>12.5</c:v>
                </c:pt>
                <c:pt idx="83">
                  <c:v>-0.199999999999992</c:v>
                </c:pt>
                <c:pt idx="84">
                  <c:v>-0.199999999999992</c:v>
                </c:pt>
                <c:pt idx="85">
                  <c:v>-0.199999999999992</c:v>
                </c:pt>
                <c:pt idx="86">
                  <c:v>-0.199999999999992</c:v>
                </c:pt>
                <c:pt idx="87">
                  <c:v>-0.199999999999992</c:v>
                </c:pt>
                <c:pt idx="88">
                  <c:v>-0.199999999999992</c:v>
                </c:pt>
                <c:pt idx="89">
                  <c:v>-0.199999999999992</c:v>
                </c:pt>
                <c:pt idx="90">
                  <c:v>-0.199999999999992</c:v>
                </c:pt>
                <c:pt idx="91">
                  <c:v>-0.199999999999992</c:v>
                </c:pt>
                <c:pt idx="92">
                  <c:v>-0.199999999999992</c:v>
                </c:pt>
                <c:pt idx="93">
                  <c:v>-0.199999999999992</c:v>
                </c:pt>
                <c:pt idx="94">
                  <c:v>12.5</c:v>
                </c:pt>
                <c:pt idx="95">
                  <c:v>12.5</c:v>
                </c:pt>
                <c:pt idx="96">
                  <c:v>12.5</c:v>
                </c:pt>
                <c:pt idx="97">
                  <c:v>12.5</c:v>
                </c:pt>
                <c:pt idx="98">
                  <c:v>12.5</c:v>
                </c:pt>
                <c:pt idx="99">
                  <c:v>12.5</c:v>
                </c:pt>
                <c:pt idx="100">
                  <c:v>12.5</c:v>
                </c:pt>
                <c:pt idx="101">
                  <c:v>12.5</c:v>
                </c:pt>
                <c:pt idx="102">
                  <c:v>12.5</c:v>
                </c:pt>
                <c:pt idx="103">
                  <c:v>12.5</c:v>
                </c:pt>
                <c:pt idx="104">
                  <c:v>12.5</c:v>
                </c:pt>
                <c:pt idx="105">
                  <c:v>12.5</c:v>
                </c:pt>
                <c:pt idx="106">
                  <c:v>12.5</c:v>
                </c:pt>
                <c:pt idx="107">
                  <c:v>-0.199999999999992</c:v>
                </c:pt>
                <c:pt idx="108">
                  <c:v>-0.199999999999992</c:v>
                </c:pt>
                <c:pt idx="109">
                  <c:v>-0.199999999999992</c:v>
                </c:pt>
                <c:pt idx="110">
                  <c:v>-0.199999999999992</c:v>
                </c:pt>
                <c:pt idx="111">
                  <c:v>-0.199999999999992</c:v>
                </c:pt>
                <c:pt idx="112">
                  <c:v>-0.199999999999992</c:v>
                </c:pt>
                <c:pt idx="113">
                  <c:v>-0.199999999999992</c:v>
                </c:pt>
                <c:pt idx="114">
                  <c:v>-0.199999999999992</c:v>
                </c:pt>
                <c:pt idx="115">
                  <c:v>-0.199999999999992</c:v>
                </c:pt>
                <c:pt idx="116">
                  <c:v>-0.199999999999992</c:v>
                </c:pt>
                <c:pt idx="117">
                  <c:v>-0.199999999999992</c:v>
                </c:pt>
                <c:pt idx="118">
                  <c:v>12.5</c:v>
                </c:pt>
                <c:pt idx="119">
                  <c:v>12.5</c:v>
                </c:pt>
                <c:pt idx="120">
                  <c:v>12.5</c:v>
                </c:pt>
                <c:pt idx="121">
                  <c:v>12.5</c:v>
                </c:pt>
                <c:pt idx="122">
                  <c:v>12.5</c:v>
                </c:pt>
                <c:pt idx="123">
                  <c:v>12.5</c:v>
                </c:pt>
                <c:pt idx="124">
                  <c:v>12.5</c:v>
                </c:pt>
                <c:pt idx="125">
                  <c:v>12.5</c:v>
                </c:pt>
                <c:pt idx="126">
                  <c:v>12.5</c:v>
                </c:pt>
                <c:pt idx="127">
                  <c:v>12.5</c:v>
                </c:pt>
                <c:pt idx="128">
                  <c:v>12.5</c:v>
                </c:pt>
                <c:pt idx="129">
                  <c:v>12.5</c:v>
                </c:pt>
                <c:pt idx="130">
                  <c:v>12.5</c:v>
                </c:pt>
                <c:pt idx="131">
                  <c:v>-0.199999999999992</c:v>
                </c:pt>
                <c:pt idx="132">
                  <c:v>-0.199999999999992</c:v>
                </c:pt>
                <c:pt idx="133">
                  <c:v>-0.199999999999992</c:v>
                </c:pt>
                <c:pt idx="134">
                  <c:v>-0.199999999999992</c:v>
                </c:pt>
                <c:pt idx="135">
                  <c:v>-0.199999999999992</c:v>
                </c:pt>
                <c:pt idx="136">
                  <c:v>-0.199999999999992</c:v>
                </c:pt>
                <c:pt idx="137">
                  <c:v>-0.199999999999992</c:v>
                </c:pt>
                <c:pt idx="138">
                  <c:v>-0.199999999999992</c:v>
                </c:pt>
                <c:pt idx="139">
                  <c:v>-0.199999999999992</c:v>
                </c:pt>
                <c:pt idx="140">
                  <c:v>-0.199999999999992</c:v>
                </c:pt>
                <c:pt idx="141">
                  <c:v>-0.199999999999992</c:v>
                </c:pt>
                <c:pt idx="142">
                  <c:v>-0.199999999999992</c:v>
                </c:pt>
                <c:pt idx="143">
                  <c:v>-0.199999999999992</c:v>
                </c:pt>
                <c:pt idx="144">
                  <c:v>-0.199999999999992</c:v>
                </c:pt>
                <c:pt idx="145">
                  <c:v>-0.199999999999992</c:v>
                </c:pt>
                <c:pt idx="146">
                  <c:v>-0.199999999999992</c:v>
                </c:pt>
                <c:pt idx="147">
                  <c:v>-0.199999999999992</c:v>
                </c:pt>
                <c:pt idx="148">
                  <c:v>-0.199999999999992</c:v>
                </c:pt>
                <c:pt idx="149">
                  <c:v>-0.199999999999992</c:v>
                </c:pt>
                <c:pt idx="150">
                  <c:v>-0.199999999999992</c:v>
                </c:pt>
                <c:pt idx="151">
                  <c:v>-0.199999999999992</c:v>
                </c:pt>
                <c:pt idx="152">
                  <c:v>-0.199999999999992</c:v>
                </c:pt>
                <c:pt idx="153">
                  <c:v>-0.199999999999992</c:v>
                </c:pt>
                <c:pt idx="154">
                  <c:v>-0.199999999999992</c:v>
                </c:pt>
                <c:pt idx="155">
                  <c:v>-0.199999999999992</c:v>
                </c:pt>
                <c:pt idx="156">
                  <c:v>-0.199999999999992</c:v>
                </c:pt>
                <c:pt idx="157">
                  <c:v>-0.199999999999992</c:v>
                </c:pt>
                <c:pt idx="158">
                  <c:v>-0.199999999999992</c:v>
                </c:pt>
                <c:pt idx="159">
                  <c:v>-0.199999999999992</c:v>
                </c:pt>
                <c:pt idx="160">
                  <c:v>-0.199999999999992</c:v>
                </c:pt>
                <c:pt idx="161">
                  <c:v>-0.199999999999992</c:v>
                </c:pt>
                <c:pt idx="162">
                  <c:v>-0.199999999999992</c:v>
                </c:pt>
                <c:pt idx="163">
                  <c:v>-0.199999999999992</c:v>
                </c:pt>
                <c:pt idx="164">
                  <c:v>-0.199999999999992</c:v>
                </c:pt>
                <c:pt idx="165">
                  <c:v>-0.199999999999992</c:v>
                </c:pt>
                <c:pt idx="166">
                  <c:v>-0.199999999999992</c:v>
                </c:pt>
                <c:pt idx="167">
                  <c:v>-0.199999999999992</c:v>
                </c:pt>
                <c:pt idx="168">
                  <c:v>-0.199999999999992</c:v>
                </c:pt>
                <c:pt idx="169">
                  <c:v>-0.199999999999992</c:v>
                </c:pt>
                <c:pt idx="170">
                  <c:v>-0.199999999999992</c:v>
                </c:pt>
                <c:pt idx="171">
                  <c:v>-0.199999999999992</c:v>
                </c:pt>
                <c:pt idx="172">
                  <c:v>-0.199999999999992</c:v>
                </c:pt>
                <c:pt idx="173">
                  <c:v>-0.199999999999992</c:v>
                </c:pt>
                <c:pt idx="174">
                  <c:v>-0.199999999999992</c:v>
                </c:pt>
                <c:pt idx="175">
                  <c:v>-0.199999999999992</c:v>
                </c:pt>
                <c:pt idx="176">
                  <c:v>-0.199999999999992</c:v>
                </c:pt>
                <c:pt idx="177">
                  <c:v>-0.199999999999992</c:v>
                </c:pt>
                <c:pt idx="178">
                  <c:v>-0.199999999999992</c:v>
                </c:pt>
                <c:pt idx="179">
                  <c:v>-0.199999999999992</c:v>
                </c:pt>
                <c:pt idx="180">
                  <c:v>-0.199999999999992</c:v>
                </c:pt>
                <c:pt idx="181">
                  <c:v>-0.199999999999992</c:v>
                </c:pt>
                <c:pt idx="182">
                  <c:v>-0.199999999999992</c:v>
                </c:pt>
                <c:pt idx="183">
                  <c:v>-0.199999999999992</c:v>
                </c:pt>
                <c:pt idx="184">
                  <c:v>-0.199999999999992</c:v>
                </c:pt>
                <c:pt idx="185">
                  <c:v>-0.199999999999992</c:v>
                </c:pt>
                <c:pt idx="186">
                  <c:v>-0.199999999999992</c:v>
                </c:pt>
                <c:pt idx="187">
                  <c:v>-0.199999999999992</c:v>
                </c:pt>
                <c:pt idx="188">
                  <c:v>-0.199999999999992</c:v>
                </c:pt>
                <c:pt idx="189">
                  <c:v>-0.199999999999992</c:v>
                </c:pt>
                <c:pt idx="190">
                  <c:v>-0.199999999999992</c:v>
                </c:pt>
                <c:pt idx="191">
                  <c:v>-0.199999999999992</c:v>
                </c:pt>
                <c:pt idx="192">
                  <c:v>-0.199999999999992</c:v>
                </c:pt>
                <c:pt idx="193">
                  <c:v>-0.199999999999992</c:v>
                </c:pt>
                <c:pt idx="194">
                  <c:v>-0.199999999999992</c:v>
                </c:pt>
                <c:pt idx="195">
                  <c:v>-0.199999999999992</c:v>
                </c:pt>
                <c:pt idx="196">
                  <c:v>-0.199999999999992</c:v>
                </c:pt>
                <c:pt idx="197">
                  <c:v>-0.199999999999992</c:v>
                </c:pt>
                <c:pt idx="198">
                  <c:v>-0.199999999999992</c:v>
                </c:pt>
                <c:pt idx="199">
                  <c:v>-0.199999999999992</c:v>
                </c:pt>
                <c:pt idx="200">
                  <c:v>-0.199999999999992</c:v>
                </c:pt>
                <c:pt idx="201">
                  <c:v>-0.199999999999992</c:v>
                </c:pt>
                <c:pt idx="202">
                  <c:v>-0.199999999999992</c:v>
                </c:pt>
                <c:pt idx="203">
                  <c:v>-0.199999999999992</c:v>
                </c:pt>
                <c:pt idx="204">
                  <c:v>-0.199999999999992</c:v>
                </c:pt>
                <c:pt idx="205">
                  <c:v>-0.199999999999992</c:v>
                </c:pt>
                <c:pt idx="206">
                  <c:v>-0.199999999999992</c:v>
                </c:pt>
                <c:pt idx="207">
                  <c:v>-0.199999999999992</c:v>
                </c:pt>
                <c:pt idx="208">
                  <c:v>-0.199999999999992</c:v>
                </c:pt>
                <c:pt idx="209">
                  <c:v>-0.199999999999992</c:v>
                </c:pt>
                <c:pt idx="210">
                  <c:v>-0.199999999999992</c:v>
                </c:pt>
                <c:pt idx="211">
                  <c:v>-0.199999999999992</c:v>
                </c:pt>
                <c:pt idx="212">
                  <c:v>-0.199999999999992</c:v>
                </c:pt>
                <c:pt idx="213">
                  <c:v>-0.199999999999992</c:v>
                </c:pt>
                <c:pt idx="214">
                  <c:v>-0.199999999999992</c:v>
                </c:pt>
                <c:pt idx="215">
                  <c:v>-0.199999999999992</c:v>
                </c:pt>
                <c:pt idx="216">
                  <c:v>-0.199999999999992</c:v>
                </c:pt>
                <c:pt idx="217">
                  <c:v>-0.199999999999992</c:v>
                </c:pt>
                <c:pt idx="218">
                  <c:v>-0.199999999999992</c:v>
                </c:pt>
                <c:pt idx="219">
                  <c:v>-0.199999999999992</c:v>
                </c:pt>
                <c:pt idx="220">
                  <c:v>-0.199999999999992</c:v>
                </c:pt>
                <c:pt idx="221">
                  <c:v>-0.199999999999992</c:v>
                </c:pt>
                <c:pt idx="222">
                  <c:v>-0.199999999999992</c:v>
                </c:pt>
                <c:pt idx="223">
                  <c:v>-0.199999999999992</c:v>
                </c:pt>
                <c:pt idx="224">
                  <c:v>-0.199999999999992</c:v>
                </c:pt>
                <c:pt idx="225">
                  <c:v>-0.199999999999992</c:v>
                </c:pt>
                <c:pt idx="226">
                  <c:v>-0.199999999999992</c:v>
                </c:pt>
                <c:pt idx="227">
                  <c:v>-0.199999999999992</c:v>
                </c:pt>
                <c:pt idx="228">
                  <c:v>-0.199999999999992</c:v>
                </c:pt>
                <c:pt idx="229">
                  <c:v>-0.199999999999992</c:v>
                </c:pt>
                <c:pt idx="230">
                  <c:v>-0.199999999999992</c:v>
                </c:pt>
                <c:pt idx="231">
                  <c:v>-0.199999999999992</c:v>
                </c:pt>
                <c:pt idx="232">
                  <c:v>-0.199999999999992</c:v>
                </c:pt>
                <c:pt idx="233">
                  <c:v>-0.199999999999992</c:v>
                </c:pt>
                <c:pt idx="234">
                  <c:v>-0.199999999999992</c:v>
                </c:pt>
                <c:pt idx="235">
                  <c:v>-0.199999999999992</c:v>
                </c:pt>
                <c:pt idx="236">
                  <c:v>-0.199999999999992</c:v>
                </c:pt>
                <c:pt idx="237">
                  <c:v>-0.199999999999992</c:v>
                </c:pt>
                <c:pt idx="238">
                  <c:v>-0.199999999999992</c:v>
                </c:pt>
                <c:pt idx="239">
                  <c:v>-0.199999999999992</c:v>
                </c:pt>
                <c:pt idx="240">
                  <c:v>-0.199999999999992</c:v>
                </c:pt>
                <c:pt idx="241">
                  <c:v>-0.199999999999992</c:v>
                </c:pt>
                <c:pt idx="242">
                  <c:v>-0.199999999999992</c:v>
                </c:pt>
                <c:pt idx="243">
                  <c:v>-0.199999999999992</c:v>
                </c:pt>
                <c:pt idx="244">
                  <c:v>-0.199999999999992</c:v>
                </c:pt>
                <c:pt idx="245">
                  <c:v>-0.199999999999992</c:v>
                </c:pt>
                <c:pt idx="246">
                  <c:v>-0.199999999999992</c:v>
                </c:pt>
                <c:pt idx="247">
                  <c:v>-0.199999999999992</c:v>
                </c:pt>
                <c:pt idx="248">
                  <c:v>-0.199999999999992</c:v>
                </c:pt>
                <c:pt idx="249">
                  <c:v>-0.199999999999992</c:v>
                </c:pt>
                <c:pt idx="250">
                  <c:v>-0.199999999999992</c:v>
                </c:pt>
                <c:pt idx="251">
                  <c:v>-0.199999999999992</c:v>
                </c:pt>
                <c:pt idx="252">
                  <c:v>-0.199999999999992</c:v>
                </c:pt>
                <c:pt idx="253">
                  <c:v>-0.199999999999992</c:v>
                </c:pt>
                <c:pt idx="254">
                  <c:v>-0.199999999999992</c:v>
                </c:pt>
                <c:pt idx="255">
                  <c:v>-0.199999999999992</c:v>
                </c:pt>
                <c:pt idx="256">
                  <c:v>-0.199999999999992</c:v>
                </c:pt>
                <c:pt idx="257">
                  <c:v>-0.199999999999992</c:v>
                </c:pt>
                <c:pt idx="258">
                  <c:v>-0.199999999999992</c:v>
                </c:pt>
                <c:pt idx="259">
                  <c:v>-0.199999999999992</c:v>
                </c:pt>
                <c:pt idx="260">
                  <c:v>-0.199999999999992</c:v>
                </c:pt>
                <c:pt idx="261">
                  <c:v>-0.199999999999992</c:v>
                </c:pt>
                <c:pt idx="262">
                  <c:v>-0.199999999999992</c:v>
                </c:pt>
                <c:pt idx="263">
                  <c:v>-0.199999999999992</c:v>
                </c:pt>
                <c:pt idx="264">
                  <c:v>-0.199999999999992</c:v>
                </c:pt>
                <c:pt idx="265">
                  <c:v>-0.199999999999992</c:v>
                </c:pt>
                <c:pt idx="266">
                  <c:v>-0.199999999999992</c:v>
                </c:pt>
                <c:pt idx="267">
                  <c:v>-0.199999999999992</c:v>
                </c:pt>
                <c:pt idx="268">
                  <c:v>-0.199999999999992</c:v>
                </c:pt>
                <c:pt idx="269">
                  <c:v>-0.199999999999992</c:v>
                </c:pt>
                <c:pt idx="270">
                  <c:v>-0.199999999999992</c:v>
                </c:pt>
                <c:pt idx="271">
                  <c:v>-0.199999999999992</c:v>
                </c:pt>
                <c:pt idx="272">
                  <c:v>-0.199999999999992</c:v>
                </c:pt>
                <c:pt idx="273">
                  <c:v>-0.199999999999992</c:v>
                </c:pt>
                <c:pt idx="274">
                  <c:v>-0.199999999999992</c:v>
                </c:pt>
                <c:pt idx="275">
                  <c:v>-0.199999999999992</c:v>
                </c:pt>
                <c:pt idx="276">
                  <c:v>-0.199999999999992</c:v>
                </c:pt>
                <c:pt idx="277">
                  <c:v>-0.199999999999992</c:v>
                </c:pt>
                <c:pt idx="278">
                  <c:v>-0.199999999999992</c:v>
                </c:pt>
                <c:pt idx="279">
                  <c:v>-0.199999999999992</c:v>
                </c:pt>
                <c:pt idx="280">
                  <c:v>-0.199999999999992</c:v>
                </c:pt>
                <c:pt idx="281">
                  <c:v>-0.199999999999992</c:v>
                </c:pt>
                <c:pt idx="282">
                  <c:v>-0.199999999999992</c:v>
                </c:pt>
                <c:pt idx="283">
                  <c:v>-0.199999999999992</c:v>
                </c:pt>
                <c:pt idx="284">
                  <c:v>-0.199999999999992</c:v>
                </c:pt>
                <c:pt idx="285">
                  <c:v>-0.199999999999992</c:v>
                </c:pt>
                <c:pt idx="286">
                  <c:v>-0.199999999999992</c:v>
                </c:pt>
                <c:pt idx="287">
                  <c:v>-0.199999999999992</c:v>
                </c:pt>
                <c:pt idx="288">
                  <c:v>-0.199999999999992</c:v>
                </c:pt>
                <c:pt idx="289">
                  <c:v>-0.199999999999992</c:v>
                </c:pt>
                <c:pt idx="290">
                  <c:v>-0.199999999999992</c:v>
                </c:pt>
                <c:pt idx="291">
                  <c:v>-0.199999999999992</c:v>
                </c:pt>
                <c:pt idx="292">
                  <c:v>-0.199999999999992</c:v>
                </c:pt>
                <c:pt idx="293">
                  <c:v>-0.199999999999992</c:v>
                </c:pt>
                <c:pt idx="294">
                  <c:v>-0.199999999999992</c:v>
                </c:pt>
                <c:pt idx="295">
                  <c:v>-0.199999999999992</c:v>
                </c:pt>
                <c:pt idx="296">
                  <c:v>-0.199999999999992</c:v>
                </c:pt>
                <c:pt idx="297">
                  <c:v>-0.199999999999992</c:v>
                </c:pt>
                <c:pt idx="298">
                  <c:v>-0.199999999999992</c:v>
                </c:pt>
                <c:pt idx="299">
                  <c:v>-0.199999999999992</c:v>
                </c:pt>
                <c:pt idx="300">
                  <c:v>-0.199999999999992</c:v>
                </c:pt>
                <c:pt idx="301">
                  <c:v>-0.199999999999992</c:v>
                </c:pt>
                <c:pt idx="302">
                  <c:v>-0.199999999999992</c:v>
                </c:pt>
                <c:pt idx="303">
                  <c:v>-0.199999999999992</c:v>
                </c:pt>
                <c:pt idx="304">
                  <c:v>-0.199999999999992</c:v>
                </c:pt>
                <c:pt idx="305">
                  <c:v>-0.199999999999992</c:v>
                </c:pt>
                <c:pt idx="306">
                  <c:v>-0.199999999999992</c:v>
                </c:pt>
                <c:pt idx="307">
                  <c:v>-0.199999999999992</c:v>
                </c:pt>
                <c:pt idx="308">
                  <c:v>-0.199999999999992</c:v>
                </c:pt>
                <c:pt idx="309">
                  <c:v>-0.199999999999992</c:v>
                </c:pt>
                <c:pt idx="310">
                  <c:v>-0.199999999999992</c:v>
                </c:pt>
                <c:pt idx="311">
                  <c:v>-0.199999999999992</c:v>
                </c:pt>
                <c:pt idx="312">
                  <c:v>-0.199999999999992</c:v>
                </c:pt>
                <c:pt idx="313">
                  <c:v>-0.199999999999992</c:v>
                </c:pt>
                <c:pt idx="314">
                  <c:v>-0.199999999999992</c:v>
                </c:pt>
                <c:pt idx="315">
                  <c:v>-0.199999999999992</c:v>
                </c:pt>
                <c:pt idx="316">
                  <c:v>-0.199999999999992</c:v>
                </c:pt>
                <c:pt idx="317">
                  <c:v>-0.199999999999992</c:v>
                </c:pt>
                <c:pt idx="318">
                  <c:v>-0.199999999999992</c:v>
                </c:pt>
                <c:pt idx="319">
                  <c:v>-0.199999999999992</c:v>
                </c:pt>
                <c:pt idx="320">
                  <c:v>-0.199999999999992</c:v>
                </c:pt>
                <c:pt idx="321">
                  <c:v>-0.199999999999992</c:v>
                </c:pt>
                <c:pt idx="322">
                  <c:v>-0.199999999999992</c:v>
                </c:pt>
                <c:pt idx="323">
                  <c:v>-0.199999999999992</c:v>
                </c:pt>
                <c:pt idx="324">
                  <c:v>-0.199999999999992</c:v>
                </c:pt>
                <c:pt idx="325">
                  <c:v>-0.199999999999992</c:v>
                </c:pt>
                <c:pt idx="326">
                  <c:v>-0.199999999999992</c:v>
                </c:pt>
                <c:pt idx="327">
                  <c:v>-0.199999999999992</c:v>
                </c:pt>
                <c:pt idx="328">
                  <c:v>-0.199999999999992</c:v>
                </c:pt>
                <c:pt idx="329">
                  <c:v>-0.199999999999992</c:v>
                </c:pt>
                <c:pt idx="330">
                  <c:v>-0.199999999999992</c:v>
                </c:pt>
                <c:pt idx="331">
                  <c:v>-0.199999999999992</c:v>
                </c:pt>
                <c:pt idx="332">
                  <c:v>-0.199999999999992</c:v>
                </c:pt>
                <c:pt idx="333">
                  <c:v>-0.199999999999992</c:v>
                </c:pt>
                <c:pt idx="334">
                  <c:v>-0.199999999999992</c:v>
                </c:pt>
                <c:pt idx="335">
                  <c:v>-0.199999999999992</c:v>
                </c:pt>
                <c:pt idx="336">
                  <c:v>-0.199999999999992</c:v>
                </c:pt>
                <c:pt idx="337">
                  <c:v>-0.199999999999992</c:v>
                </c:pt>
                <c:pt idx="338">
                  <c:v>-0.199999999999992</c:v>
                </c:pt>
                <c:pt idx="339">
                  <c:v>-0.199999999999992</c:v>
                </c:pt>
                <c:pt idx="340">
                  <c:v>-0.199999999999992</c:v>
                </c:pt>
                <c:pt idx="341">
                  <c:v>-0.199999999999992</c:v>
                </c:pt>
                <c:pt idx="342">
                  <c:v>-0.199999999999992</c:v>
                </c:pt>
                <c:pt idx="343">
                  <c:v>-0.199999999999992</c:v>
                </c:pt>
                <c:pt idx="344">
                  <c:v>-0.199999999999992</c:v>
                </c:pt>
                <c:pt idx="345">
                  <c:v>-0.199999999999992</c:v>
                </c:pt>
                <c:pt idx="346">
                  <c:v>-0.199999999999992</c:v>
                </c:pt>
                <c:pt idx="347">
                  <c:v>-0.199999999999992</c:v>
                </c:pt>
                <c:pt idx="348">
                  <c:v>-0.199999999999992</c:v>
                </c:pt>
                <c:pt idx="349">
                  <c:v>-0.199999999999992</c:v>
                </c:pt>
                <c:pt idx="350">
                  <c:v>-0.199999999999992</c:v>
                </c:pt>
                <c:pt idx="351">
                  <c:v>-0.199999999999992</c:v>
                </c:pt>
                <c:pt idx="352">
                  <c:v>-0.199999999999992</c:v>
                </c:pt>
                <c:pt idx="353">
                  <c:v>-0.199999999999992</c:v>
                </c:pt>
                <c:pt idx="354">
                  <c:v>-0.199999999999992</c:v>
                </c:pt>
                <c:pt idx="355">
                  <c:v>-0.199999999999992</c:v>
                </c:pt>
                <c:pt idx="356">
                  <c:v>-0.199999999999992</c:v>
                </c:pt>
                <c:pt idx="357">
                  <c:v>-0.199999999999992</c:v>
                </c:pt>
                <c:pt idx="358">
                  <c:v>-0.199999999999992</c:v>
                </c:pt>
                <c:pt idx="359">
                  <c:v>-0.199999999999992</c:v>
                </c:pt>
                <c:pt idx="360">
                  <c:v>-0.199999999999992</c:v>
                </c:pt>
                <c:pt idx="361">
                  <c:v>-0.199999999999992</c:v>
                </c:pt>
                <c:pt idx="362">
                  <c:v>-0.199999999999992</c:v>
                </c:pt>
                <c:pt idx="363">
                  <c:v>-0.199999999999992</c:v>
                </c:pt>
                <c:pt idx="364">
                  <c:v>-0.199999999999992</c:v>
                </c:pt>
                <c:pt idx="365">
                  <c:v>-0.199999999999992</c:v>
                </c:pt>
                <c:pt idx="366">
                  <c:v>-0.199999999999992</c:v>
                </c:pt>
                <c:pt idx="367">
                  <c:v>-0.199999999999992</c:v>
                </c:pt>
                <c:pt idx="368">
                  <c:v>-0.199999999999992</c:v>
                </c:pt>
                <c:pt idx="369">
                  <c:v>-0.199999999999992</c:v>
                </c:pt>
                <c:pt idx="370">
                  <c:v>-0.199999999999992</c:v>
                </c:pt>
                <c:pt idx="371">
                  <c:v>-0.199999999999992</c:v>
                </c:pt>
                <c:pt idx="372">
                  <c:v>-0.199999999999992</c:v>
                </c:pt>
                <c:pt idx="373">
                  <c:v>-0.199999999999992</c:v>
                </c:pt>
                <c:pt idx="374">
                  <c:v>-0.199999999999992</c:v>
                </c:pt>
                <c:pt idx="375">
                  <c:v>-0.199999999999992</c:v>
                </c:pt>
                <c:pt idx="376">
                  <c:v>-0.199999999999992</c:v>
                </c:pt>
                <c:pt idx="377">
                  <c:v>-0.199999999999992</c:v>
                </c:pt>
                <c:pt idx="378">
                  <c:v>-0.199999999999992</c:v>
                </c:pt>
                <c:pt idx="379">
                  <c:v>-0.199999999999992</c:v>
                </c:pt>
                <c:pt idx="380">
                  <c:v>-0.199999999999992</c:v>
                </c:pt>
                <c:pt idx="381">
                  <c:v>-0.199999999999992</c:v>
                </c:pt>
                <c:pt idx="382">
                  <c:v>-0.199999999999992</c:v>
                </c:pt>
                <c:pt idx="383">
                  <c:v>-0.199999999999992</c:v>
                </c:pt>
                <c:pt idx="384">
                  <c:v>-0.199999999999992</c:v>
                </c:pt>
                <c:pt idx="385">
                  <c:v>-0.199999999999992</c:v>
                </c:pt>
                <c:pt idx="386">
                  <c:v>-0.199999999999992</c:v>
                </c:pt>
                <c:pt idx="387">
                  <c:v>-0.199999999999992</c:v>
                </c:pt>
                <c:pt idx="388">
                  <c:v>-0.199999999999992</c:v>
                </c:pt>
                <c:pt idx="389">
                  <c:v>-0.199999999999992</c:v>
                </c:pt>
                <c:pt idx="390">
                  <c:v>-0.199999999999992</c:v>
                </c:pt>
                <c:pt idx="391">
                  <c:v>-0.199999999999992</c:v>
                </c:pt>
                <c:pt idx="392">
                  <c:v>-0.199999999999992</c:v>
                </c:pt>
                <c:pt idx="393">
                  <c:v>-0.199999999999992</c:v>
                </c:pt>
                <c:pt idx="394">
                  <c:v>-0.199999999999992</c:v>
                </c:pt>
                <c:pt idx="395">
                  <c:v>-0.199999999999992</c:v>
                </c:pt>
                <c:pt idx="396">
                  <c:v>-0.199999999999992</c:v>
                </c:pt>
                <c:pt idx="397">
                  <c:v>-0.199999999999992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9315530"/>
        <c:axId val="247450394"/>
      </c:lineChart>
      <c:catAx>
        <c:axId val="1693155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450394"/>
        <c:crosses val="autoZero"/>
        <c:auto val="1"/>
        <c:lblAlgn val="ctr"/>
        <c:lblOffset val="100"/>
        <c:noMultiLvlLbl val="0"/>
      </c:catAx>
      <c:valAx>
        <c:axId val="2474503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3155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A_11_34_05_转90!$K$3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A_11_34_05_转90!$J$4:$J$361</c:f>
              <c:numCache>
                <c:formatCode>0.00_);[Red]\(0.00\)</c:formatCode>
                <c:ptCount val="358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0.267</c:v>
                </c:pt>
                <c:pt idx="8" c:formatCode="0.00_);[Red]\(0.00\)">
                  <c:v>0.301</c:v>
                </c:pt>
                <c:pt idx="9" c:formatCode="0.00_);[Red]\(0.00\)">
                  <c:v>0.334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0.435</c:v>
                </c:pt>
                <c:pt idx="13" c:formatCode="0.00_);[Red]\(0.00\)">
                  <c:v>0.468</c:v>
                </c:pt>
                <c:pt idx="14" c:formatCode="0.00_);[Red]\(0.00\)">
                  <c:v>0.501</c:v>
                </c:pt>
                <c:pt idx="15" c:formatCode="0.00_);[Red]\(0.00\)">
                  <c:v>0.535</c:v>
                </c:pt>
                <c:pt idx="16" c:formatCode="0.00_);[Red]\(0.00\)">
                  <c:v>0.568</c:v>
                </c:pt>
                <c:pt idx="17" c:formatCode="0.00_);[Red]\(0.00\)">
                  <c:v>0.602</c:v>
                </c:pt>
                <c:pt idx="18" c:formatCode="0.00_);[Red]\(0.00\)">
                  <c:v>0.635</c:v>
                </c:pt>
                <c:pt idx="19" c:formatCode="0.00_);[Red]\(0.00\)">
                  <c:v>0.669</c:v>
                </c:pt>
                <c:pt idx="20" c:formatCode="0.00_);[Red]\(0.00\)">
                  <c:v>0.702</c:v>
                </c:pt>
                <c:pt idx="21" c:formatCode="0.00_);[Red]\(0.00\)">
                  <c:v>0.735</c:v>
                </c:pt>
                <c:pt idx="22" c:formatCode="0.00_);[Red]\(0.00\)">
                  <c:v>0.769</c:v>
                </c:pt>
                <c:pt idx="23" c:formatCode="0.00_);[Red]\(0.00\)">
                  <c:v>0.802</c:v>
                </c:pt>
                <c:pt idx="24" c:formatCode="0.00_);[Red]\(0.00\)">
                  <c:v>0.836</c:v>
                </c:pt>
                <c:pt idx="25" c:formatCode="0.00_);[Red]\(0.00\)">
                  <c:v>0.869</c:v>
                </c:pt>
                <c:pt idx="26" c:formatCode="0.00_);[Red]\(0.00\)">
                  <c:v>0.903</c:v>
                </c:pt>
                <c:pt idx="27" c:formatCode="0.00_);[Red]\(0.00\)">
                  <c:v>0.936</c:v>
                </c:pt>
                <c:pt idx="28" c:formatCode="0.00_);[Red]\(0.00\)">
                  <c:v>0.969</c:v>
                </c:pt>
                <c:pt idx="29" c:formatCode="0.00_);[Red]\(0.00\)">
                  <c:v>1.003</c:v>
                </c:pt>
                <c:pt idx="30" c:formatCode="0.00_);[Red]\(0.00\)">
                  <c:v>1.036</c:v>
                </c:pt>
                <c:pt idx="31" c:formatCode="0.00_);[Red]\(0.00\)">
                  <c:v>1.07</c:v>
                </c:pt>
                <c:pt idx="32" c:formatCode="0.00_);[Red]\(0.00\)">
                  <c:v>1.103</c:v>
                </c:pt>
                <c:pt idx="33" c:formatCode="0.00_);[Red]\(0.00\)">
                  <c:v>1.137</c:v>
                </c:pt>
                <c:pt idx="34" c:formatCode="0.00_);[Red]\(0.00\)">
                  <c:v>1.17</c:v>
                </c:pt>
                <c:pt idx="35" c:formatCode="0.00_);[Red]\(0.00\)">
                  <c:v>1.204</c:v>
                </c:pt>
                <c:pt idx="36" c:formatCode="0.00_);[Red]\(0.00\)">
                  <c:v>1.237</c:v>
                </c:pt>
                <c:pt idx="37" c:formatCode="0.00_);[Red]\(0.00\)">
                  <c:v>1.27</c:v>
                </c:pt>
                <c:pt idx="38" c:formatCode="0.00_);[Red]\(0.00\)">
                  <c:v>1.304</c:v>
                </c:pt>
                <c:pt idx="39" c:formatCode="0.00_);[Red]\(0.00\)">
                  <c:v>1.337</c:v>
                </c:pt>
                <c:pt idx="40" c:formatCode="0.00_);[Red]\(0.00\)">
                  <c:v>1.371</c:v>
                </c:pt>
                <c:pt idx="41" c:formatCode="0.00_);[Red]\(0.00\)">
                  <c:v>1.404</c:v>
                </c:pt>
                <c:pt idx="42" c:formatCode="0.00_);[Red]\(0.00\)">
                  <c:v>1.438</c:v>
                </c:pt>
                <c:pt idx="43" c:formatCode="0.00_);[Red]\(0.00\)">
                  <c:v>1.471</c:v>
                </c:pt>
                <c:pt idx="44" c:formatCode="0.00_);[Red]\(0.00\)">
                  <c:v>1.504</c:v>
                </c:pt>
                <c:pt idx="45" c:formatCode="0.00_);[Red]\(0.00\)">
                  <c:v>1.538</c:v>
                </c:pt>
                <c:pt idx="46" c:formatCode="0.00_);[Red]\(0.00\)">
                  <c:v>1.571</c:v>
                </c:pt>
                <c:pt idx="47" c:formatCode="0.00_);[Red]\(0.00\)">
                  <c:v>1.605</c:v>
                </c:pt>
                <c:pt idx="48" c:formatCode="0.00_);[Red]\(0.00\)">
                  <c:v>1.638</c:v>
                </c:pt>
                <c:pt idx="49" c:formatCode="0.00_);[Red]\(0.00\)">
                  <c:v>1.672</c:v>
                </c:pt>
                <c:pt idx="50" c:formatCode="0.00_);[Red]\(0.00\)">
                  <c:v>1.705</c:v>
                </c:pt>
                <c:pt idx="51" c:formatCode="0.00_);[Red]\(0.00\)">
                  <c:v>1.738</c:v>
                </c:pt>
                <c:pt idx="52" c:formatCode="0.00_);[Red]\(0.00\)">
                  <c:v>1.772</c:v>
                </c:pt>
                <c:pt idx="53" c:formatCode="0.00_);[Red]\(0.00\)">
                  <c:v>1.805</c:v>
                </c:pt>
                <c:pt idx="54" c:formatCode="0.00_);[Red]\(0.00\)">
                  <c:v>1.839</c:v>
                </c:pt>
                <c:pt idx="55" c:formatCode="0.00_);[Red]\(0.00\)">
                  <c:v>1.872</c:v>
                </c:pt>
                <c:pt idx="56" c:formatCode="0.00_);[Red]\(0.00\)">
                  <c:v>1.906</c:v>
                </c:pt>
                <c:pt idx="57" c:formatCode="0.00_);[Red]\(0.00\)">
                  <c:v>1.939</c:v>
                </c:pt>
                <c:pt idx="58" c:formatCode="0.00_);[Red]\(0.00\)">
                  <c:v>1.972</c:v>
                </c:pt>
                <c:pt idx="59" c:formatCode="0.00_);[Red]\(0.00\)">
                  <c:v>2.006</c:v>
                </c:pt>
                <c:pt idx="60" c:formatCode="0.00_);[Red]\(0.00\)">
                  <c:v>2.039</c:v>
                </c:pt>
                <c:pt idx="61" c:formatCode="0.00_);[Red]\(0.00\)">
                  <c:v>2.073</c:v>
                </c:pt>
                <c:pt idx="62" c:formatCode="0.00_);[Red]\(0.00\)">
                  <c:v>2.106</c:v>
                </c:pt>
                <c:pt idx="63" c:formatCode="0.00_);[Red]\(0.00\)">
                  <c:v>2.14</c:v>
                </c:pt>
                <c:pt idx="64" c:formatCode="0.00_);[Red]\(0.00\)">
                  <c:v>2.173</c:v>
                </c:pt>
                <c:pt idx="65" c:formatCode="0.00_);[Red]\(0.00\)">
                  <c:v>2.206</c:v>
                </c:pt>
                <c:pt idx="66" c:formatCode="0.00_);[Red]\(0.00\)">
                  <c:v>2.24</c:v>
                </c:pt>
                <c:pt idx="67" c:formatCode="0.00_);[Red]\(0.00\)">
                  <c:v>2.273</c:v>
                </c:pt>
                <c:pt idx="68" c:formatCode="0.00_);[Red]\(0.00\)">
                  <c:v>2.307</c:v>
                </c:pt>
                <c:pt idx="69" c:formatCode="0.00_);[Red]\(0.00\)">
                  <c:v>2.34</c:v>
                </c:pt>
                <c:pt idx="70" c:formatCode="0.00_);[Red]\(0.00\)">
                  <c:v>2.374</c:v>
                </c:pt>
                <c:pt idx="71" c:formatCode="0.00_);[Red]\(0.00\)">
                  <c:v>2.407</c:v>
                </c:pt>
                <c:pt idx="72" c:formatCode="0.00_);[Red]\(0.00\)">
                  <c:v>2.44</c:v>
                </c:pt>
                <c:pt idx="73" c:formatCode="0.00_);[Red]\(0.00\)">
                  <c:v>2.474</c:v>
                </c:pt>
                <c:pt idx="74" c:formatCode="0.00_);[Red]\(0.00\)">
                  <c:v>2.507</c:v>
                </c:pt>
                <c:pt idx="75" c:formatCode="0.00_);[Red]\(0.00\)">
                  <c:v>2.541</c:v>
                </c:pt>
                <c:pt idx="76" c:formatCode="0.00_);[Red]\(0.00\)">
                  <c:v>2.574</c:v>
                </c:pt>
                <c:pt idx="77" c:formatCode="0.00_);[Red]\(0.00\)">
                  <c:v>2.608</c:v>
                </c:pt>
                <c:pt idx="78" c:formatCode="0.00_);[Red]\(0.00\)">
                  <c:v>2.641</c:v>
                </c:pt>
                <c:pt idx="79" c:formatCode="0.00_);[Red]\(0.00\)">
                  <c:v>2.674</c:v>
                </c:pt>
                <c:pt idx="80" c:formatCode="0.00_);[Red]\(0.00\)">
                  <c:v>2.708</c:v>
                </c:pt>
                <c:pt idx="81" c:formatCode="0.00_);[Red]\(0.00\)">
                  <c:v>2.741</c:v>
                </c:pt>
                <c:pt idx="82" c:formatCode="0.00_);[Red]\(0.00\)">
                  <c:v>2.775</c:v>
                </c:pt>
                <c:pt idx="83" c:formatCode="0.00_);[Red]\(0.00\)">
                  <c:v>2.808</c:v>
                </c:pt>
                <c:pt idx="84" c:formatCode="0.00_);[Red]\(0.00\)">
                  <c:v>2.842</c:v>
                </c:pt>
                <c:pt idx="85" c:formatCode="0.00_);[Red]\(0.00\)">
                  <c:v>2.875</c:v>
                </c:pt>
                <c:pt idx="86" c:formatCode="0.00_);[Red]\(0.00\)">
                  <c:v>2.908</c:v>
                </c:pt>
                <c:pt idx="87" c:formatCode="0.00_);[Red]\(0.00\)">
                  <c:v>2.942</c:v>
                </c:pt>
                <c:pt idx="88" c:formatCode="0.00_);[Red]\(0.00\)">
                  <c:v>2.975</c:v>
                </c:pt>
                <c:pt idx="89" c:formatCode="0.00_);[Red]\(0.00\)">
                  <c:v>3.009</c:v>
                </c:pt>
                <c:pt idx="90" c:formatCode="0.00_);[Red]\(0.00\)">
                  <c:v>3.042</c:v>
                </c:pt>
                <c:pt idx="91" c:formatCode="0.00_);[Red]\(0.00\)">
                  <c:v>3.076</c:v>
                </c:pt>
                <c:pt idx="92" c:formatCode="0.00_);[Red]\(0.00\)">
                  <c:v>3.109</c:v>
                </c:pt>
                <c:pt idx="93" c:formatCode="0.00_);[Red]\(0.00\)">
                  <c:v>3.142</c:v>
                </c:pt>
                <c:pt idx="94" c:formatCode="0.00_);[Red]\(0.00\)">
                  <c:v>3.176</c:v>
                </c:pt>
                <c:pt idx="95" c:formatCode="0.00_);[Red]\(0.00\)">
                  <c:v>3.209</c:v>
                </c:pt>
                <c:pt idx="96" c:formatCode="0.00_);[Red]\(0.00\)">
                  <c:v>3.243</c:v>
                </c:pt>
                <c:pt idx="97" c:formatCode="0.00_);[Red]\(0.00\)">
                  <c:v>3.276</c:v>
                </c:pt>
                <c:pt idx="98" c:formatCode="0.00_);[Red]\(0.00\)">
                  <c:v>3.31</c:v>
                </c:pt>
                <c:pt idx="99" c:formatCode="0.00_);[Red]\(0.00\)">
                  <c:v>3.343</c:v>
                </c:pt>
                <c:pt idx="100" c:formatCode="0.00_);[Red]\(0.00\)">
                  <c:v>3.376</c:v>
                </c:pt>
                <c:pt idx="101" c:formatCode="0.00_);[Red]\(0.00\)">
                  <c:v>3.41</c:v>
                </c:pt>
                <c:pt idx="102" c:formatCode="0.00_);[Red]\(0.00\)">
                  <c:v>3.443</c:v>
                </c:pt>
                <c:pt idx="103" c:formatCode="0.00_);[Red]\(0.00\)">
                  <c:v>3.477</c:v>
                </c:pt>
                <c:pt idx="104" c:formatCode="0.00_);[Red]\(0.00\)">
                  <c:v>3.51</c:v>
                </c:pt>
                <c:pt idx="105" c:formatCode="0.00_);[Red]\(0.00\)">
                  <c:v>3.544</c:v>
                </c:pt>
                <c:pt idx="106" c:formatCode="0.00_);[Red]\(0.00\)">
                  <c:v>3.577</c:v>
                </c:pt>
                <c:pt idx="107" c:formatCode="0.00_);[Red]\(0.00\)">
                  <c:v>3.611</c:v>
                </c:pt>
                <c:pt idx="108" c:formatCode="0.00_);[Red]\(0.00\)">
                  <c:v>3.644</c:v>
                </c:pt>
                <c:pt idx="109" c:formatCode="0.00_);[Red]\(0.00\)">
                  <c:v>3.677</c:v>
                </c:pt>
                <c:pt idx="110" c:formatCode="0.00_);[Red]\(0.00\)">
                  <c:v>3.711</c:v>
                </c:pt>
                <c:pt idx="111" c:formatCode="0.00_);[Red]\(0.00\)">
                  <c:v>3.744</c:v>
                </c:pt>
                <c:pt idx="112" c:formatCode="0.00_);[Red]\(0.00\)">
                  <c:v>3.778</c:v>
                </c:pt>
                <c:pt idx="113" c:formatCode="0.00_);[Red]\(0.00\)">
                  <c:v>3.811</c:v>
                </c:pt>
                <c:pt idx="114" c:formatCode="0.00_);[Red]\(0.00\)">
                  <c:v>3.845</c:v>
                </c:pt>
                <c:pt idx="115" c:formatCode="0.00_);[Red]\(0.00\)">
                  <c:v>3.878</c:v>
                </c:pt>
                <c:pt idx="116" c:formatCode="0.00_);[Red]\(0.00\)">
                  <c:v>3.911</c:v>
                </c:pt>
                <c:pt idx="117" c:formatCode="0.00_);[Red]\(0.00\)">
                  <c:v>3.945</c:v>
                </c:pt>
                <c:pt idx="118" c:formatCode="0.00_);[Red]\(0.00\)">
                  <c:v>3.978</c:v>
                </c:pt>
                <c:pt idx="119" c:formatCode="0.00_);[Red]\(0.00\)">
                  <c:v>4.012</c:v>
                </c:pt>
                <c:pt idx="120" c:formatCode="0.00_);[Red]\(0.00\)">
                  <c:v>4.045</c:v>
                </c:pt>
                <c:pt idx="121" c:formatCode="0.00_);[Red]\(0.00\)">
                  <c:v>4.079</c:v>
                </c:pt>
                <c:pt idx="122" c:formatCode="0.00_);[Red]\(0.00\)">
                  <c:v>4.112</c:v>
                </c:pt>
                <c:pt idx="123" c:formatCode="0.00_);[Red]\(0.00\)">
                  <c:v>4.145</c:v>
                </c:pt>
                <c:pt idx="124" c:formatCode="0.00_);[Red]\(0.00\)">
                  <c:v>4.179</c:v>
                </c:pt>
                <c:pt idx="125" c:formatCode="0.00_);[Red]\(0.00\)">
                  <c:v>4.212</c:v>
                </c:pt>
                <c:pt idx="126" c:formatCode="0.00_);[Red]\(0.00\)">
                  <c:v>4.246</c:v>
                </c:pt>
                <c:pt idx="127" c:formatCode="0.00_);[Red]\(0.00\)">
                  <c:v>4.279</c:v>
                </c:pt>
                <c:pt idx="128" c:formatCode="0.00_);[Red]\(0.00\)">
                  <c:v>4.313</c:v>
                </c:pt>
                <c:pt idx="129" c:formatCode="0.00_);[Red]\(0.00\)">
                  <c:v>4.346</c:v>
                </c:pt>
                <c:pt idx="130" c:formatCode="0.00_);[Red]\(0.00\)">
                  <c:v>4.379</c:v>
                </c:pt>
                <c:pt idx="131" c:formatCode="0.00_);[Red]\(0.00\)">
                  <c:v>4.413</c:v>
                </c:pt>
                <c:pt idx="132" c:formatCode="0.00_);[Red]\(0.00\)">
                  <c:v>4.446</c:v>
                </c:pt>
                <c:pt idx="133" c:formatCode="0.00_);[Red]\(0.00\)">
                  <c:v>4.48</c:v>
                </c:pt>
                <c:pt idx="134" c:formatCode="0.00_);[Red]\(0.00\)">
                  <c:v>4.513</c:v>
                </c:pt>
                <c:pt idx="135" c:formatCode="0.00_);[Red]\(0.00\)">
                  <c:v>4.547</c:v>
                </c:pt>
                <c:pt idx="136" c:formatCode="0.00_);[Red]\(0.00\)">
                  <c:v>4.58</c:v>
                </c:pt>
                <c:pt idx="137" c:formatCode="0.00_);[Red]\(0.00\)">
                  <c:v>4.613</c:v>
                </c:pt>
                <c:pt idx="138" c:formatCode="0.00_);[Red]\(0.00\)">
                  <c:v>4.647</c:v>
                </c:pt>
                <c:pt idx="139" c:formatCode="0.00_);[Red]\(0.00\)">
                  <c:v>4.68</c:v>
                </c:pt>
                <c:pt idx="140" c:formatCode="0.00_);[Red]\(0.00\)">
                  <c:v>4.714</c:v>
                </c:pt>
                <c:pt idx="141" c:formatCode="0.00_);[Red]\(0.00\)">
                  <c:v>4.747</c:v>
                </c:pt>
                <c:pt idx="142" c:formatCode="0.00_);[Red]\(0.00\)">
                  <c:v>4.781</c:v>
                </c:pt>
                <c:pt idx="143" c:formatCode="0.00_);[Red]\(0.00\)">
                  <c:v>4.814</c:v>
                </c:pt>
                <c:pt idx="144" c:formatCode="0.00_);[Red]\(0.00\)">
                  <c:v>4.847</c:v>
                </c:pt>
                <c:pt idx="145" c:formatCode="0.00_);[Red]\(0.00\)">
                  <c:v>4.881</c:v>
                </c:pt>
                <c:pt idx="146" c:formatCode="0.00_);[Red]\(0.00\)">
                  <c:v>4.914</c:v>
                </c:pt>
                <c:pt idx="147" c:formatCode="0.00_);[Red]\(0.00\)">
                  <c:v>4.948</c:v>
                </c:pt>
                <c:pt idx="148" c:formatCode="0.00_);[Red]\(0.00\)">
                  <c:v>4.981</c:v>
                </c:pt>
                <c:pt idx="149" c:formatCode="0.00_);[Red]\(0.00\)">
                  <c:v>5.015</c:v>
                </c:pt>
                <c:pt idx="150" c:formatCode="0.00_);[Red]\(0.00\)">
                  <c:v>5.048</c:v>
                </c:pt>
                <c:pt idx="151" c:formatCode="0.00_);[Red]\(0.00\)">
                  <c:v>5.081</c:v>
                </c:pt>
                <c:pt idx="152" c:formatCode="0.00_);[Red]\(0.00\)">
                  <c:v>5.115</c:v>
                </c:pt>
                <c:pt idx="153" c:formatCode="0.00_);[Red]\(0.00\)">
                  <c:v>5.148</c:v>
                </c:pt>
                <c:pt idx="154" c:formatCode="0.00_);[Red]\(0.00\)">
                  <c:v>5.182</c:v>
                </c:pt>
                <c:pt idx="155" c:formatCode="0.00_);[Red]\(0.00\)">
                  <c:v>5.215</c:v>
                </c:pt>
                <c:pt idx="156" c:formatCode="0.00_);[Red]\(0.00\)">
                  <c:v>5.249</c:v>
                </c:pt>
                <c:pt idx="157" c:formatCode="0.00_);[Red]\(0.00\)">
                  <c:v>5.282</c:v>
                </c:pt>
                <c:pt idx="158" c:formatCode="0.00_);[Red]\(0.00\)">
                  <c:v>5.315</c:v>
                </c:pt>
                <c:pt idx="159" c:formatCode="0.00_);[Red]\(0.00\)">
                  <c:v>5.349</c:v>
                </c:pt>
                <c:pt idx="160" c:formatCode="0.00_);[Red]\(0.00\)">
                  <c:v>5.382</c:v>
                </c:pt>
                <c:pt idx="161" c:formatCode="0.00_);[Red]\(0.00\)">
                  <c:v>5.416</c:v>
                </c:pt>
                <c:pt idx="162" c:formatCode="0.00_);[Red]\(0.00\)">
                  <c:v>5.449</c:v>
                </c:pt>
                <c:pt idx="163" c:formatCode="0.00_);[Red]\(0.00\)">
                  <c:v>5.483</c:v>
                </c:pt>
                <c:pt idx="164" c:formatCode="0.00_);[Red]\(0.00\)">
                  <c:v>5.516</c:v>
                </c:pt>
                <c:pt idx="165" c:formatCode="0.00_);[Red]\(0.00\)">
                  <c:v>5.549</c:v>
                </c:pt>
                <c:pt idx="166" c:formatCode="0.00_);[Red]\(0.00\)">
                  <c:v>5.583</c:v>
                </c:pt>
                <c:pt idx="167" c:formatCode="0.00_);[Red]\(0.00\)">
                  <c:v>5.616</c:v>
                </c:pt>
                <c:pt idx="168" c:formatCode="0.00_);[Red]\(0.00\)">
                  <c:v>5.65</c:v>
                </c:pt>
                <c:pt idx="169" c:formatCode="0.00_);[Red]\(0.00\)">
                  <c:v>5.683</c:v>
                </c:pt>
                <c:pt idx="170" c:formatCode="0.00_);[Red]\(0.00\)">
                  <c:v>5.717</c:v>
                </c:pt>
                <c:pt idx="171" c:formatCode="0.00_);[Red]\(0.00\)">
                  <c:v>5.75</c:v>
                </c:pt>
                <c:pt idx="172" c:formatCode="0.00_);[Red]\(0.00\)">
                  <c:v>5.783</c:v>
                </c:pt>
                <c:pt idx="173" c:formatCode="0.00_);[Red]\(0.00\)">
                  <c:v>5.817</c:v>
                </c:pt>
                <c:pt idx="174" c:formatCode="0.00_);[Red]\(0.00\)">
                  <c:v>5.85</c:v>
                </c:pt>
                <c:pt idx="175" c:formatCode="0.00_);[Red]\(0.00\)">
                  <c:v>5.884</c:v>
                </c:pt>
                <c:pt idx="176" c:formatCode="0.00_);[Red]\(0.00\)">
                  <c:v>5.917</c:v>
                </c:pt>
                <c:pt idx="177" c:formatCode="0.00_);[Red]\(0.00\)">
                  <c:v>5.951</c:v>
                </c:pt>
                <c:pt idx="178" c:formatCode="0.00_);[Red]\(0.00\)">
                  <c:v>5.984</c:v>
                </c:pt>
                <c:pt idx="179" c:formatCode="0.00_);[Red]\(0.00\)">
                  <c:v>6.018</c:v>
                </c:pt>
                <c:pt idx="180" c:formatCode="0.00_);[Red]\(0.00\)">
                  <c:v>6.051</c:v>
                </c:pt>
                <c:pt idx="181" c:formatCode="0.00_);[Red]\(0.00\)">
                  <c:v>6.084</c:v>
                </c:pt>
                <c:pt idx="182" c:formatCode="0.00_);[Red]\(0.00\)">
                  <c:v>6.118</c:v>
                </c:pt>
                <c:pt idx="183" c:formatCode="0.00_);[Red]\(0.00\)">
                  <c:v>6.151</c:v>
                </c:pt>
                <c:pt idx="184" c:formatCode="0.00_);[Red]\(0.00\)">
                  <c:v>6.185</c:v>
                </c:pt>
                <c:pt idx="185" c:formatCode="0.00_);[Red]\(0.00\)">
                  <c:v>6.218</c:v>
                </c:pt>
                <c:pt idx="186" c:formatCode="0.00_);[Red]\(0.00\)">
                  <c:v>6.252</c:v>
                </c:pt>
                <c:pt idx="187" c:formatCode="0.00_);[Red]\(0.00\)">
                  <c:v>6.285</c:v>
                </c:pt>
                <c:pt idx="188" c:formatCode="0.00_);[Red]\(0.00\)">
                  <c:v>6.318</c:v>
                </c:pt>
                <c:pt idx="189" c:formatCode="0.00_);[Red]\(0.00\)">
                  <c:v>6.352</c:v>
                </c:pt>
                <c:pt idx="190" c:formatCode="0.00_);[Red]\(0.00\)">
                  <c:v>6.385</c:v>
                </c:pt>
                <c:pt idx="191" c:formatCode="0.00_);[Red]\(0.00\)">
                  <c:v>6.419</c:v>
                </c:pt>
                <c:pt idx="192" c:formatCode="0.00_);[Red]\(0.00\)">
                  <c:v>6.452</c:v>
                </c:pt>
                <c:pt idx="193" c:formatCode="0.00_);[Red]\(0.00\)">
                  <c:v>6.486</c:v>
                </c:pt>
                <c:pt idx="194" c:formatCode="0.00_);[Red]\(0.00\)">
                  <c:v>6.519</c:v>
                </c:pt>
                <c:pt idx="195" c:formatCode="0.00_);[Red]\(0.00\)">
                  <c:v>6.552</c:v>
                </c:pt>
                <c:pt idx="196" c:formatCode="0.00_);[Red]\(0.00\)">
                  <c:v>6.586</c:v>
                </c:pt>
                <c:pt idx="197" c:formatCode="0.00_);[Red]\(0.00\)">
                  <c:v>6.619</c:v>
                </c:pt>
                <c:pt idx="198" c:formatCode="0.00_);[Red]\(0.00\)">
                  <c:v>6.653</c:v>
                </c:pt>
                <c:pt idx="199" c:formatCode="0.00_);[Red]\(0.00\)">
                  <c:v>6.686</c:v>
                </c:pt>
                <c:pt idx="200" c:formatCode="0.00_);[Red]\(0.00\)">
                  <c:v>6.72</c:v>
                </c:pt>
                <c:pt idx="201" c:formatCode="0.00_);[Red]\(0.00\)">
                  <c:v>6.753</c:v>
                </c:pt>
                <c:pt idx="202" c:formatCode="0.00_);[Red]\(0.00\)">
                  <c:v>6.786</c:v>
                </c:pt>
                <c:pt idx="203" c:formatCode="0.00_);[Red]\(0.00\)">
                  <c:v>6.82</c:v>
                </c:pt>
                <c:pt idx="204" c:formatCode="0.00_);[Red]\(0.00\)">
                  <c:v>6.853</c:v>
                </c:pt>
                <c:pt idx="205" c:formatCode="0.00_);[Red]\(0.00\)">
                  <c:v>6.887</c:v>
                </c:pt>
                <c:pt idx="206" c:formatCode="0.00_);[Red]\(0.00\)">
                  <c:v>6.92</c:v>
                </c:pt>
                <c:pt idx="207" c:formatCode="0.00_);[Red]\(0.00\)">
                  <c:v>6.954</c:v>
                </c:pt>
                <c:pt idx="208" c:formatCode="0.00_);[Red]\(0.00\)">
                  <c:v>6.987</c:v>
                </c:pt>
                <c:pt idx="209" c:formatCode="0.00_);[Red]\(0.00\)">
                  <c:v>7.02</c:v>
                </c:pt>
                <c:pt idx="210" c:formatCode="0.00_);[Red]\(0.00\)">
                  <c:v>7.054</c:v>
                </c:pt>
                <c:pt idx="211" c:formatCode="0.00_);[Red]\(0.00\)">
                  <c:v>7.087</c:v>
                </c:pt>
                <c:pt idx="212" c:formatCode="0.00_);[Red]\(0.00\)">
                  <c:v>7.121</c:v>
                </c:pt>
                <c:pt idx="213" c:formatCode="0.00_);[Red]\(0.00\)">
                  <c:v>7.154</c:v>
                </c:pt>
                <c:pt idx="214" c:formatCode="0.00_);[Red]\(0.00\)">
                  <c:v>7.188</c:v>
                </c:pt>
                <c:pt idx="215" c:formatCode="0.00_);[Red]\(0.00\)">
                  <c:v>7.221</c:v>
                </c:pt>
                <c:pt idx="216" c:formatCode="0.00_);[Red]\(0.00\)">
                  <c:v>7.254</c:v>
                </c:pt>
                <c:pt idx="217" c:formatCode="0.00_);[Red]\(0.00\)">
                  <c:v>7.288</c:v>
                </c:pt>
                <c:pt idx="218" c:formatCode="0.00_);[Red]\(0.00\)">
                  <c:v>7.321</c:v>
                </c:pt>
                <c:pt idx="219" c:formatCode="0.00_);[Red]\(0.00\)">
                  <c:v>7.355</c:v>
                </c:pt>
                <c:pt idx="220" c:formatCode="0.00_);[Red]\(0.00\)">
                  <c:v>7.388</c:v>
                </c:pt>
                <c:pt idx="221" c:formatCode="0.00_);[Red]\(0.00\)">
                  <c:v>7.422</c:v>
                </c:pt>
                <c:pt idx="222" c:formatCode="0.00_);[Red]\(0.00\)">
                  <c:v>7.455</c:v>
                </c:pt>
                <c:pt idx="223" c:formatCode="0.00_);[Red]\(0.00\)">
                  <c:v>7.488</c:v>
                </c:pt>
                <c:pt idx="224" c:formatCode="0.00_);[Red]\(0.00\)">
                  <c:v>7.522</c:v>
                </c:pt>
                <c:pt idx="225" c:formatCode="0.00_);[Red]\(0.00\)">
                  <c:v>7.555</c:v>
                </c:pt>
                <c:pt idx="226" c:formatCode="0.00_);[Red]\(0.00\)">
                  <c:v>7.589</c:v>
                </c:pt>
                <c:pt idx="227" c:formatCode="0.00_);[Red]\(0.00\)">
                  <c:v>7.622</c:v>
                </c:pt>
                <c:pt idx="228" c:formatCode="0.00_);[Red]\(0.00\)">
                  <c:v>7.656</c:v>
                </c:pt>
                <c:pt idx="229" c:formatCode="0.00_);[Red]\(0.00\)">
                  <c:v>7.689</c:v>
                </c:pt>
                <c:pt idx="230" c:formatCode="0.00_);[Red]\(0.00\)">
                  <c:v>7.722</c:v>
                </c:pt>
                <c:pt idx="231" c:formatCode="0.00_);[Red]\(0.00\)">
                  <c:v>7.756</c:v>
                </c:pt>
                <c:pt idx="232" c:formatCode="0.00_);[Red]\(0.00\)">
                  <c:v>7.789</c:v>
                </c:pt>
                <c:pt idx="233" c:formatCode="0.00_);[Red]\(0.00\)">
                  <c:v>7.823</c:v>
                </c:pt>
                <c:pt idx="234" c:formatCode="0.00_);[Red]\(0.00\)">
                  <c:v>7.856</c:v>
                </c:pt>
                <c:pt idx="235" c:formatCode="0.00_);[Red]\(0.00\)">
                  <c:v>7.89</c:v>
                </c:pt>
                <c:pt idx="236" c:formatCode="0.00_);[Red]\(0.00\)">
                  <c:v>7.923</c:v>
                </c:pt>
                <c:pt idx="237" c:formatCode="0.00_);[Red]\(0.00\)">
                  <c:v>7.956</c:v>
                </c:pt>
                <c:pt idx="238" c:formatCode="0.00_);[Red]\(0.00\)">
                  <c:v>7.99</c:v>
                </c:pt>
                <c:pt idx="239" c:formatCode="0.00_);[Red]\(0.00\)">
                  <c:v>8.023</c:v>
                </c:pt>
                <c:pt idx="240" c:formatCode="0.00_);[Red]\(0.00\)">
                  <c:v>8.057</c:v>
                </c:pt>
                <c:pt idx="241" c:formatCode="0.00_);[Red]\(0.00\)">
                  <c:v>8.09</c:v>
                </c:pt>
                <c:pt idx="242" c:formatCode="0.00_);[Red]\(0.00\)">
                  <c:v>8.124</c:v>
                </c:pt>
                <c:pt idx="243" c:formatCode="0.00_);[Red]\(0.00\)">
                  <c:v>8.157</c:v>
                </c:pt>
                <c:pt idx="244" c:formatCode="0.00_);[Red]\(0.00\)">
                  <c:v>8.191</c:v>
                </c:pt>
                <c:pt idx="245" c:formatCode="0.00_);[Red]\(0.00\)">
                  <c:v>8.224</c:v>
                </c:pt>
                <c:pt idx="246" c:formatCode="0.00_);[Red]\(0.00\)">
                  <c:v>8.257</c:v>
                </c:pt>
                <c:pt idx="247" c:formatCode="0.00_);[Red]\(0.00\)">
                  <c:v>8.291</c:v>
                </c:pt>
                <c:pt idx="248" c:formatCode="0.00_);[Red]\(0.00\)">
                  <c:v>8.324</c:v>
                </c:pt>
                <c:pt idx="249" c:formatCode="0.00_);[Red]\(0.00\)">
                  <c:v>8.358</c:v>
                </c:pt>
                <c:pt idx="250" c:formatCode="0.00_);[Red]\(0.00\)">
                  <c:v>8.391</c:v>
                </c:pt>
                <c:pt idx="251" c:formatCode="0.00_);[Red]\(0.00\)">
                  <c:v>8.425</c:v>
                </c:pt>
                <c:pt idx="252" c:formatCode="0.00_);[Red]\(0.00\)">
                  <c:v>8.458</c:v>
                </c:pt>
                <c:pt idx="253" c:formatCode="0.00_);[Red]\(0.00\)">
                  <c:v>8.491</c:v>
                </c:pt>
                <c:pt idx="254" c:formatCode="0.00_);[Red]\(0.00\)">
                  <c:v>8.525</c:v>
                </c:pt>
                <c:pt idx="255" c:formatCode="0.00_);[Red]\(0.00\)">
                  <c:v>8.558</c:v>
                </c:pt>
                <c:pt idx="256" c:formatCode="0.00_);[Red]\(0.00\)">
                  <c:v>8.592</c:v>
                </c:pt>
                <c:pt idx="257" c:formatCode="0.00_);[Red]\(0.00\)">
                  <c:v>8.625</c:v>
                </c:pt>
                <c:pt idx="258" c:formatCode="0.00_);[Red]\(0.00\)">
                  <c:v>8.659</c:v>
                </c:pt>
                <c:pt idx="259" c:formatCode="0.00_);[Red]\(0.00\)">
                  <c:v>8.692</c:v>
                </c:pt>
                <c:pt idx="260" c:formatCode="0.00_);[Red]\(0.00\)">
                  <c:v>8.725</c:v>
                </c:pt>
                <c:pt idx="261" c:formatCode="0.00_);[Red]\(0.00\)">
                  <c:v>8.759</c:v>
                </c:pt>
                <c:pt idx="262" c:formatCode="0.00_);[Red]\(0.00\)">
                  <c:v>8.792</c:v>
                </c:pt>
                <c:pt idx="263" c:formatCode="0.00_);[Red]\(0.00\)">
                  <c:v>8.826</c:v>
                </c:pt>
                <c:pt idx="264" c:formatCode="0.00_);[Red]\(0.00\)">
                  <c:v>8.859</c:v>
                </c:pt>
                <c:pt idx="265" c:formatCode="0.00_);[Red]\(0.00\)">
                  <c:v>8.893</c:v>
                </c:pt>
                <c:pt idx="266" c:formatCode="0.00_);[Red]\(0.00\)">
                  <c:v>8.926</c:v>
                </c:pt>
                <c:pt idx="267" c:formatCode="0.00_);[Red]\(0.00\)">
                  <c:v>8.959</c:v>
                </c:pt>
                <c:pt idx="268" c:formatCode="0.00_);[Red]\(0.00\)">
                  <c:v>8.993</c:v>
                </c:pt>
                <c:pt idx="269" c:formatCode="0.00_);[Red]\(0.00\)">
                  <c:v>9.026</c:v>
                </c:pt>
                <c:pt idx="270" c:formatCode="0.00_);[Red]\(0.00\)">
                  <c:v>9.06</c:v>
                </c:pt>
                <c:pt idx="271" c:formatCode="0.00_);[Red]\(0.00\)">
                  <c:v>9.093</c:v>
                </c:pt>
                <c:pt idx="272" c:formatCode="0.00_);[Red]\(0.00\)">
                  <c:v>9.127</c:v>
                </c:pt>
                <c:pt idx="273" c:formatCode="0.00_);[Red]\(0.00\)">
                  <c:v>9.16</c:v>
                </c:pt>
                <c:pt idx="274" c:formatCode="0.00_);[Red]\(0.00\)">
                  <c:v>9.193</c:v>
                </c:pt>
                <c:pt idx="275" c:formatCode="0.00_);[Red]\(0.00\)">
                  <c:v>9.227</c:v>
                </c:pt>
                <c:pt idx="276" c:formatCode="0.00_);[Red]\(0.00\)">
                  <c:v>9.26</c:v>
                </c:pt>
                <c:pt idx="277" c:formatCode="0.00_);[Red]\(0.00\)">
                  <c:v>9.294</c:v>
                </c:pt>
                <c:pt idx="278" c:formatCode="0.00_);[Red]\(0.00\)">
                  <c:v>9.327</c:v>
                </c:pt>
                <c:pt idx="279" c:formatCode="0.00_);[Red]\(0.00\)">
                  <c:v>9.361</c:v>
                </c:pt>
                <c:pt idx="280" c:formatCode="0.00_);[Red]\(0.00\)">
                  <c:v>9.394</c:v>
                </c:pt>
                <c:pt idx="281" c:formatCode="0.00_);[Red]\(0.00\)">
                  <c:v>9.427</c:v>
                </c:pt>
                <c:pt idx="282" c:formatCode="0.00_);[Red]\(0.00\)">
                  <c:v>9.461</c:v>
                </c:pt>
                <c:pt idx="283" c:formatCode="0.00_);[Red]\(0.00\)">
                  <c:v>9.494</c:v>
                </c:pt>
                <c:pt idx="284" c:formatCode="0.00_);[Red]\(0.00\)">
                  <c:v>9.528</c:v>
                </c:pt>
                <c:pt idx="285" c:formatCode="0.00_);[Red]\(0.00\)">
                  <c:v>9.561</c:v>
                </c:pt>
                <c:pt idx="286" c:formatCode="0.00_);[Red]\(0.00\)">
                  <c:v>9.595</c:v>
                </c:pt>
                <c:pt idx="287" c:formatCode="0.00_);[Red]\(0.00\)">
                  <c:v>9.628</c:v>
                </c:pt>
                <c:pt idx="288" c:formatCode="0.00_);[Red]\(0.00\)">
                  <c:v>9.661</c:v>
                </c:pt>
                <c:pt idx="289" c:formatCode="0.00_);[Red]\(0.00\)">
                  <c:v>9.695</c:v>
                </c:pt>
                <c:pt idx="290" c:formatCode="0.00_);[Red]\(0.00\)">
                  <c:v>9.728</c:v>
                </c:pt>
                <c:pt idx="291" c:formatCode="0.00_);[Red]\(0.00\)">
                  <c:v>9.762</c:v>
                </c:pt>
                <c:pt idx="292" c:formatCode="0.00_);[Red]\(0.00\)">
                  <c:v>9.795</c:v>
                </c:pt>
                <c:pt idx="293" c:formatCode="0.00_);[Red]\(0.00\)">
                  <c:v>9.829</c:v>
                </c:pt>
                <c:pt idx="294" c:formatCode="0.00_);[Red]\(0.00\)">
                  <c:v>9.862</c:v>
                </c:pt>
                <c:pt idx="295" c:formatCode="0.00_);[Red]\(0.00\)">
                  <c:v>9.895</c:v>
                </c:pt>
                <c:pt idx="296" c:formatCode="0.00_);[Red]\(0.00\)">
                  <c:v>9.929</c:v>
                </c:pt>
                <c:pt idx="297" c:formatCode="0.00_);[Red]\(0.00\)">
                  <c:v>9.962</c:v>
                </c:pt>
                <c:pt idx="298" c:formatCode="0.00_);[Red]\(0.00\)">
                  <c:v>9.996</c:v>
                </c:pt>
                <c:pt idx="299" c:formatCode="0.00_);[Red]\(0.00\)">
                  <c:v>10.029</c:v>
                </c:pt>
                <c:pt idx="300" c:formatCode="0.00_);[Red]\(0.00\)">
                  <c:v>10.063</c:v>
                </c:pt>
                <c:pt idx="301" c:formatCode="0.00_);[Red]\(0.00\)">
                  <c:v>10.096</c:v>
                </c:pt>
                <c:pt idx="302" c:formatCode="0.00_);[Red]\(0.00\)">
                  <c:v>10.129</c:v>
                </c:pt>
                <c:pt idx="303" c:formatCode="0.00_);[Red]\(0.00\)">
                  <c:v>10.163</c:v>
                </c:pt>
                <c:pt idx="304" c:formatCode="0.00_);[Red]\(0.00\)">
                  <c:v>10.196</c:v>
                </c:pt>
                <c:pt idx="305" c:formatCode="0.00_);[Red]\(0.00\)">
                  <c:v>10.23</c:v>
                </c:pt>
                <c:pt idx="306" c:formatCode="0.00_);[Red]\(0.00\)">
                  <c:v>10.263</c:v>
                </c:pt>
                <c:pt idx="307" c:formatCode="0.00_);[Red]\(0.00\)">
                  <c:v>10.297</c:v>
                </c:pt>
                <c:pt idx="308" c:formatCode="0.00_);[Red]\(0.00\)">
                  <c:v>10.33</c:v>
                </c:pt>
                <c:pt idx="309" c:formatCode="0.00_);[Red]\(0.00\)">
                  <c:v>10.363</c:v>
                </c:pt>
                <c:pt idx="310" c:formatCode="0.00_);[Red]\(0.00\)">
                  <c:v>10.397</c:v>
                </c:pt>
                <c:pt idx="311" c:formatCode="0.00_);[Red]\(0.00\)">
                  <c:v>10.43</c:v>
                </c:pt>
                <c:pt idx="312" c:formatCode="0.00_);[Red]\(0.00\)">
                  <c:v>10.464</c:v>
                </c:pt>
                <c:pt idx="313" c:formatCode="0.00_);[Red]\(0.00\)">
                  <c:v>10.497</c:v>
                </c:pt>
                <c:pt idx="314" c:formatCode="0.00_);[Red]\(0.00\)">
                  <c:v>10.531</c:v>
                </c:pt>
                <c:pt idx="315" c:formatCode="0.00_);[Red]\(0.00\)">
                  <c:v>10.564</c:v>
                </c:pt>
                <c:pt idx="316" c:formatCode="0.00_);[Red]\(0.00\)">
                  <c:v>10.598</c:v>
                </c:pt>
                <c:pt idx="317" c:formatCode="0.00_);[Red]\(0.00\)">
                  <c:v>10.631</c:v>
                </c:pt>
                <c:pt idx="318" c:formatCode="0.00_);[Red]\(0.00\)">
                  <c:v>10.664</c:v>
                </c:pt>
                <c:pt idx="319" c:formatCode="0.00_);[Red]\(0.00\)">
                  <c:v>10.698</c:v>
                </c:pt>
                <c:pt idx="320" c:formatCode="0.00_);[Red]\(0.00\)">
                  <c:v>10.731</c:v>
                </c:pt>
                <c:pt idx="321" c:formatCode="0.00_);[Red]\(0.00\)">
                  <c:v>10.765</c:v>
                </c:pt>
                <c:pt idx="322" c:formatCode="0.00_);[Red]\(0.00\)">
                  <c:v>10.798</c:v>
                </c:pt>
                <c:pt idx="323" c:formatCode="0.00_);[Red]\(0.00\)">
                  <c:v>10.832</c:v>
                </c:pt>
                <c:pt idx="324" c:formatCode="0.00_);[Red]\(0.00\)">
                  <c:v>10.865</c:v>
                </c:pt>
                <c:pt idx="325" c:formatCode="0.00_);[Red]\(0.00\)">
                  <c:v>10.898</c:v>
                </c:pt>
                <c:pt idx="326" c:formatCode="0.00_);[Red]\(0.00\)">
                  <c:v>10.932</c:v>
                </c:pt>
                <c:pt idx="327" c:formatCode="0.00_);[Red]\(0.00\)">
                  <c:v>10.965</c:v>
                </c:pt>
                <c:pt idx="328" c:formatCode="0.00_);[Red]\(0.00\)">
                  <c:v>10.999</c:v>
                </c:pt>
                <c:pt idx="329" c:formatCode="0.00_);[Red]\(0.00\)">
                  <c:v>11.032</c:v>
                </c:pt>
                <c:pt idx="330" c:formatCode="0.00_);[Red]\(0.00\)">
                  <c:v>11.066</c:v>
                </c:pt>
                <c:pt idx="331" c:formatCode="0.00_);[Red]\(0.00\)">
                  <c:v>11.099</c:v>
                </c:pt>
                <c:pt idx="332" c:formatCode="0.00_);[Red]\(0.00\)">
                  <c:v>11.132</c:v>
                </c:pt>
                <c:pt idx="333" c:formatCode="0.00_);[Red]\(0.00\)">
                  <c:v>11.166</c:v>
                </c:pt>
                <c:pt idx="334" c:formatCode="0.00_);[Red]\(0.00\)">
                  <c:v>11.199</c:v>
                </c:pt>
                <c:pt idx="335" c:formatCode="0.00_);[Red]\(0.00\)">
                  <c:v>11.233</c:v>
                </c:pt>
                <c:pt idx="336" c:formatCode="0.00_);[Red]\(0.00\)">
                  <c:v>11.266</c:v>
                </c:pt>
                <c:pt idx="337" c:formatCode="0.00_);[Red]\(0.00\)">
                  <c:v>11.3</c:v>
                </c:pt>
                <c:pt idx="338" c:formatCode="0.00_);[Red]\(0.00\)">
                  <c:v>11.333</c:v>
                </c:pt>
                <c:pt idx="339" c:formatCode="0.00_);[Red]\(0.00\)">
                  <c:v>11.366</c:v>
                </c:pt>
                <c:pt idx="340" c:formatCode="0.00_);[Red]\(0.00\)">
                  <c:v>11.4</c:v>
                </c:pt>
                <c:pt idx="341" c:formatCode="0.00_);[Red]\(0.00\)">
                  <c:v>11.433</c:v>
                </c:pt>
                <c:pt idx="342" c:formatCode="0.00_);[Red]\(0.00\)">
                  <c:v>11.467</c:v>
                </c:pt>
                <c:pt idx="343" c:formatCode="0.00_);[Red]\(0.00\)">
                  <c:v>11.5</c:v>
                </c:pt>
                <c:pt idx="344" c:formatCode="0.00_);[Red]\(0.00\)">
                  <c:v>11.534</c:v>
                </c:pt>
                <c:pt idx="345" c:formatCode="0.00_);[Red]\(0.00\)">
                  <c:v>11.567</c:v>
                </c:pt>
                <c:pt idx="346" c:formatCode="0.00_);[Red]\(0.00\)">
                  <c:v>11.6</c:v>
                </c:pt>
                <c:pt idx="347" c:formatCode="0.00_);[Red]\(0.00\)">
                  <c:v>11.634</c:v>
                </c:pt>
                <c:pt idx="348" c:formatCode="0.00_);[Red]\(0.00\)">
                  <c:v>11.667</c:v>
                </c:pt>
                <c:pt idx="349" c:formatCode="0.00_);[Red]\(0.00\)">
                  <c:v>11.701</c:v>
                </c:pt>
                <c:pt idx="350" c:formatCode="0.00_);[Red]\(0.00\)">
                  <c:v>11.734</c:v>
                </c:pt>
                <c:pt idx="351" c:formatCode="0.00_);[Red]\(0.00\)">
                  <c:v>11.768</c:v>
                </c:pt>
                <c:pt idx="352" c:formatCode="0.00_);[Red]\(0.00\)">
                  <c:v>11.801</c:v>
                </c:pt>
                <c:pt idx="353" c:formatCode="0.00_);[Red]\(0.00\)">
                  <c:v>11.834</c:v>
                </c:pt>
                <c:pt idx="354" c:formatCode="0.00_);[Red]\(0.00\)">
                  <c:v>11.868</c:v>
                </c:pt>
                <c:pt idx="355" c:formatCode="0.00_);[Red]\(0.00\)">
                  <c:v>11.901</c:v>
                </c:pt>
                <c:pt idx="356" c:formatCode="0.00_);[Red]\(0.00\)">
                  <c:v>11.935</c:v>
                </c:pt>
                <c:pt idx="357" c:formatCode="0.00_);[Red]\(0.00\)">
                  <c:v>11.968</c:v>
                </c:pt>
              </c:numCache>
            </c:numRef>
          </c:cat>
          <c:val>
            <c:numRef>
              <c:f>A_11_34_05_转90!$K$4:$K$361</c:f>
              <c:numCache>
                <c:formatCode>0.000_ </c:formatCode>
                <c:ptCount val="358"/>
                <c:pt idx="0">
                  <c:v>0</c:v>
                </c:pt>
                <c:pt idx="1">
                  <c:v>0</c:v>
                </c:pt>
                <c:pt idx="2">
                  <c:v>-0.0999999999999959</c:v>
                </c:pt>
                <c:pt idx="3">
                  <c:v>0</c:v>
                </c:pt>
                <c:pt idx="4">
                  <c:v>-0.0999999999999959</c:v>
                </c:pt>
                <c:pt idx="5">
                  <c:v>0</c:v>
                </c:pt>
                <c:pt idx="6">
                  <c:v>-0.0999999999999959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-0.0999999999999959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-0.0999999999999959</c:v>
                </c:pt>
                <c:pt idx="35">
                  <c:v>0.0999999999999959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0.0999999999999959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0.0999999999999959</c:v>
                </c:pt>
                <c:pt idx="47">
                  <c:v>0</c:v>
                </c:pt>
                <c:pt idx="48">
                  <c:v>0</c:v>
                </c:pt>
                <c:pt idx="49">
                  <c:v>0.0999999999999959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-0.0999999999999959</c:v>
                </c:pt>
                <c:pt idx="60">
                  <c:v>0</c:v>
                </c:pt>
                <c:pt idx="61">
                  <c:v>0</c:v>
                </c:pt>
                <c:pt idx="62">
                  <c:v>0.0999999999999959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-0.0999999999999959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-0.0999999999999959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0.0999999999999959</c:v>
                </c:pt>
                <c:pt idx="79">
                  <c:v>0.0999999999999959</c:v>
                </c:pt>
                <c:pt idx="80">
                  <c:v>0.300000000000022</c:v>
                </c:pt>
                <c:pt idx="81">
                  <c:v>0.500000000000014</c:v>
                </c:pt>
                <c:pt idx="82">
                  <c:v>0.500000000000014</c:v>
                </c:pt>
                <c:pt idx="83">
                  <c:v>0.60000000000001</c:v>
                </c:pt>
                <c:pt idx="84">
                  <c:v>0.700000000000006</c:v>
                </c:pt>
                <c:pt idx="85">
                  <c:v>0.700000000000006</c:v>
                </c:pt>
                <c:pt idx="86">
                  <c:v>0.800000000000002</c:v>
                </c:pt>
                <c:pt idx="87">
                  <c:v>0.700000000000006</c:v>
                </c:pt>
                <c:pt idx="88">
                  <c:v>0.700000000000006</c:v>
                </c:pt>
                <c:pt idx="89">
                  <c:v>0.500000000000014</c:v>
                </c:pt>
                <c:pt idx="90">
                  <c:v>0.400000000000018</c:v>
                </c:pt>
                <c:pt idx="91">
                  <c:v>0</c:v>
                </c:pt>
                <c:pt idx="92">
                  <c:v>-0.199999999999992</c:v>
                </c:pt>
                <c:pt idx="93">
                  <c:v>-0.49999999999998</c:v>
                </c:pt>
                <c:pt idx="94">
                  <c:v>-0.699999999999972</c:v>
                </c:pt>
                <c:pt idx="95">
                  <c:v>-0.999999999999994</c:v>
                </c:pt>
                <c:pt idx="96">
                  <c:v>-1.19999999999999</c:v>
                </c:pt>
                <c:pt idx="97">
                  <c:v>-1.39999999999998</c:v>
                </c:pt>
                <c:pt idx="98">
                  <c:v>-1.39999999999998</c:v>
                </c:pt>
                <c:pt idx="99">
                  <c:v>-1.39999999999998</c:v>
                </c:pt>
                <c:pt idx="100">
                  <c:v>-1.39999999999998</c:v>
                </c:pt>
                <c:pt idx="101">
                  <c:v>-1.39999999999998</c:v>
                </c:pt>
                <c:pt idx="102">
                  <c:v>-1.19999999999999</c:v>
                </c:pt>
                <c:pt idx="103">
                  <c:v>-0.999999999999994</c:v>
                </c:pt>
                <c:pt idx="104">
                  <c:v>-0.800000000000002</c:v>
                </c:pt>
                <c:pt idx="105">
                  <c:v>-0.599999999999976</c:v>
                </c:pt>
                <c:pt idx="106">
                  <c:v>-0.399999999999984</c:v>
                </c:pt>
                <c:pt idx="107">
                  <c:v>-0.0999999999999959</c:v>
                </c:pt>
                <c:pt idx="108">
                  <c:v>0.0999999999999959</c:v>
                </c:pt>
                <c:pt idx="109">
                  <c:v>0.200000000000027</c:v>
                </c:pt>
                <c:pt idx="110">
                  <c:v>0.400000000000018</c:v>
                </c:pt>
                <c:pt idx="111">
                  <c:v>0.700000000000006</c:v>
                </c:pt>
                <c:pt idx="112">
                  <c:v>0.800000000000002</c:v>
                </c:pt>
                <c:pt idx="113">
                  <c:v>1.00000000000003</c:v>
                </c:pt>
                <c:pt idx="114">
                  <c:v>0.899999999999998</c:v>
                </c:pt>
                <c:pt idx="115">
                  <c:v>0.899999999999998</c:v>
                </c:pt>
                <c:pt idx="116">
                  <c:v>0.899999999999998</c:v>
                </c:pt>
                <c:pt idx="117">
                  <c:v>0.700000000000006</c:v>
                </c:pt>
                <c:pt idx="118">
                  <c:v>0.500000000000014</c:v>
                </c:pt>
                <c:pt idx="119">
                  <c:v>0.300000000000022</c:v>
                </c:pt>
                <c:pt idx="120">
                  <c:v>0.300000000000022</c:v>
                </c:pt>
                <c:pt idx="121">
                  <c:v>0</c:v>
                </c:pt>
                <c:pt idx="122">
                  <c:v>-0.399999999999984</c:v>
                </c:pt>
                <c:pt idx="123">
                  <c:v>-0.49999999999998</c:v>
                </c:pt>
                <c:pt idx="124">
                  <c:v>-0.899999999999998</c:v>
                </c:pt>
                <c:pt idx="125">
                  <c:v>-0.999999999999994</c:v>
                </c:pt>
                <c:pt idx="126">
                  <c:v>-0.899999999999998</c:v>
                </c:pt>
                <c:pt idx="127">
                  <c:v>-0.999999999999994</c:v>
                </c:pt>
                <c:pt idx="128">
                  <c:v>-1.29999999999998</c:v>
                </c:pt>
                <c:pt idx="129">
                  <c:v>-1.19999999999999</c:v>
                </c:pt>
                <c:pt idx="130">
                  <c:v>-1.19999999999999</c:v>
                </c:pt>
                <c:pt idx="131">
                  <c:v>-1.19999999999999</c:v>
                </c:pt>
                <c:pt idx="132">
                  <c:v>-1.29999999999998</c:v>
                </c:pt>
                <c:pt idx="133">
                  <c:v>-1.19999999999999</c:v>
                </c:pt>
                <c:pt idx="134">
                  <c:v>-1.29999999999998</c:v>
                </c:pt>
                <c:pt idx="135">
                  <c:v>-1.19999999999999</c:v>
                </c:pt>
                <c:pt idx="136">
                  <c:v>-1.29999999999998</c:v>
                </c:pt>
                <c:pt idx="137">
                  <c:v>-1.29999999999998</c:v>
                </c:pt>
                <c:pt idx="138">
                  <c:v>-1.39999999999998</c:v>
                </c:pt>
                <c:pt idx="139">
                  <c:v>-1.49999999999997</c:v>
                </c:pt>
                <c:pt idx="140">
                  <c:v>-1.49999999999997</c:v>
                </c:pt>
                <c:pt idx="141">
                  <c:v>-2.79999999999999</c:v>
                </c:pt>
                <c:pt idx="142">
                  <c:v>-3.4</c:v>
                </c:pt>
                <c:pt idx="143">
                  <c:v>-3.89999999999998</c:v>
                </c:pt>
                <c:pt idx="144">
                  <c:v>-4.09999999999997</c:v>
                </c:pt>
                <c:pt idx="145">
                  <c:v>-4.2</c:v>
                </c:pt>
                <c:pt idx="146">
                  <c:v>-4.2</c:v>
                </c:pt>
                <c:pt idx="147">
                  <c:v>-4.39999999999999</c:v>
                </c:pt>
                <c:pt idx="148">
                  <c:v>-4.2</c:v>
                </c:pt>
                <c:pt idx="149">
                  <c:v>-4.09999999999997</c:v>
                </c:pt>
                <c:pt idx="150">
                  <c:v>-3.79999999999998</c:v>
                </c:pt>
                <c:pt idx="151">
                  <c:v>-3.69999999999999</c:v>
                </c:pt>
                <c:pt idx="152">
                  <c:v>-3.59999999999999</c:v>
                </c:pt>
                <c:pt idx="153">
                  <c:v>-3.4</c:v>
                </c:pt>
                <c:pt idx="154">
                  <c:v>-3.29999999999997</c:v>
                </c:pt>
                <c:pt idx="155">
                  <c:v>-3.19999999999997</c:v>
                </c:pt>
                <c:pt idx="156">
                  <c:v>-2.99999999999998</c:v>
                </c:pt>
                <c:pt idx="157">
                  <c:v>-2.79999999999999</c:v>
                </c:pt>
                <c:pt idx="158">
                  <c:v>-2.6</c:v>
                </c:pt>
                <c:pt idx="159">
                  <c:v>-2.5</c:v>
                </c:pt>
                <c:pt idx="160">
                  <c:v>-2.39999999999997</c:v>
                </c:pt>
                <c:pt idx="161">
                  <c:v>-2.29999999999998</c:v>
                </c:pt>
                <c:pt idx="162">
                  <c:v>-2.29999999999998</c:v>
                </c:pt>
                <c:pt idx="163">
                  <c:v>-2.09999999999998</c:v>
                </c:pt>
                <c:pt idx="164">
                  <c:v>-2.09999999999998</c:v>
                </c:pt>
                <c:pt idx="165">
                  <c:v>-2.19999999999998</c:v>
                </c:pt>
                <c:pt idx="166">
                  <c:v>-2.29999999999998</c:v>
                </c:pt>
                <c:pt idx="167">
                  <c:v>-2.29999999999998</c:v>
                </c:pt>
                <c:pt idx="168">
                  <c:v>-2.39999999999997</c:v>
                </c:pt>
                <c:pt idx="169">
                  <c:v>-2.39999999999997</c:v>
                </c:pt>
                <c:pt idx="170">
                  <c:v>-2.6</c:v>
                </c:pt>
                <c:pt idx="171">
                  <c:v>-2.69999999999999</c:v>
                </c:pt>
                <c:pt idx="172">
                  <c:v>-2.89999999999999</c:v>
                </c:pt>
                <c:pt idx="173">
                  <c:v>-2.99999999999998</c:v>
                </c:pt>
                <c:pt idx="174">
                  <c:v>-3.19999999999997</c:v>
                </c:pt>
                <c:pt idx="175">
                  <c:v>-3.29999999999997</c:v>
                </c:pt>
                <c:pt idx="176">
                  <c:v>-3.59999999999999</c:v>
                </c:pt>
                <c:pt idx="177">
                  <c:v>-3.69999999999999</c:v>
                </c:pt>
                <c:pt idx="178">
                  <c:v>-3.89999999999998</c:v>
                </c:pt>
                <c:pt idx="179">
                  <c:v>-4.09999999999997</c:v>
                </c:pt>
                <c:pt idx="180">
                  <c:v>-4.3</c:v>
                </c:pt>
                <c:pt idx="181">
                  <c:v>-4.39999999999999</c:v>
                </c:pt>
                <c:pt idx="182">
                  <c:v>-4.49999999999999</c:v>
                </c:pt>
                <c:pt idx="183">
                  <c:v>-4.39999999999999</c:v>
                </c:pt>
                <c:pt idx="184">
                  <c:v>-4.59999999999999</c:v>
                </c:pt>
                <c:pt idx="185">
                  <c:v>-4.49999999999999</c:v>
                </c:pt>
                <c:pt idx="186">
                  <c:v>-4.3</c:v>
                </c:pt>
                <c:pt idx="187">
                  <c:v>-4.39999999999999</c:v>
                </c:pt>
                <c:pt idx="188">
                  <c:v>-4.2</c:v>
                </c:pt>
                <c:pt idx="189">
                  <c:v>-3.99999999999998</c:v>
                </c:pt>
                <c:pt idx="190">
                  <c:v>-3.99999999999998</c:v>
                </c:pt>
                <c:pt idx="191">
                  <c:v>-3.69999999999999</c:v>
                </c:pt>
                <c:pt idx="192">
                  <c:v>-3.5</c:v>
                </c:pt>
                <c:pt idx="193">
                  <c:v>-3.4</c:v>
                </c:pt>
                <c:pt idx="194">
                  <c:v>-3.19999999999997</c:v>
                </c:pt>
                <c:pt idx="195">
                  <c:v>-3.09999999999998</c:v>
                </c:pt>
                <c:pt idx="196">
                  <c:v>-2.89999999999999</c:v>
                </c:pt>
                <c:pt idx="197">
                  <c:v>-2.69999999999999</c:v>
                </c:pt>
                <c:pt idx="198">
                  <c:v>-2.5</c:v>
                </c:pt>
                <c:pt idx="199">
                  <c:v>-2.29999999999998</c:v>
                </c:pt>
                <c:pt idx="200">
                  <c:v>-2.19999999999998</c:v>
                </c:pt>
                <c:pt idx="201">
                  <c:v>-2.29999999999998</c:v>
                </c:pt>
                <c:pt idx="202">
                  <c:v>-2.19999999999998</c:v>
                </c:pt>
                <c:pt idx="203">
                  <c:v>-2.09999999999998</c:v>
                </c:pt>
                <c:pt idx="204">
                  <c:v>-1.99999999999999</c:v>
                </c:pt>
                <c:pt idx="205">
                  <c:v>-1.99999999999999</c:v>
                </c:pt>
                <c:pt idx="206">
                  <c:v>-2.09999999999998</c:v>
                </c:pt>
                <c:pt idx="207">
                  <c:v>-2.19999999999998</c:v>
                </c:pt>
                <c:pt idx="208">
                  <c:v>-2.29999999999998</c:v>
                </c:pt>
                <c:pt idx="209">
                  <c:v>-2.39999999999997</c:v>
                </c:pt>
                <c:pt idx="210">
                  <c:v>-2.5</c:v>
                </c:pt>
                <c:pt idx="211">
                  <c:v>-2.6</c:v>
                </c:pt>
                <c:pt idx="212">
                  <c:v>-2.79999999999999</c:v>
                </c:pt>
                <c:pt idx="213">
                  <c:v>-2.99999999999998</c:v>
                </c:pt>
                <c:pt idx="214">
                  <c:v>-3.09999999999998</c:v>
                </c:pt>
                <c:pt idx="215">
                  <c:v>-3.29999999999997</c:v>
                </c:pt>
                <c:pt idx="216">
                  <c:v>-3.4</c:v>
                </c:pt>
                <c:pt idx="217">
                  <c:v>-3.59999999999999</c:v>
                </c:pt>
                <c:pt idx="218">
                  <c:v>-3.69999999999999</c:v>
                </c:pt>
                <c:pt idx="219">
                  <c:v>-3.89999999999998</c:v>
                </c:pt>
                <c:pt idx="220">
                  <c:v>-3.99999999999998</c:v>
                </c:pt>
                <c:pt idx="221">
                  <c:v>-4.09999999999997</c:v>
                </c:pt>
                <c:pt idx="222">
                  <c:v>-4.09999999999997</c:v>
                </c:pt>
                <c:pt idx="223">
                  <c:v>-4.2</c:v>
                </c:pt>
                <c:pt idx="224">
                  <c:v>-4.39999999999999</c:v>
                </c:pt>
                <c:pt idx="225">
                  <c:v>-4.2</c:v>
                </c:pt>
                <c:pt idx="226">
                  <c:v>-4.09999999999997</c:v>
                </c:pt>
                <c:pt idx="227">
                  <c:v>-3.99999999999998</c:v>
                </c:pt>
                <c:pt idx="228">
                  <c:v>-3.99999999999998</c:v>
                </c:pt>
                <c:pt idx="229">
                  <c:v>-3.79999999999998</c:v>
                </c:pt>
                <c:pt idx="230">
                  <c:v>-3.5</c:v>
                </c:pt>
                <c:pt idx="231">
                  <c:v>-3.4</c:v>
                </c:pt>
                <c:pt idx="232">
                  <c:v>-3.29999999999997</c:v>
                </c:pt>
                <c:pt idx="233">
                  <c:v>-3.19999999999997</c:v>
                </c:pt>
                <c:pt idx="234">
                  <c:v>-2.99999999999998</c:v>
                </c:pt>
                <c:pt idx="235">
                  <c:v>-2.79999999999999</c:v>
                </c:pt>
                <c:pt idx="236">
                  <c:v>-2.69999999999999</c:v>
                </c:pt>
                <c:pt idx="237">
                  <c:v>-2.39999999999997</c:v>
                </c:pt>
                <c:pt idx="238">
                  <c:v>-2.19999999999998</c:v>
                </c:pt>
                <c:pt idx="239">
                  <c:v>-2.19999999999998</c:v>
                </c:pt>
                <c:pt idx="240">
                  <c:v>-1.99999999999999</c:v>
                </c:pt>
                <c:pt idx="241">
                  <c:v>-2.09999999999998</c:v>
                </c:pt>
                <c:pt idx="242">
                  <c:v>-1.99999999999999</c:v>
                </c:pt>
                <c:pt idx="243">
                  <c:v>-1.8</c:v>
                </c:pt>
                <c:pt idx="244">
                  <c:v>-1.89999999999999</c:v>
                </c:pt>
                <c:pt idx="245">
                  <c:v>-1.99999999999999</c:v>
                </c:pt>
                <c:pt idx="246">
                  <c:v>-1.99999999999999</c:v>
                </c:pt>
                <c:pt idx="247">
                  <c:v>-1.89999999999999</c:v>
                </c:pt>
                <c:pt idx="248">
                  <c:v>-2.09999999999998</c:v>
                </c:pt>
                <c:pt idx="249">
                  <c:v>-2.29999999999998</c:v>
                </c:pt>
                <c:pt idx="250">
                  <c:v>-2.39999999999997</c:v>
                </c:pt>
                <c:pt idx="251">
                  <c:v>-2.69999999999999</c:v>
                </c:pt>
                <c:pt idx="252">
                  <c:v>-2.69999999999999</c:v>
                </c:pt>
                <c:pt idx="253">
                  <c:v>-2.89999999999999</c:v>
                </c:pt>
                <c:pt idx="254">
                  <c:v>-3.09999999999998</c:v>
                </c:pt>
                <c:pt idx="255">
                  <c:v>-3.29999999999997</c:v>
                </c:pt>
                <c:pt idx="256">
                  <c:v>-3.4</c:v>
                </c:pt>
                <c:pt idx="257">
                  <c:v>-3.59999999999999</c:v>
                </c:pt>
                <c:pt idx="258">
                  <c:v>-3.69999999999999</c:v>
                </c:pt>
                <c:pt idx="259">
                  <c:v>-3.89999999999998</c:v>
                </c:pt>
                <c:pt idx="260">
                  <c:v>-3.89999999999998</c:v>
                </c:pt>
                <c:pt idx="261">
                  <c:v>-3.99999999999998</c:v>
                </c:pt>
                <c:pt idx="262">
                  <c:v>-4.09999999999997</c:v>
                </c:pt>
                <c:pt idx="263">
                  <c:v>-3.99999999999998</c:v>
                </c:pt>
                <c:pt idx="264">
                  <c:v>-4.09999999999997</c:v>
                </c:pt>
                <c:pt idx="265">
                  <c:v>-3.99999999999998</c:v>
                </c:pt>
                <c:pt idx="266">
                  <c:v>-3.89999999999998</c:v>
                </c:pt>
                <c:pt idx="267">
                  <c:v>-3.79999999999998</c:v>
                </c:pt>
                <c:pt idx="268">
                  <c:v>-3.79999999999998</c:v>
                </c:pt>
                <c:pt idx="269">
                  <c:v>-3.59999999999999</c:v>
                </c:pt>
                <c:pt idx="270">
                  <c:v>-3.4</c:v>
                </c:pt>
                <c:pt idx="271">
                  <c:v>-3.19999999999997</c:v>
                </c:pt>
                <c:pt idx="272">
                  <c:v>-3.09999999999998</c:v>
                </c:pt>
                <c:pt idx="273">
                  <c:v>-2.99999999999998</c:v>
                </c:pt>
                <c:pt idx="274">
                  <c:v>-2.79999999999999</c:v>
                </c:pt>
                <c:pt idx="275">
                  <c:v>-2.69999999999999</c:v>
                </c:pt>
                <c:pt idx="276">
                  <c:v>-2.39999999999997</c:v>
                </c:pt>
                <c:pt idx="277">
                  <c:v>-2.29999999999998</c:v>
                </c:pt>
                <c:pt idx="278">
                  <c:v>-2.09999999999998</c:v>
                </c:pt>
                <c:pt idx="279">
                  <c:v>-1.99999999999999</c:v>
                </c:pt>
                <c:pt idx="280">
                  <c:v>-1.99999999999999</c:v>
                </c:pt>
                <c:pt idx="281">
                  <c:v>-1.8</c:v>
                </c:pt>
                <c:pt idx="282">
                  <c:v>-1.7</c:v>
                </c:pt>
                <c:pt idx="283">
                  <c:v>-1.7</c:v>
                </c:pt>
                <c:pt idx="284">
                  <c:v>-1.7</c:v>
                </c:pt>
                <c:pt idx="285">
                  <c:v>-1.8</c:v>
                </c:pt>
                <c:pt idx="286">
                  <c:v>-1.8</c:v>
                </c:pt>
                <c:pt idx="287">
                  <c:v>-1.99999999999999</c:v>
                </c:pt>
                <c:pt idx="288">
                  <c:v>-2.09999999999998</c:v>
                </c:pt>
                <c:pt idx="289">
                  <c:v>-2.29999999999998</c:v>
                </c:pt>
                <c:pt idx="290">
                  <c:v>-2.6</c:v>
                </c:pt>
                <c:pt idx="291">
                  <c:v>-2.6</c:v>
                </c:pt>
                <c:pt idx="292">
                  <c:v>-2.79999999999999</c:v>
                </c:pt>
                <c:pt idx="293">
                  <c:v>-2.99999999999998</c:v>
                </c:pt>
                <c:pt idx="294">
                  <c:v>-3.09999999999998</c:v>
                </c:pt>
                <c:pt idx="295">
                  <c:v>-3.4</c:v>
                </c:pt>
                <c:pt idx="296">
                  <c:v>-3.5</c:v>
                </c:pt>
                <c:pt idx="297">
                  <c:v>-3.59999999999999</c:v>
                </c:pt>
                <c:pt idx="298">
                  <c:v>-3.69999999999999</c:v>
                </c:pt>
                <c:pt idx="299">
                  <c:v>-3.79999999999998</c:v>
                </c:pt>
                <c:pt idx="300">
                  <c:v>-3.79999999999998</c:v>
                </c:pt>
                <c:pt idx="301">
                  <c:v>-3.99999999999998</c:v>
                </c:pt>
                <c:pt idx="302">
                  <c:v>-3.79999999999998</c:v>
                </c:pt>
                <c:pt idx="303">
                  <c:v>-3.89999999999998</c:v>
                </c:pt>
                <c:pt idx="304">
                  <c:v>-3.89999999999998</c:v>
                </c:pt>
                <c:pt idx="305">
                  <c:v>-3.79999999999998</c:v>
                </c:pt>
                <c:pt idx="306">
                  <c:v>-3.59999999999999</c:v>
                </c:pt>
                <c:pt idx="307">
                  <c:v>-3.69999999999999</c:v>
                </c:pt>
                <c:pt idx="308">
                  <c:v>-3.5</c:v>
                </c:pt>
                <c:pt idx="309">
                  <c:v>-3.29999999999997</c:v>
                </c:pt>
                <c:pt idx="310">
                  <c:v>-3.29999999999997</c:v>
                </c:pt>
                <c:pt idx="311">
                  <c:v>-3.09999999999998</c:v>
                </c:pt>
                <c:pt idx="312">
                  <c:v>-2.89999999999999</c:v>
                </c:pt>
                <c:pt idx="313">
                  <c:v>-2.89999999999999</c:v>
                </c:pt>
                <c:pt idx="314">
                  <c:v>-2.6</c:v>
                </c:pt>
                <c:pt idx="315">
                  <c:v>-2.5</c:v>
                </c:pt>
                <c:pt idx="316">
                  <c:v>-2.19999999999998</c:v>
                </c:pt>
                <c:pt idx="317">
                  <c:v>-2.29999999999998</c:v>
                </c:pt>
                <c:pt idx="318">
                  <c:v>-1.89999999999999</c:v>
                </c:pt>
                <c:pt idx="319">
                  <c:v>-1.89999999999999</c:v>
                </c:pt>
                <c:pt idx="320">
                  <c:v>-1.59999999999997</c:v>
                </c:pt>
                <c:pt idx="321">
                  <c:v>-1.49999999999997</c:v>
                </c:pt>
                <c:pt idx="322">
                  <c:v>-1.59999999999997</c:v>
                </c:pt>
                <c:pt idx="323">
                  <c:v>-1.49999999999997</c:v>
                </c:pt>
                <c:pt idx="324">
                  <c:v>-1.7</c:v>
                </c:pt>
                <c:pt idx="325">
                  <c:v>-1.89999999999999</c:v>
                </c:pt>
                <c:pt idx="326">
                  <c:v>-1.99999999999999</c:v>
                </c:pt>
                <c:pt idx="327">
                  <c:v>-2.19999999999998</c:v>
                </c:pt>
                <c:pt idx="328">
                  <c:v>-2.19999999999998</c:v>
                </c:pt>
                <c:pt idx="329">
                  <c:v>-2.29999999999998</c:v>
                </c:pt>
                <c:pt idx="330">
                  <c:v>-2.6</c:v>
                </c:pt>
                <c:pt idx="331">
                  <c:v>-2.69999999999999</c:v>
                </c:pt>
                <c:pt idx="332">
                  <c:v>-2.89999999999999</c:v>
                </c:pt>
                <c:pt idx="333">
                  <c:v>-3.19999999999997</c:v>
                </c:pt>
                <c:pt idx="334">
                  <c:v>-3.19999999999997</c:v>
                </c:pt>
                <c:pt idx="335">
                  <c:v>-3.5</c:v>
                </c:pt>
                <c:pt idx="336">
                  <c:v>-3.5</c:v>
                </c:pt>
                <c:pt idx="337">
                  <c:v>-3.59999999999999</c:v>
                </c:pt>
                <c:pt idx="338">
                  <c:v>-3.79999999999998</c:v>
                </c:pt>
                <c:pt idx="339">
                  <c:v>-3.89999999999998</c:v>
                </c:pt>
                <c:pt idx="340">
                  <c:v>-3.89999999999998</c:v>
                </c:pt>
                <c:pt idx="341">
                  <c:v>-3.89999999999998</c:v>
                </c:pt>
                <c:pt idx="342">
                  <c:v>-3.79999999999998</c:v>
                </c:pt>
                <c:pt idx="343">
                  <c:v>-3.89999999999998</c:v>
                </c:pt>
                <c:pt idx="344">
                  <c:v>-3.79999999999998</c:v>
                </c:pt>
                <c:pt idx="345">
                  <c:v>-3.79999999999998</c:v>
                </c:pt>
                <c:pt idx="346">
                  <c:v>-3.5</c:v>
                </c:pt>
                <c:pt idx="347">
                  <c:v>-3.4</c:v>
                </c:pt>
                <c:pt idx="348">
                  <c:v>-3.4</c:v>
                </c:pt>
                <c:pt idx="349">
                  <c:v>-3.19999999999997</c:v>
                </c:pt>
                <c:pt idx="350">
                  <c:v>-2.99999999999998</c:v>
                </c:pt>
                <c:pt idx="351">
                  <c:v>-3.09999999999998</c:v>
                </c:pt>
                <c:pt idx="352">
                  <c:v>-2.79999999999999</c:v>
                </c:pt>
                <c:pt idx="353">
                  <c:v>-2.6</c:v>
                </c:pt>
                <c:pt idx="354">
                  <c:v>-2.5</c:v>
                </c:pt>
                <c:pt idx="355">
                  <c:v>-2.29999999999998</c:v>
                </c:pt>
                <c:pt idx="356">
                  <c:v>-2.09999999999998</c:v>
                </c:pt>
                <c:pt idx="357">
                  <c:v>-1.89999999999999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A_11_34_05_转90!$L$3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A_11_34_05_转90!$J$4:$J$361</c:f>
              <c:numCache>
                <c:formatCode>0.00_);[Red]\(0.00\)</c:formatCode>
                <c:ptCount val="358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0.267</c:v>
                </c:pt>
                <c:pt idx="8" c:formatCode="0.00_);[Red]\(0.00\)">
                  <c:v>0.301</c:v>
                </c:pt>
                <c:pt idx="9" c:formatCode="0.00_);[Red]\(0.00\)">
                  <c:v>0.334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0.435</c:v>
                </c:pt>
                <c:pt idx="13" c:formatCode="0.00_);[Red]\(0.00\)">
                  <c:v>0.468</c:v>
                </c:pt>
                <c:pt idx="14" c:formatCode="0.00_);[Red]\(0.00\)">
                  <c:v>0.501</c:v>
                </c:pt>
                <c:pt idx="15" c:formatCode="0.00_);[Red]\(0.00\)">
                  <c:v>0.535</c:v>
                </c:pt>
                <c:pt idx="16" c:formatCode="0.00_);[Red]\(0.00\)">
                  <c:v>0.568</c:v>
                </c:pt>
                <c:pt idx="17" c:formatCode="0.00_);[Red]\(0.00\)">
                  <c:v>0.602</c:v>
                </c:pt>
                <c:pt idx="18" c:formatCode="0.00_);[Red]\(0.00\)">
                  <c:v>0.635</c:v>
                </c:pt>
                <c:pt idx="19" c:formatCode="0.00_);[Red]\(0.00\)">
                  <c:v>0.669</c:v>
                </c:pt>
                <c:pt idx="20" c:formatCode="0.00_);[Red]\(0.00\)">
                  <c:v>0.702</c:v>
                </c:pt>
                <c:pt idx="21" c:formatCode="0.00_);[Red]\(0.00\)">
                  <c:v>0.735</c:v>
                </c:pt>
                <c:pt idx="22" c:formatCode="0.00_);[Red]\(0.00\)">
                  <c:v>0.769</c:v>
                </c:pt>
                <c:pt idx="23" c:formatCode="0.00_);[Red]\(0.00\)">
                  <c:v>0.802</c:v>
                </c:pt>
                <c:pt idx="24" c:formatCode="0.00_);[Red]\(0.00\)">
                  <c:v>0.836</c:v>
                </c:pt>
                <c:pt idx="25" c:formatCode="0.00_);[Red]\(0.00\)">
                  <c:v>0.869</c:v>
                </c:pt>
                <c:pt idx="26" c:formatCode="0.00_);[Red]\(0.00\)">
                  <c:v>0.903</c:v>
                </c:pt>
                <c:pt idx="27" c:formatCode="0.00_);[Red]\(0.00\)">
                  <c:v>0.936</c:v>
                </c:pt>
                <c:pt idx="28" c:formatCode="0.00_);[Red]\(0.00\)">
                  <c:v>0.969</c:v>
                </c:pt>
                <c:pt idx="29" c:formatCode="0.00_);[Red]\(0.00\)">
                  <c:v>1.003</c:v>
                </c:pt>
                <c:pt idx="30" c:formatCode="0.00_);[Red]\(0.00\)">
                  <c:v>1.036</c:v>
                </c:pt>
                <c:pt idx="31" c:formatCode="0.00_);[Red]\(0.00\)">
                  <c:v>1.07</c:v>
                </c:pt>
                <c:pt idx="32" c:formatCode="0.00_);[Red]\(0.00\)">
                  <c:v>1.103</c:v>
                </c:pt>
                <c:pt idx="33" c:formatCode="0.00_);[Red]\(0.00\)">
                  <c:v>1.137</c:v>
                </c:pt>
                <c:pt idx="34" c:formatCode="0.00_);[Red]\(0.00\)">
                  <c:v>1.17</c:v>
                </c:pt>
                <c:pt idx="35" c:formatCode="0.00_);[Red]\(0.00\)">
                  <c:v>1.204</c:v>
                </c:pt>
                <c:pt idx="36" c:formatCode="0.00_);[Red]\(0.00\)">
                  <c:v>1.237</c:v>
                </c:pt>
                <c:pt idx="37" c:formatCode="0.00_);[Red]\(0.00\)">
                  <c:v>1.27</c:v>
                </c:pt>
                <c:pt idx="38" c:formatCode="0.00_);[Red]\(0.00\)">
                  <c:v>1.304</c:v>
                </c:pt>
                <c:pt idx="39" c:formatCode="0.00_);[Red]\(0.00\)">
                  <c:v>1.337</c:v>
                </c:pt>
                <c:pt idx="40" c:formatCode="0.00_);[Red]\(0.00\)">
                  <c:v>1.371</c:v>
                </c:pt>
                <c:pt idx="41" c:formatCode="0.00_);[Red]\(0.00\)">
                  <c:v>1.404</c:v>
                </c:pt>
                <c:pt idx="42" c:formatCode="0.00_);[Red]\(0.00\)">
                  <c:v>1.438</c:v>
                </c:pt>
                <c:pt idx="43" c:formatCode="0.00_);[Red]\(0.00\)">
                  <c:v>1.471</c:v>
                </c:pt>
                <c:pt idx="44" c:formatCode="0.00_);[Red]\(0.00\)">
                  <c:v>1.504</c:v>
                </c:pt>
                <c:pt idx="45" c:formatCode="0.00_);[Red]\(0.00\)">
                  <c:v>1.538</c:v>
                </c:pt>
                <c:pt idx="46" c:formatCode="0.00_);[Red]\(0.00\)">
                  <c:v>1.571</c:v>
                </c:pt>
                <c:pt idx="47" c:formatCode="0.00_);[Red]\(0.00\)">
                  <c:v>1.605</c:v>
                </c:pt>
                <c:pt idx="48" c:formatCode="0.00_);[Red]\(0.00\)">
                  <c:v>1.638</c:v>
                </c:pt>
                <c:pt idx="49" c:formatCode="0.00_);[Red]\(0.00\)">
                  <c:v>1.672</c:v>
                </c:pt>
                <c:pt idx="50" c:formatCode="0.00_);[Red]\(0.00\)">
                  <c:v>1.705</c:v>
                </c:pt>
                <c:pt idx="51" c:formatCode="0.00_);[Red]\(0.00\)">
                  <c:v>1.738</c:v>
                </c:pt>
                <c:pt idx="52" c:formatCode="0.00_);[Red]\(0.00\)">
                  <c:v>1.772</c:v>
                </c:pt>
                <c:pt idx="53" c:formatCode="0.00_);[Red]\(0.00\)">
                  <c:v>1.805</c:v>
                </c:pt>
                <c:pt idx="54" c:formatCode="0.00_);[Red]\(0.00\)">
                  <c:v>1.839</c:v>
                </c:pt>
                <c:pt idx="55" c:formatCode="0.00_);[Red]\(0.00\)">
                  <c:v>1.872</c:v>
                </c:pt>
                <c:pt idx="56" c:formatCode="0.00_);[Red]\(0.00\)">
                  <c:v>1.906</c:v>
                </c:pt>
                <c:pt idx="57" c:formatCode="0.00_);[Red]\(0.00\)">
                  <c:v>1.939</c:v>
                </c:pt>
                <c:pt idx="58" c:formatCode="0.00_);[Red]\(0.00\)">
                  <c:v>1.972</c:v>
                </c:pt>
                <c:pt idx="59" c:formatCode="0.00_);[Red]\(0.00\)">
                  <c:v>2.006</c:v>
                </c:pt>
                <c:pt idx="60" c:formatCode="0.00_);[Red]\(0.00\)">
                  <c:v>2.039</c:v>
                </c:pt>
                <c:pt idx="61" c:formatCode="0.00_);[Red]\(0.00\)">
                  <c:v>2.073</c:v>
                </c:pt>
                <c:pt idx="62" c:formatCode="0.00_);[Red]\(0.00\)">
                  <c:v>2.106</c:v>
                </c:pt>
                <c:pt idx="63" c:formatCode="0.00_);[Red]\(0.00\)">
                  <c:v>2.14</c:v>
                </c:pt>
                <c:pt idx="64" c:formatCode="0.00_);[Red]\(0.00\)">
                  <c:v>2.173</c:v>
                </c:pt>
                <c:pt idx="65" c:formatCode="0.00_);[Red]\(0.00\)">
                  <c:v>2.206</c:v>
                </c:pt>
                <c:pt idx="66" c:formatCode="0.00_);[Red]\(0.00\)">
                  <c:v>2.24</c:v>
                </c:pt>
                <c:pt idx="67" c:formatCode="0.00_);[Red]\(0.00\)">
                  <c:v>2.273</c:v>
                </c:pt>
                <c:pt idx="68" c:formatCode="0.00_);[Red]\(0.00\)">
                  <c:v>2.307</c:v>
                </c:pt>
                <c:pt idx="69" c:formatCode="0.00_);[Red]\(0.00\)">
                  <c:v>2.34</c:v>
                </c:pt>
                <c:pt idx="70" c:formatCode="0.00_);[Red]\(0.00\)">
                  <c:v>2.374</c:v>
                </c:pt>
                <c:pt idx="71" c:formatCode="0.00_);[Red]\(0.00\)">
                  <c:v>2.407</c:v>
                </c:pt>
                <c:pt idx="72" c:formatCode="0.00_);[Red]\(0.00\)">
                  <c:v>2.44</c:v>
                </c:pt>
                <c:pt idx="73" c:formatCode="0.00_);[Red]\(0.00\)">
                  <c:v>2.474</c:v>
                </c:pt>
                <c:pt idx="74" c:formatCode="0.00_);[Red]\(0.00\)">
                  <c:v>2.507</c:v>
                </c:pt>
                <c:pt idx="75" c:formatCode="0.00_);[Red]\(0.00\)">
                  <c:v>2.541</c:v>
                </c:pt>
                <c:pt idx="76" c:formatCode="0.00_);[Red]\(0.00\)">
                  <c:v>2.574</c:v>
                </c:pt>
                <c:pt idx="77" c:formatCode="0.00_);[Red]\(0.00\)">
                  <c:v>2.608</c:v>
                </c:pt>
                <c:pt idx="78" c:formatCode="0.00_);[Red]\(0.00\)">
                  <c:v>2.641</c:v>
                </c:pt>
                <c:pt idx="79" c:formatCode="0.00_);[Red]\(0.00\)">
                  <c:v>2.674</c:v>
                </c:pt>
                <c:pt idx="80" c:formatCode="0.00_);[Red]\(0.00\)">
                  <c:v>2.708</c:v>
                </c:pt>
                <c:pt idx="81" c:formatCode="0.00_);[Red]\(0.00\)">
                  <c:v>2.741</c:v>
                </c:pt>
                <c:pt idx="82" c:formatCode="0.00_);[Red]\(0.00\)">
                  <c:v>2.775</c:v>
                </c:pt>
                <c:pt idx="83" c:formatCode="0.00_);[Red]\(0.00\)">
                  <c:v>2.808</c:v>
                </c:pt>
                <c:pt idx="84" c:formatCode="0.00_);[Red]\(0.00\)">
                  <c:v>2.842</c:v>
                </c:pt>
                <c:pt idx="85" c:formatCode="0.00_);[Red]\(0.00\)">
                  <c:v>2.875</c:v>
                </c:pt>
                <c:pt idx="86" c:formatCode="0.00_);[Red]\(0.00\)">
                  <c:v>2.908</c:v>
                </c:pt>
                <c:pt idx="87" c:formatCode="0.00_);[Red]\(0.00\)">
                  <c:v>2.942</c:v>
                </c:pt>
                <c:pt idx="88" c:formatCode="0.00_);[Red]\(0.00\)">
                  <c:v>2.975</c:v>
                </c:pt>
                <c:pt idx="89" c:formatCode="0.00_);[Red]\(0.00\)">
                  <c:v>3.009</c:v>
                </c:pt>
                <c:pt idx="90" c:formatCode="0.00_);[Red]\(0.00\)">
                  <c:v>3.042</c:v>
                </c:pt>
                <c:pt idx="91" c:formatCode="0.00_);[Red]\(0.00\)">
                  <c:v>3.076</c:v>
                </c:pt>
                <c:pt idx="92" c:formatCode="0.00_);[Red]\(0.00\)">
                  <c:v>3.109</c:v>
                </c:pt>
                <c:pt idx="93" c:formatCode="0.00_);[Red]\(0.00\)">
                  <c:v>3.142</c:v>
                </c:pt>
                <c:pt idx="94" c:formatCode="0.00_);[Red]\(0.00\)">
                  <c:v>3.176</c:v>
                </c:pt>
                <c:pt idx="95" c:formatCode="0.00_);[Red]\(0.00\)">
                  <c:v>3.209</c:v>
                </c:pt>
                <c:pt idx="96" c:formatCode="0.00_);[Red]\(0.00\)">
                  <c:v>3.243</c:v>
                </c:pt>
                <c:pt idx="97" c:formatCode="0.00_);[Red]\(0.00\)">
                  <c:v>3.276</c:v>
                </c:pt>
                <c:pt idx="98" c:formatCode="0.00_);[Red]\(0.00\)">
                  <c:v>3.31</c:v>
                </c:pt>
                <c:pt idx="99" c:formatCode="0.00_);[Red]\(0.00\)">
                  <c:v>3.343</c:v>
                </c:pt>
                <c:pt idx="100" c:formatCode="0.00_);[Red]\(0.00\)">
                  <c:v>3.376</c:v>
                </c:pt>
                <c:pt idx="101" c:formatCode="0.00_);[Red]\(0.00\)">
                  <c:v>3.41</c:v>
                </c:pt>
                <c:pt idx="102" c:formatCode="0.00_);[Red]\(0.00\)">
                  <c:v>3.443</c:v>
                </c:pt>
                <c:pt idx="103" c:formatCode="0.00_);[Red]\(0.00\)">
                  <c:v>3.477</c:v>
                </c:pt>
                <c:pt idx="104" c:formatCode="0.00_);[Red]\(0.00\)">
                  <c:v>3.51</c:v>
                </c:pt>
                <c:pt idx="105" c:formatCode="0.00_);[Red]\(0.00\)">
                  <c:v>3.544</c:v>
                </c:pt>
                <c:pt idx="106" c:formatCode="0.00_);[Red]\(0.00\)">
                  <c:v>3.577</c:v>
                </c:pt>
                <c:pt idx="107" c:formatCode="0.00_);[Red]\(0.00\)">
                  <c:v>3.611</c:v>
                </c:pt>
                <c:pt idx="108" c:formatCode="0.00_);[Red]\(0.00\)">
                  <c:v>3.644</c:v>
                </c:pt>
                <c:pt idx="109" c:formatCode="0.00_);[Red]\(0.00\)">
                  <c:v>3.677</c:v>
                </c:pt>
                <c:pt idx="110" c:formatCode="0.00_);[Red]\(0.00\)">
                  <c:v>3.711</c:v>
                </c:pt>
                <c:pt idx="111" c:formatCode="0.00_);[Red]\(0.00\)">
                  <c:v>3.744</c:v>
                </c:pt>
                <c:pt idx="112" c:formatCode="0.00_);[Red]\(0.00\)">
                  <c:v>3.778</c:v>
                </c:pt>
                <c:pt idx="113" c:formatCode="0.00_);[Red]\(0.00\)">
                  <c:v>3.811</c:v>
                </c:pt>
                <c:pt idx="114" c:formatCode="0.00_);[Red]\(0.00\)">
                  <c:v>3.845</c:v>
                </c:pt>
                <c:pt idx="115" c:formatCode="0.00_);[Red]\(0.00\)">
                  <c:v>3.878</c:v>
                </c:pt>
                <c:pt idx="116" c:formatCode="0.00_);[Red]\(0.00\)">
                  <c:v>3.911</c:v>
                </c:pt>
                <c:pt idx="117" c:formatCode="0.00_);[Red]\(0.00\)">
                  <c:v>3.945</c:v>
                </c:pt>
                <c:pt idx="118" c:formatCode="0.00_);[Red]\(0.00\)">
                  <c:v>3.978</c:v>
                </c:pt>
                <c:pt idx="119" c:formatCode="0.00_);[Red]\(0.00\)">
                  <c:v>4.012</c:v>
                </c:pt>
                <c:pt idx="120" c:formatCode="0.00_);[Red]\(0.00\)">
                  <c:v>4.045</c:v>
                </c:pt>
                <c:pt idx="121" c:formatCode="0.00_);[Red]\(0.00\)">
                  <c:v>4.079</c:v>
                </c:pt>
                <c:pt idx="122" c:formatCode="0.00_);[Red]\(0.00\)">
                  <c:v>4.112</c:v>
                </c:pt>
                <c:pt idx="123" c:formatCode="0.00_);[Red]\(0.00\)">
                  <c:v>4.145</c:v>
                </c:pt>
                <c:pt idx="124" c:formatCode="0.00_);[Red]\(0.00\)">
                  <c:v>4.179</c:v>
                </c:pt>
                <c:pt idx="125" c:formatCode="0.00_);[Red]\(0.00\)">
                  <c:v>4.212</c:v>
                </c:pt>
                <c:pt idx="126" c:formatCode="0.00_);[Red]\(0.00\)">
                  <c:v>4.246</c:v>
                </c:pt>
                <c:pt idx="127" c:formatCode="0.00_);[Red]\(0.00\)">
                  <c:v>4.279</c:v>
                </c:pt>
                <c:pt idx="128" c:formatCode="0.00_);[Red]\(0.00\)">
                  <c:v>4.313</c:v>
                </c:pt>
                <c:pt idx="129" c:formatCode="0.00_);[Red]\(0.00\)">
                  <c:v>4.346</c:v>
                </c:pt>
                <c:pt idx="130" c:formatCode="0.00_);[Red]\(0.00\)">
                  <c:v>4.379</c:v>
                </c:pt>
                <c:pt idx="131" c:formatCode="0.00_);[Red]\(0.00\)">
                  <c:v>4.413</c:v>
                </c:pt>
                <c:pt idx="132" c:formatCode="0.00_);[Red]\(0.00\)">
                  <c:v>4.446</c:v>
                </c:pt>
                <c:pt idx="133" c:formatCode="0.00_);[Red]\(0.00\)">
                  <c:v>4.48</c:v>
                </c:pt>
                <c:pt idx="134" c:formatCode="0.00_);[Red]\(0.00\)">
                  <c:v>4.513</c:v>
                </c:pt>
                <c:pt idx="135" c:formatCode="0.00_);[Red]\(0.00\)">
                  <c:v>4.547</c:v>
                </c:pt>
                <c:pt idx="136" c:formatCode="0.00_);[Red]\(0.00\)">
                  <c:v>4.58</c:v>
                </c:pt>
                <c:pt idx="137" c:formatCode="0.00_);[Red]\(0.00\)">
                  <c:v>4.613</c:v>
                </c:pt>
                <c:pt idx="138" c:formatCode="0.00_);[Red]\(0.00\)">
                  <c:v>4.647</c:v>
                </c:pt>
                <c:pt idx="139" c:formatCode="0.00_);[Red]\(0.00\)">
                  <c:v>4.68</c:v>
                </c:pt>
                <c:pt idx="140" c:formatCode="0.00_);[Red]\(0.00\)">
                  <c:v>4.714</c:v>
                </c:pt>
                <c:pt idx="141" c:formatCode="0.00_);[Red]\(0.00\)">
                  <c:v>4.747</c:v>
                </c:pt>
                <c:pt idx="142" c:formatCode="0.00_);[Red]\(0.00\)">
                  <c:v>4.781</c:v>
                </c:pt>
                <c:pt idx="143" c:formatCode="0.00_);[Red]\(0.00\)">
                  <c:v>4.814</c:v>
                </c:pt>
                <c:pt idx="144" c:formatCode="0.00_);[Red]\(0.00\)">
                  <c:v>4.847</c:v>
                </c:pt>
                <c:pt idx="145" c:formatCode="0.00_);[Red]\(0.00\)">
                  <c:v>4.881</c:v>
                </c:pt>
                <c:pt idx="146" c:formatCode="0.00_);[Red]\(0.00\)">
                  <c:v>4.914</c:v>
                </c:pt>
                <c:pt idx="147" c:formatCode="0.00_);[Red]\(0.00\)">
                  <c:v>4.948</c:v>
                </c:pt>
                <c:pt idx="148" c:formatCode="0.00_);[Red]\(0.00\)">
                  <c:v>4.981</c:v>
                </c:pt>
                <c:pt idx="149" c:formatCode="0.00_);[Red]\(0.00\)">
                  <c:v>5.015</c:v>
                </c:pt>
                <c:pt idx="150" c:formatCode="0.00_);[Red]\(0.00\)">
                  <c:v>5.048</c:v>
                </c:pt>
                <c:pt idx="151" c:formatCode="0.00_);[Red]\(0.00\)">
                  <c:v>5.081</c:v>
                </c:pt>
                <c:pt idx="152" c:formatCode="0.00_);[Red]\(0.00\)">
                  <c:v>5.115</c:v>
                </c:pt>
                <c:pt idx="153" c:formatCode="0.00_);[Red]\(0.00\)">
                  <c:v>5.148</c:v>
                </c:pt>
                <c:pt idx="154" c:formatCode="0.00_);[Red]\(0.00\)">
                  <c:v>5.182</c:v>
                </c:pt>
                <c:pt idx="155" c:formatCode="0.00_);[Red]\(0.00\)">
                  <c:v>5.215</c:v>
                </c:pt>
                <c:pt idx="156" c:formatCode="0.00_);[Red]\(0.00\)">
                  <c:v>5.249</c:v>
                </c:pt>
                <c:pt idx="157" c:formatCode="0.00_);[Red]\(0.00\)">
                  <c:v>5.282</c:v>
                </c:pt>
                <c:pt idx="158" c:formatCode="0.00_);[Red]\(0.00\)">
                  <c:v>5.315</c:v>
                </c:pt>
                <c:pt idx="159" c:formatCode="0.00_);[Red]\(0.00\)">
                  <c:v>5.349</c:v>
                </c:pt>
                <c:pt idx="160" c:formatCode="0.00_);[Red]\(0.00\)">
                  <c:v>5.382</c:v>
                </c:pt>
                <c:pt idx="161" c:formatCode="0.00_);[Red]\(0.00\)">
                  <c:v>5.416</c:v>
                </c:pt>
                <c:pt idx="162" c:formatCode="0.00_);[Red]\(0.00\)">
                  <c:v>5.449</c:v>
                </c:pt>
                <c:pt idx="163" c:formatCode="0.00_);[Red]\(0.00\)">
                  <c:v>5.483</c:v>
                </c:pt>
                <c:pt idx="164" c:formatCode="0.00_);[Red]\(0.00\)">
                  <c:v>5.516</c:v>
                </c:pt>
                <c:pt idx="165" c:formatCode="0.00_);[Red]\(0.00\)">
                  <c:v>5.549</c:v>
                </c:pt>
                <c:pt idx="166" c:formatCode="0.00_);[Red]\(0.00\)">
                  <c:v>5.583</c:v>
                </c:pt>
                <c:pt idx="167" c:formatCode="0.00_);[Red]\(0.00\)">
                  <c:v>5.616</c:v>
                </c:pt>
                <c:pt idx="168" c:formatCode="0.00_);[Red]\(0.00\)">
                  <c:v>5.65</c:v>
                </c:pt>
                <c:pt idx="169" c:formatCode="0.00_);[Red]\(0.00\)">
                  <c:v>5.683</c:v>
                </c:pt>
                <c:pt idx="170" c:formatCode="0.00_);[Red]\(0.00\)">
                  <c:v>5.717</c:v>
                </c:pt>
                <c:pt idx="171" c:formatCode="0.00_);[Red]\(0.00\)">
                  <c:v>5.75</c:v>
                </c:pt>
                <c:pt idx="172" c:formatCode="0.00_);[Red]\(0.00\)">
                  <c:v>5.783</c:v>
                </c:pt>
                <c:pt idx="173" c:formatCode="0.00_);[Red]\(0.00\)">
                  <c:v>5.817</c:v>
                </c:pt>
                <c:pt idx="174" c:formatCode="0.00_);[Red]\(0.00\)">
                  <c:v>5.85</c:v>
                </c:pt>
                <c:pt idx="175" c:formatCode="0.00_);[Red]\(0.00\)">
                  <c:v>5.884</c:v>
                </c:pt>
                <c:pt idx="176" c:formatCode="0.00_);[Red]\(0.00\)">
                  <c:v>5.917</c:v>
                </c:pt>
                <c:pt idx="177" c:formatCode="0.00_);[Red]\(0.00\)">
                  <c:v>5.951</c:v>
                </c:pt>
                <c:pt idx="178" c:formatCode="0.00_);[Red]\(0.00\)">
                  <c:v>5.984</c:v>
                </c:pt>
                <c:pt idx="179" c:formatCode="0.00_);[Red]\(0.00\)">
                  <c:v>6.018</c:v>
                </c:pt>
                <c:pt idx="180" c:formatCode="0.00_);[Red]\(0.00\)">
                  <c:v>6.051</c:v>
                </c:pt>
                <c:pt idx="181" c:formatCode="0.00_);[Red]\(0.00\)">
                  <c:v>6.084</c:v>
                </c:pt>
                <c:pt idx="182" c:formatCode="0.00_);[Red]\(0.00\)">
                  <c:v>6.118</c:v>
                </c:pt>
                <c:pt idx="183" c:formatCode="0.00_);[Red]\(0.00\)">
                  <c:v>6.151</c:v>
                </c:pt>
                <c:pt idx="184" c:formatCode="0.00_);[Red]\(0.00\)">
                  <c:v>6.185</c:v>
                </c:pt>
                <c:pt idx="185" c:formatCode="0.00_);[Red]\(0.00\)">
                  <c:v>6.218</c:v>
                </c:pt>
                <c:pt idx="186" c:formatCode="0.00_);[Red]\(0.00\)">
                  <c:v>6.252</c:v>
                </c:pt>
                <c:pt idx="187" c:formatCode="0.00_);[Red]\(0.00\)">
                  <c:v>6.285</c:v>
                </c:pt>
                <c:pt idx="188" c:formatCode="0.00_);[Red]\(0.00\)">
                  <c:v>6.318</c:v>
                </c:pt>
                <c:pt idx="189" c:formatCode="0.00_);[Red]\(0.00\)">
                  <c:v>6.352</c:v>
                </c:pt>
                <c:pt idx="190" c:formatCode="0.00_);[Red]\(0.00\)">
                  <c:v>6.385</c:v>
                </c:pt>
                <c:pt idx="191" c:formatCode="0.00_);[Red]\(0.00\)">
                  <c:v>6.419</c:v>
                </c:pt>
                <c:pt idx="192" c:formatCode="0.00_);[Red]\(0.00\)">
                  <c:v>6.452</c:v>
                </c:pt>
                <c:pt idx="193" c:formatCode="0.00_);[Red]\(0.00\)">
                  <c:v>6.486</c:v>
                </c:pt>
                <c:pt idx="194" c:formatCode="0.00_);[Red]\(0.00\)">
                  <c:v>6.519</c:v>
                </c:pt>
                <c:pt idx="195" c:formatCode="0.00_);[Red]\(0.00\)">
                  <c:v>6.552</c:v>
                </c:pt>
                <c:pt idx="196" c:formatCode="0.00_);[Red]\(0.00\)">
                  <c:v>6.586</c:v>
                </c:pt>
                <c:pt idx="197" c:formatCode="0.00_);[Red]\(0.00\)">
                  <c:v>6.619</c:v>
                </c:pt>
                <c:pt idx="198" c:formatCode="0.00_);[Red]\(0.00\)">
                  <c:v>6.653</c:v>
                </c:pt>
                <c:pt idx="199" c:formatCode="0.00_);[Red]\(0.00\)">
                  <c:v>6.686</c:v>
                </c:pt>
                <c:pt idx="200" c:formatCode="0.00_);[Red]\(0.00\)">
                  <c:v>6.72</c:v>
                </c:pt>
                <c:pt idx="201" c:formatCode="0.00_);[Red]\(0.00\)">
                  <c:v>6.753</c:v>
                </c:pt>
                <c:pt idx="202" c:formatCode="0.00_);[Red]\(0.00\)">
                  <c:v>6.786</c:v>
                </c:pt>
                <c:pt idx="203" c:formatCode="0.00_);[Red]\(0.00\)">
                  <c:v>6.82</c:v>
                </c:pt>
                <c:pt idx="204" c:formatCode="0.00_);[Red]\(0.00\)">
                  <c:v>6.853</c:v>
                </c:pt>
                <c:pt idx="205" c:formatCode="0.00_);[Red]\(0.00\)">
                  <c:v>6.887</c:v>
                </c:pt>
                <c:pt idx="206" c:formatCode="0.00_);[Red]\(0.00\)">
                  <c:v>6.92</c:v>
                </c:pt>
                <c:pt idx="207" c:formatCode="0.00_);[Red]\(0.00\)">
                  <c:v>6.954</c:v>
                </c:pt>
                <c:pt idx="208" c:formatCode="0.00_);[Red]\(0.00\)">
                  <c:v>6.987</c:v>
                </c:pt>
                <c:pt idx="209" c:formatCode="0.00_);[Red]\(0.00\)">
                  <c:v>7.02</c:v>
                </c:pt>
                <c:pt idx="210" c:formatCode="0.00_);[Red]\(0.00\)">
                  <c:v>7.054</c:v>
                </c:pt>
                <c:pt idx="211" c:formatCode="0.00_);[Red]\(0.00\)">
                  <c:v>7.087</c:v>
                </c:pt>
                <c:pt idx="212" c:formatCode="0.00_);[Red]\(0.00\)">
                  <c:v>7.121</c:v>
                </c:pt>
                <c:pt idx="213" c:formatCode="0.00_);[Red]\(0.00\)">
                  <c:v>7.154</c:v>
                </c:pt>
                <c:pt idx="214" c:formatCode="0.00_);[Red]\(0.00\)">
                  <c:v>7.188</c:v>
                </c:pt>
                <c:pt idx="215" c:formatCode="0.00_);[Red]\(0.00\)">
                  <c:v>7.221</c:v>
                </c:pt>
                <c:pt idx="216" c:formatCode="0.00_);[Red]\(0.00\)">
                  <c:v>7.254</c:v>
                </c:pt>
                <c:pt idx="217" c:formatCode="0.00_);[Red]\(0.00\)">
                  <c:v>7.288</c:v>
                </c:pt>
                <c:pt idx="218" c:formatCode="0.00_);[Red]\(0.00\)">
                  <c:v>7.321</c:v>
                </c:pt>
                <c:pt idx="219" c:formatCode="0.00_);[Red]\(0.00\)">
                  <c:v>7.355</c:v>
                </c:pt>
                <c:pt idx="220" c:formatCode="0.00_);[Red]\(0.00\)">
                  <c:v>7.388</c:v>
                </c:pt>
                <c:pt idx="221" c:formatCode="0.00_);[Red]\(0.00\)">
                  <c:v>7.422</c:v>
                </c:pt>
                <c:pt idx="222" c:formatCode="0.00_);[Red]\(0.00\)">
                  <c:v>7.455</c:v>
                </c:pt>
                <c:pt idx="223" c:formatCode="0.00_);[Red]\(0.00\)">
                  <c:v>7.488</c:v>
                </c:pt>
                <c:pt idx="224" c:formatCode="0.00_);[Red]\(0.00\)">
                  <c:v>7.522</c:v>
                </c:pt>
                <c:pt idx="225" c:formatCode="0.00_);[Red]\(0.00\)">
                  <c:v>7.555</c:v>
                </c:pt>
                <c:pt idx="226" c:formatCode="0.00_);[Red]\(0.00\)">
                  <c:v>7.589</c:v>
                </c:pt>
                <c:pt idx="227" c:formatCode="0.00_);[Red]\(0.00\)">
                  <c:v>7.622</c:v>
                </c:pt>
                <c:pt idx="228" c:formatCode="0.00_);[Red]\(0.00\)">
                  <c:v>7.656</c:v>
                </c:pt>
                <c:pt idx="229" c:formatCode="0.00_);[Red]\(0.00\)">
                  <c:v>7.689</c:v>
                </c:pt>
                <c:pt idx="230" c:formatCode="0.00_);[Red]\(0.00\)">
                  <c:v>7.722</c:v>
                </c:pt>
                <c:pt idx="231" c:formatCode="0.00_);[Red]\(0.00\)">
                  <c:v>7.756</c:v>
                </c:pt>
                <c:pt idx="232" c:formatCode="0.00_);[Red]\(0.00\)">
                  <c:v>7.789</c:v>
                </c:pt>
                <c:pt idx="233" c:formatCode="0.00_);[Red]\(0.00\)">
                  <c:v>7.823</c:v>
                </c:pt>
                <c:pt idx="234" c:formatCode="0.00_);[Red]\(0.00\)">
                  <c:v>7.856</c:v>
                </c:pt>
                <c:pt idx="235" c:formatCode="0.00_);[Red]\(0.00\)">
                  <c:v>7.89</c:v>
                </c:pt>
                <c:pt idx="236" c:formatCode="0.00_);[Red]\(0.00\)">
                  <c:v>7.923</c:v>
                </c:pt>
                <c:pt idx="237" c:formatCode="0.00_);[Red]\(0.00\)">
                  <c:v>7.956</c:v>
                </c:pt>
                <c:pt idx="238" c:formatCode="0.00_);[Red]\(0.00\)">
                  <c:v>7.99</c:v>
                </c:pt>
                <c:pt idx="239" c:formatCode="0.00_);[Red]\(0.00\)">
                  <c:v>8.023</c:v>
                </c:pt>
                <c:pt idx="240" c:formatCode="0.00_);[Red]\(0.00\)">
                  <c:v>8.057</c:v>
                </c:pt>
                <c:pt idx="241" c:formatCode="0.00_);[Red]\(0.00\)">
                  <c:v>8.09</c:v>
                </c:pt>
                <c:pt idx="242" c:formatCode="0.00_);[Red]\(0.00\)">
                  <c:v>8.124</c:v>
                </c:pt>
                <c:pt idx="243" c:formatCode="0.00_);[Red]\(0.00\)">
                  <c:v>8.157</c:v>
                </c:pt>
                <c:pt idx="244" c:formatCode="0.00_);[Red]\(0.00\)">
                  <c:v>8.191</c:v>
                </c:pt>
                <c:pt idx="245" c:formatCode="0.00_);[Red]\(0.00\)">
                  <c:v>8.224</c:v>
                </c:pt>
                <c:pt idx="246" c:formatCode="0.00_);[Red]\(0.00\)">
                  <c:v>8.257</c:v>
                </c:pt>
                <c:pt idx="247" c:formatCode="0.00_);[Red]\(0.00\)">
                  <c:v>8.291</c:v>
                </c:pt>
                <c:pt idx="248" c:formatCode="0.00_);[Red]\(0.00\)">
                  <c:v>8.324</c:v>
                </c:pt>
                <c:pt idx="249" c:formatCode="0.00_);[Red]\(0.00\)">
                  <c:v>8.358</c:v>
                </c:pt>
                <c:pt idx="250" c:formatCode="0.00_);[Red]\(0.00\)">
                  <c:v>8.391</c:v>
                </c:pt>
                <c:pt idx="251" c:formatCode="0.00_);[Red]\(0.00\)">
                  <c:v>8.425</c:v>
                </c:pt>
                <c:pt idx="252" c:formatCode="0.00_);[Red]\(0.00\)">
                  <c:v>8.458</c:v>
                </c:pt>
                <c:pt idx="253" c:formatCode="0.00_);[Red]\(0.00\)">
                  <c:v>8.491</c:v>
                </c:pt>
                <c:pt idx="254" c:formatCode="0.00_);[Red]\(0.00\)">
                  <c:v>8.525</c:v>
                </c:pt>
                <c:pt idx="255" c:formatCode="0.00_);[Red]\(0.00\)">
                  <c:v>8.558</c:v>
                </c:pt>
                <c:pt idx="256" c:formatCode="0.00_);[Red]\(0.00\)">
                  <c:v>8.592</c:v>
                </c:pt>
                <c:pt idx="257" c:formatCode="0.00_);[Red]\(0.00\)">
                  <c:v>8.625</c:v>
                </c:pt>
                <c:pt idx="258" c:formatCode="0.00_);[Red]\(0.00\)">
                  <c:v>8.659</c:v>
                </c:pt>
                <c:pt idx="259" c:formatCode="0.00_);[Red]\(0.00\)">
                  <c:v>8.692</c:v>
                </c:pt>
                <c:pt idx="260" c:formatCode="0.00_);[Red]\(0.00\)">
                  <c:v>8.725</c:v>
                </c:pt>
                <c:pt idx="261" c:formatCode="0.00_);[Red]\(0.00\)">
                  <c:v>8.759</c:v>
                </c:pt>
                <c:pt idx="262" c:formatCode="0.00_);[Red]\(0.00\)">
                  <c:v>8.792</c:v>
                </c:pt>
                <c:pt idx="263" c:formatCode="0.00_);[Red]\(0.00\)">
                  <c:v>8.826</c:v>
                </c:pt>
                <c:pt idx="264" c:formatCode="0.00_);[Red]\(0.00\)">
                  <c:v>8.859</c:v>
                </c:pt>
                <c:pt idx="265" c:formatCode="0.00_);[Red]\(0.00\)">
                  <c:v>8.893</c:v>
                </c:pt>
                <c:pt idx="266" c:formatCode="0.00_);[Red]\(0.00\)">
                  <c:v>8.926</c:v>
                </c:pt>
                <c:pt idx="267" c:formatCode="0.00_);[Red]\(0.00\)">
                  <c:v>8.959</c:v>
                </c:pt>
                <c:pt idx="268" c:formatCode="0.00_);[Red]\(0.00\)">
                  <c:v>8.993</c:v>
                </c:pt>
                <c:pt idx="269" c:formatCode="0.00_);[Red]\(0.00\)">
                  <c:v>9.026</c:v>
                </c:pt>
                <c:pt idx="270" c:formatCode="0.00_);[Red]\(0.00\)">
                  <c:v>9.06</c:v>
                </c:pt>
                <c:pt idx="271" c:formatCode="0.00_);[Red]\(0.00\)">
                  <c:v>9.093</c:v>
                </c:pt>
                <c:pt idx="272" c:formatCode="0.00_);[Red]\(0.00\)">
                  <c:v>9.127</c:v>
                </c:pt>
                <c:pt idx="273" c:formatCode="0.00_);[Red]\(0.00\)">
                  <c:v>9.16</c:v>
                </c:pt>
                <c:pt idx="274" c:formatCode="0.00_);[Red]\(0.00\)">
                  <c:v>9.193</c:v>
                </c:pt>
                <c:pt idx="275" c:formatCode="0.00_);[Red]\(0.00\)">
                  <c:v>9.227</c:v>
                </c:pt>
                <c:pt idx="276" c:formatCode="0.00_);[Red]\(0.00\)">
                  <c:v>9.26</c:v>
                </c:pt>
                <c:pt idx="277" c:formatCode="0.00_);[Red]\(0.00\)">
                  <c:v>9.294</c:v>
                </c:pt>
                <c:pt idx="278" c:formatCode="0.00_);[Red]\(0.00\)">
                  <c:v>9.327</c:v>
                </c:pt>
                <c:pt idx="279" c:formatCode="0.00_);[Red]\(0.00\)">
                  <c:v>9.361</c:v>
                </c:pt>
                <c:pt idx="280" c:formatCode="0.00_);[Red]\(0.00\)">
                  <c:v>9.394</c:v>
                </c:pt>
                <c:pt idx="281" c:formatCode="0.00_);[Red]\(0.00\)">
                  <c:v>9.427</c:v>
                </c:pt>
                <c:pt idx="282" c:formatCode="0.00_);[Red]\(0.00\)">
                  <c:v>9.461</c:v>
                </c:pt>
                <c:pt idx="283" c:formatCode="0.00_);[Red]\(0.00\)">
                  <c:v>9.494</c:v>
                </c:pt>
                <c:pt idx="284" c:formatCode="0.00_);[Red]\(0.00\)">
                  <c:v>9.528</c:v>
                </c:pt>
                <c:pt idx="285" c:formatCode="0.00_);[Red]\(0.00\)">
                  <c:v>9.561</c:v>
                </c:pt>
                <c:pt idx="286" c:formatCode="0.00_);[Red]\(0.00\)">
                  <c:v>9.595</c:v>
                </c:pt>
                <c:pt idx="287" c:formatCode="0.00_);[Red]\(0.00\)">
                  <c:v>9.628</c:v>
                </c:pt>
                <c:pt idx="288" c:formatCode="0.00_);[Red]\(0.00\)">
                  <c:v>9.661</c:v>
                </c:pt>
                <c:pt idx="289" c:formatCode="0.00_);[Red]\(0.00\)">
                  <c:v>9.695</c:v>
                </c:pt>
                <c:pt idx="290" c:formatCode="0.00_);[Red]\(0.00\)">
                  <c:v>9.728</c:v>
                </c:pt>
                <c:pt idx="291" c:formatCode="0.00_);[Red]\(0.00\)">
                  <c:v>9.762</c:v>
                </c:pt>
                <c:pt idx="292" c:formatCode="0.00_);[Red]\(0.00\)">
                  <c:v>9.795</c:v>
                </c:pt>
                <c:pt idx="293" c:formatCode="0.00_);[Red]\(0.00\)">
                  <c:v>9.829</c:v>
                </c:pt>
                <c:pt idx="294" c:formatCode="0.00_);[Red]\(0.00\)">
                  <c:v>9.862</c:v>
                </c:pt>
                <c:pt idx="295" c:formatCode="0.00_);[Red]\(0.00\)">
                  <c:v>9.895</c:v>
                </c:pt>
                <c:pt idx="296" c:formatCode="0.00_);[Red]\(0.00\)">
                  <c:v>9.929</c:v>
                </c:pt>
                <c:pt idx="297" c:formatCode="0.00_);[Red]\(0.00\)">
                  <c:v>9.962</c:v>
                </c:pt>
                <c:pt idx="298" c:formatCode="0.00_);[Red]\(0.00\)">
                  <c:v>9.996</c:v>
                </c:pt>
                <c:pt idx="299" c:formatCode="0.00_);[Red]\(0.00\)">
                  <c:v>10.029</c:v>
                </c:pt>
                <c:pt idx="300" c:formatCode="0.00_);[Red]\(0.00\)">
                  <c:v>10.063</c:v>
                </c:pt>
                <c:pt idx="301" c:formatCode="0.00_);[Red]\(0.00\)">
                  <c:v>10.096</c:v>
                </c:pt>
                <c:pt idx="302" c:formatCode="0.00_);[Red]\(0.00\)">
                  <c:v>10.129</c:v>
                </c:pt>
                <c:pt idx="303" c:formatCode="0.00_);[Red]\(0.00\)">
                  <c:v>10.163</c:v>
                </c:pt>
                <c:pt idx="304" c:formatCode="0.00_);[Red]\(0.00\)">
                  <c:v>10.196</c:v>
                </c:pt>
                <c:pt idx="305" c:formatCode="0.00_);[Red]\(0.00\)">
                  <c:v>10.23</c:v>
                </c:pt>
                <c:pt idx="306" c:formatCode="0.00_);[Red]\(0.00\)">
                  <c:v>10.263</c:v>
                </c:pt>
                <c:pt idx="307" c:formatCode="0.00_);[Red]\(0.00\)">
                  <c:v>10.297</c:v>
                </c:pt>
                <c:pt idx="308" c:formatCode="0.00_);[Red]\(0.00\)">
                  <c:v>10.33</c:v>
                </c:pt>
                <c:pt idx="309" c:formatCode="0.00_);[Red]\(0.00\)">
                  <c:v>10.363</c:v>
                </c:pt>
                <c:pt idx="310" c:formatCode="0.00_);[Red]\(0.00\)">
                  <c:v>10.397</c:v>
                </c:pt>
                <c:pt idx="311" c:formatCode="0.00_);[Red]\(0.00\)">
                  <c:v>10.43</c:v>
                </c:pt>
                <c:pt idx="312" c:formatCode="0.00_);[Red]\(0.00\)">
                  <c:v>10.464</c:v>
                </c:pt>
                <c:pt idx="313" c:formatCode="0.00_);[Red]\(0.00\)">
                  <c:v>10.497</c:v>
                </c:pt>
                <c:pt idx="314" c:formatCode="0.00_);[Red]\(0.00\)">
                  <c:v>10.531</c:v>
                </c:pt>
                <c:pt idx="315" c:formatCode="0.00_);[Red]\(0.00\)">
                  <c:v>10.564</c:v>
                </c:pt>
                <c:pt idx="316" c:formatCode="0.00_);[Red]\(0.00\)">
                  <c:v>10.598</c:v>
                </c:pt>
                <c:pt idx="317" c:formatCode="0.00_);[Red]\(0.00\)">
                  <c:v>10.631</c:v>
                </c:pt>
                <c:pt idx="318" c:formatCode="0.00_);[Red]\(0.00\)">
                  <c:v>10.664</c:v>
                </c:pt>
                <c:pt idx="319" c:formatCode="0.00_);[Red]\(0.00\)">
                  <c:v>10.698</c:v>
                </c:pt>
                <c:pt idx="320" c:formatCode="0.00_);[Red]\(0.00\)">
                  <c:v>10.731</c:v>
                </c:pt>
                <c:pt idx="321" c:formatCode="0.00_);[Red]\(0.00\)">
                  <c:v>10.765</c:v>
                </c:pt>
                <c:pt idx="322" c:formatCode="0.00_);[Red]\(0.00\)">
                  <c:v>10.798</c:v>
                </c:pt>
                <c:pt idx="323" c:formatCode="0.00_);[Red]\(0.00\)">
                  <c:v>10.832</c:v>
                </c:pt>
                <c:pt idx="324" c:formatCode="0.00_);[Red]\(0.00\)">
                  <c:v>10.865</c:v>
                </c:pt>
                <c:pt idx="325" c:formatCode="0.00_);[Red]\(0.00\)">
                  <c:v>10.898</c:v>
                </c:pt>
                <c:pt idx="326" c:formatCode="0.00_);[Red]\(0.00\)">
                  <c:v>10.932</c:v>
                </c:pt>
                <c:pt idx="327" c:formatCode="0.00_);[Red]\(0.00\)">
                  <c:v>10.965</c:v>
                </c:pt>
                <c:pt idx="328" c:formatCode="0.00_);[Red]\(0.00\)">
                  <c:v>10.999</c:v>
                </c:pt>
                <c:pt idx="329" c:formatCode="0.00_);[Red]\(0.00\)">
                  <c:v>11.032</c:v>
                </c:pt>
                <c:pt idx="330" c:formatCode="0.00_);[Red]\(0.00\)">
                  <c:v>11.066</c:v>
                </c:pt>
                <c:pt idx="331" c:formatCode="0.00_);[Red]\(0.00\)">
                  <c:v>11.099</c:v>
                </c:pt>
                <c:pt idx="332" c:formatCode="0.00_);[Red]\(0.00\)">
                  <c:v>11.132</c:v>
                </c:pt>
                <c:pt idx="333" c:formatCode="0.00_);[Red]\(0.00\)">
                  <c:v>11.166</c:v>
                </c:pt>
                <c:pt idx="334" c:formatCode="0.00_);[Red]\(0.00\)">
                  <c:v>11.199</c:v>
                </c:pt>
                <c:pt idx="335" c:formatCode="0.00_);[Red]\(0.00\)">
                  <c:v>11.233</c:v>
                </c:pt>
                <c:pt idx="336" c:formatCode="0.00_);[Red]\(0.00\)">
                  <c:v>11.266</c:v>
                </c:pt>
                <c:pt idx="337" c:formatCode="0.00_);[Red]\(0.00\)">
                  <c:v>11.3</c:v>
                </c:pt>
                <c:pt idx="338" c:formatCode="0.00_);[Red]\(0.00\)">
                  <c:v>11.333</c:v>
                </c:pt>
                <c:pt idx="339" c:formatCode="0.00_);[Red]\(0.00\)">
                  <c:v>11.366</c:v>
                </c:pt>
                <c:pt idx="340" c:formatCode="0.00_);[Red]\(0.00\)">
                  <c:v>11.4</c:v>
                </c:pt>
                <c:pt idx="341" c:formatCode="0.00_);[Red]\(0.00\)">
                  <c:v>11.433</c:v>
                </c:pt>
                <c:pt idx="342" c:formatCode="0.00_);[Red]\(0.00\)">
                  <c:v>11.467</c:v>
                </c:pt>
                <c:pt idx="343" c:formatCode="0.00_);[Red]\(0.00\)">
                  <c:v>11.5</c:v>
                </c:pt>
                <c:pt idx="344" c:formatCode="0.00_);[Red]\(0.00\)">
                  <c:v>11.534</c:v>
                </c:pt>
                <c:pt idx="345" c:formatCode="0.00_);[Red]\(0.00\)">
                  <c:v>11.567</c:v>
                </c:pt>
                <c:pt idx="346" c:formatCode="0.00_);[Red]\(0.00\)">
                  <c:v>11.6</c:v>
                </c:pt>
                <c:pt idx="347" c:formatCode="0.00_);[Red]\(0.00\)">
                  <c:v>11.634</c:v>
                </c:pt>
                <c:pt idx="348" c:formatCode="0.00_);[Red]\(0.00\)">
                  <c:v>11.667</c:v>
                </c:pt>
                <c:pt idx="349" c:formatCode="0.00_);[Red]\(0.00\)">
                  <c:v>11.701</c:v>
                </c:pt>
                <c:pt idx="350" c:formatCode="0.00_);[Red]\(0.00\)">
                  <c:v>11.734</c:v>
                </c:pt>
                <c:pt idx="351" c:formatCode="0.00_);[Red]\(0.00\)">
                  <c:v>11.768</c:v>
                </c:pt>
                <c:pt idx="352" c:formatCode="0.00_);[Red]\(0.00\)">
                  <c:v>11.801</c:v>
                </c:pt>
                <c:pt idx="353" c:formatCode="0.00_);[Red]\(0.00\)">
                  <c:v>11.834</c:v>
                </c:pt>
                <c:pt idx="354" c:formatCode="0.00_);[Red]\(0.00\)">
                  <c:v>11.868</c:v>
                </c:pt>
                <c:pt idx="355" c:formatCode="0.00_);[Red]\(0.00\)">
                  <c:v>11.901</c:v>
                </c:pt>
                <c:pt idx="356" c:formatCode="0.00_);[Red]\(0.00\)">
                  <c:v>11.935</c:v>
                </c:pt>
                <c:pt idx="357" c:formatCode="0.00_);[Red]\(0.00\)">
                  <c:v>11.968</c:v>
                </c:pt>
              </c:numCache>
            </c:numRef>
          </c:cat>
          <c:val>
            <c:numRef>
              <c:f>A_11_34_05_转90!$L$4:$L$361</c:f>
              <c:numCache>
                <c:formatCode>General</c:formatCode>
                <c:ptCount val="358"/>
                <c:pt idx="0">
                  <c:v>-4.59999999999999</c:v>
                </c:pt>
                <c:pt idx="1">
                  <c:v>-4.59999999999999</c:v>
                </c:pt>
                <c:pt idx="2">
                  <c:v>-4.59999999999999</c:v>
                </c:pt>
                <c:pt idx="3">
                  <c:v>-4.59999999999999</c:v>
                </c:pt>
                <c:pt idx="4">
                  <c:v>-4.59999999999999</c:v>
                </c:pt>
                <c:pt idx="5">
                  <c:v>-4.59999999999999</c:v>
                </c:pt>
                <c:pt idx="6">
                  <c:v>-4.59999999999999</c:v>
                </c:pt>
                <c:pt idx="7">
                  <c:v>-4.59999999999999</c:v>
                </c:pt>
                <c:pt idx="8">
                  <c:v>-4.59999999999999</c:v>
                </c:pt>
                <c:pt idx="9">
                  <c:v>-4.59999999999999</c:v>
                </c:pt>
                <c:pt idx="10">
                  <c:v>-4.59999999999999</c:v>
                </c:pt>
                <c:pt idx="11">
                  <c:v>-4.59999999999999</c:v>
                </c:pt>
                <c:pt idx="12">
                  <c:v>-4.59999999999999</c:v>
                </c:pt>
                <c:pt idx="13">
                  <c:v>-4.59999999999999</c:v>
                </c:pt>
                <c:pt idx="14">
                  <c:v>-4.59999999999999</c:v>
                </c:pt>
                <c:pt idx="15">
                  <c:v>-4.59999999999999</c:v>
                </c:pt>
                <c:pt idx="16">
                  <c:v>-4.59999999999999</c:v>
                </c:pt>
                <c:pt idx="17">
                  <c:v>-4.59999999999999</c:v>
                </c:pt>
                <c:pt idx="18">
                  <c:v>-4.59999999999999</c:v>
                </c:pt>
                <c:pt idx="19">
                  <c:v>-4.59999999999999</c:v>
                </c:pt>
                <c:pt idx="20">
                  <c:v>-4.59999999999999</c:v>
                </c:pt>
                <c:pt idx="21">
                  <c:v>-4.59999999999999</c:v>
                </c:pt>
                <c:pt idx="22">
                  <c:v>-4.59999999999999</c:v>
                </c:pt>
                <c:pt idx="23">
                  <c:v>-4.59999999999999</c:v>
                </c:pt>
                <c:pt idx="24">
                  <c:v>-4.59999999999999</c:v>
                </c:pt>
                <c:pt idx="25">
                  <c:v>-4.59999999999999</c:v>
                </c:pt>
                <c:pt idx="26">
                  <c:v>-4.59999999999999</c:v>
                </c:pt>
                <c:pt idx="27">
                  <c:v>-4.59999999999999</c:v>
                </c:pt>
                <c:pt idx="28">
                  <c:v>-4.59999999999999</c:v>
                </c:pt>
                <c:pt idx="29">
                  <c:v>-4.59999999999999</c:v>
                </c:pt>
                <c:pt idx="30">
                  <c:v>-4.59999999999999</c:v>
                </c:pt>
                <c:pt idx="31">
                  <c:v>-4.59999999999999</c:v>
                </c:pt>
                <c:pt idx="32">
                  <c:v>-4.59999999999999</c:v>
                </c:pt>
                <c:pt idx="33">
                  <c:v>-4.59999999999999</c:v>
                </c:pt>
                <c:pt idx="34">
                  <c:v>-4.59999999999999</c:v>
                </c:pt>
                <c:pt idx="35">
                  <c:v>-4.59999999999999</c:v>
                </c:pt>
                <c:pt idx="36">
                  <c:v>-4.59999999999999</c:v>
                </c:pt>
                <c:pt idx="37">
                  <c:v>-4.59999999999999</c:v>
                </c:pt>
                <c:pt idx="38">
                  <c:v>-4.59999999999999</c:v>
                </c:pt>
                <c:pt idx="39">
                  <c:v>-4.59999999999999</c:v>
                </c:pt>
                <c:pt idx="40">
                  <c:v>-4.59999999999999</c:v>
                </c:pt>
                <c:pt idx="41">
                  <c:v>-4.59999999999999</c:v>
                </c:pt>
                <c:pt idx="42">
                  <c:v>-4.59999999999999</c:v>
                </c:pt>
                <c:pt idx="43">
                  <c:v>-4.59999999999999</c:v>
                </c:pt>
                <c:pt idx="44">
                  <c:v>-4.59999999999999</c:v>
                </c:pt>
                <c:pt idx="45">
                  <c:v>-4.59999999999999</c:v>
                </c:pt>
                <c:pt idx="46">
                  <c:v>-4.59999999999999</c:v>
                </c:pt>
                <c:pt idx="47">
                  <c:v>-4.59999999999999</c:v>
                </c:pt>
                <c:pt idx="48">
                  <c:v>-4.59999999999999</c:v>
                </c:pt>
                <c:pt idx="49">
                  <c:v>-4.59999999999999</c:v>
                </c:pt>
                <c:pt idx="50">
                  <c:v>-4.59999999999999</c:v>
                </c:pt>
                <c:pt idx="51">
                  <c:v>-4.59999999999999</c:v>
                </c:pt>
                <c:pt idx="52">
                  <c:v>-4.59999999999999</c:v>
                </c:pt>
                <c:pt idx="53">
                  <c:v>-4.59999999999999</c:v>
                </c:pt>
                <c:pt idx="54">
                  <c:v>-4.59999999999999</c:v>
                </c:pt>
                <c:pt idx="55">
                  <c:v>-4.59999999999999</c:v>
                </c:pt>
                <c:pt idx="56">
                  <c:v>-4.59999999999999</c:v>
                </c:pt>
                <c:pt idx="57">
                  <c:v>-4.59999999999999</c:v>
                </c:pt>
                <c:pt idx="58">
                  <c:v>-4.59999999999999</c:v>
                </c:pt>
                <c:pt idx="59">
                  <c:v>-4.59999999999999</c:v>
                </c:pt>
                <c:pt idx="60">
                  <c:v>-4.59999999999999</c:v>
                </c:pt>
                <c:pt idx="61">
                  <c:v>-4.59999999999999</c:v>
                </c:pt>
                <c:pt idx="62">
                  <c:v>-4.59999999999999</c:v>
                </c:pt>
                <c:pt idx="63">
                  <c:v>-4.59999999999999</c:v>
                </c:pt>
                <c:pt idx="64">
                  <c:v>-4.59999999999999</c:v>
                </c:pt>
                <c:pt idx="65">
                  <c:v>-4.59999999999999</c:v>
                </c:pt>
                <c:pt idx="66">
                  <c:v>-4.59999999999999</c:v>
                </c:pt>
                <c:pt idx="67">
                  <c:v>-4.59999999999999</c:v>
                </c:pt>
                <c:pt idx="68">
                  <c:v>-4.59999999999999</c:v>
                </c:pt>
                <c:pt idx="69">
                  <c:v>-4.59999999999999</c:v>
                </c:pt>
                <c:pt idx="70">
                  <c:v>-4.59999999999999</c:v>
                </c:pt>
                <c:pt idx="71">
                  <c:v>-4.59999999999999</c:v>
                </c:pt>
                <c:pt idx="72">
                  <c:v>-4.59999999999999</c:v>
                </c:pt>
                <c:pt idx="73">
                  <c:v>1.00000000000003</c:v>
                </c:pt>
                <c:pt idx="74">
                  <c:v>1.00000000000003</c:v>
                </c:pt>
                <c:pt idx="75">
                  <c:v>1.00000000000003</c:v>
                </c:pt>
                <c:pt idx="76">
                  <c:v>1.00000000000003</c:v>
                </c:pt>
                <c:pt idx="77">
                  <c:v>1.00000000000003</c:v>
                </c:pt>
                <c:pt idx="78">
                  <c:v>1.00000000000003</c:v>
                </c:pt>
                <c:pt idx="79">
                  <c:v>1.00000000000003</c:v>
                </c:pt>
                <c:pt idx="80">
                  <c:v>1.00000000000003</c:v>
                </c:pt>
                <c:pt idx="81">
                  <c:v>1.00000000000003</c:v>
                </c:pt>
                <c:pt idx="82">
                  <c:v>1.00000000000003</c:v>
                </c:pt>
                <c:pt idx="83">
                  <c:v>1.00000000000003</c:v>
                </c:pt>
                <c:pt idx="84">
                  <c:v>1.00000000000003</c:v>
                </c:pt>
                <c:pt idx="85">
                  <c:v>1.00000000000003</c:v>
                </c:pt>
                <c:pt idx="86">
                  <c:v>-4.59999999999999</c:v>
                </c:pt>
                <c:pt idx="87">
                  <c:v>-4.59999999999999</c:v>
                </c:pt>
                <c:pt idx="88">
                  <c:v>-4.59999999999999</c:v>
                </c:pt>
                <c:pt idx="89">
                  <c:v>-4.59999999999999</c:v>
                </c:pt>
                <c:pt idx="90">
                  <c:v>-4.59999999999999</c:v>
                </c:pt>
                <c:pt idx="91">
                  <c:v>-4.59999999999999</c:v>
                </c:pt>
                <c:pt idx="92">
                  <c:v>-4.59999999999999</c:v>
                </c:pt>
                <c:pt idx="93">
                  <c:v>-4.59999999999999</c:v>
                </c:pt>
                <c:pt idx="94">
                  <c:v>-4.59999999999999</c:v>
                </c:pt>
                <c:pt idx="95">
                  <c:v>-4.59999999999999</c:v>
                </c:pt>
                <c:pt idx="96">
                  <c:v>-4.59999999999999</c:v>
                </c:pt>
                <c:pt idx="97">
                  <c:v>1.00000000000003</c:v>
                </c:pt>
                <c:pt idx="98">
                  <c:v>1.00000000000003</c:v>
                </c:pt>
                <c:pt idx="99">
                  <c:v>1.00000000000003</c:v>
                </c:pt>
                <c:pt idx="100">
                  <c:v>1.00000000000003</c:v>
                </c:pt>
                <c:pt idx="101">
                  <c:v>1.00000000000003</c:v>
                </c:pt>
                <c:pt idx="102">
                  <c:v>1.00000000000003</c:v>
                </c:pt>
                <c:pt idx="103">
                  <c:v>1.00000000000003</c:v>
                </c:pt>
                <c:pt idx="104">
                  <c:v>1.00000000000003</c:v>
                </c:pt>
                <c:pt idx="105">
                  <c:v>1.00000000000003</c:v>
                </c:pt>
                <c:pt idx="106">
                  <c:v>1.00000000000003</c:v>
                </c:pt>
                <c:pt idx="107">
                  <c:v>1.00000000000003</c:v>
                </c:pt>
                <c:pt idx="108">
                  <c:v>1.00000000000003</c:v>
                </c:pt>
                <c:pt idx="109">
                  <c:v>1.00000000000003</c:v>
                </c:pt>
                <c:pt idx="110">
                  <c:v>-4.59999999999999</c:v>
                </c:pt>
                <c:pt idx="111">
                  <c:v>-4.59999999999999</c:v>
                </c:pt>
                <c:pt idx="112">
                  <c:v>-4.59999999999999</c:v>
                </c:pt>
                <c:pt idx="113">
                  <c:v>-4.59999999999999</c:v>
                </c:pt>
                <c:pt idx="114">
                  <c:v>-4.59999999999999</c:v>
                </c:pt>
                <c:pt idx="115">
                  <c:v>-4.59999999999999</c:v>
                </c:pt>
                <c:pt idx="116">
                  <c:v>-4.59999999999999</c:v>
                </c:pt>
                <c:pt idx="117">
                  <c:v>-4.59999999999999</c:v>
                </c:pt>
                <c:pt idx="118">
                  <c:v>-4.59999999999999</c:v>
                </c:pt>
                <c:pt idx="119">
                  <c:v>-4.59999999999999</c:v>
                </c:pt>
                <c:pt idx="120">
                  <c:v>-4.59999999999999</c:v>
                </c:pt>
                <c:pt idx="121">
                  <c:v>1.00000000000003</c:v>
                </c:pt>
                <c:pt idx="122">
                  <c:v>1.00000000000003</c:v>
                </c:pt>
                <c:pt idx="123">
                  <c:v>1.00000000000003</c:v>
                </c:pt>
                <c:pt idx="124">
                  <c:v>1.00000000000003</c:v>
                </c:pt>
                <c:pt idx="125">
                  <c:v>1.00000000000003</c:v>
                </c:pt>
                <c:pt idx="126">
                  <c:v>1.00000000000003</c:v>
                </c:pt>
                <c:pt idx="127">
                  <c:v>1.00000000000003</c:v>
                </c:pt>
                <c:pt idx="128">
                  <c:v>1.00000000000003</c:v>
                </c:pt>
                <c:pt idx="129">
                  <c:v>1.00000000000003</c:v>
                </c:pt>
                <c:pt idx="130">
                  <c:v>1.00000000000003</c:v>
                </c:pt>
                <c:pt idx="131">
                  <c:v>1.00000000000003</c:v>
                </c:pt>
                <c:pt idx="132">
                  <c:v>1.00000000000003</c:v>
                </c:pt>
                <c:pt idx="133">
                  <c:v>1.00000000000003</c:v>
                </c:pt>
                <c:pt idx="134">
                  <c:v>-4.59999999999999</c:v>
                </c:pt>
                <c:pt idx="135">
                  <c:v>-4.59999999999999</c:v>
                </c:pt>
                <c:pt idx="136">
                  <c:v>-4.59999999999999</c:v>
                </c:pt>
                <c:pt idx="137">
                  <c:v>-4.59999999999999</c:v>
                </c:pt>
                <c:pt idx="138">
                  <c:v>-4.59999999999999</c:v>
                </c:pt>
                <c:pt idx="139">
                  <c:v>-4.59999999999999</c:v>
                </c:pt>
                <c:pt idx="140">
                  <c:v>-4.59999999999999</c:v>
                </c:pt>
                <c:pt idx="141">
                  <c:v>-4.59999999999999</c:v>
                </c:pt>
                <c:pt idx="142">
                  <c:v>-4.59999999999999</c:v>
                </c:pt>
                <c:pt idx="143">
                  <c:v>-4.59999999999999</c:v>
                </c:pt>
                <c:pt idx="144">
                  <c:v>-4.59999999999999</c:v>
                </c:pt>
                <c:pt idx="145">
                  <c:v>-4.59999999999999</c:v>
                </c:pt>
                <c:pt idx="146">
                  <c:v>-4.59999999999999</c:v>
                </c:pt>
                <c:pt idx="147">
                  <c:v>-4.59999999999999</c:v>
                </c:pt>
                <c:pt idx="148">
                  <c:v>-4.59999999999999</c:v>
                </c:pt>
                <c:pt idx="149">
                  <c:v>-4.59999999999999</c:v>
                </c:pt>
                <c:pt idx="150">
                  <c:v>-4.59999999999999</c:v>
                </c:pt>
                <c:pt idx="151">
                  <c:v>-4.59999999999999</c:v>
                </c:pt>
                <c:pt idx="152">
                  <c:v>-4.59999999999999</c:v>
                </c:pt>
                <c:pt idx="153">
                  <c:v>-4.59999999999999</c:v>
                </c:pt>
                <c:pt idx="154">
                  <c:v>-4.59999999999999</c:v>
                </c:pt>
                <c:pt idx="155">
                  <c:v>-4.59999999999999</c:v>
                </c:pt>
                <c:pt idx="156">
                  <c:v>-4.59999999999999</c:v>
                </c:pt>
                <c:pt idx="157">
                  <c:v>-4.59999999999999</c:v>
                </c:pt>
                <c:pt idx="158">
                  <c:v>-4.59999999999999</c:v>
                </c:pt>
                <c:pt idx="159">
                  <c:v>-4.59999999999999</c:v>
                </c:pt>
                <c:pt idx="160">
                  <c:v>-4.59999999999999</c:v>
                </c:pt>
                <c:pt idx="161">
                  <c:v>-4.59999999999999</c:v>
                </c:pt>
                <c:pt idx="162">
                  <c:v>-4.59999999999999</c:v>
                </c:pt>
                <c:pt idx="163">
                  <c:v>-4.59999999999999</c:v>
                </c:pt>
                <c:pt idx="164">
                  <c:v>-4.59999999999999</c:v>
                </c:pt>
                <c:pt idx="165">
                  <c:v>-4.59999999999999</c:v>
                </c:pt>
                <c:pt idx="166">
                  <c:v>-4.59999999999999</c:v>
                </c:pt>
                <c:pt idx="167">
                  <c:v>-4.59999999999999</c:v>
                </c:pt>
                <c:pt idx="168">
                  <c:v>-4.59999999999999</c:v>
                </c:pt>
                <c:pt idx="169">
                  <c:v>-4.59999999999999</c:v>
                </c:pt>
                <c:pt idx="170">
                  <c:v>-4.59999999999999</c:v>
                </c:pt>
                <c:pt idx="171">
                  <c:v>-4.59999999999999</c:v>
                </c:pt>
                <c:pt idx="172">
                  <c:v>-4.59999999999999</c:v>
                </c:pt>
                <c:pt idx="173">
                  <c:v>-4.59999999999999</c:v>
                </c:pt>
                <c:pt idx="174">
                  <c:v>-4.59999999999999</c:v>
                </c:pt>
                <c:pt idx="175">
                  <c:v>-4.59999999999999</c:v>
                </c:pt>
                <c:pt idx="176">
                  <c:v>-4.59999999999999</c:v>
                </c:pt>
                <c:pt idx="177">
                  <c:v>-4.59999999999999</c:v>
                </c:pt>
                <c:pt idx="178">
                  <c:v>-4.59999999999999</c:v>
                </c:pt>
                <c:pt idx="179">
                  <c:v>-4.59999999999999</c:v>
                </c:pt>
                <c:pt idx="180">
                  <c:v>-4.59999999999999</c:v>
                </c:pt>
                <c:pt idx="181">
                  <c:v>-4.59999999999999</c:v>
                </c:pt>
                <c:pt idx="182">
                  <c:v>-4.59999999999999</c:v>
                </c:pt>
                <c:pt idx="183">
                  <c:v>-4.59999999999999</c:v>
                </c:pt>
                <c:pt idx="184">
                  <c:v>-4.59999999999999</c:v>
                </c:pt>
                <c:pt idx="185">
                  <c:v>-4.59999999999999</c:v>
                </c:pt>
                <c:pt idx="186">
                  <c:v>-4.59999999999999</c:v>
                </c:pt>
                <c:pt idx="187">
                  <c:v>-4.59999999999999</c:v>
                </c:pt>
                <c:pt idx="188">
                  <c:v>-4.59999999999999</c:v>
                </c:pt>
                <c:pt idx="189">
                  <c:v>-4.59999999999999</c:v>
                </c:pt>
                <c:pt idx="190">
                  <c:v>-4.59999999999999</c:v>
                </c:pt>
                <c:pt idx="191">
                  <c:v>-4.59999999999999</c:v>
                </c:pt>
                <c:pt idx="192">
                  <c:v>-4.59999999999999</c:v>
                </c:pt>
                <c:pt idx="193">
                  <c:v>-4.59999999999999</c:v>
                </c:pt>
                <c:pt idx="194">
                  <c:v>-4.59999999999999</c:v>
                </c:pt>
                <c:pt idx="195">
                  <c:v>-4.59999999999999</c:v>
                </c:pt>
                <c:pt idx="196">
                  <c:v>-4.59999999999999</c:v>
                </c:pt>
                <c:pt idx="197">
                  <c:v>-4.59999999999999</c:v>
                </c:pt>
                <c:pt idx="198">
                  <c:v>-4.59999999999999</c:v>
                </c:pt>
                <c:pt idx="199">
                  <c:v>-4.59999999999999</c:v>
                </c:pt>
                <c:pt idx="200">
                  <c:v>-4.59999999999999</c:v>
                </c:pt>
                <c:pt idx="201">
                  <c:v>-4.59999999999999</c:v>
                </c:pt>
                <c:pt idx="202">
                  <c:v>-4.59999999999999</c:v>
                </c:pt>
                <c:pt idx="203">
                  <c:v>-4.59999999999999</c:v>
                </c:pt>
                <c:pt idx="204">
                  <c:v>-4.59999999999999</c:v>
                </c:pt>
                <c:pt idx="205">
                  <c:v>-4.59999999999999</c:v>
                </c:pt>
                <c:pt idx="206">
                  <c:v>-4.59999999999999</c:v>
                </c:pt>
                <c:pt idx="207">
                  <c:v>-4.59999999999999</c:v>
                </c:pt>
                <c:pt idx="208">
                  <c:v>-4.59999999999999</c:v>
                </c:pt>
                <c:pt idx="209">
                  <c:v>-4.59999999999999</c:v>
                </c:pt>
                <c:pt idx="210">
                  <c:v>-4.59999999999999</c:v>
                </c:pt>
                <c:pt idx="211">
                  <c:v>-4.59999999999999</c:v>
                </c:pt>
                <c:pt idx="212">
                  <c:v>-4.59999999999999</c:v>
                </c:pt>
                <c:pt idx="213">
                  <c:v>-4.59999999999999</c:v>
                </c:pt>
                <c:pt idx="214">
                  <c:v>-4.59999999999999</c:v>
                </c:pt>
                <c:pt idx="215">
                  <c:v>-4.59999999999999</c:v>
                </c:pt>
                <c:pt idx="216">
                  <c:v>-4.59999999999999</c:v>
                </c:pt>
                <c:pt idx="217">
                  <c:v>-4.59999999999999</c:v>
                </c:pt>
                <c:pt idx="218">
                  <c:v>-4.59999999999999</c:v>
                </c:pt>
                <c:pt idx="219">
                  <c:v>-4.59999999999999</c:v>
                </c:pt>
                <c:pt idx="220">
                  <c:v>-4.59999999999999</c:v>
                </c:pt>
                <c:pt idx="221">
                  <c:v>-4.59999999999999</c:v>
                </c:pt>
                <c:pt idx="222">
                  <c:v>-4.59999999999999</c:v>
                </c:pt>
                <c:pt idx="223">
                  <c:v>-4.59999999999999</c:v>
                </c:pt>
                <c:pt idx="224">
                  <c:v>-4.59999999999999</c:v>
                </c:pt>
                <c:pt idx="225">
                  <c:v>-4.59999999999999</c:v>
                </c:pt>
                <c:pt idx="226">
                  <c:v>-4.59999999999999</c:v>
                </c:pt>
                <c:pt idx="227">
                  <c:v>-4.59999999999999</c:v>
                </c:pt>
                <c:pt idx="228">
                  <c:v>-4.59999999999999</c:v>
                </c:pt>
                <c:pt idx="229">
                  <c:v>-4.59999999999999</c:v>
                </c:pt>
                <c:pt idx="230">
                  <c:v>-4.59999999999999</c:v>
                </c:pt>
                <c:pt idx="231">
                  <c:v>-4.59999999999999</c:v>
                </c:pt>
                <c:pt idx="232">
                  <c:v>-4.59999999999999</c:v>
                </c:pt>
                <c:pt idx="233">
                  <c:v>-4.59999999999999</c:v>
                </c:pt>
                <c:pt idx="234">
                  <c:v>-4.59999999999999</c:v>
                </c:pt>
                <c:pt idx="235">
                  <c:v>-4.59999999999999</c:v>
                </c:pt>
                <c:pt idx="236">
                  <c:v>-4.59999999999999</c:v>
                </c:pt>
                <c:pt idx="237">
                  <c:v>-4.59999999999999</c:v>
                </c:pt>
                <c:pt idx="238">
                  <c:v>-4.59999999999999</c:v>
                </c:pt>
                <c:pt idx="239">
                  <c:v>-4.59999999999999</c:v>
                </c:pt>
                <c:pt idx="240">
                  <c:v>-4.59999999999999</c:v>
                </c:pt>
                <c:pt idx="241">
                  <c:v>-4.59999999999999</c:v>
                </c:pt>
                <c:pt idx="242">
                  <c:v>-4.59999999999999</c:v>
                </c:pt>
                <c:pt idx="243">
                  <c:v>-4.59999999999999</c:v>
                </c:pt>
                <c:pt idx="244">
                  <c:v>-4.59999999999999</c:v>
                </c:pt>
                <c:pt idx="245">
                  <c:v>-4.59999999999999</c:v>
                </c:pt>
                <c:pt idx="246">
                  <c:v>-4.59999999999999</c:v>
                </c:pt>
                <c:pt idx="247">
                  <c:v>-4.59999999999999</c:v>
                </c:pt>
                <c:pt idx="248">
                  <c:v>-4.59999999999999</c:v>
                </c:pt>
                <c:pt idx="249">
                  <c:v>-4.59999999999999</c:v>
                </c:pt>
                <c:pt idx="250">
                  <c:v>-4.59999999999999</c:v>
                </c:pt>
                <c:pt idx="251">
                  <c:v>-4.59999999999999</c:v>
                </c:pt>
                <c:pt idx="252">
                  <c:v>-4.59999999999999</c:v>
                </c:pt>
                <c:pt idx="253">
                  <c:v>-4.59999999999999</c:v>
                </c:pt>
                <c:pt idx="254">
                  <c:v>-4.59999999999999</c:v>
                </c:pt>
                <c:pt idx="255">
                  <c:v>-4.59999999999999</c:v>
                </c:pt>
                <c:pt idx="256">
                  <c:v>-4.59999999999999</c:v>
                </c:pt>
                <c:pt idx="257">
                  <c:v>-4.59999999999999</c:v>
                </c:pt>
                <c:pt idx="258">
                  <c:v>-4.59999999999999</c:v>
                </c:pt>
                <c:pt idx="259">
                  <c:v>-4.59999999999999</c:v>
                </c:pt>
                <c:pt idx="260">
                  <c:v>-4.59999999999999</c:v>
                </c:pt>
                <c:pt idx="261">
                  <c:v>-4.59999999999999</c:v>
                </c:pt>
                <c:pt idx="262">
                  <c:v>-4.59999999999999</c:v>
                </c:pt>
                <c:pt idx="263">
                  <c:v>-4.59999999999999</c:v>
                </c:pt>
                <c:pt idx="264">
                  <c:v>-4.59999999999999</c:v>
                </c:pt>
                <c:pt idx="265">
                  <c:v>-4.59999999999999</c:v>
                </c:pt>
                <c:pt idx="266">
                  <c:v>-4.59999999999999</c:v>
                </c:pt>
                <c:pt idx="267">
                  <c:v>-4.59999999999999</c:v>
                </c:pt>
                <c:pt idx="268">
                  <c:v>-4.59999999999999</c:v>
                </c:pt>
                <c:pt idx="269">
                  <c:v>-4.59999999999999</c:v>
                </c:pt>
                <c:pt idx="270">
                  <c:v>-4.59999999999999</c:v>
                </c:pt>
                <c:pt idx="271">
                  <c:v>-4.59999999999999</c:v>
                </c:pt>
                <c:pt idx="272">
                  <c:v>-4.59999999999999</c:v>
                </c:pt>
                <c:pt idx="273">
                  <c:v>-4.59999999999999</c:v>
                </c:pt>
                <c:pt idx="274">
                  <c:v>-4.59999999999999</c:v>
                </c:pt>
                <c:pt idx="275">
                  <c:v>-4.59999999999999</c:v>
                </c:pt>
                <c:pt idx="276">
                  <c:v>-4.59999999999999</c:v>
                </c:pt>
                <c:pt idx="277">
                  <c:v>-4.59999999999999</c:v>
                </c:pt>
                <c:pt idx="278">
                  <c:v>-4.59999999999999</c:v>
                </c:pt>
                <c:pt idx="279">
                  <c:v>-4.59999999999999</c:v>
                </c:pt>
                <c:pt idx="280">
                  <c:v>-4.59999999999999</c:v>
                </c:pt>
                <c:pt idx="281">
                  <c:v>-4.59999999999999</c:v>
                </c:pt>
                <c:pt idx="282">
                  <c:v>-4.59999999999999</c:v>
                </c:pt>
                <c:pt idx="283">
                  <c:v>-4.59999999999999</c:v>
                </c:pt>
                <c:pt idx="284">
                  <c:v>-4.59999999999999</c:v>
                </c:pt>
                <c:pt idx="285">
                  <c:v>-4.59999999999999</c:v>
                </c:pt>
                <c:pt idx="286">
                  <c:v>-4.59999999999999</c:v>
                </c:pt>
                <c:pt idx="287">
                  <c:v>-4.59999999999999</c:v>
                </c:pt>
                <c:pt idx="288">
                  <c:v>-4.59999999999999</c:v>
                </c:pt>
                <c:pt idx="289">
                  <c:v>-4.59999999999999</c:v>
                </c:pt>
                <c:pt idx="290">
                  <c:v>-4.59999999999999</c:v>
                </c:pt>
                <c:pt idx="291">
                  <c:v>-4.59999999999999</c:v>
                </c:pt>
                <c:pt idx="292">
                  <c:v>-4.59999999999999</c:v>
                </c:pt>
                <c:pt idx="293">
                  <c:v>-4.59999999999999</c:v>
                </c:pt>
                <c:pt idx="294">
                  <c:v>-4.59999999999999</c:v>
                </c:pt>
                <c:pt idx="295">
                  <c:v>-4.59999999999999</c:v>
                </c:pt>
                <c:pt idx="296">
                  <c:v>-4.59999999999999</c:v>
                </c:pt>
                <c:pt idx="297">
                  <c:v>-4.59999999999999</c:v>
                </c:pt>
                <c:pt idx="298">
                  <c:v>-4.59999999999999</c:v>
                </c:pt>
                <c:pt idx="299">
                  <c:v>-4.59999999999999</c:v>
                </c:pt>
                <c:pt idx="300">
                  <c:v>-4.59999999999999</c:v>
                </c:pt>
                <c:pt idx="301">
                  <c:v>-4.59999999999999</c:v>
                </c:pt>
                <c:pt idx="302">
                  <c:v>-4.59999999999999</c:v>
                </c:pt>
                <c:pt idx="303">
                  <c:v>-4.59999999999999</c:v>
                </c:pt>
                <c:pt idx="304">
                  <c:v>-4.59999999999999</c:v>
                </c:pt>
                <c:pt idx="305">
                  <c:v>-4.59999999999999</c:v>
                </c:pt>
                <c:pt idx="306">
                  <c:v>-4.59999999999999</c:v>
                </c:pt>
                <c:pt idx="307">
                  <c:v>-4.59999999999999</c:v>
                </c:pt>
                <c:pt idx="308">
                  <c:v>-4.59999999999999</c:v>
                </c:pt>
                <c:pt idx="309">
                  <c:v>-4.59999999999999</c:v>
                </c:pt>
                <c:pt idx="310">
                  <c:v>-4.59999999999999</c:v>
                </c:pt>
                <c:pt idx="311">
                  <c:v>-4.59999999999999</c:v>
                </c:pt>
                <c:pt idx="312">
                  <c:v>-4.59999999999999</c:v>
                </c:pt>
                <c:pt idx="313">
                  <c:v>-4.59999999999999</c:v>
                </c:pt>
                <c:pt idx="314">
                  <c:v>-4.59999999999999</c:v>
                </c:pt>
                <c:pt idx="315">
                  <c:v>-4.59999999999999</c:v>
                </c:pt>
                <c:pt idx="316">
                  <c:v>-4.59999999999999</c:v>
                </c:pt>
                <c:pt idx="317">
                  <c:v>-4.59999999999999</c:v>
                </c:pt>
                <c:pt idx="318">
                  <c:v>-4.59999999999999</c:v>
                </c:pt>
                <c:pt idx="319">
                  <c:v>-4.59999999999999</c:v>
                </c:pt>
                <c:pt idx="320">
                  <c:v>-4.59999999999999</c:v>
                </c:pt>
                <c:pt idx="321">
                  <c:v>-4.59999999999999</c:v>
                </c:pt>
                <c:pt idx="322">
                  <c:v>-4.59999999999999</c:v>
                </c:pt>
                <c:pt idx="323">
                  <c:v>-4.59999999999999</c:v>
                </c:pt>
                <c:pt idx="324">
                  <c:v>-4.59999999999999</c:v>
                </c:pt>
                <c:pt idx="325">
                  <c:v>-4.59999999999999</c:v>
                </c:pt>
                <c:pt idx="326">
                  <c:v>-4.59999999999999</c:v>
                </c:pt>
                <c:pt idx="327">
                  <c:v>-4.59999999999999</c:v>
                </c:pt>
                <c:pt idx="328">
                  <c:v>-4.59999999999999</c:v>
                </c:pt>
                <c:pt idx="329">
                  <c:v>-4.59999999999999</c:v>
                </c:pt>
                <c:pt idx="330">
                  <c:v>-4.59999999999999</c:v>
                </c:pt>
                <c:pt idx="331">
                  <c:v>-4.59999999999999</c:v>
                </c:pt>
                <c:pt idx="332">
                  <c:v>-4.59999999999999</c:v>
                </c:pt>
                <c:pt idx="333">
                  <c:v>-4.59999999999999</c:v>
                </c:pt>
                <c:pt idx="334">
                  <c:v>-4.59999999999999</c:v>
                </c:pt>
                <c:pt idx="335">
                  <c:v>-4.59999999999999</c:v>
                </c:pt>
                <c:pt idx="336">
                  <c:v>-4.59999999999999</c:v>
                </c:pt>
                <c:pt idx="337">
                  <c:v>-4.59999999999999</c:v>
                </c:pt>
                <c:pt idx="338">
                  <c:v>-4.59999999999999</c:v>
                </c:pt>
                <c:pt idx="339">
                  <c:v>-4.59999999999999</c:v>
                </c:pt>
                <c:pt idx="340">
                  <c:v>-4.59999999999999</c:v>
                </c:pt>
                <c:pt idx="341">
                  <c:v>-4.59999999999999</c:v>
                </c:pt>
                <c:pt idx="342">
                  <c:v>-4.59999999999999</c:v>
                </c:pt>
                <c:pt idx="343">
                  <c:v>-4.59999999999999</c:v>
                </c:pt>
                <c:pt idx="344">
                  <c:v>-4.59999999999999</c:v>
                </c:pt>
                <c:pt idx="345">
                  <c:v>-4.59999999999999</c:v>
                </c:pt>
                <c:pt idx="346">
                  <c:v>-4.59999999999999</c:v>
                </c:pt>
                <c:pt idx="347">
                  <c:v>-4.59999999999999</c:v>
                </c:pt>
                <c:pt idx="348">
                  <c:v>-4.59999999999999</c:v>
                </c:pt>
                <c:pt idx="349">
                  <c:v>-4.59999999999999</c:v>
                </c:pt>
                <c:pt idx="350">
                  <c:v>-4.59999999999999</c:v>
                </c:pt>
                <c:pt idx="351">
                  <c:v>-4.59999999999999</c:v>
                </c:pt>
                <c:pt idx="352">
                  <c:v>-4.59999999999999</c:v>
                </c:pt>
                <c:pt idx="353">
                  <c:v>-4.59999999999999</c:v>
                </c:pt>
                <c:pt idx="354">
                  <c:v>-4.59999999999999</c:v>
                </c:pt>
                <c:pt idx="355">
                  <c:v>-4.59999999999999</c:v>
                </c:pt>
                <c:pt idx="356">
                  <c:v>-4.59999999999999</c:v>
                </c:pt>
                <c:pt idx="357">
                  <c:v>-4.59999999999999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9315530"/>
        <c:axId val="247450394"/>
      </c:lineChart>
      <c:catAx>
        <c:axId val="1693155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450394"/>
        <c:crosses val="autoZero"/>
        <c:auto val="1"/>
        <c:lblAlgn val="ctr"/>
        <c:lblOffset val="100"/>
        <c:noMultiLvlLbl val="0"/>
      </c:catAx>
      <c:valAx>
        <c:axId val="2474503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3155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28b6f1-9ede-488f-a0fe-c74acd19e4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B_11_42_37_转180!$K$3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B_11_42_37_转180!$J$4:$J$383</c:f>
              <c:numCache>
                <c:formatCode>0.00_);[Red]\(0.00\)</c:formatCode>
                <c:ptCount val="380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1.204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1.438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1.672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1.973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2.207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2.374</c:v>
                </c:pt>
                <c:pt idx="72" c:formatCode="0.00_);[Red]\(0.00\)">
                  <c:v>2.407</c:v>
                </c:pt>
                <c:pt idx="73" c:formatCode="0.00_);[Red]\(0.00\)">
                  <c:v>2.441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2.608</c:v>
                </c:pt>
                <c:pt idx="79" c:formatCode="0.00_);[Red]\(0.00\)">
                  <c:v>2.641</c:v>
                </c:pt>
                <c:pt idx="80" c:formatCode="0.00_);[Red]\(0.00\)">
                  <c:v>2.675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2.842</c:v>
                </c:pt>
                <c:pt idx="86" c:formatCode="0.00_);[Red]\(0.00\)">
                  <c:v>2.875</c:v>
                </c:pt>
                <c:pt idx="87" c:formatCode="0.00_);[Red]\(0.00\)">
                  <c:v>2.909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3.076</c:v>
                </c:pt>
                <c:pt idx="93" c:formatCode="0.00_);[Red]\(0.00\)">
                  <c:v>3.109</c:v>
                </c:pt>
                <c:pt idx="94" c:formatCode="0.00_);[Red]\(0.00\)">
                  <c:v>3.143</c:v>
                </c:pt>
                <c:pt idx="95" c:formatCode="0.00_);[Red]\(0.00\)">
                  <c:v>3.176</c:v>
                </c:pt>
                <c:pt idx="96" c:formatCode="0.00_);[Red]\(0.00\)">
                  <c:v>3.21</c:v>
                </c:pt>
                <c:pt idx="97" c:formatCode="0.00_);[Red]\(0.00\)">
                  <c:v>3.243</c:v>
                </c:pt>
                <c:pt idx="98" c:formatCode="0.00_);[Red]\(0.00\)">
                  <c:v>3.276</c:v>
                </c:pt>
                <c:pt idx="99" c:formatCode="0.00_);[Red]\(0.00\)">
                  <c:v>3.31</c:v>
                </c:pt>
                <c:pt idx="100" c:formatCode="0.00_);[Red]\(0.00\)">
                  <c:v>3.343</c:v>
                </c:pt>
                <c:pt idx="101" c:formatCode="0.00_);[Red]\(0.00\)">
                  <c:v>3.377</c:v>
                </c:pt>
                <c:pt idx="102" c:formatCode="0.00_);[Red]\(0.00\)">
                  <c:v>3.41</c:v>
                </c:pt>
                <c:pt idx="103" c:formatCode="0.00_);[Red]\(0.00\)">
                  <c:v>3.444</c:v>
                </c:pt>
                <c:pt idx="104" c:formatCode="0.00_);[Red]\(0.00\)">
                  <c:v>3.477</c:v>
                </c:pt>
                <c:pt idx="105" c:formatCode="0.00_);[Red]\(0.00\)">
                  <c:v>3.51</c:v>
                </c:pt>
                <c:pt idx="106" c:formatCode="0.00_);[Red]\(0.00\)">
                  <c:v>3.544</c:v>
                </c:pt>
                <c:pt idx="107" c:formatCode="0.00_);[Red]\(0.00\)">
                  <c:v>3.577</c:v>
                </c:pt>
                <c:pt idx="108" c:formatCode="0.00_);[Red]\(0.00\)">
                  <c:v>3.611</c:v>
                </c:pt>
                <c:pt idx="109" c:formatCode="0.00_);[Red]\(0.00\)">
                  <c:v>3.644</c:v>
                </c:pt>
                <c:pt idx="110" c:formatCode="0.00_);[Red]\(0.00\)">
                  <c:v>3.678</c:v>
                </c:pt>
                <c:pt idx="111" c:formatCode="0.00_);[Red]\(0.00\)">
                  <c:v>3.711</c:v>
                </c:pt>
                <c:pt idx="112" c:formatCode="0.00_);[Red]\(0.00\)">
                  <c:v>3.744</c:v>
                </c:pt>
                <c:pt idx="113" c:formatCode="0.00_);[Red]\(0.00\)">
                  <c:v>3.778</c:v>
                </c:pt>
                <c:pt idx="114" c:formatCode="0.00_);[Red]\(0.00\)">
                  <c:v>3.811</c:v>
                </c:pt>
                <c:pt idx="115" c:formatCode="0.00_);[Red]\(0.00\)">
                  <c:v>3.845</c:v>
                </c:pt>
                <c:pt idx="116" c:formatCode="0.00_);[Red]\(0.00\)">
                  <c:v>3.878</c:v>
                </c:pt>
                <c:pt idx="117" c:formatCode="0.00_);[Red]\(0.00\)">
                  <c:v>3.912</c:v>
                </c:pt>
                <c:pt idx="118" c:formatCode="0.00_);[Red]\(0.00\)">
                  <c:v>3.945</c:v>
                </c:pt>
                <c:pt idx="119" c:formatCode="0.00_);[Red]\(0.00\)">
                  <c:v>3.978</c:v>
                </c:pt>
                <c:pt idx="120" c:formatCode="0.00_);[Red]\(0.00\)">
                  <c:v>4.012</c:v>
                </c:pt>
                <c:pt idx="121" c:formatCode="0.00_);[Red]\(0.00\)">
                  <c:v>4.045</c:v>
                </c:pt>
                <c:pt idx="122" c:formatCode="0.00_);[Red]\(0.00\)">
                  <c:v>4.079</c:v>
                </c:pt>
                <c:pt idx="123" c:formatCode="0.00_);[Red]\(0.00\)">
                  <c:v>4.112</c:v>
                </c:pt>
                <c:pt idx="124" c:formatCode="0.00_);[Red]\(0.00\)">
                  <c:v>4.146</c:v>
                </c:pt>
                <c:pt idx="125" c:formatCode="0.00_);[Red]\(0.00\)">
                  <c:v>4.179</c:v>
                </c:pt>
                <c:pt idx="126" c:formatCode="0.00_);[Red]\(0.00\)">
                  <c:v>4.213</c:v>
                </c:pt>
                <c:pt idx="127" c:formatCode="0.00_);[Red]\(0.00\)">
                  <c:v>4.246</c:v>
                </c:pt>
                <c:pt idx="128" c:formatCode="0.00_);[Red]\(0.00\)">
                  <c:v>4.279</c:v>
                </c:pt>
                <c:pt idx="129" c:formatCode="0.00_);[Red]\(0.00\)">
                  <c:v>4.313</c:v>
                </c:pt>
                <c:pt idx="130" c:formatCode="0.00_);[Red]\(0.00\)">
                  <c:v>4.346</c:v>
                </c:pt>
                <c:pt idx="131" c:formatCode="0.00_);[Red]\(0.00\)">
                  <c:v>4.38</c:v>
                </c:pt>
                <c:pt idx="132" c:formatCode="0.00_);[Red]\(0.00\)">
                  <c:v>4.413</c:v>
                </c:pt>
                <c:pt idx="133" c:formatCode="0.00_);[Red]\(0.00\)">
                  <c:v>4.447</c:v>
                </c:pt>
                <c:pt idx="134" c:formatCode="0.00_);[Red]\(0.00\)">
                  <c:v>4.48</c:v>
                </c:pt>
                <c:pt idx="135" c:formatCode="0.00_);[Red]\(0.00\)">
                  <c:v>4.513</c:v>
                </c:pt>
                <c:pt idx="136" c:formatCode="0.00_);[Red]\(0.00\)">
                  <c:v>4.547</c:v>
                </c:pt>
                <c:pt idx="137" c:formatCode="0.00_);[Red]\(0.00\)">
                  <c:v>4.58</c:v>
                </c:pt>
                <c:pt idx="138" c:formatCode="0.00_);[Red]\(0.00\)">
                  <c:v>4.614</c:v>
                </c:pt>
                <c:pt idx="139" c:formatCode="0.00_);[Red]\(0.00\)">
                  <c:v>4.647</c:v>
                </c:pt>
                <c:pt idx="140" c:formatCode="0.00_);[Red]\(0.00\)">
                  <c:v>4.681</c:v>
                </c:pt>
                <c:pt idx="141" c:formatCode="0.00_);[Red]\(0.00\)">
                  <c:v>4.714</c:v>
                </c:pt>
                <c:pt idx="142" c:formatCode="0.00_);[Red]\(0.00\)">
                  <c:v>4.747</c:v>
                </c:pt>
                <c:pt idx="143" c:formatCode="0.00_);[Red]\(0.00\)">
                  <c:v>4.781</c:v>
                </c:pt>
                <c:pt idx="144" c:formatCode="0.00_);[Red]\(0.00\)">
                  <c:v>4.814</c:v>
                </c:pt>
                <c:pt idx="145" c:formatCode="0.00_);[Red]\(0.00\)">
                  <c:v>4.848</c:v>
                </c:pt>
                <c:pt idx="146" c:formatCode="0.00_);[Red]\(0.00\)">
                  <c:v>4.881</c:v>
                </c:pt>
                <c:pt idx="147" c:formatCode="0.00_);[Red]\(0.00\)">
                  <c:v>4.915</c:v>
                </c:pt>
                <c:pt idx="148" c:formatCode="0.00_);[Red]\(0.00\)">
                  <c:v>4.948</c:v>
                </c:pt>
                <c:pt idx="149" c:formatCode="0.00_);[Red]\(0.00\)">
                  <c:v>4.981</c:v>
                </c:pt>
                <c:pt idx="150" c:formatCode="0.00_);[Red]\(0.00\)">
                  <c:v>5.015</c:v>
                </c:pt>
                <c:pt idx="151" c:formatCode="0.00_);[Red]\(0.00\)">
                  <c:v>5.048</c:v>
                </c:pt>
                <c:pt idx="152" c:formatCode="0.00_);[Red]\(0.00\)">
                  <c:v>5.082</c:v>
                </c:pt>
                <c:pt idx="153" c:formatCode="0.00_);[Red]\(0.00\)">
                  <c:v>5.115</c:v>
                </c:pt>
                <c:pt idx="154" c:formatCode="0.00_);[Red]\(0.00\)">
                  <c:v>5.149</c:v>
                </c:pt>
                <c:pt idx="155" c:formatCode="0.00_);[Red]\(0.00\)">
                  <c:v>5.182</c:v>
                </c:pt>
                <c:pt idx="156" c:formatCode="0.00_);[Red]\(0.00\)">
                  <c:v>5.215</c:v>
                </c:pt>
                <c:pt idx="157" c:formatCode="0.00_);[Red]\(0.00\)">
                  <c:v>5.249</c:v>
                </c:pt>
                <c:pt idx="158" c:formatCode="0.00_);[Red]\(0.00\)">
                  <c:v>5.282</c:v>
                </c:pt>
                <c:pt idx="159" c:formatCode="0.00_);[Red]\(0.00\)">
                  <c:v>5.316</c:v>
                </c:pt>
                <c:pt idx="160" c:formatCode="0.00_);[Red]\(0.00\)">
                  <c:v>5.349</c:v>
                </c:pt>
                <c:pt idx="161" c:formatCode="0.00_);[Red]\(0.00\)">
                  <c:v>5.383</c:v>
                </c:pt>
                <c:pt idx="162" c:formatCode="0.00_);[Red]\(0.00\)">
                  <c:v>5.416</c:v>
                </c:pt>
                <c:pt idx="163" c:formatCode="0.00_);[Red]\(0.00\)">
                  <c:v>5.45</c:v>
                </c:pt>
                <c:pt idx="164" c:formatCode="0.00_);[Red]\(0.00\)">
                  <c:v>5.483</c:v>
                </c:pt>
                <c:pt idx="165" c:formatCode="0.00_);[Red]\(0.00\)">
                  <c:v>5.516</c:v>
                </c:pt>
                <c:pt idx="166" c:formatCode="0.00_);[Red]\(0.00\)">
                  <c:v>5.55</c:v>
                </c:pt>
                <c:pt idx="167" c:formatCode="0.00_);[Red]\(0.00\)">
                  <c:v>5.583</c:v>
                </c:pt>
                <c:pt idx="168" c:formatCode="0.00_);[Red]\(0.00\)">
                  <c:v>5.617</c:v>
                </c:pt>
                <c:pt idx="169" c:formatCode="0.00_);[Red]\(0.00\)">
                  <c:v>5.65</c:v>
                </c:pt>
                <c:pt idx="170" c:formatCode="0.00_);[Red]\(0.00\)">
                  <c:v>5.684</c:v>
                </c:pt>
                <c:pt idx="171" c:formatCode="0.00_);[Red]\(0.00\)">
                  <c:v>5.717</c:v>
                </c:pt>
                <c:pt idx="172" c:formatCode="0.00_);[Red]\(0.00\)">
                  <c:v>5.75</c:v>
                </c:pt>
                <c:pt idx="173" c:formatCode="0.00_);[Red]\(0.00\)">
                  <c:v>5.784</c:v>
                </c:pt>
                <c:pt idx="174" c:formatCode="0.00_);[Red]\(0.00\)">
                  <c:v>5.817</c:v>
                </c:pt>
                <c:pt idx="175" c:formatCode="0.00_);[Red]\(0.00\)">
                  <c:v>5.851</c:v>
                </c:pt>
                <c:pt idx="176" c:formatCode="0.00_);[Red]\(0.00\)">
                  <c:v>5.884</c:v>
                </c:pt>
                <c:pt idx="177" c:formatCode="0.00_);[Red]\(0.00\)">
                  <c:v>5.918</c:v>
                </c:pt>
                <c:pt idx="178" c:formatCode="0.00_);[Red]\(0.00\)">
                  <c:v>5.951</c:v>
                </c:pt>
                <c:pt idx="179" c:formatCode="0.00_);[Red]\(0.00\)">
                  <c:v>5.984</c:v>
                </c:pt>
                <c:pt idx="180" c:formatCode="0.00_);[Red]\(0.00\)">
                  <c:v>6.018</c:v>
                </c:pt>
                <c:pt idx="181" c:formatCode="0.00_);[Red]\(0.00\)">
                  <c:v>6.051</c:v>
                </c:pt>
                <c:pt idx="182" c:formatCode="0.00_);[Red]\(0.00\)">
                  <c:v>6.085</c:v>
                </c:pt>
                <c:pt idx="183" c:formatCode="0.00_);[Red]\(0.00\)">
                  <c:v>6.118</c:v>
                </c:pt>
                <c:pt idx="184" c:formatCode="0.00_);[Red]\(0.00\)">
                  <c:v>6.152</c:v>
                </c:pt>
                <c:pt idx="185" c:formatCode="0.00_);[Red]\(0.00\)">
                  <c:v>6.185</c:v>
                </c:pt>
                <c:pt idx="186" c:formatCode="0.00_);[Red]\(0.00\)">
                  <c:v>6.218</c:v>
                </c:pt>
                <c:pt idx="187" c:formatCode="0.00_);[Red]\(0.00\)">
                  <c:v>6.252</c:v>
                </c:pt>
                <c:pt idx="188" c:formatCode="0.00_);[Red]\(0.00\)">
                  <c:v>6.285</c:v>
                </c:pt>
                <c:pt idx="189" c:formatCode="0.00_);[Red]\(0.00\)">
                  <c:v>6.319</c:v>
                </c:pt>
                <c:pt idx="190" c:formatCode="0.00_);[Red]\(0.00\)">
                  <c:v>6.352</c:v>
                </c:pt>
                <c:pt idx="191" c:formatCode="0.00_);[Red]\(0.00\)">
                  <c:v>6.386</c:v>
                </c:pt>
                <c:pt idx="192" c:formatCode="0.00_);[Red]\(0.00\)">
                  <c:v>6.419</c:v>
                </c:pt>
                <c:pt idx="193" c:formatCode="0.00_);[Red]\(0.00\)">
                  <c:v>6.452</c:v>
                </c:pt>
                <c:pt idx="194" c:formatCode="0.00_);[Red]\(0.00\)">
                  <c:v>6.486</c:v>
                </c:pt>
                <c:pt idx="195" c:formatCode="0.00_);[Red]\(0.00\)">
                  <c:v>6.519</c:v>
                </c:pt>
                <c:pt idx="196" c:formatCode="0.00_);[Red]\(0.00\)">
                  <c:v>6.553</c:v>
                </c:pt>
                <c:pt idx="197" c:formatCode="0.00_);[Red]\(0.00\)">
                  <c:v>6.586</c:v>
                </c:pt>
                <c:pt idx="198" c:formatCode="0.00_);[Red]\(0.00\)">
                  <c:v>6.62</c:v>
                </c:pt>
                <c:pt idx="199" c:formatCode="0.00_);[Red]\(0.00\)">
                  <c:v>6.653</c:v>
                </c:pt>
                <c:pt idx="200" c:formatCode="0.00_);[Red]\(0.00\)">
                  <c:v>6.687</c:v>
                </c:pt>
                <c:pt idx="201" c:formatCode="0.00_);[Red]\(0.00\)">
                  <c:v>6.72</c:v>
                </c:pt>
                <c:pt idx="202" c:formatCode="0.00_);[Red]\(0.00\)">
                  <c:v>6.753</c:v>
                </c:pt>
                <c:pt idx="203" c:formatCode="0.00_);[Red]\(0.00\)">
                  <c:v>6.787</c:v>
                </c:pt>
                <c:pt idx="204" c:formatCode="0.00_);[Red]\(0.00\)">
                  <c:v>6.82</c:v>
                </c:pt>
                <c:pt idx="205" c:formatCode="0.00_);[Red]\(0.00\)">
                  <c:v>6.854</c:v>
                </c:pt>
                <c:pt idx="206" c:formatCode="0.00_);[Red]\(0.00\)">
                  <c:v>6.887</c:v>
                </c:pt>
                <c:pt idx="207" c:formatCode="0.00_);[Red]\(0.00\)">
                  <c:v>6.921</c:v>
                </c:pt>
                <c:pt idx="208" c:formatCode="0.00_);[Red]\(0.00\)">
                  <c:v>6.954</c:v>
                </c:pt>
                <c:pt idx="209" c:formatCode="0.00_);[Red]\(0.00\)">
                  <c:v>6.987</c:v>
                </c:pt>
                <c:pt idx="210" c:formatCode="0.00_);[Red]\(0.00\)">
                  <c:v>7.021</c:v>
                </c:pt>
                <c:pt idx="211" c:formatCode="0.00_);[Red]\(0.00\)">
                  <c:v>7.054</c:v>
                </c:pt>
                <c:pt idx="212" c:formatCode="0.00_);[Red]\(0.00\)">
                  <c:v>7.088</c:v>
                </c:pt>
                <c:pt idx="213" c:formatCode="0.00_);[Red]\(0.00\)">
                  <c:v>7.121</c:v>
                </c:pt>
                <c:pt idx="214" c:formatCode="0.00_);[Red]\(0.00\)">
                  <c:v>7.155</c:v>
                </c:pt>
                <c:pt idx="215" c:formatCode="0.00_);[Red]\(0.00\)">
                  <c:v>7.188</c:v>
                </c:pt>
                <c:pt idx="216" c:formatCode="0.00_);[Red]\(0.00\)">
                  <c:v>7.221</c:v>
                </c:pt>
                <c:pt idx="217" c:formatCode="0.00_);[Red]\(0.00\)">
                  <c:v>7.255</c:v>
                </c:pt>
                <c:pt idx="218" c:formatCode="0.00_);[Red]\(0.00\)">
                  <c:v>7.288</c:v>
                </c:pt>
                <c:pt idx="219" c:formatCode="0.00_);[Red]\(0.00\)">
                  <c:v>7.322</c:v>
                </c:pt>
                <c:pt idx="220" c:formatCode="0.00_);[Red]\(0.00\)">
                  <c:v>7.355</c:v>
                </c:pt>
                <c:pt idx="221" c:formatCode="0.00_);[Red]\(0.00\)">
                  <c:v>7.389</c:v>
                </c:pt>
                <c:pt idx="222" c:formatCode="0.00_);[Red]\(0.00\)">
                  <c:v>7.422</c:v>
                </c:pt>
                <c:pt idx="223" c:formatCode="0.00_);[Red]\(0.00\)">
                  <c:v>7.455</c:v>
                </c:pt>
                <c:pt idx="224" c:formatCode="0.00_);[Red]\(0.00\)">
                  <c:v>7.489</c:v>
                </c:pt>
                <c:pt idx="225" c:formatCode="0.00_);[Red]\(0.00\)">
                  <c:v>7.522</c:v>
                </c:pt>
                <c:pt idx="226" c:formatCode="0.00_);[Red]\(0.00\)">
                  <c:v>7.556</c:v>
                </c:pt>
                <c:pt idx="227" c:formatCode="0.00_);[Red]\(0.00\)">
                  <c:v>7.589</c:v>
                </c:pt>
                <c:pt idx="228" c:formatCode="0.00_);[Red]\(0.00\)">
                  <c:v>7.623</c:v>
                </c:pt>
                <c:pt idx="229" c:formatCode="0.00_);[Red]\(0.00\)">
                  <c:v>7.656</c:v>
                </c:pt>
                <c:pt idx="230" c:formatCode="0.00_);[Red]\(0.00\)">
                  <c:v>7.689</c:v>
                </c:pt>
                <c:pt idx="231" c:formatCode="0.00_);[Red]\(0.00\)">
                  <c:v>7.723</c:v>
                </c:pt>
                <c:pt idx="232" c:formatCode="0.00_);[Red]\(0.00\)">
                  <c:v>7.756</c:v>
                </c:pt>
                <c:pt idx="233" c:formatCode="0.00_);[Red]\(0.00\)">
                  <c:v>7.79</c:v>
                </c:pt>
                <c:pt idx="234" c:formatCode="0.00_);[Red]\(0.00\)">
                  <c:v>7.823</c:v>
                </c:pt>
                <c:pt idx="235" c:formatCode="0.00_);[Red]\(0.00\)">
                  <c:v>7.857</c:v>
                </c:pt>
                <c:pt idx="236" c:formatCode="0.00_);[Red]\(0.00\)">
                  <c:v>7.89</c:v>
                </c:pt>
                <c:pt idx="237" c:formatCode="0.00_);[Red]\(0.00\)">
                  <c:v>7.924</c:v>
                </c:pt>
                <c:pt idx="238" c:formatCode="0.00_);[Red]\(0.00\)">
                  <c:v>7.957</c:v>
                </c:pt>
                <c:pt idx="239" c:formatCode="0.00_);[Red]\(0.00\)">
                  <c:v>7.99</c:v>
                </c:pt>
                <c:pt idx="240" c:formatCode="0.00_);[Red]\(0.00\)">
                  <c:v>8.024</c:v>
                </c:pt>
                <c:pt idx="241" c:formatCode="0.00_);[Red]\(0.00\)">
                  <c:v>8.057</c:v>
                </c:pt>
                <c:pt idx="242" c:formatCode="0.00_);[Red]\(0.00\)">
                  <c:v>8.091</c:v>
                </c:pt>
                <c:pt idx="243" c:formatCode="0.00_);[Red]\(0.00\)">
                  <c:v>8.124</c:v>
                </c:pt>
                <c:pt idx="244" c:formatCode="0.00_);[Red]\(0.00\)">
                  <c:v>8.158</c:v>
                </c:pt>
                <c:pt idx="245" c:formatCode="0.00_);[Red]\(0.00\)">
                  <c:v>8.191</c:v>
                </c:pt>
                <c:pt idx="246" c:formatCode="0.00_);[Red]\(0.00\)">
                  <c:v>8.224</c:v>
                </c:pt>
                <c:pt idx="247" c:formatCode="0.00_);[Red]\(0.00\)">
                  <c:v>8.258</c:v>
                </c:pt>
                <c:pt idx="248" c:formatCode="0.00_);[Red]\(0.00\)">
                  <c:v>8.291</c:v>
                </c:pt>
                <c:pt idx="249" c:formatCode="0.00_);[Red]\(0.00\)">
                  <c:v>8.325</c:v>
                </c:pt>
                <c:pt idx="250" c:formatCode="0.00_);[Red]\(0.00\)">
                  <c:v>8.358</c:v>
                </c:pt>
                <c:pt idx="251" c:formatCode="0.00_);[Red]\(0.00\)">
                  <c:v>8.392</c:v>
                </c:pt>
                <c:pt idx="252" c:formatCode="0.00_);[Red]\(0.00\)">
                  <c:v>8.425</c:v>
                </c:pt>
                <c:pt idx="253" c:formatCode="0.00_);[Red]\(0.00\)">
                  <c:v>8.458</c:v>
                </c:pt>
                <c:pt idx="254" c:formatCode="0.00_);[Red]\(0.00\)">
                  <c:v>8.492</c:v>
                </c:pt>
                <c:pt idx="255" c:formatCode="0.00_);[Red]\(0.00\)">
                  <c:v>8.525</c:v>
                </c:pt>
                <c:pt idx="256" c:formatCode="0.00_);[Red]\(0.00\)">
                  <c:v>8.559</c:v>
                </c:pt>
                <c:pt idx="257" c:formatCode="0.00_);[Red]\(0.00\)">
                  <c:v>8.592</c:v>
                </c:pt>
                <c:pt idx="258" c:formatCode="0.00_);[Red]\(0.00\)">
                  <c:v>8.626</c:v>
                </c:pt>
                <c:pt idx="259" c:formatCode="0.00_);[Red]\(0.00\)">
                  <c:v>8.659</c:v>
                </c:pt>
                <c:pt idx="260" c:formatCode="0.00_);[Red]\(0.00\)">
                  <c:v>8.692</c:v>
                </c:pt>
                <c:pt idx="261" c:formatCode="0.00_);[Red]\(0.00\)">
                  <c:v>8.726</c:v>
                </c:pt>
                <c:pt idx="262" c:formatCode="0.00_);[Red]\(0.00\)">
                  <c:v>8.759</c:v>
                </c:pt>
                <c:pt idx="263" c:formatCode="0.00_);[Red]\(0.00\)">
                  <c:v>8.793</c:v>
                </c:pt>
                <c:pt idx="264" c:formatCode="0.00_);[Red]\(0.00\)">
                  <c:v>8.826</c:v>
                </c:pt>
                <c:pt idx="265" c:formatCode="0.00_);[Red]\(0.00\)">
                  <c:v>8.86</c:v>
                </c:pt>
                <c:pt idx="266" c:formatCode="0.00_);[Red]\(0.00\)">
                  <c:v>8.893</c:v>
                </c:pt>
                <c:pt idx="267" c:formatCode="0.00_);[Red]\(0.00\)">
                  <c:v>8.926</c:v>
                </c:pt>
                <c:pt idx="268" c:formatCode="0.00_);[Red]\(0.00\)">
                  <c:v>8.96</c:v>
                </c:pt>
                <c:pt idx="269" c:formatCode="0.00_);[Red]\(0.00\)">
                  <c:v>8.993</c:v>
                </c:pt>
                <c:pt idx="270" c:formatCode="0.00_);[Red]\(0.00\)">
                  <c:v>9.027</c:v>
                </c:pt>
                <c:pt idx="271" c:formatCode="0.00_);[Red]\(0.00\)">
                  <c:v>9.06</c:v>
                </c:pt>
                <c:pt idx="272" c:formatCode="0.00_);[Red]\(0.00\)">
                  <c:v>9.094</c:v>
                </c:pt>
                <c:pt idx="273" c:formatCode="0.00_);[Red]\(0.00\)">
                  <c:v>9.127</c:v>
                </c:pt>
                <c:pt idx="274" c:formatCode="0.00_);[Red]\(0.00\)">
                  <c:v>9.161</c:v>
                </c:pt>
                <c:pt idx="275" c:formatCode="0.00_);[Red]\(0.00\)">
                  <c:v>9.194</c:v>
                </c:pt>
                <c:pt idx="276" c:formatCode="0.00_);[Red]\(0.00\)">
                  <c:v>9.227</c:v>
                </c:pt>
                <c:pt idx="277" c:formatCode="0.00_);[Red]\(0.00\)">
                  <c:v>9.261</c:v>
                </c:pt>
                <c:pt idx="278" c:formatCode="0.00_);[Red]\(0.00\)">
                  <c:v>9.294</c:v>
                </c:pt>
                <c:pt idx="279" c:formatCode="0.00_);[Red]\(0.00\)">
                  <c:v>9.328</c:v>
                </c:pt>
                <c:pt idx="280" c:formatCode="0.00_);[Red]\(0.00\)">
                  <c:v>9.361</c:v>
                </c:pt>
                <c:pt idx="281" c:formatCode="0.00_);[Red]\(0.00\)">
                  <c:v>9.395</c:v>
                </c:pt>
                <c:pt idx="282" c:formatCode="0.00_);[Red]\(0.00\)">
                  <c:v>9.428</c:v>
                </c:pt>
                <c:pt idx="283" c:formatCode="0.00_);[Red]\(0.00\)">
                  <c:v>9.461</c:v>
                </c:pt>
                <c:pt idx="284" c:formatCode="0.00_);[Red]\(0.00\)">
                  <c:v>9.495</c:v>
                </c:pt>
                <c:pt idx="285" c:formatCode="0.00_);[Red]\(0.00\)">
                  <c:v>9.528</c:v>
                </c:pt>
                <c:pt idx="286" c:formatCode="0.00_);[Red]\(0.00\)">
                  <c:v>9.562</c:v>
                </c:pt>
                <c:pt idx="287" c:formatCode="0.00_);[Red]\(0.00\)">
                  <c:v>9.595</c:v>
                </c:pt>
                <c:pt idx="288" c:formatCode="0.00_);[Red]\(0.00\)">
                  <c:v>9.629</c:v>
                </c:pt>
                <c:pt idx="289" c:formatCode="0.00_);[Red]\(0.00\)">
                  <c:v>9.662</c:v>
                </c:pt>
                <c:pt idx="290" c:formatCode="0.00_);[Red]\(0.00\)">
                  <c:v>9.695</c:v>
                </c:pt>
                <c:pt idx="291" c:formatCode="0.00_);[Red]\(0.00\)">
                  <c:v>9.729</c:v>
                </c:pt>
                <c:pt idx="292" c:formatCode="0.00_);[Red]\(0.00\)">
                  <c:v>9.762</c:v>
                </c:pt>
                <c:pt idx="293" c:formatCode="0.00_);[Red]\(0.00\)">
                  <c:v>9.796</c:v>
                </c:pt>
                <c:pt idx="294" c:formatCode="0.00_);[Red]\(0.00\)">
                  <c:v>9.829</c:v>
                </c:pt>
                <c:pt idx="295" c:formatCode="0.00_);[Red]\(0.00\)">
                  <c:v>9.863</c:v>
                </c:pt>
                <c:pt idx="296" c:formatCode="0.00_);[Red]\(0.00\)">
                  <c:v>9.896</c:v>
                </c:pt>
                <c:pt idx="297" c:formatCode="0.00_);[Red]\(0.00\)">
                  <c:v>9.929</c:v>
                </c:pt>
                <c:pt idx="298" c:formatCode="0.00_);[Red]\(0.00\)">
                  <c:v>9.963</c:v>
                </c:pt>
                <c:pt idx="299" c:formatCode="0.00_);[Red]\(0.00\)">
                  <c:v>9.996</c:v>
                </c:pt>
                <c:pt idx="300" c:formatCode="0.00_);[Red]\(0.00\)">
                  <c:v>10.03</c:v>
                </c:pt>
                <c:pt idx="301" c:formatCode="0.00_);[Red]\(0.00\)">
                  <c:v>10.063</c:v>
                </c:pt>
                <c:pt idx="302" c:formatCode="0.00_);[Red]\(0.00\)">
                  <c:v>10.097</c:v>
                </c:pt>
                <c:pt idx="303" c:formatCode="0.00_);[Red]\(0.00\)">
                  <c:v>10.13</c:v>
                </c:pt>
                <c:pt idx="304" c:formatCode="0.00_);[Red]\(0.00\)">
                  <c:v>10.163</c:v>
                </c:pt>
                <c:pt idx="305" c:formatCode="0.00_);[Red]\(0.00\)">
                  <c:v>10.197</c:v>
                </c:pt>
                <c:pt idx="306" c:formatCode="0.00_);[Red]\(0.00\)">
                  <c:v>10.23</c:v>
                </c:pt>
                <c:pt idx="307" c:formatCode="0.00_);[Red]\(0.00\)">
                  <c:v>10.264</c:v>
                </c:pt>
                <c:pt idx="308" c:formatCode="0.00_);[Red]\(0.00\)">
                  <c:v>10.297</c:v>
                </c:pt>
                <c:pt idx="309" c:formatCode="0.00_);[Red]\(0.00\)">
                  <c:v>10.331</c:v>
                </c:pt>
                <c:pt idx="310" c:formatCode="0.00_);[Red]\(0.00\)">
                  <c:v>10.364</c:v>
                </c:pt>
                <c:pt idx="311" c:formatCode="0.00_);[Red]\(0.00\)">
                  <c:v>10.398</c:v>
                </c:pt>
                <c:pt idx="312" c:formatCode="0.00_);[Red]\(0.00\)">
                  <c:v>10.431</c:v>
                </c:pt>
                <c:pt idx="313" c:formatCode="0.00_);[Red]\(0.00\)">
                  <c:v>10.464</c:v>
                </c:pt>
                <c:pt idx="314" c:formatCode="0.00_);[Red]\(0.00\)">
                  <c:v>10.498</c:v>
                </c:pt>
                <c:pt idx="315" c:formatCode="0.00_);[Red]\(0.00\)">
                  <c:v>10.531</c:v>
                </c:pt>
                <c:pt idx="316" c:formatCode="0.00_);[Red]\(0.00\)">
                  <c:v>10.565</c:v>
                </c:pt>
                <c:pt idx="317" c:formatCode="0.00_);[Red]\(0.00\)">
                  <c:v>10.598</c:v>
                </c:pt>
                <c:pt idx="318" c:formatCode="0.00_);[Red]\(0.00\)">
                  <c:v>10.632</c:v>
                </c:pt>
                <c:pt idx="319" c:formatCode="0.00_);[Red]\(0.00\)">
                  <c:v>10.665</c:v>
                </c:pt>
                <c:pt idx="320" c:formatCode="0.00_);[Red]\(0.00\)">
                  <c:v>10.698</c:v>
                </c:pt>
                <c:pt idx="321" c:formatCode="0.00_);[Red]\(0.00\)">
                  <c:v>10.732</c:v>
                </c:pt>
                <c:pt idx="322" c:formatCode="0.00_);[Red]\(0.00\)">
                  <c:v>10.765</c:v>
                </c:pt>
                <c:pt idx="323" c:formatCode="0.00_);[Red]\(0.00\)">
                  <c:v>10.799</c:v>
                </c:pt>
                <c:pt idx="324" c:formatCode="0.00_);[Red]\(0.00\)">
                  <c:v>10.832</c:v>
                </c:pt>
                <c:pt idx="325" c:formatCode="0.00_);[Red]\(0.00\)">
                  <c:v>10.866</c:v>
                </c:pt>
                <c:pt idx="326" c:formatCode="0.00_);[Red]\(0.00\)">
                  <c:v>10.899</c:v>
                </c:pt>
                <c:pt idx="327" c:formatCode="0.00_);[Red]\(0.00\)">
                  <c:v>10.932</c:v>
                </c:pt>
                <c:pt idx="328" c:formatCode="0.00_);[Red]\(0.00\)">
                  <c:v>10.966</c:v>
                </c:pt>
                <c:pt idx="329" c:formatCode="0.00_);[Red]\(0.00\)">
                  <c:v>10.999</c:v>
                </c:pt>
                <c:pt idx="330" c:formatCode="0.00_);[Red]\(0.00\)">
                  <c:v>11.033</c:v>
                </c:pt>
                <c:pt idx="331" c:formatCode="0.00_);[Red]\(0.00\)">
                  <c:v>11.066</c:v>
                </c:pt>
                <c:pt idx="332" c:formatCode="0.00_);[Red]\(0.00\)">
                  <c:v>11.1</c:v>
                </c:pt>
                <c:pt idx="333" c:formatCode="0.00_);[Red]\(0.00\)">
                  <c:v>11.133</c:v>
                </c:pt>
                <c:pt idx="334" c:formatCode="0.00_);[Red]\(0.00\)">
                  <c:v>11.166</c:v>
                </c:pt>
                <c:pt idx="335" c:formatCode="0.00_);[Red]\(0.00\)">
                  <c:v>11.2</c:v>
                </c:pt>
                <c:pt idx="336" c:formatCode="0.00_);[Red]\(0.00\)">
                  <c:v>11.233</c:v>
                </c:pt>
                <c:pt idx="337" c:formatCode="0.00_);[Red]\(0.00\)">
                  <c:v>11.267</c:v>
                </c:pt>
                <c:pt idx="338" c:formatCode="0.00_);[Red]\(0.00\)">
                  <c:v>11.3</c:v>
                </c:pt>
                <c:pt idx="339" c:formatCode="0.00_);[Red]\(0.00\)">
                  <c:v>11.334</c:v>
                </c:pt>
                <c:pt idx="340" c:formatCode="0.00_);[Red]\(0.00\)">
                  <c:v>11.367</c:v>
                </c:pt>
                <c:pt idx="341" c:formatCode="0.00_);[Red]\(0.00\)">
                  <c:v>11.4</c:v>
                </c:pt>
                <c:pt idx="342" c:formatCode="0.00_);[Red]\(0.00\)">
                  <c:v>11.434</c:v>
                </c:pt>
                <c:pt idx="343" c:formatCode="0.00_);[Red]\(0.00\)">
                  <c:v>11.467</c:v>
                </c:pt>
                <c:pt idx="344" c:formatCode="0.00_);[Red]\(0.00\)">
                  <c:v>11.501</c:v>
                </c:pt>
                <c:pt idx="345" c:formatCode="0.00_);[Red]\(0.00\)">
                  <c:v>11.534</c:v>
                </c:pt>
                <c:pt idx="346" c:formatCode="0.00_);[Red]\(0.00\)">
                  <c:v>11.568</c:v>
                </c:pt>
                <c:pt idx="347" c:formatCode="0.00_);[Red]\(0.00\)">
                  <c:v>11.601</c:v>
                </c:pt>
                <c:pt idx="348" c:formatCode="0.00_);[Red]\(0.00\)">
                  <c:v>11.635</c:v>
                </c:pt>
                <c:pt idx="349" c:formatCode="0.00_);[Red]\(0.00\)">
                  <c:v>11.668</c:v>
                </c:pt>
                <c:pt idx="350" c:formatCode="0.00_);[Red]\(0.00\)">
                  <c:v>11.701</c:v>
                </c:pt>
                <c:pt idx="351" c:formatCode="0.00_);[Red]\(0.00\)">
                  <c:v>11.735</c:v>
                </c:pt>
                <c:pt idx="352" c:formatCode="0.00_);[Red]\(0.00\)">
                  <c:v>11.768</c:v>
                </c:pt>
                <c:pt idx="353" c:formatCode="0.00_);[Red]\(0.00\)">
                  <c:v>11.802</c:v>
                </c:pt>
                <c:pt idx="354" c:formatCode="0.00_);[Red]\(0.00\)">
                  <c:v>11.835</c:v>
                </c:pt>
                <c:pt idx="355" c:formatCode="0.00_);[Red]\(0.00\)">
                  <c:v>11.869</c:v>
                </c:pt>
                <c:pt idx="356" c:formatCode="0.00_);[Red]\(0.00\)">
                  <c:v>11.902</c:v>
                </c:pt>
                <c:pt idx="357" c:formatCode="0.00_);[Red]\(0.00\)">
                  <c:v>11.935</c:v>
                </c:pt>
                <c:pt idx="358" c:formatCode="0.00_);[Red]\(0.00\)">
                  <c:v>11.969</c:v>
                </c:pt>
                <c:pt idx="359" c:formatCode="0.00_);[Red]\(0.00\)">
                  <c:v>12.002</c:v>
                </c:pt>
                <c:pt idx="360" c:formatCode="0.00_);[Red]\(0.00\)">
                  <c:v>12.036</c:v>
                </c:pt>
                <c:pt idx="361" c:formatCode="0.00_);[Red]\(0.00\)">
                  <c:v>12.069</c:v>
                </c:pt>
                <c:pt idx="362" c:formatCode="0.00_);[Red]\(0.00\)">
                  <c:v>12.103</c:v>
                </c:pt>
                <c:pt idx="363" c:formatCode="0.00_);[Red]\(0.00\)">
                  <c:v>12.136</c:v>
                </c:pt>
                <c:pt idx="364" c:formatCode="0.00_);[Red]\(0.00\)">
                  <c:v>12.169</c:v>
                </c:pt>
                <c:pt idx="365" c:formatCode="0.00_);[Red]\(0.00\)">
                  <c:v>12.203</c:v>
                </c:pt>
                <c:pt idx="366" c:formatCode="0.00_);[Red]\(0.00\)">
                  <c:v>12.236</c:v>
                </c:pt>
                <c:pt idx="367" c:formatCode="0.00_);[Red]\(0.00\)">
                  <c:v>12.27</c:v>
                </c:pt>
                <c:pt idx="368" c:formatCode="0.00_);[Red]\(0.00\)">
                  <c:v>12.303</c:v>
                </c:pt>
                <c:pt idx="369" c:formatCode="0.00_);[Red]\(0.00\)">
                  <c:v>12.337</c:v>
                </c:pt>
                <c:pt idx="370" c:formatCode="0.00_);[Red]\(0.00\)">
                  <c:v>12.37</c:v>
                </c:pt>
                <c:pt idx="371" c:formatCode="0.00_);[Red]\(0.00\)">
                  <c:v>12.403</c:v>
                </c:pt>
                <c:pt idx="372" c:formatCode="0.00_);[Red]\(0.00\)">
                  <c:v>12.437</c:v>
                </c:pt>
                <c:pt idx="373" c:formatCode="0.00_);[Red]\(0.00\)">
                  <c:v>12.47</c:v>
                </c:pt>
                <c:pt idx="374" c:formatCode="0.00_);[Red]\(0.00\)">
                  <c:v>12.504</c:v>
                </c:pt>
                <c:pt idx="375" c:formatCode="0.00_);[Red]\(0.00\)">
                  <c:v>12.537</c:v>
                </c:pt>
                <c:pt idx="376" c:formatCode="0.00_);[Red]\(0.00\)">
                  <c:v>12.571</c:v>
                </c:pt>
                <c:pt idx="377" c:formatCode="0.00_);[Red]\(0.00\)">
                  <c:v>12.604</c:v>
                </c:pt>
                <c:pt idx="378" c:formatCode="0.00_);[Red]\(0.00\)">
                  <c:v>12.638</c:v>
                </c:pt>
                <c:pt idx="379" c:formatCode="0.00_);[Red]\(0.00\)">
                  <c:v>12.671</c:v>
                </c:pt>
              </c:numCache>
            </c:numRef>
          </c:cat>
          <c:val>
            <c:numRef>
              <c:f>B_11_42_37_转180!$K$4:$K$383</c:f>
              <c:numCache>
                <c:formatCode>0.000_ </c:formatCode>
                <c:ptCount val="380"/>
                <c:pt idx="0">
                  <c:v>0</c:v>
                </c:pt>
                <c:pt idx="1">
                  <c:v>0.0999999999999959</c:v>
                </c:pt>
                <c:pt idx="2">
                  <c:v>0.0999999999999959</c:v>
                </c:pt>
                <c:pt idx="3">
                  <c:v>0.199999999999992</c:v>
                </c:pt>
                <c:pt idx="4">
                  <c:v>0.199999999999992</c:v>
                </c:pt>
                <c:pt idx="5">
                  <c:v>0.199999999999992</c:v>
                </c:pt>
                <c:pt idx="6">
                  <c:v>0.199999999999992</c:v>
                </c:pt>
                <c:pt idx="7">
                  <c:v>0.300000000000022</c:v>
                </c:pt>
                <c:pt idx="8">
                  <c:v>0.0999999999999959</c:v>
                </c:pt>
                <c:pt idx="9">
                  <c:v>0.199999999999992</c:v>
                </c:pt>
                <c:pt idx="10">
                  <c:v>0.199999999999992</c:v>
                </c:pt>
                <c:pt idx="11">
                  <c:v>0.199999999999992</c:v>
                </c:pt>
                <c:pt idx="12">
                  <c:v>0.0999999999999959</c:v>
                </c:pt>
                <c:pt idx="13">
                  <c:v>0.0999999999999959</c:v>
                </c:pt>
                <c:pt idx="14">
                  <c:v>0</c:v>
                </c:pt>
                <c:pt idx="15">
                  <c:v>0.0999999999999959</c:v>
                </c:pt>
                <c:pt idx="16">
                  <c:v>0</c:v>
                </c:pt>
                <c:pt idx="17">
                  <c:v>-0.0999999999999959</c:v>
                </c:pt>
                <c:pt idx="18">
                  <c:v>-0.0999999999999959</c:v>
                </c:pt>
                <c:pt idx="19">
                  <c:v>-0.0999999999999959</c:v>
                </c:pt>
                <c:pt idx="20">
                  <c:v>-0.0999999999999959</c:v>
                </c:pt>
                <c:pt idx="21">
                  <c:v>-0.199999999999992</c:v>
                </c:pt>
                <c:pt idx="22">
                  <c:v>-0.199999999999992</c:v>
                </c:pt>
                <c:pt idx="23">
                  <c:v>-0.199999999999992</c:v>
                </c:pt>
                <c:pt idx="24">
                  <c:v>-0.299999999999988</c:v>
                </c:pt>
                <c:pt idx="25">
                  <c:v>-0.0999999999999959</c:v>
                </c:pt>
                <c:pt idx="26">
                  <c:v>-0.299999999999988</c:v>
                </c:pt>
                <c:pt idx="27">
                  <c:v>-0.199999999999992</c:v>
                </c:pt>
                <c:pt idx="28">
                  <c:v>-0.199999999999992</c:v>
                </c:pt>
                <c:pt idx="29">
                  <c:v>-0.199999999999992</c:v>
                </c:pt>
                <c:pt idx="30">
                  <c:v>-0.0999999999999959</c:v>
                </c:pt>
                <c:pt idx="31">
                  <c:v>-0.199999999999992</c:v>
                </c:pt>
                <c:pt idx="32">
                  <c:v>-0.0999999999999959</c:v>
                </c:pt>
                <c:pt idx="33">
                  <c:v>-0.199999999999992</c:v>
                </c:pt>
                <c:pt idx="34">
                  <c:v>-0.0999999999999959</c:v>
                </c:pt>
                <c:pt idx="35">
                  <c:v>0</c:v>
                </c:pt>
                <c:pt idx="36">
                  <c:v>0.0999999999999959</c:v>
                </c:pt>
                <c:pt idx="37">
                  <c:v>0.0999999999999959</c:v>
                </c:pt>
                <c:pt idx="38">
                  <c:v>0</c:v>
                </c:pt>
                <c:pt idx="39">
                  <c:v>0.0999999999999959</c:v>
                </c:pt>
                <c:pt idx="40">
                  <c:v>0.199999999999992</c:v>
                </c:pt>
                <c:pt idx="41">
                  <c:v>0.199999999999992</c:v>
                </c:pt>
                <c:pt idx="42">
                  <c:v>0.199999999999992</c:v>
                </c:pt>
                <c:pt idx="43">
                  <c:v>0.300000000000022</c:v>
                </c:pt>
                <c:pt idx="44">
                  <c:v>0.199999999999992</c:v>
                </c:pt>
                <c:pt idx="45">
                  <c:v>0.199999999999992</c:v>
                </c:pt>
                <c:pt idx="46">
                  <c:v>0.199999999999992</c:v>
                </c:pt>
                <c:pt idx="47">
                  <c:v>0.199999999999992</c:v>
                </c:pt>
                <c:pt idx="48">
                  <c:v>0.199999999999992</c:v>
                </c:pt>
                <c:pt idx="49">
                  <c:v>0.199999999999992</c:v>
                </c:pt>
                <c:pt idx="50">
                  <c:v>0.0999999999999959</c:v>
                </c:pt>
                <c:pt idx="51">
                  <c:v>0.0999999999999959</c:v>
                </c:pt>
                <c:pt idx="52">
                  <c:v>0</c:v>
                </c:pt>
                <c:pt idx="53">
                  <c:v>0</c:v>
                </c:pt>
                <c:pt idx="54">
                  <c:v>-0.0999999999999959</c:v>
                </c:pt>
                <c:pt idx="55">
                  <c:v>0</c:v>
                </c:pt>
                <c:pt idx="56">
                  <c:v>-0.0999999999999959</c:v>
                </c:pt>
                <c:pt idx="57">
                  <c:v>0</c:v>
                </c:pt>
                <c:pt idx="58">
                  <c:v>-0.0999999999999959</c:v>
                </c:pt>
                <c:pt idx="59">
                  <c:v>-0.199999999999992</c:v>
                </c:pt>
                <c:pt idx="60">
                  <c:v>-0.0999999999999959</c:v>
                </c:pt>
                <c:pt idx="61">
                  <c:v>-0.199999999999992</c:v>
                </c:pt>
                <c:pt idx="62">
                  <c:v>-0.199999999999992</c:v>
                </c:pt>
                <c:pt idx="63">
                  <c:v>-0.199999999999992</c:v>
                </c:pt>
                <c:pt idx="64">
                  <c:v>-0.199999999999992</c:v>
                </c:pt>
                <c:pt idx="65">
                  <c:v>-0.199999999999992</c:v>
                </c:pt>
                <c:pt idx="66">
                  <c:v>-0.199999999999992</c:v>
                </c:pt>
                <c:pt idx="67">
                  <c:v>-0.199999999999992</c:v>
                </c:pt>
                <c:pt idx="68">
                  <c:v>-0.199999999999992</c:v>
                </c:pt>
                <c:pt idx="69">
                  <c:v>-0.0999999999999959</c:v>
                </c:pt>
                <c:pt idx="70">
                  <c:v>-0.0999999999999959</c:v>
                </c:pt>
                <c:pt idx="71">
                  <c:v>-0.0999999999999959</c:v>
                </c:pt>
                <c:pt idx="72">
                  <c:v>-0.0999999999999959</c:v>
                </c:pt>
                <c:pt idx="73">
                  <c:v>-0.0999999999999959</c:v>
                </c:pt>
                <c:pt idx="74">
                  <c:v>0</c:v>
                </c:pt>
                <c:pt idx="75">
                  <c:v>0</c:v>
                </c:pt>
                <c:pt idx="76">
                  <c:v>0.0999999999999959</c:v>
                </c:pt>
                <c:pt idx="77">
                  <c:v>0.0999999999999959</c:v>
                </c:pt>
                <c:pt idx="78">
                  <c:v>0.0999999999999959</c:v>
                </c:pt>
                <c:pt idx="79">
                  <c:v>0.0999999999999959</c:v>
                </c:pt>
                <c:pt idx="80">
                  <c:v>0.0999999999999959</c:v>
                </c:pt>
                <c:pt idx="81">
                  <c:v>0.199999999999992</c:v>
                </c:pt>
                <c:pt idx="82">
                  <c:v>0.199999999999992</c:v>
                </c:pt>
                <c:pt idx="83">
                  <c:v>0.199999999999992</c:v>
                </c:pt>
                <c:pt idx="84">
                  <c:v>0.199999999999992</c:v>
                </c:pt>
                <c:pt idx="85">
                  <c:v>0.199999999999992</c:v>
                </c:pt>
                <c:pt idx="86">
                  <c:v>0.199999999999992</c:v>
                </c:pt>
                <c:pt idx="87">
                  <c:v>0.199999999999992</c:v>
                </c:pt>
                <c:pt idx="88">
                  <c:v>0.0999999999999959</c:v>
                </c:pt>
                <c:pt idx="89">
                  <c:v>0.199999999999992</c:v>
                </c:pt>
                <c:pt idx="90">
                  <c:v>0.0999999999999959</c:v>
                </c:pt>
                <c:pt idx="91">
                  <c:v>0</c:v>
                </c:pt>
                <c:pt idx="92">
                  <c:v>0.0999999999999959</c:v>
                </c:pt>
                <c:pt idx="93">
                  <c:v>0</c:v>
                </c:pt>
                <c:pt idx="94">
                  <c:v>0</c:v>
                </c:pt>
                <c:pt idx="95">
                  <c:v>-0.0999999999999959</c:v>
                </c:pt>
                <c:pt idx="96">
                  <c:v>-0.0999999999999959</c:v>
                </c:pt>
                <c:pt idx="97">
                  <c:v>-0.0999999999999959</c:v>
                </c:pt>
                <c:pt idx="98">
                  <c:v>-0.199999999999992</c:v>
                </c:pt>
                <c:pt idx="99">
                  <c:v>-0.0999999999999959</c:v>
                </c:pt>
                <c:pt idx="100">
                  <c:v>-0.299999999999988</c:v>
                </c:pt>
                <c:pt idx="101">
                  <c:v>-0.199999999999992</c:v>
                </c:pt>
                <c:pt idx="102">
                  <c:v>-0.199999999999992</c:v>
                </c:pt>
                <c:pt idx="103">
                  <c:v>-0.0999999999999959</c:v>
                </c:pt>
                <c:pt idx="104">
                  <c:v>-0.199999999999992</c:v>
                </c:pt>
                <c:pt idx="105">
                  <c:v>-0.199999999999992</c:v>
                </c:pt>
                <c:pt idx="106">
                  <c:v>-0.0999999999999959</c:v>
                </c:pt>
                <c:pt idx="107">
                  <c:v>0</c:v>
                </c:pt>
                <c:pt idx="108">
                  <c:v>0.0999999999999959</c:v>
                </c:pt>
                <c:pt idx="109">
                  <c:v>0.300000000000022</c:v>
                </c:pt>
                <c:pt idx="110">
                  <c:v>0.500000000000014</c:v>
                </c:pt>
                <c:pt idx="111">
                  <c:v>0.700000000000006</c:v>
                </c:pt>
                <c:pt idx="112">
                  <c:v>0.899999999999998</c:v>
                </c:pt>
                <c:pt idx="113">
                  <c:v>0.999999999999994</c:v>
                </c:pt>
                <c:pt idx="114">
                  <c:v>1.10000000000002</c:v>
                </c:pt>
                <c:pt idx="115">
                  <c:v>1.30000000000002</c:v>
                </c:pt>
                <c:pt idx="116">
                  <c:v>1.20000000000002</c:v>
                </c:pt>
                <c:pt idx="117">
                  <c:v>0.999999999999994</c:v>
                </c:pt>
                <c:pt idx="118">
                  <c:v>0.999999999999994</c:v>
                </c:pt>
                <c:pt idx="119">
                  <c:v>0.800000000000002</c:v>
                </c:pt>
                <c:pt idx="120">
                  <c:v>0.400000000000018</c:v>
                </c:pt>
                <c:pt idx="121">
                  <c:v>0.0999999999999959</c:v>
                </c:pt>
                <c:pt idx="122">
                  <c:v>-0.299999999999988</c:v>
                </c:pt>
                <c:pt idx="123">
                  <c:v>-0.49999999999998</c:v>
                </c:pt>
                <c:pt idx="124">
                  <c:v>-0.800000000000002</c:v>
                </c:pt>
                <c:pt idx="125">
                  <c:v>-1.19999999999999</c:v>
                </c:pt>
                <c:pt idx="126">
                  <c:v>-1.39999999999998</c:v>
                </c:pt>
                <c:pt idx="127">
                  <c:v>-1.89999999999999</c:v>
                </c:pt>
                <c:pt idx="128">
                  <c:v>-3.20000000000001</c:v>
                </c:pt>
                <c:pt idx="129">
                  <c:v>-3.69999999999999</c:v>
                </c:pt>
                <c:pt idx="130">
                  <c:v>-4.10000000000001</c:v>
                </c:pt>
                <c:pt idx="131">
                  <c:v>-4.3</c:v>
                </c:pt>
                <c:pt idx="132">
                  <c:v>-4.2</c:v>
                </c:pt>
                <c:pt idx="133">
                  <c:v>-3.99999999999998</c:v>
                </c:pt>
                <c:pt idx="134">
                  <c:v>-3.79999999999998</c:v>
                </c:pt>
                <c:pt idx="135">
                  <c:v>-3.5</c:v>
                </c:pt>
                <c:pt idx="136">
                  <c:v>-3.20000000000001</c:v>
                </c:pt>
                <c:pt idx="137">
                  <c:v>-2.89999999999999</c:v>
                </c:pt>
                <c:pt idx="138">
                  <c:v>-2.40000000000001</c:v>
                </c:pt>
                <c:pt idx="139">
                  <c:v>-1.89999999999999</c:v>
                </c:pt>
                <c:pt idx="140">
                  <c:v>-1.6</c:v>
                </c:pt>
                <c:pt idx="141">
                  <c:v>-1.19999999999999</c:v>
                </c:pt>
                <c:pt idx="142">
                  <c:v>-0.199999999999992</c:v>
                </c:pt>
                <c:pt idx="143">
                  <c:v>0.199999999999992</c:v>
                </c:pt>
                <c:pt idx="144">
                  <c:v>0.400000000000018</c:v>
                </c:pt>
                <c:pt idx="145">
                  <c:v>0.800000000000002</c:v>
                </c:pt>
                <c:pt idx="146">
                  <c:v>0.700000000000006</c:v>
                </c:pt>
                <c:pt idx="147">
                  <c:v>0.800000000000002</c:v>
                </c:pt>
                <c:pt idx="148">
                  <c:v>0.700000000000006</c:v>
                </c:pt>
                <c:pt idx="149">
                  <c:v>0.500000000000014</c:v>
                </c:pt>
                <c:pt idx="150">
                  <c:v>0.500000000000014</c:v>
                </c:pt>
                <c:pt idx="151">
                  <c:v>0.300000000000022</c:v>
                </c:pt>
                <c:pt idx="152">
                  <c:v>0</c:v>
                </c:pt>
                <c:pt idx="153">
                  <c:v>-0.199999999999992</c:v>
                </c:pt>
                <c:pt idx="154">
                  <c:v>-0.299999999999988</c:v>
                </c:pt>
                <c:pt idx="155">
                  <c:v>-0.399999999999984</c:v>
                </c:pt>
                <c:pt idx="156">
                  <c:v>-0.49999999999998</c:v>
                </c:pt>
                <c:pt idx="157">
                  <c:v>-0.599999999999976</c:v>
                </c:pt>
                <c:pt idx="158">
                  <c:v>-0.599999999999976</c:v>
                </c:pt>
                <c:pt idx="159">
                  <c:v>-0.700000000000006</c:v>
                </c:pt>
                <c:pt idx="160">
                  <c:v>-0.700000000000006</c:v>
                </c:pt>
                <c:pt idx="161">
                  <c:v>-0.800000000000002</c:v>
                </c:pt>
                <c:pt idx="162">
                  <c:v>-0.899999999999998</c:v>
                </c:pt>
                <c:pt idx="163">
                  <c:v>-0.800000000000002</c:v>
                </c:pt>
                <c:pt idx="164">
                  <c:v>-0.899999999999998</c:v>
                </c:pt>
                <c:pt idx="165">
                  <c:v>-0.899999999999998</c:v>
                </c:pt>
                <c:pt idx="166">
                  <c:v>-1.19999999999999</c:v>
                </c:pt>
                <c:pt idx="167">
                  <c:v>-1.39999999999998</c:v>
                </c:pt>
                <c:pt idx="168">
                  <c:v>-1.6</c:v>
                </c:pt>
                <c:pt idx="169">
                  <c:v>-2.79999999999999</c:v>
                </c:pt>
                <c:pt idx="170">
                  <c:v>-3.4</c:v>
                </c:pt>
                <c:pt idx="171">
                  <c:v>-3.79999999999998</c:v>
                </c:pt>
                <c:pt idx="172">
                  <c:v>-4.2</c:v>
                </c:pt>
                <c:pt idx="173">
                  <c:v>-4.39999999999999</c:v>
                </c:pt>
                <c:pt idx="174">
                  <c:v>-4.49999999999999</c:v>
                </c:pt>
                <c:pt idx="175">
                  <c:v>-4.49999999999999</c:v>
                </c:pt>
                <c:pt idx="176">
                  <c:v>-4.49999999999999</c:v>
                </c:pt>
                <c:pt idx="177">
                  <c:v>-4.3</c:v>
                </c:pt>
                <c:pt idx="178">
                  <c:v>-4.2</c:v>
                </c:pt>
                <c:pt idx="179">
                  <c:v>-4.10000000000001</c:v>
                </c:pt>
                <c:pt idx="180">
                  <c:v>-3.99999999999998</c:v>
                </c:pt>
                <c:pt idx="181">
                  <c:v>-3.69999999999999</c:v>
                </c:pt>
                <c:pt idx="182">
                  <c:v>-3.69999999999999</c:v>
                </c:pt>
                <c:pt idx="183">
                  <c:v>-3.5</c:v>
                </c:pt>
                <c:pt idx="184">
                  <c:v>-3.20000000000001</c:v>
                </c:pt>
                <c:pt idx="185">
                  <c:v>-2.89999999999999</c:v>
                </c:pt>
                <c:pt idx="186">
                  <c:v>-2.89999999999999</c:v>
                </c:pt>
                <c:pt idx="187">
                  <c:v>-2.6</c:v>
                </c:pt>
                <c:pt idx="188">
                  <c:v>-2.40000000000001</c:v>
                </c:pt>
                <c:pt idx="189">
                  <c:v>-2.19999999999998</c:v>
                </c:pt>
                <c:pt idx="190">
                  <c:v>-1.89999999999999</c:v>
                </c:pt>
                <c:pt idx="191">
                  <c:v>-1.7</c:v>
                </c:pt>
                <c:pt idx="192">
                  <c:v>-1.50000000000001</c:v>
                </c:pt>
                <c:pt idx="193">
                  <c:v>-0.399999999999984</c:v>
                </c:pt>
                <c:pt idx="194">
                  <c:v>0</c:v>
                </c:pt>
                <c:pt idx="195">
                  <c:v>0.199999999999992</c:v>
                </c:pt>
                <c:pt idx="196">
                  <c:v>0.400000000000018</c:v>
                </c:pt>
                <c:pt idx="197">
                  <c:v>0.400000000000018</c:v>
                </c:pt>
                <c:pt idx="198">
                  <c:v>0.400000000000018</c:v>
                </c:pt>
                <c:pt idx="199">
                  <c:v>0.300000000000022</c:v>
                </c:pt>
                <c:pt idx="200">
                  <c:v>0.300000000000022</c:v>
                </c:pt>
                <c:pt idx="201">
                  <c:v>0.199999999999992</c:v>
                </c:pt>
                <c:pt idx="202">
                  <c:v>0</c:v>
                </c:pt>
                <c:pt idx="203">
                  <c:v>-0.199999999999992</c:v>
                </c:pt>
                <c:pt idx="204">
                  <c:v>-0.299999999999988</c:v>
                </c:pt>
                <c:pt idx="205">
                  <c:v>-0.49999999999998</c:v>
                </c:pt>
                <c:pt idx="206">
                  <c:v>-0.700000000000006</c:v>
                </c:pt>
                <c:pt idx="207">
                  <c:v>-1.09999999999999</c:v>
                </c:pt>
                <c:pt idx="208">
                  <c:v>-1.39999999999998</c:v>
                </c:pt>
                <c:pt idx="209">
                  <c:v>-1.8</c:v>
                </c:pt>
                <c:pt idx="210">
                  <c:v>-2.89999999999999</c:v>
                </c:pt>
                <c:pt idx="211">
                  <c:v>-3.59999999999999</c:v>
                </c:pt>
                <c:pt idx="212">
                  <c:v>-3.79999999999998</c:v>
                </c:pt>
                <c:pt idx="213">
                  <c:v>-4.2</c:v>
                </c:pt>
                <c:pt idx="214">
                  <c:v>-4.3</c:v>
                </c:pt>
                <c:pt idx="215">
                  <c:v>-4.39999999999999</c:v>
                </c:pt>
                <c:pt idx="216">
                  <c:v>-4.3</c:v>
                </c:pt>
                <c:pt idx="217">
                  <c:v>-4.2</c:v>
                </c:pt>
                <c:pt idx="218">
                  <c:v>-4.10000000000001</c:v>
                </c:pt>
                <c:pt idx="219">
                  <c:v>-3.89999999999998</c:v>
                </c:pt>
                <c:pt idx="220">
                  <c:v>-3.69999999999999</c:v>
                </c:pt>
                <c:pt idx="221">
                  <c:v>-3.59999999999999</c:v>
                </c:pt>
                <c:pt idx="222">
                  <c:v>-3.5</c:v>
                </c:pt>
                <c:pt idx="223">
                  <c:v>-3.20000000000001</c:v>
                </c:pt>
                <c:pt idx="224">
                  <c:v>-3.09999999999998</c:v>
                </c:pt>
                <c:pt idx="225">
                  <c:v>-2.79999999999999</c:v>
                </c:pt>
                <c:pt idx="226">
                  <c:v>-2.69999999999999</c:v>
                </c:pt>
                <c:pt idx="227">
                  <c:v>-2.40000000000001</c:v>
                </c:pt>
                <c:pt idx="228">
                  <c:v>-2.19999999999998</c:v>
                </c:pt>
                <c:pt idx="229">
                  <c:v>-1.7</c:v>
                </c:pt>
                <c:pt idx="230">
                  <c:v>-1.6</c:v>
                </c:pt>
                <c:pt idx="231">
                  <c:v>-1.39999999999998</c:v>
                </c:pt>
                <c:pt idx="232">
                  <c:v>-0.399999999999984</c:v>
                </c:pt>
                <c:pt idx="233">
                  <c:v>-0.0999999999999959</c:v>
                </c:pt>
                <c:pt idx="234">
                  <c:v>0.300000000000022</c:v>
                </c:pt>
                <c:pt idx="235">
                  <c:v>0.300000000000022</c:v>
                </c:pt>
                <c:pt idx="236">
                  <c:v>0.500000000000014</c:v>
                </c:pt>
                <c:pt idx="237">
                  <c:v>0.500000000000014</c:v>
                </c:pt>
                <c:pt idx="238">
                  <c:v>0.500000000000014</c:v>
                </c:pt>
                <c:pt idx="239">
                  <c:v>0.400000000000018</c:v>
                </c:pt>
                <c:pt idx="240">
                  <c:v>0.300000000000022</c:v>
                </c:pt>
                <c:pt idx="241">
                  <c:v>0.0999999999999959</c:v>
                </c:pt>
                <c:pt idx="242">
                  <c:v>-0.0999999999999959</c:v>
                </c:pt>
                <c:pt idx="243">
                  <c:v>-0.199999999999992</c:v>
                </c:pt>
                <c:pt idx="244">
                  <c:v>-0.399999999999984</c:v>
                </c:pt>
                <c:pt idx="245">
                  <c:v>-0.49999999999998</c:v>
                </c:pt>
                <c:pt idx="246">
                  <c:v>-0.599999999999976</c:v>
                </c:pt>
                <c:pt idx="247">
                  <c:v>-0.899999999999998</c:v>
                </c:pt>
                <c:pt idx="248">
                  <c:v>-1.19999999999999</c:v>
                </c:pt>
                <c:pt idx="249">
                  <c:v>-1.50000000000001</c:v>
                </c:pt>
                <c:pt idx="250">
                  <c:v>-1.6</c:v>
                </c:pt>
                <c:pt idx="251">
                  <c:v>-2.79999999999999</c:v>
                </c:pt>
                <c:pt idx="252">
                  <c:v>-3.4</c:v>
                </c:pt>
                <c:pt idx="253">
                  <c:v>-3.79999999999998</c:v>
                </c:pt>
                <c:pt idx="254">
                  <c:v>-3.89999999999998</c:v>
                </c:pt>
                <c:pt idx="255">
                  <c:v>-3.99999999999998</c:v>
                </c:pt>
                <c:pt idx="256">
                  <c:v>-4.10000000000001</c:v>
                </c:pt>
                <c:pt idx="257">
                  <c:v>-4.10000000000001</c:v>
                </c:pt>
                <c:pt idx="258">
                  <c:v>-3.79999999999998</c:v>
                </c:pt>
                <c:pt idx="259">
                  <c:v>-3.69999999999999</c:v>
                </c:pt>
                <c:pt idx="260">
                  <c:v>-3.5</c:v>
                </c:pt>
                <c:pt idx="261">
                  <c:v>-3.3</c:v>
                </c:pt>
                <c:pt idx="262">
                  <c:v>-3.20000000000001</c:v>
                </c:pt>
                <c:pt idx="263">
                  <c:v>-2.89999999999999</c:v>
                </c:pt>
                <c:pt idx="264">
                  <c:v>-2.6</c:v>
                </c:pt>
                <c:pt idx="265">
                  <c:v>-2.40000000000001</c:v>
                </c:pt>
                <c:pt idx="266">
                  <c:v>-1.89999999999999</c:v>
                </c:pt>
                <c:pt idx="267">
                  <c:v>-1.8</c:v>
                </c:pt>
                <c:pt idx="268">
                  <c:v>-1.50000000000001</c:v>
                </c:pt>
                <c:pt idx="269">
                  <c:v>-1.39999999999998</c:v>
                </c:pt>
                <c:pt idx="270">
                  <c:v>-0.49999999999998</c:v>
                </c:pt>
                <c:pt idx="271">
                  <c:v>0</c:v>
                </c:pt>
                <c:pt idx="272">
                  <c:v>0.199999999999992</c:v>
                </c:pt>
                <c:pt idx="273">
                  <c:v>0.500000000000014</c:v>
                </c:pt>
                <c:pt idx="274">
                  <c:v>0.60000000000001</c:v>
                </c:pt>
                <c:pt idx="275">
                  <c:v>0.60000000000001</c:v>
                </c:pt>
                <c:pt idx="276">
                  <c:v>0.700000000000006</c:v>
                </c:pt>
                <c:pt idx="277">
                  <c:v>0.60000000000001</c:v>
                </c:pt>
                <c:pt idx="278">
                  <c:v>0.500000000000014</c:v>
                </c:pt>
                <c:pt idx="279">
                  <c:v>0.400000000000018</c:v>
                </c:pt>
                <c:pt idx="280">
                  <c:v>0.0999999999999959</c:v>
                </c:pt>
                <c:pt idx="281">
                  <c:v>0.0999999999999959</c:v>
                </c:pt>
                <c:pt idx="282">
                  <c:v>0</c:v>
                </c:pt>
                <c:pt idx="283">
                  <c:v>-0.299999999999988</c:v>
                </c:pt>
                <c:pt idx="284">
                  <c:v>-0.399999999999984</c:v>
                </c:pt>
                <c:pt idx="285">
                  <c:v>-0.49999999999998</c:v>
                </c:pt>
                <c:pt idx="286">
                  <c:v>-0.599999999999976</c:v>
                </c:pt>
                <c:pt idx="287">
                  <c:v>-0.899999999999998</c:v>
                </c:pt>
                <c:pt idx="288">
                  <c:v>-1.09999999999999</c:v>
                </c:pt>
                <c:pt idx="289">
                  <c:v>-1.39999999999998</c:v>
                </c:pt>
                <c:pt idx="290">
                  <c:v>-1.6</c:v>
                </c:pt>
                <c:pt idx="291">
                  <c:v>-2.6</c:v>
                </c:pt>
                <c:pt idx="292">
                  <c:v>-3.20000000000001</c:v>
                </c:pt>
                <c:pt idx="293">
                  <c:v>-3.79999999999998</c:v>
                </c:pt>
                <c:pt idx="294">
                  <c:v>-3.69999999999999</c:v>
                </c:pt>
                <c:pt idx="295">
                  <c:v>-3.59999999999999</c:v>
                </c:pt>
                <c:pt idx="296">
                  <c:v>-3.89999999999998</c:v>
                </c:pt>
                <c:pt idx="297">
                  <c:v>-3.79999999999998</c:v>
                </c:pt>
                <c:pt idx="298">
                  <c:v>-3.59999999999999</c:v>
                </c:pt>
                <c:pt idx="299">
                  <c:v>-3.4</c:v>
                </c:pt>
                <c:pt idx="300">
                  <c:v>-3.20000000000001</c:v>
                </c:pt>
                <c:pt idx="301">
                  <c:v>-2.99999999999998</c:v>
                </c:pt>
                <c:pt idx="302">
                  <c:v>-2.79999999999999</c:v>
                </c:pt>
                <c:pt idx="303">
                  <c:v>-2.5</c:v>
                </c:pt>
                <c:pt idx="304">
                  <c:v>-2.29999999999998</c:v>
                </c:pt>
                <c:pt idx="305">
                  <c:v>-2.09999999999998</c:v>
                </c:pt>
                <c:pt idx="306">
                  <c:v>-1.8</c:v>
                </c:pt>
                <c:pt idx="307">
                  <c:v>-1.6</c:v>
                </c:pt>
                <c:pt idx="308">
                  <c:v>-1.39999999999998</c:v>
                </c:pt>
                <c:pt idx="309">
                  <c:v>-0.49999999999998</c:v>
                </c:pt>
                <c:pt idx="310">
                  <c:v>0</c:v>
                </c:pt>
                <c:pt idx="311">
                  <c:v>0.400000000000018</c:v>
                </c:pt>
                <c:pt idx="312">
                  <c:v>0.500000000000014</c:v>
                </c:pt>
                <c:pt idx="313">
                  <c:v>0.60000000000001</c:v>
                </c:pt>
                <c:pt idx="314">
                  <c:v>0.700000000000006</c:v>
                </c:pt>
                <c:pt idx="315">
                  <c:v>0.700000000000006</c:v>
                </c:pt>
                <c:pt idx="316">
                  <c:v>0.60000000000001</c:v>
                </c:pt>
                <c:pt idx="317">
                  <c:v>0.500000000000014</c:v>
                </c:pt>
                <c:pt idx="318">
                  <c:v>0.500000000000014</c:v>
                </c:pt>
                <c:pt idx="319">
                  <c:v>0.300000000000022</c:v>
                </c:pt>
                <c:pt idx="320">
                  <c:v>0.199999999999992</c:v>
                </c:pt>
                <c:pt idx="321">
                  <c:v>0</c:v>
                </c:pt>
                <c:pt idx="322">
                  <c:v>-0.199999999999992</c:v>
                </c:pt>
                <c:pt idx="323">
                  <c:v>-0.399999999999984</c:v>
                </c:pt>
                <c:pt idx="324">
                  <c:v>-0.599999999999976</c:v>
                </c:pt>
                <c:pt idx="325">
                  <c:v>-0.599999999999976</c:v>
                </c:pt>
                <c:pt idx="326">
                  <c:v>-0.800000000000002</c:v>
                </c:pt>
                <c:pt idx="327">
                  <c:v>-0.999999999999994</c:v>
                </c:pt>
                <c:pt idx="328">
                  <c:v>-1.19999999999999</c:v>
                </c:pt>
                <c:pt idx="329">
                  <c:v>-1.39999999999998</c:v>
                </c:pt>
                <c:pt idx="330">
                  <c:v>-1.50000000000001</c:v>
                </c:pt>
                <c:pt idx="331">
                  <c:v>-1.7</c:v>
                </c:pt>
                <c:pt idx="332">
                  <c:v>-2.6</c:v>
                </c:pt>
                <c:pt idx="333">
                  <c:v>-3.09999999999998</c:v>
                </c:pt>
                <c:pt idx="334">
                  <c:v>-3.4</c:v>
                </c:pt>
                <c:pt idx="335">
                  <c:v>-3.5</c:v>
                </c:pt>
                <c:pt idx="336">
                  <c:v>-3.5</c:v>
                </c:pt>
                <c:pt idx="337">
                  <c:v>-3.4</c:v>
                </c:pt>
                <c:pt idx="338">
                  <c:v>-3.20000000000001</c:v>
                </c:pt>
                <c:pt idx="339">
                  <c:v>-3.09999999999998</c:v>
                </c:pt>
                <c:pt idx="340">
                  <c:v>-2.99999999999998</c:v>
                </c:pt>
                <c:pt idx="341">
                  <c:v>-2.69999999999999</c:v>
                </c:pt>
                <c:pt idx="342">
                  <c:v>-2.5</c:v>
                </c:pt>
                <c:pt idx="343">
                  <c:v>-2.29999999999998</c:v>
                </c:pt>
                <c:pt idx="344">
                  <c:v>-1.99999999999999</c:v>
                </c:pt>
                <c:pt idx="345">
                  <c:v>-1.89999999999999</c:v>
                </c:pt>
                <c:pt idx="346">
                  <c:v>-1.50000000000001</c:v>
                </c:pt>
                <c:pt idx="347">
                  <c:v>-0.700000000000006</c:v>
                </c:pt>
                <c:pt idx="348">
                  <c:v>-0.0999999999999959</c:v>
                </c:pt>
                <c:pt idx="349">
                  <c:v>0.300000000000022</c:v>
                </c:pt>
                <c:pt idx="350">
                  <c:v>0.60000000000001</c:v>
                </c:pt>
                <c:pt idx="351">
                  <c:v>0.700000000000006</c:v>
                </c:pt>
                <c:pt idx="352">
                  <c:v>0.700000000000006</c:v>
                </c:pt>
                <c:pt idx="353">
                  <c:v>0.800000000000002</c:v>
                </c:pt>
                <c:pt idx="354">
                  <c:v>0.800000000000002</c:v>
                </c:pt>
                <c:pt idx="355">
                  <c:v>0.700000000000006</c:v>
                </c:pt>
                <c:pt idx="356">
                  <c:v>0.60000000000001</c:v>
                </c:pt>
                <c:pt idx="357">
                  <c:v>0.500000000000014</c:v>
                </c:pt>
                <c:pt idx="358">
                  <c:v>0.300000000000022</c:v>
                </c:pt>
                <c:pt idx="359">
                  <c:v>0.199999999999992</c:v>
                </c:pt>
                <c:pt idx="360">
                  <c:v>0.0999999999999959</c:v>
                </c:pt>
                <c:pt idx="361">
                  <c:v>-0.199999999999992</c:v>
                </c:pt>
                <c:pt idx="362">
                  <c:v>-0.299999999999988</c:v>
                </c:pt>
                <c:pt idx="363">
                  <c:v>-0.49999999999998</c:v>
                </c:pt>
                <c:pt idx="364">
                  <c:v>-0.599999999999976</c:v>
                </c:pt>
                <c:pt idx="365">
                  <c:v>-0.700000000000006</c:v>
                </c:pt>
                <c:pt idx="366">
                  <c:v>-0.899999999999998</c:v>
                </c:pt>
                <c:pt idx="367">
                  <c:v>-1.19999999999999</c:v>
                </c:pt>
                <c:pt idx="368">
                  <c:v>-1.29999999999998</c:v>
                </c:pt>
                <c:pt idx="369">
                  <c:v>-1.39999999999998</c:v>
                </c:pt>
                <c:pt idx="370">
                  <c:v>-1.6</c:v>
                </c:pt>
                <c:pt idx="371">
                  <c:v>-2.5</c:v>
                </c:pt>
                <c:pt idx="372">
                  <c:v>-2.99999999999998</c:v>
                </c:pt>
                <c:pt idx="373">
                  <c:v>-3.20000000000001</c:v>
                </c:pt>
                <c:pt idx="374">
                  <c:v>-3.5</c:v>
                </c:pt>
                <c:pt idx="375">
                  <c:v>-3.4</c:v>
                </c:pt>
                <c:pt idx="376">
                  <c:v>-3.4</c:v>
                </c:pt>
                <c:pt idx="377">
                  <c:v>-3.3</c:v>
                </c:pt>
                <c:pt idx="378">
                  <c:v>-2.99999999999998</c:v>
                </c:pt>
                <c:pt idx="379">
                  <c:v>-2.89999999999999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B_11_42_37_转180!$L$3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B_11_42_37_转180!$J$4:$J$383</c:f>
              <c:numCache>
                <c:formatCode>0.00_);[Red]\(0.00\)</c:formatCode>
                <c:ptCount val="380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1.204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1.438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1.672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1.973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2.207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2.374</c:v>
                </c:pt>
                <c:pt idx="72" c:formatCode="0.00_);[Red]\(0.00\)">
                  <c:v>2.407</c:v>
                </c:pt>
                <c:pt idx="73" c:formatCode="0.00_);[Red]\(0.00\)">
                  <c:v>2.441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2.608</c:v>
                </c:pt>
                <c:pt idx="79" c:formatCode="0.00_);[Red]\(0.00\)">
                  <c:v>2.641</c:v>
                </c:pt>
                <c:pt idx="80" c:formatCode="0.00_);[Red]\(0.00\)">
                  <c:v>2.675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2.842</c:v>
                </c:pt>
                <c:pt idx="86" c:formatCode="0.00_);[Red]\(0.00\)">
                  <c:v>2.875</c:v>
                </c:pt>
                <c:pt idx="87" c:formatCode="0.00_);[Red]\(0.00\)">
                  <c:v>2.909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3.076</c:v>
                </c:pt>
                <c:pt idx="93" c:formatCode="0.00_);[Red]\(0.00\)">
                  <c:v>3.109</c:v>
                </c:pt>
                <c:pt idx="94" c:formatCode="0.00_);[Red]\(0.00\)">
                  <c:v>3.143</c:v>
                </c:pt>
                <c:pt idx="95" c:formatCode="0.00_);[Red]\(0.00\)">
                  <c:v>3.176</c:v>
                </c:pt>
                <c:pt idx="96" c:formatCode="0.00_);[Red]\(0.00\)">
                  <c:v>3.21</c:v>
                </c:pt>
                <c:pt idx="97" c:formatCode="0.00_);[Red]\(0.00\)">
                  <c:v>3.243</c:v>
                </c:pt>
                <c:pt idx="98" c:formatCode="0.00_);[Red]\(0.00\)">
                  <c:v>3.276</c:v>
                </c:pt>
                <c:pt idx="99" c:formatCode="0.00_);[Red]\(0.00\)">
                  <c:v>3.31</c:v>
                </c:pt>
                <c:pt idx="100" c:formatCode="0.00_);[Red]\(0.00\)">
                  <c:v>3.343</c:v>
                </c:pt>
                <c:pt idx="101" c:formatCode="0.00_);[Red]\(0.00\)">
                  <c:v>3.377</c:v>
                </c:pt>
                <c:pt idx="102" c:formatCode="0.00_);[Red]\(0.00\)">
                  <c:v>3.41</c:v>
                </c:pt>
                <c:pt idx="103" c:formatCode="0.00_);[Red]\(0.00\)">
                  <c:v>3.444</c:v>
                </c:pt>
                <c:pt idx="104" c:formatCode="0.00_);[Red]\(0.00\)">
                  <c:v>3.477</c:v>
                </c:pt>
                <c:pt idx="105" c:formatCode="0.00_);[Red]\(0.00\)">
                  <c:v>3.51</c:v>
                </c:pt>
                <c:pt idx="106" c:formatCode="0.00_);[Red]\(0.00\)">
                  <c:v>3.544</c:v>
                </c:pt>
                <c:pt idx="107" c:formatCode="0.00_);[Red]\(0.00\)">
                  <c:v>3.577</c:v>
                </c:pt>
                <c:pt idx="108" c:formatCode="0.00_);[Red]\(0.00\)">
                  <c:v>3.611</c:v>
                </c:pt>
                <c:pt idx="109" c:formatCode="0.00_);[Red]\(0.00\)">
                  <c:v>3.644</c:v>
                </c:pt>
                <c:pt idx="110" c:formatCode="0.00_);[Red]\(0.00\)">
                  <c:v>3.678</c:v>
                </c:pt>
                <c:pt idx="111" c:formatCode="0.00_);[Red]\(0.00\)">
                  <c:v>3.711</c:v>
                </c:pt>
                <c:pt idx="112" c:formatCode="0.00_);[Red]\(0.00\)">
                  <c:v>3.744</c:v>
                </c:pt>
                <c:pt idx="113" c:formatCode="0.00_);[Red]\(0.00\)">
                  <c:v>3.778</c:v>
                </c:pt>
                <c:pt idx="114" c:formatCode="0.00_);[Red]\(0.00\)">
                  <c:v>3.811</c:v>
                </c:pt>
                <c:pt idx="115" c:formatCode="0.00_);[Red]\(0.00\)">
                  <c:v>3.845</c:v>
                </c:pt>
                <c:pt idx="116" c:formatCode="0.00_);[Red]\(0.00\)">
                  <c:v>3.878</c:v>
                </c:pt>
                <c:pt idx="117" c:formatCode="0.00_);[Red]\(0.00\)">
                  <c:v>3.912</c:v>
                </c:pt>
                <c:pt idx="118" c:formatCode="0.00_);[Red]\(0.00\)">
                  <c:v>3.945</c:v>
                </c:pt>
                <c:pt idx="119" c:formatCode="0.00_);[Red]\(0.00\)">
                  <c:v>3.978</c:v>
                </c:pt>
                <c:pt idx="120" c:formatCode="0.00_);[Red]\(0.00\)">
                  <c:v>4.012</c:v>
                </c:pt>
                <c:pt idx="121" c:formatCode="0.00_);[Red]\(0.00\)">
                  <c:v>4.045</c:v>
                </c:pt>
                <c:pt idx="122" c:formatCode="0.00_);[Red]\(0.00\)">
                  <c:v>4.079</c:v>
                </c:pt>
                <c:pt idx="123" c:formatCode="0.00_);[Red]\(0.00\)">
                  <c:v>4.112</c:v>
                </c:pt>
                <c:pt idx="124" c:formatCode="0.00_);[Red]\(0.00\)">
                  <c:v>4.146</c:v>
                </c:pt>
                <c:pt idx="125" c:formatCode="0.00_);[Red]\(0.00\)">
                  <c:v>4.179</c:v>
                </c:pt>
                <c:pt idx="126" c:formatCode="0.00_);[Red]\(0.00\)">
                  <c:v>4.213</c:v>
                </c:pt>
                <c:pt idx="127" c:formatCode="0.00_);[Red]\(0.00\)">
                  <c:v>4.246</c:v>
                </c:pt>
                <c:pt idx="128" c:formatCode="0.00_);[Red]\(0.00\)">
                  <c:v>4.279</c:v>
                </c:pt>
                <c:pt idx="129" c:formatCode="0.00_);[Red]\(0.00\)">
                  <c:v>4.313</c:v>
                </c:pt>
                <c:pt idx="130" c:formatCode="0.00_);[Red]\(0.00\)">
                  <c:v>4.346</c:v>
                </c:pt>
                <c:pt idx="131" c:formatCode="0.00_);[Red]\(0.00\)">
                  <c:v>4.38</c:v>
                </c:pt>
                <c:pt idx="132" c:formatCode="0.00_);[Red]\(0.00\)">
                  <c:v>4.413</c:v>
                </c:pt>
                <c:pt idx="133" c:formatCode="0.00_);[Red]\(0.00\)">
                  <c:v>4.447</c:v>
                </c:pt>
                <c:pt idx="134" c:formatCode="0.00_);[Red]\(0.00\)">
                  <c:v>4.48</c:v>
                </c:pt>
                <c:pt idx="135" c:formatCode="0.00_);[Red]\(0.00\)">
                  <c:v>4.513</c:v>
                </c:pt>
                <c:pt idx="136" c:formatCode="0.00_);[Red]\(0.00\)">
                  <c:v>4.547</c:v>
                </c:pt>
                <c:pt idx="137" c:formatCode="0.00_);[Red]\(0.00\)">
                  <c:v>4.58</c:v>
                </c:pt>
                <c:pt idx="138" c:formatCode="0.00_);[Red]\(0.00\)">
                  <c:v>4.614</c:v>
                </c:pt>
                <c:pt idx="139" c:formatCode="0.00_);[Red]\(0.00\)">
                  <c:v>4.647</c:v>
                </c:pt>
                <c:pt idx="140" c:formatCode="0.00_);[Red]\(0.00\)">
                  <c:v>4.681</c:v>
                </c:pt>
                <c:pt idx="141" c:formatCode="0.00_);[Red]\(0.00\)">
                  <c:v>4.714</c:v>
                </c:pt>
                <c:pt idx="142" c:formatCode="0.00_);[Red]\(0.00\)">
                  <c:v>4.747</c:v>
                </c:pt>
                <c:pt idx="143" c:formatCode="0.00_);[Red]\(0.00\)">
                  <c:v>4.781</c:v>
                </c:pt>
                <c:pt idx="144" c:formatCode="0.00_);[Red]\(0.00\)">
                  <c:v>4.814</c:v>
                </c:pt>
                <c:pt idx="145" c:formatCode="0.00_);[Red]\(0.00\)">
                  <c:v>4.848</c:v>
                </c:pt>
                <c:pt idx="146" c:formatCode="0.00_);[Red]\(0.00\)">
                  <c:v>4.881</c:v>
                </c:pt>
                <c:pt idx="147" c:formatCode="0.00_);[Red]\(0.00\)">
                  <c:v>4.915</c:v>
                </c:pt>
                <c:pt idx="148" c:formatCode="0.00_);[Red]\(0.00\)">
                  <c:v>4.948</c:v>
                </c:pt>
                <c:pt idx="149" c:formatCode="0.00_);[Red]\(0.00\)">
                  <c:v>4.981</c:v>
                </c:pt>
                <c:pt idx="150" c:formatCode="0.00_);[Red]\(0.00\)">
                  <c:v>5.015</c:v>
                </c:pt>
                <c:pt idx="151" c:formatCode="0.00_);[Red]\(0.00\)">
                  <c:v>5.048</c:v>
                </c:pt>
                <c:pt idx="152" c:formatCode="0.00_);[Red]\(0.00\)">
                  <c:v>5.082</c:v>
                </c:pt>
                <c:pt idx="153" c:formatCode="0.00_);[Red]\(0.00\)">
                  <c:v>5.115</c:v>
                </c:pt>
                <c:pt idx="154" c:formatCode="0.00_);[Red]\(0.00\)">
                  <c:v>5.149</c:v>
                </c:pt>
                <c:pt idx="155" c:formatCode="0.00_);[Red]\(0.00\)">
                  <c:v>5.182</c:v>
                </c:pt>
                <c:pt idx="156" c:formatCode="0.00_);[Red]\(0.00\)">
                  <c:v>5.215</c:v>
                </c:pt>
                <c:pt idx="157" c:formatCode="0.00_);[Red]\(0.00\)">
                  <c:v>5.249</c:v>
                </c:pt>
                <c:pt idx="158" c:formatCode="0.00_);[Red]\(0.00\)">
                  <c:v>5.282</c:v>
                </c:pt>
                <c:pt idx="159" c:formatCode="0.00_);[Red]\(0.00\)">
                  <c:v>5.316</c:v>
                </c:pt>
                <c:pt idx="160" c:formatCode="0.00_);[Red]\(0.00\)">
                  <c:v>5.349</c:v>
                </c:pt>
                <c:pt idx="161" c:formatCode="0.00_);[Red]\(0.00\)">
                  <c:v>5.383</c:v>
                </c:pt>
                <c:pt idx="162" c:formatCode="0.00_);[Red]\(0.00\)">
                  <c:v>5.416</c:v>
                </c:pt>
                <c:pt idx="163" c:formatCode="0.00_);[Red]\(0.00\)">
                  <c:v>5.45</c:v>
                </c:pt>
                <c:pt idx="164" c:formatCode="0.00_);[Red]\(0.00\)">
                  <c:v>5.483</c:v>
                </c:pt>
                <c:pt idx="165" c:formatCode="0.00_);[Red]\(0.00\)">
                  <c:v>5.516</c:v>
                </c:pt>
                <c:pt idx="166" c:formatCode="0.00_);[Red]\(0.00\)">
                  <c:v>5.55</c:v>
                </c:pt>
                <c:pt idx="167" c:formatCode="0.00_);[Red]\(0.00\)">
                  <c:v>5.583</c:v>
                </c:pt>
                <c:pt idx="168" c:formatCode="0.00_);[Red]\(0.00\)">
                  <c:v>5.617</c:v>
                </c:pt>
                <c:pt idx="169" c:formatCode="0.00_);[Red]\(0.00\)">
                  <c:v>5.65</c:v>
                </c:pt>
                <c:pt idx="170" c:formatCode="0.00_);[Red]\(0.00\)">
                  <c:v>5.684</c:v>
                </c:pt>
                <c:pt idx="171" c:formatCode="0.00_);[Red]\(0.00\)">
                  <c:v>5.717</c:v>
                </c:pt>
                <c:pt idx="172" c:formatCode="0.00_);[Red]\(0.00\)">
                  <c:v>5.75</c:v>
                </c:pt>
                <c:pt idx="173" c:formatCode="0.00_);[Red]\(0.00\)">
                  <c:v>5.784</c:v>
                </c:pt>
                <c:pt idx="174" c:formatCode="0.00_);[Red]\(0.00\)">
                  <c:v>5.817</c:v>
                </c:pt>
                <c:pt idx="175" c:formatCode="0.00_);[Red]\(0.00\)">
                  <c:v>5.851</c:v>
                </c:pt>
                <c:pt idx="176" c:formatCode="0.00_);[Red]\(0.00\)">
                  <c:v>5.884</c:v>
                </c:pt>
                <c:pt idx="177" c:formatCode="0.00_);[Red]\(0.00\)">
                  <c:v>5.918</c:v>
                </c:pt>
                <c:pt idx="178" c:formatCode="0.00_);[Red]\(0.00\)">
                  <c:v>5.951</c:v>
                </c:pt>
                <c:pt idx="179" c:formatCode="0.00_);[Red]\(0.00\)">
                  <c:v>5.984</c:v>
                </c:pt>
                <c:pt idx="180" c:formatCode="0.00_);[Red]\(0.00\)">
                  <c:v>6.018</c:v>
                </c:pt>
                <c:pt idx="181" c:formatCode="0.00_);[Red]\(0.00\)">
                  <c:v>6.051</c:v>
                </c:pt>
                <c:pt idx="182" c:formatCode="0.00_);[Red]\(0.00\)">
                  <c:v>6.085</c:v>
                </c:pt>
                <c:pt idx="183" c:formatCode="0.00_);[Red]\(0.00\)">
                  <c:v>6.118</c:v>
                </c:pt>
                <c:pt idx="184" c:formatCode="0.00_);[Red]\(0.00\)">
                  <c:v>6.152</c:v>
                </c:pt>
                <c:pt idx="185" c:formatCode="0.00_);[Red]\(0.00\)">
                  <c:v>6.185</c:v>
                </c:pt>
                <c:pt idx="186" c:formatCode="0.00_);[Red]\(0.00\)">
                  <c:v>6.218</c:v>
                </c:pt>
                <c:pt idx="187" c:formatCode="0.00_);[Red]\(0.00\)">
                  <c:v>6.252</c:v>
                </c:pt>
                <c:pt idx="188" c:formatCode="0.00_);[Red]\(0.00\)">
                  <c:v>6.285</c:v>
                </c:pt>
                <c:pt idx="189" c:formatCode="0.00_);[Red]\(0.00\)">
                  <c:v>6.319</c:v>
                </c:pt>
                <c:pt idx="190" c:formatCode="0.00_);[Red]\(0.00\)">
                  <c:v>6.352</c:v>
                </c:pt>
                <c:pt idx="191" c:formatCode="0.00_);[Red]\(0.00\)">
                  <c:v>6.386</c:v>
                </c:pt>
                <c:pt idx="192" c:formatCode="0.00_);[Red]\(0.00\)">
                  <c:v>6.419</c:v>
                </c:pt>
                <c:pt idx="193" c:formatCode="0.00_);[Red]\(0.00\)">
                  <c:v>6.452</c:v>
                </c:pt>
                <c:pt idx="194" c:formatCode="0.00_);[Red]\(0.00\)">
                  <c:v>6.486</c:v>
                </c:pt>
                <c:pt idx="195" c:formatCode="0.00_);[Red]\(0.00\)">
                  <c:v>6.519</c:v>
                </c:pt>
                <c:pt idx="196" c:formatCode="0.00_);[Red]\(0.00\)">
                  <c:v>6.553</c:v>
                </c:pt>
                <c:pt idx="197" c:formatCode="0.00_);[Red]\(0.00\)">
                  <c:v>6.586</c:v>
                </c:pt>
                <c:pt idx="198" c:formatCode="0.00_);[Red]\(0.00\)">
                  <c:v>6.62</c:v>
                </c:pt>
                <c:pt idx="199" c:formatCode="0.00_);[Red]\(0.00\)">
                  <c:v>6.653</c:v>
                </c:pt>
                <c:pt idx="200" c:formatCode="0.00_);[Red]\(0.00\)">
                  <c:v>6.687</c:v>
                </c:pt>
                <c:pt idx="201" c:formatCode="0.00_);[Red]\(0.00\)">
                  <c:v>6.72</c:v>
                </c:pt>
                <c:pt idx="202" c:formatCode="0.00_);[Red]\(0.00\)">
                  <c:v>6.753</c:v>
                </c:pt>
                <c:pt idx="203" c:formatCode="0.00_);[Red]\(0.00\)">
                  <c:v>6.787</c:v>
                </c:pt>
                <c:pt idx="204" c:formatCode="0.00_);[Red]\(0.00\)">
                  <c:v>6.82</c:v>
                </c:pt>
                <c:pt idx="205" c:formatCode="0.00_);[Red]\(0.00\)">
                  <c:v>6.854</c:v>
                </c:pt>
                <c:pt idx="206" c:formatCode="0.00_);[Red]\(0.00\)">
                  <c:v>6.887</c:v>
                </c:pt>
                <c:pt idx="207" c:formatCode="0.00_);[Red]\(0.00\)">
                  <c:v>6.921</c:v>
                </c:pt>
                <c:pt idx="208" c:formatCode="0.00_);[Red]\(0.00\)">
                  <c:v>6.954</c:v>
                </c:pt>
                <c:pt idx="209" c:formatCode="0.00_);[Red]\(0.00\)">
                  <c:v>6.987</c:v>
                </c:pt>
                <c:pt idx="210" c:formatCode="0.00_);[Red]\(0.00\)">
                  <c:v>7.021</c:v>
                </c:pt>
                <c:pt idx="211" c:formatCode="0.00_);[Red]\(0.00\)">
                  <c:v>7.054</c:v>
                </c:pt>
                <c:pt idx="212" c:formatCode="0.00_);[Red]\(0.00\)">
                  <c:v>7.088</c:v>
                </c:pt>
                <c:pt idx="213" c:formatCode="0.00_);[Red]\(0.00\)">
                  <c:v>7.121</c:v>
                </c:pt>
                <c:pt idx="214" c:formatCode="0.00_);[Red]\(0.00\)">
                  <c:v>7.155</c:v>
                </c:pt>
                <c:pt idx="215" c:formatCode="0.00_);[Red]\(0.00\)">
                  <c:v>7.188</c:v>
                </c:pt>
                <c:pt idx="216" c:formatCode="0.00_);[Red]\(0.00\)">
                  <c:v>7.221</c:v>
                </c:pt>
                <c:pt idx="217" c:formatCode="0.00_);[Red]\(0.00\)">
                  <c:v>7.255</c:v>
                </c:pt>
                <c:pt idx="218" c:formatCode="0.00_);[Red]\(0.00\)">
                  <c:v>7.288</c:v>
                </c:pt>
                <c:pt idx="219" c:formatCode="0.00_);[Red]\(0.00\)">
                  <c:v>7.322</c:v>
                </c:pt>
                <c:pt idx="220" c:formatCode="0.00_);[Red]\(0.00\)">
                  <c:v>7.355</c:v>
                </c:pt>
                <c:pt idx="221" c:formatCode="0.00_);[Red]\(0.00\)">
                  <c:v>7.389</c:v>
                </c:pt>
                <c:pt idx="222" c:formatCode="0.00_);[Red]\(0.00\)">
                  <c:v>7.422</c:v>
                </c:pt>
                <c:pt idx="223" c:formatCode="0.00_);[Red]\(0.00\)">
                  <c:v>7.455</c:v>
                </c:pt>
                <c:pt idx="224" c:formatCode="0.00_);[Red]\(0.00\)">
                  <c:v>7.489</c:v>
                </c:pt>
                <c:pt idx="225" c:formatCode="0.00_);[Red]\(0.00\)">
                  <c:v>7.522</c:v>
                </c:pt>
                <c:pt idx="226" c:formatCode="0.00_);[Red]\(0.00\)">
                  <c:v>7.556</c:v>
                </c:pt>
                <c:pt idx="227" c:formatCode="0.00_);[Red]\(0.00\)">
                  <c:v>7.589</c:v>
                </c:pt>
                <c:pt idx="228" c:formatCode="0.00_);[Red]\(0.00\)">
                  <c:v>7.623</c:v>
                </c:pt>
                <c:pt idx="229" c:formatCode="0.00_);[Red]\(0.00\)">
                  <c:v>7.656</c:v>
                </c:pt>
                <c:pt idx="230" c:formatCode="0.00_);[Red]\(0.00\)">
                  <c:v>7.689</c:v>
                </c:pt>
                <c:pt idx="231" c:formatCode="0.00_);[Red]\(0.00\)">
                  <c:v>7.723</c:v>
                </c:pt>
                <c:pt idx="232" c:formatCode="0.00_);[Red]\(0.00\)">
                  <c:v>7.756</c:v>
                </c:pt>
                <c:pt idx="233" c:formatCode="0.00_);[Red]\(0.00\)">
                  <c:v>7.79</c:v>
                </c:pt>
                <c:pt idx="234" c:formatCode="0.00_);[Red]\(0.00\)">
                  <c:v>7.823</c:v>
                </c:pt>
                <c:pt idx="235" c:formatCode="0.00_);[Red]\(0.00\)">
                  <c:v>7.857</c:v>
                </c:pt>
                <c:pt idx="236" c:formatCode="0.00_);[Red]\(0.00\)">
                  <c:v>7.89</c:v>
                </c:pt>
                <c:pt idx="237" c:formatCode="0.00_);[Red]\(0.00\)">
                  <c:v>7.924</c:v>
                </c:pt>
                <c:pt idx="238" c:formatCode="0.00_);[Red]\(0.00\)">
                  <c:v>7.957</c:v>
                </c:pt>
                <c:pt idx="239" c:formatCode="0.00_);[Red]\(0.00\)">
                  <c:v>7.99</c:v>
                </c:pt>
                <c:pt idx="240" c:formatCode="0.00_);[Red]\(0.00\)">
                  <c:v>8.024</c:v>
                </c:pt>
                <c:pt idx="241" c:formatCode="0.00_);[Red]\(0.00\)">
                  <c:v>8.057</c:v>
                </c:pt>
                <c:pt idx="242" c:formatCode="0.00_);[Red]\(0.00\)">
                  <c:v>8.091</c:v>
                </c:pt>
                <c:pt idx="243" c:formatCode="0.00_);[Red]\(0.00\)">
                  <c:v>8.124</c:v>
                </c:pt>
                <c:pt idx="244" c:formatCode="0.00_);[Red]\(0.00\)">
                  <c:v>8.158</c:v>
                </c:pt>
                <c:pt idx="245" c:formatCode="0.00_);[Red]\(0.00\)">
                  <c:v>8.191</c:v>
                </c:pt>
                <c:pt idx="246" c:formatCode="0.00_);[Red]\(0.00\)">
                  <c:v>8.224</c:v>
                </c:pt>
                <c:pt idx="247" c:formatCode="0.00_);[Red]\(0.00\)">
                  <c:v>8.258</c:v>
                </c:pt>
                <c:pt idx="248" c:formatCode="0.00_);[Red]\(0.00\)">
                  <c:v>8.291</c:v>
                </c:pt>
                <c:pt idx="249" c:formatCode="0.00_);[Red]\(0.00\)">
                  <c:v>8.325</c:v>
                </c:pt>
                <c:pt idx="250" c:formatCode="0.00_);[Red]\(0.00\)">
                  <c:v>8.358</c:v>
                </c:pt>
                <c:pt idx="251" c:formatCode="0.00_);[Red]\(0.00\)">
                  <c:v>8.392</c:v>
                </c:pt>
                <c:pt idx="252" c:formatCode="0.00_);[Red]\(0.00\)">
                  <c:v>8.425</c:v>
                </c:pt>
                <c:pt idx="253" c:formatCode="0.00_);[Red]\(0.00\)">
                  <c:v>8.458</c:v>
                </c:pt>
                <c:pt idx="254" c:formatCode="0.00_);[Red]\(0.00\)">
                  <c:v>8.492</c:v>
                </c:pt>
                <c:pt idx="255" c:formatCode="0.00_);[Red]\(0.00\)">
                  <c:v>8.525</c:v>
                </c:pt>
                <c:pt idx="256" c:formatCode="0.00_);[Red]\(0.00\)">
                  <c:v>8.559</c:v>
                </c:pt>
                <c:pt idx="257" c:formatCode="0.00_);[Red]\(0.00\)">
                  <c:v>8.592</c:v>
                </c:pt>
                <c:pt idx="258" c:formatCode="0.00_);[Red]\(0.00\)">
                  <c:v>8.626</c:v>
                </c:pt>
                <c:pt idx="259" c:formatCode="0.00_);[Red]\(0.00\)">
                  <c:v>8.659</c:v>
                </c:pt>
                <c:pt idx="260" c:formatCode="0.00_);[Red]\(0.00\)">
                  <c:v>8.692</c:v>
                </c:pt>
                <c:pt idx="261" c:formatCode="0.00_);[Red]\(0.00\)">
                  <c:v>8.726</c:v>
                </c:pt>
                <c:pt idx="262" c:formatCode="0.00_);[Red]\(0.00\)">
                  <c:v>8.759</c:v>
                </c:pt>
                <c:pt idx="263" c:formatCode="0.00_);[Red]\(0.00\)">
                  <c:v>8.793</c:v>
                </c:pt>
                <c:pt idx="264" c:formatCode="0.00_);[Red]\(0.00\)">
                  <c:v>8.826</c:v>
                </c:pt>
                <c:pt idx="265" c:formatCode="0.00_);[Red]\(0.00\)">
                  <c:v>8.86</c:v>
                </c:pt>
                <c:pt idx="266" c:formatCode="0.00_);[Red]\(0.00\)">
                  <c:v>8.893</c:v>
                </c:pt>
                <c:pt idx="267" c:formatCode="0.00_);[Red]\(0.00\)">
                  <c:v>8.926</c:v>
                </c:pt>
                <c:pt idx="268" c:formatCode="0.00_);[Red]\(0.00\)">
                  <c:v>8.96</c:v>
                </c:pt>
                <c:pt idx="269" c:formatCode="0.00_);[Red]\(0.00\)">
                  <c:v>8.993</c:v>
                </c:pt>
                <c:pt idx="270" c:formatCode="0.00_);[Red]\(0.00\)">
                  <c:v>9.027</c:v>
                </c:pt>
                <c:pt idx="271" c:formatCode="0.00_);[Red]\(0.00\)">
                  <c:v>9.06</c:v>
                </c:pt>
                <c:pt idx="272" c:formatCode="0.00_);[Red]\(0.00\)">
                  <c:v>9.094</c:v>
                </c:pt>
                <c:pt idx="273" c:formatCode="0.00_);[Red]\(0.00\)">
                  <c:v>9.127</c:v>
                </c:pt>
                <c:pt idx="274" c:formatCode="0.00_);[Red]\(0.00\)">
                  <c:v>9.161</c:v>
                </c:pt>
                <c:pt idx="275" c:formatCode="0.00_);[Red]\(0.00\)">
                  <c:v>9.194</c:v>
                </c:pt>
                <c:pt idx="276" c:formatCode="0.00_);[Red]\(0.00\)">
                  <c:v>9.227</c:v>
                </c:pt>
                <c:pt idx="277" c:formatCode="0.00_);[Red]\(0.00\)">
                  <c:v>9.261</c:v>
                </c:pt>
                <c:pt idx="278" c:formatCode="0.00_);[Red]\(0.00\)">
                  <c:v>9.294</c:v>
                </c:pt>
                <c:pt idx="279" c:formatCode="0.00_);[Red]\(0.00\)">
                  <c:v>9.328</c:v>
                </c:pt>
                <c:pt idx="280" c:formatCode="0.00_);[Red]\(0.00\)">
                  <c:v>9.361</c:v>
                </c:pt>
                <c:pt idx="281" c:formatCode="0.00_);[Red]\(0.00\)">
                  <c:v>9.395</c:v>
                </c:pt>
                <c:pt idx="282" c:formatCode="0.00_);[Red]\(0.00\)">
                  <c:v>9.428</c:v>
                </c:pt>
                <c:pt idx="283" c:formatCode="0.00_);[Red]\(0.00\)">
                  <c:v>9.461</c:v>
                </c:pt>
                <c:pt idx="284" c:formatCode="0.00_);[Red]\(0.00\)">
                  <c:v>9.495</c:v>
                </c:pt>
                <c:pt idx="285" c:formatCode="0.00_);[Red]\(0.00\)">
                  <c:v>9.528</c:v>
                </c:pt>
                <c:pt idx="286" c:formatCode="0.00_);[Red]\(0.00\)">
                  <c:v>9.562</c:v>
                </c:pt>
                <c:pt idx="287" c:formatCode="0.00_);[Red]\(0.00\)">
                  <c:v>9.595</c:v>
                </c:pt>
                <c:pt idx="288" c:formatCode="0.00_);[Red]\(0.00\)">
                  <c:v>9.629</c:v>
                </c:pt>
                <c:pt idx="289" c:formatCode="0.00_);[Red]\(0.00\)">
                  <c:v>9.662</c:v>
                </c:pt>
                <c:pt idx="290" c:formatCode="0.00_);[Red]\(0.00\)">
                  <c:v>9.695</c:v>
                </c:pt>
                <c:pt idx="291" c:formatCode="0.00_);[Red]\(0.00\)">
                  <c:v>9.729</c:v>
                </c:pt>
                <c:pt idx="292" c:formatCode="0.00_);[Red]\(0.00\)">
                  <c:v>9.762</c:v>
                </c:pt>
                <c:pt idx="293" c:formatCode="0.00_);[Red]\(0.00\)">
                  <c:v>9.796</c:v>
                </c:pt>
                <c:pt idx="294" c:formatCode="0.00_);[Red]\(0.00\)">
                  <c:v>9.829</c:v>
                </c:pt>
                <c:pt idx="295" c:formatCode="0.00_);[Red]\(0.00\)">
                  <c:v>9.863</c:v>
                </c:pt>
                <c:pt idx="296" c:formatCode="0.00_);[Red]\(0.00\)">
                  <c:v>9.896</c:v>
                </c:pt>
                <c:pt idx="297" c:formatCode="0.00_);[Red]\(0.00\)">
                  <c:v>9.929</c:v>
                </c:pt>
                <c:pt idx="298" c:formatCode="0.00_);[Red]\(0.00\)">
                  <c:v>9.963</c:v>
                </c:pt>
                <c:pt idx="299" c:formatCode="0.00_);[Red]\(0.00\)">
                  <c:v>9.996</c:v>
                </c:pt>
                <c:pt idx="300" c:formatCode="0.00_);[Red]\(0.00\)">
                  <c:v>10.03</c:v>
                </c:pt>
                <c:pt idx="301" c:formatCode="0.00_);[Red]\(0.00\)">
                  <c:v>10.063</c:v>
                </c:pt>
                <c:pt idx="302" c:formatCode="0.00_);[Red]\(0.00\)">
                  <c:v>10.097</c:v>
                </c:pt>
                <c:pt idx="303" c:formatCode="0.00_);[Red]\(0.00\)">
                  <c:v>10.13</c:v>
                </c:pt>
                <c:pt idx="304" c:formatCode="0.00_);[Red]\(0.00\)">
                  <c:v>10.163</c:v>
                </c:pt>
                <c:pt idx="305" c:formatCode="0.00_);[Red]\(0.00\)">
                  <c:v>10.197</c:v>
                </c:pt>
                <c:pt idx="306" c:formatCode="0.00_);[Red]\(0.00\)">
                  <c:v>10.23</c:v>
                </c:pt>
                <c:pt idx="307" c:formatCode="0.00_);[Red]\(0.00\)">
                  <c:v>10.264</c:v>
                </c:pt>
                <c:pt idx="308" c:formatCode="0.00_);[Red]\(0.00\)">
                  <c:v>10.297</c:v>
                </c:pt>
                <c:pt idx="309" c:formatCode="0.00_);[Red]\(0.00\)">
                  <c:v>10.331</c:v>
                </c:pt>
                <c:pt idx="310" c:formatCode="0.00_);[Red]\(0.00\)">
                  <c:v>10.364</c:v>
                </c:pt>
                <c:pt idx="311" c:formatCode="0.00_);[Red]\(0.00\)">
                  <c:v>10.398</c:v>
                </c:pt>
                <c:pt idx="312" c:formatCode="0.00_);[Red]\(0.00\)">
                  <c:v>10.431</c:v>
                </c:pt>
                <c:pt idx="313" c:formatCode="0.00_);[Red]\(0.00\)">
                  <c:v>10.464</c:v>
                </c:pt>
                <c:pt idx="314" c:formatCode="0.00_);[Red]\(0.00\)">
                  <c:v>10.498</c:v>
                </c:pt>
                <c:pt idx="315" c:formatCode="0.00_);[Red]\(0.00\)">
                  <c:v>10.531</c:v>
                </c:pt>
                <c:pt idx="316" c:formatCode="0.00_);[Red]\(0.00\)">
                  <c:v>10.565</c:v>
                </c:pt>
                <c:pt idx="317" c:formatCode="0.00_);[Red]\(0.00\)">
                  <c:v>10.598</c:v>
                </c:pt>
                <c:pt idx="318" c:formatCode="0.00_);[Red]\(0.00\)">
                  <c:v>10.632</c:v>
                </c:pt>
                <c:pt idx="319" c:formatCode="0.00_);[Red]\(0.00\)">
                  <c:v>10.665</c:v>
                </c:pt>
                <c:pt idx="320" c:formatCode="0.00_);[Red]\(0.00\)">
                  <c:v>10.698</c:v>
                </c:pt>
                <c:pt idx="321" c:formatCode="0.00_);[Red]\(0.00\)">
                  <c:v>10.732</c:v>
                </c:pt>
                <c:pt idx="322" c:formatCode="0.00_);[Red]\(0.00\)">
                  <c:v>10.765</c:v>
                </c:pt>
                <c:pt idx="323" c:formatCode="0.00_);[Red]\(0.00\)">
                  <c:v>10.799</c:v>
                </c:pt>
                <c:pt idx="324" c:formatCode="0.00_);[Red]\(0.00\)">
                  <c:v>10.832</c:v>
                </c:pt>
                <c:pt idx="325" c:formatCode="0.00_);[Red]\(0.00\)">
                  <c:v>10.866</c:v>
                </c:pt>
                <c:pt idx="326" c:formatCode="0.00_);[Red]\(0.00\)">
                  <c:v>10.899</c:v>
                </c:pt>
                <c:pt idx="327" c:formatCode="0.00_);[Red]\(0.00\)">
                  <c:v>10.932</c:v>
                </c:pt>
                <c:pt idx="328" c:formatCode="0.00_);[Red]\(0.00\)">
                  <c:v>10.966</c:v>
                </c:pt>
                <c:pt idx="329" c:formatCode="0.00_);[Red]\(0.00\)">
                  <c:v>10.999</c:v>
                </c:pt>
                <c:pt idx="330" c:formatCode="0.00_);[Red]\(0.00\)">
                  <c:v>11.033</c:v>
                </c:pt>
                <c:pt idx="331" c:formatCode="0.00_);[Red]\(0.00\)">
                  <c:v>11.066</c:v>
                </c:pt>
                <c:pt idx="332" c:formatCode="0.00_);[Red]\(0.00\)">
                  <c:v>11.1</c:v>
                </c:pt>
                <c:pt idx="333" c:formatCode="0.00_);[Red]\(0.00\)">
                  <c:v>11.133</c:v>
                </c:pt>
                <c:pt idx="334" c:formatCode="0.00_);[Red]\(0.00\)">
                  <c:v>11.166</c:v>
                </c:pt>
                <c:pt idx="335" c:formatCode="0.00_);[Red]\(0.00\)">
                  <c:v>11.2</c:v>
                </c:pt>
                <c:pt idx="336" c:formatCode="0.00_);[Red]\(0.00\)">
                  <c:v>11.233</c:v>
                </c:pt>
                <c:pt idx="337" c:formatCode="0.00_);[Red]\(0.00\)">
                  <c:v>11.267</c:v>
                </c:pt>
                <c:pt idx="338" c:formatCode="0.00_);[Red]\(0.00\)">
                  <c:v>11.3</c:v>
                </c:pt>
                <c:pt idx="339" c:formatCode="0.00_);[Red]\(0.00\)">
                  <c:v>11.334</c:v>
                </c:pt>
                <c:pt idx="340" c:formatCode="0.00_);[Red]\(0.00\)">
                  <c:v>11.367</c:v>
                </c:pt>
                <c:pt idx="341" c:formatCode="0.00_);[Red]\(0.00\)">
                  <c:v>11.4</c:v>
                </c:pt>
                <c:pt idx="342" c:formatCode="0.00_);[Red]\(0.00\)">
                  <c:v>11.434</c:v>
                </c:pt>
                <c:pt idx="343" c:formatCode="0.00_);[Red]\(0.00\)">
                  <c:v>11.467</c:v>
                </c:pt>
                <c:pt idx="344" c:formatCode="0.00_);[Red]\(0.00\)">
                  <c:v>11.501</c:v>
                </c:pt>
                <c:pt idx="345" c:formatCode="0.00_);[Red]\(0.00\)">
                  <c:v>11.534</c:v>
                </c:pt>
                <c:pt idx="346" c:formatCode="0.00_);[Red]\(0.00\)">
                  <c:v>11.568</c:v>
                </c:pt>
                <c:pt idx="347" c:formatCode="0.00_);[Red]\(0.00\)">
                  <c:v>11.601</c:v>
                </c:pt>
                <c:pt idx="348" c:formatCode="0.00_);[Red]\(0.00\)">
                  <c:v>11.635</c:v>
                </c:pt>
                <c:pt idx="349" c:formatCode="0.00_);[Red]\(0.00\)">
                  <c:v>11.668</c:v>
                </c:pt>
                <c:pt idx="350" c:formatCode="0.00_);[Red]\(0.00\)">
                  <c:v>11.701</c:v>
                </c:pt>
                <c:pt idx="351" c:formatCode="0.00_);[Red]\(0.00\)">
                  <c:v>11.735</c:v>
                </c:pt>
                <c:pt idx="352" c:formatCode="0.00_);[Red]\(0.00\)">
                  <c:v>11.768</c:v>
                </c:pt>
                <c:pt idx="353" c:formatCode="0.00_);[Red]\(0.00\)">
                  <c:v>11.802</c:v>
                </c:pt>
                <c:pt idx="354" c:formatCode="0.00_);[Red]\(0.00\)">
                  <c:v>11.835</c:v>
                </c:pt>
                <c:pt idx="355" c:formatCode="0.00_);[Red]\(0.00\)">
                  <c:v>11.869</c:v>
                </c:pt>
                <c:pt idx="356" c:formatCode="0.00_);[Red]\(0.00\)">
                  <c:v>11.902</c:v>
                </c:pt>
                <c:pt idx="357" c:formatCode="0.00_);[Red]\(0.00\)">
                  <c:v>11.935</c:v>
                </c:pt>
                <c:pt idx="358" c:formatCode="0.00_);[Red]\(0.00\)">
                  <c:v>11.969</c:v>
                </c:pt>
                <c:pt idx="359" c:formatCode="0.00_);[Red]\(0.00\)">
                  <c:v>12.002</c:v>
                </c:pt>
                <c:pt idx="360" c:formatCode="0.00_);[Red]\(0.00\)">
                  <c:v>12.036</c:v>
                </c:pt>
                <c:pt idx="361" c:formatCode="0.00_);[Red]\(0.00\)">
                  <c:v>12.069</c:v>
                </c:pt>
                <c:pt idx="362" c:formatCode="0.00_);[Red]\(0.00\)">
                  <c:v>12.103</c:v>
                </c:pt>
                <c:pt idx="363" c:formatCode="0.00_);[Red]\(0.00\)">
                  <c:v>12.136</c:v>
                </c:pt>
                <c:pt idx="364" c:formatCode="0.00_);[Red]\(0.00\)">
                  <c:v>12.169</c:v>
                </c:pt>
                <c:pt idx="365" c:formatCode="0.00_);[Red]\(0.00\)">
                  <c:v>12.203</c:v>
                </c:pt>
                <c:pt idx="366" c:formatCode="0.00_);[Red]\(0.00\)">
                  <c:v>12.236</c:v>
                </c:pt>
                <c:pt idx="367" c:formatCode="0.00_);[Red]\(0.00\)">
                  <c:v>12.27</c:v>
                </c:pt>
                <c:pt idx="368" c:formatCode="0.00_);[Red]\(0.00\)">
                  <c:v>12.303</c:v>
                </c:pt>
                <c:pt idx="369" c:formatCode="0.00_);[Red]\(0.00\)">
                  <c:v>12.337</c:v>
                </c:pt>
                <c:pt idx="370" c:formatCode="0.00_);[Red]\(0.00\)">
                  <c:v>12.37</c:v>
                </c:pt>
                <c:pt idx="371" c:formatCode="0.00_);[Red]\(0.00\)">
                  <c:v>12.403</c:v>
                </c:pt>
                <c:pt idx="372" c:formatCode="0.00_);[Red]\(0.00\)">
                  <c:v>12.437</c:v>
                </c:pt>
                <c:pt idx="373" c:formatCode="0.00_);[Red]\(0.00\)">
                  <c:v>12.47</c:v>
                </c:pt>
                <c:pt idx="374" c:formatCode="0.00_);[Red]\(0.00\)">
                  <c:v>12.504</c:v>
                </c:pt>
                <c:pt idx="375" c:formatCode="0.00_);[Red]\(0.00\)">
                  <c:v>12.537</c:v>
                </c:pt>
                <c:pt idx="376" c:formatCode="0.00_);[Red]\(0.00\)">
                  <c:v>12.571</c:v>
                </c:pt>
                <c:pt idx="377" c:formatCode="0.00_);[Red]\(0.00\)">
                  <c:v>12.604</c:v>
                </c:pt>
                <c:pt idx="378" c:formatCode="0.00_);[Red]\(0.00\)">
                  <c:v>12.638</c:v>
                </c:pt>
                <c:pt idx="379" c:formatCode="0.00_);[Red]\(0.00\)">
                  <c:v>12.671</c:v>
                </c:pt>
              </c:numCache>
            </c:numRef>
          </c:cat>
          <c:val>
            <c:numRef>
              <c:f>B_11_42_37_转180!$L$4:$L$383</c:f>
              <c:numCache>
                <c:formatCode>General</c:formatCode>
                <c:ptCount val="380"/>
                <c:pt idx="0">
                  <c:v>-4.49999999999999</c:v>
                </c:pt>
                <c:pt idx="1">
                  <c:v>-4.49999999999999</c:v>
                </c:pt>
                <c:pt idx="2">
                  <c:v>-4.49999999999999</c:v>
                </c:pt>
                <c:pt idx="3">
                  <c:v>-4.49999999999999</c:v>
                </c:pt>
                <c:pt idx="4">
                  <c:v>-4.49999999999999</c:v>
                </c:pt>
                <c:pt idx="5">
                  <c:v>-4.49999999999999</c:v>
                </c:pt>
                <c:pt idx="6">
                  <c:v>-4.49999999999999</c:v>
                </c:pt>
                <c:pt idx="7">
                  <c:v>-4.49999999999999</c:v>
                </c:pt>
                <c:pt idx="8">
                  <c:v>-4.49999999999999</c:v>
                </c:pt>
                <c:pt idx="9">
                  <c:v>-4.49999999999999</c:v>
                </c:pt>
                <c:pt idx="10">
                  <c:v>-4.49999999999999</c:v>
                </c:pt>
                <c:pt idx="11">
                  <c:v>-4.49999999999999</c:v>
                </c:pt>
                <c:pt idx="12">
                  <c:v>-4.49999999999999</c:v>
                </c:pt>
                <c:pt idx="13">
                  <c:v>-4.49999999999999</c:v>
                </c:pt>
                <c:pt idx="14">
                  <c:v>-4.49999999999999</c:v>
                </c:pt>
                <c:pt idx="15">
                  <c:v>-4.49999999999999</c:v>
                </c:pt>
                <c:pt idx="16">
                  <c:v>-4.49999999999999</c:v>
                </c:pt>
                <c:pt idx="17">
                  <c:v>-4.49999999999999</c:v>
                </c:pt>
                <c:pt idx="18">
                  <c:v>-4.49999999999999</c:v>
                </c:pt>
                <c:pt idx="19">
                  <c:v>-4.49999999999999</c:v>
                </c:pt>
                <c:pt idx="20">
                  <c:v>-4.49999999999999</c:v>
                </c:pt>
                <c:pt idx="21">
                  <c:v>-4.49999999999999</c:v>
                </c:pt>
                <c:pt idx="22">
                  <c:v>-4.49999999999999</c:v>
                </c:pt>
                <c:pt idx="23">
                  <c:v>-4.49999999999999</c:v>
                </c:pt>
                <c:pt idx="24">
                  <c:v>-4.49999999999999</c:v>
                </c:pt>
                <c:pt idx="25">
                  <c:v>-4.49999999999999</c:v>
                </c:pt>
                <c:pt idx="26">
                  <c:v>-4.49999999999999</c:v>
                </c:pt>
                <c:pt idx="27">
                  <c:v>-4.49999999999999</c:v>
                </c:pt>
                <c:pt idx="28">
                  <c:v>-4.49999999999999</c:v>
                </c:pt>
                <c:pt idx="29">
                  <c:v>-4.49999999999999</c:v>
                </c:pt>
                <c:pt idx="30">
                  <c:v>-4.49999999999999</c:v>
                </c:pt>
                <c:pt idx="31">
                  <c:v>-4.49999999999999</c:v>
                </c:pt>
                <c:pt idx="32">
                  <c:v>-4.49999999999999</c:v>
                </c:pt>
                <c:pt idx="33">
                  <c:v>-4.49999999999999</c:v>
                </c:pt>
                <c:pt idx="34">
                  <c:v>-4.49999999999999</c:v>
                </c:pt>
                <c:pt idx="35">
                  <c:v>-4.49999999999999</c:v>
                </c:pt>
                <c:pt idx="36">
                  <c:v>-4.49999999999999</c:v>
                </c:pt>
                <c:pt idx="37">
                  <c:v>-4.49999999999999</c:v>
                </c:pt>
                <c:pt idx="38">
                  <c:v>-4.49999999999999</c:v>
                </c:pt>
                <c:pt idx="39">
                  <c:v>-4.49999999999999</c:v>
                </c:pt>
                <c:pt idx="40">
                  <c:v>-4.49999999999999</c:v>
                </c:pt>
                <c:pt idx="41">
                  <c:v>-4.49999999999999</c:v>
                </c:pt>
                <c:pt idx="42">
                  <c:v>-4.49999999999999</c:v>
                </c:pt>
                <c:pt idx="43">
                  <c:v>-4.49999999999999</c:v>
                </c:pt>
                <c:pt idx="44">
                  <c:v>-4.49999999999999</c:v>
                </c:pt>
                <c:pt idx="45">
                  <c:v>-4.49999999999999</c:v>
                </c:pt>
                <c:pt idx="46">
                  <c:v>-4.49999999999999</c:v>
                </c:pt>
                <c:pt idx="47">
                  <c:v>-4.49999999999999</c:v>
                </c:pt>
                <c:pt idx="48">
                  <c:v>-4.49999999999999</c:v>
                </c:pt>
                <c:pt idx="49">
                  <c:v>-4.49999999999999</c:v>
                </c:pt>
                <c:pt idx="50">
                  <c:v>-4.49999999999999</c:v>
                </c:pt>
                <c:pt idx="51">
                  <c:v>-4.49999999999999</c:v>
                </c:pt>
                <c:pt idx="52">
                  <c:v>-4.49999999999999</c:v>
                </c:pt>
                <c:pt idx="53">
                  <c:v>-4.49999999999999</c:v>
                </c:pt>
                <c:pt idx="54">
                  <c:v>-4.49999999999999</c:v>
                </c:pt>
                <c:pt idx="55">
                  <c:v>-4.49999999999999</c:v>
                </c:pt>
                <c:pt idx="56">
                  <c:v>-4.49999999999999</c:v>
                </c:pt>
                <c:pt idx="57">
                  <c:v>-4.49999999999999</c:v>
                </c:pt>
                <c:pt idx="58">
                  <c:v>-4.49999999999999</c:v>
                </c:pt>
                <c:pt idx="59">
                  <c:v>-4.49999999999999</c:v>
                </c:pt>
                <c:pt idx="60">
                  <c:v>-4.49999999999999</c:v>
                </c:pt>
                <c:pt idx="61">
                  <c:v>-4.49999999999999</c:v>
                </c:pt>
                <c:pt idx="62">
                  <c:v>-4.49999999999999</c:v>
                </c:pt>
                <c:pt idx="63">
                  <c:v>-4.49999999999999</c:v>
                </c:pt>
                <c:pt idx="64">
                  <c:v>-4.49999999999999</c:v>
                </c:pt>
                <c:pt idx="65">
                  <c:v>-4.49999999999999</c:v>
                </c:pt>
                <c:pt idx="66">
                  <c:v>-4.49999999999999</c:v>
                </c:pt>
                <c:pt idx="67">
                  <c:v>-4.49999999999999</c:v>
                </c:pt>
                <c:pt idx="68">
                  <c:v>-4.49999999999999</c:v>
                </c:pt>
                <c:pt idx="69">
                  <c:v>-4.49999999999999</c:v>
                </c:pt>
                <c:pt idx="70">
                  <c:v>-4.49999999999999</c:v>
                </c:pt>
                <c:pt idx="71">
                  <c:v>-4.49999999999999</c:v>
                </c:pt>
                <c:pt idx="72">
                  <c:v>-4.49999999999999</c:v>
                </c:pt>
                <c:pt idx="73">
                  <c:v>-4.49999999999999</c:v>
                </c:pt>
                <c:pt idx="74">
                  <c:v>-4.49999999999999</c:v>
                </c:pt>
                <c:pt idx="75">
                  <c:v>-4.49999999999999</c:v>
                </c:pt>
                <c:pt idx="76">
                  <c:v>-4.49999999999999</c:v>
                </c:pt>
                <c:pt idx="77">
                  <c:v>-4.49999999999999</c:v>
                </c:pt>
                <c:pt idx="78">
                  <c:v>-4.49999999999999</c:v>
                </c:pt>
                <c:pt idx="79">
                  <c:v>-4.49999999999999</c:v>
                </c:pt>
                <c:pt idx="80">
                  <c:v>-4.49999999999999</c:v>
                </c:pt>
                <c:pt idx="81">
                  <c:v>-4.49999999999999</c:v>
                </c:pt>
                <c:pt idx="82">
                  <c:v>-4.49999999999999</c:v>
                </c:pt>
                <c:pt idx="83">
                  <c:v>-4.49999999999999</c:v>
                </c:pt>
                <c:pt idx="84">
                  <c:v>-4.49999999999999</c:v>
                </c:pt>
                <c:pt idx="85">
                  <c:v>-4.49999999999999</c:v>
                </c:pt>
                <c:pt idx="86">
                  <c:v>-4.49999999999999</c:v>
                </c:pt>
                <c:pt idx="87">
                  <c:v>-4.49999999999999</c:v>
                </c:pt>
                <c:pt idx="88">
                  <c:v>-4.49999999999999</c:v>
                </c:pt>
                <c:pt idx="89">
                  <c:v>-4.49999999999999</c:v>
                </c:pt>
                <c:pt idx="90">
                  <c:v>-4.49999999999999</c:v>
                </c:pt>
                <c:pt idx="91">
                  <c:v>-4.49999999999999</c:v>
                </c:pt>
                <c:pt idx="92">
                  <c:v>-4.49999999999999</c:v>
                </c:pt>
                <c:pt idx="93">
                  <c:v>-4.49999999999999</c:v>
                </c:pt>
                <c:pt idx="94">
                  <c:v>-4.49999999999999</c:v>
                </c:pt>
                <c:pt idx="95">
                  <c:v>-4.49999999999999</c:v>
                </c:pt>
                <c:pt idx="96">
                  <c:v>-4.49999999999999</c:v>
                </c:pt>
                <c:pt idx="97">
                  <c:v>-4.49999999999999</c:v>
                </c:pt>
                <c:pt idx="98">
                  <c:v>-4.49999999999999</c:v>
                </c:pt>
                <c:pt idx="99">
                  <c:v>-4.49999999999999</c:v>
                </c:pt>
                <c:pt idx="100">
                  <c:v>-4.49999999999999</c:v>
                </c:pt>
                <c:pt idx="101">
                  <c:v>-4.49999999999999</c:v>
                </c:pt>
                <c:pt idx="102">
                  <c:v>-4.49999999999999</c:v>
                </c:pt>
                <c:pt idx="103">
                  <c:v>-4.49999999999999</c:v>
                </c:pt>
                <c:pt idx="104">
                  <c:v>1.30000000000002</c:v>
                </c:pt>
                <c:pt idx="105">
                  <c:v>1.30000000000002</c:v>
                </c:pt>
                <c:pt idx="106">
                  <c:v>1.30000000000002</c:v>
                </c:pt>
                <c:pt idx="107">
                  <c:v>1.30000000000002</c:v>
                </c:pt>
                <c:pt idx="108">
                  <c:v>1.30000000000002</c:v>
                </c:pt>
                <c:pt idx="109">
                  <c:v>1.30000000000002</c:v>
                </c:pt>
                <c:pt idx="110">
                  <c:v>1.30000000000002</c:v>
                </c:pt>
                <c:pt idx="111">
                  <c:v>1.30000000000002</c:v>
                </c:pt>
                <c:pt idx="112">
                  <c:v>1.30000000000002</c:v>
                </c:pt>
                <c:pt idx="113">
                  <c:v>1.30000000000002</c:v>
                </c:pt>
                <c:pt idx="114">
                  <c:v>1.30000000000002</c:v>
                </c:pt>
                <c:pt idx="115">
                  <c:v>1.30000000000002</c:v>
                </c:pt>
                <c:pt idx="116">
                  <c:v>1.30000000000002</c:v>
                </c:pt>
                <c:pt idx="117">
                  <c:v>-4.49999999999999</c:v>
                </c:pt>
                <c:pt idx="118">
                  <c:v>-4.49999999999999</c:v>
                </c:pt>
                <c:pt idx="119">
                  <c:v>-4.49999999999999</c:v>
                </c:pt>
                <c:pt idx="120">
                  <c:v>-4.49999999999999</c:v>
                </c:pt>
                <c:pt idx="121">
                  <c:v>-4.49999999999999</c:v>
                </c:pt>
                <c:pt idx="122">
                  <c:v>-4.49999999999999</c:v>
                </c:pt>
                <c:pt idx="123">
                  <c:v>-4.49999999999999</c:v>
                </c:pt>
                <c:pt idx="124">
                  <c:v>-4.49999999999999</c:v>
                </c:pt>
                <c:pt idx="125">
                  <c:v>-4.49999999999999</c:v>
                </c:pt>
                <c:pt idx="126">
                  <c:v>-4.49999999999999</c:v>
                </c:pt>
                <c:pt idx="127">
                  <c:v>-4.49999999999999</c:v>
                </c:pt>
                <c:pt idx="128">
                  <c:v>1.30000000000002</c:v>
                </c:pt>
                <c:pt idx="129">
                  <c:v>1.30000000000002</c:v>
                </c:pt>
                <c:pt idx="130">
                  <c:v>1.30000000000002</c:v>
                </c:pt>
                <c:pt idx="131">
                  <c:v>1.30000000000002</c:v>
                </c:pt>
                <c:pt idx="132">
                  <c:v>1.30000000000002</c:v>
                </c:pt>
                <c:pt idx="133">
                  <c:v>1.30000000000002</c:v>
                </c:pt>
                <c:pt idx="134">
                  <c:v>1.30000000000002</c:v>
                </c:pt>
                <c:pt idx="135">
                  <c:v>1.30000000000002</c:v>
                </c:pt>
                <c:pt idx="136">
                  <c:v>1.30000000000002</c:v>
                </c:pt>
                <c:pt idx="137">
                  <c:v>1.30000000000002</c:v>
                </c:pt>
                <c:pt idx="138">
                  <c:v>1.30000000000002</c:v>
                </c:pt>
                <c:pt idx="139">
                  <c:v>1.30000000000002</c:v>
                </c:pt>
                <c:pt idx="140">
                  <c:v>-4.49999999999999</c:v>
                </c:pt>
                <c:pt idx="141">
                  <c:v>-4.49999999999999</c:v>
                </c:pt>
                <c:pt idx="142">
                  <c:v>-4.49999999999999</c:v>
                </c:pt>
                <c:pt idx="143">
                  <c:v>-4.49999999999999</c:v>
                </c:pt>
                <c:pt idx="144">
                  <c:v>-4.49999999999999</c:v>
                </c:pt>
                <c:pt idx="145">
                  <c:v>-4.49999999999999</c:v>
                </c:pt>
                <c:pt idx="146">
                  <c:v>-4.49999999999999</c:v>
                </c:pt>
                <c:pt idx="147">
                  <c:v>-4.49999999999999</c:v>
                </c:pt>
                <c:pt idx="148">
                  <c:v>-4.49999999999999</c:v>
                </c:pt>
                <c:pt idx="149">
                  <c:v>-4.49999999999999</c:v>
                </c:pt>
                <c:pt idx="150">
                  <c:v>-4.49999999999999</c:v>
                </c:pt>
                <c:pt idx="151">
                  <c:v>-4.49999999999999</c:v>
                </c:pt>
                <c:pt idx="152">
                  <c:v>1.30000000000002</c:v>
                </c:pt>
                <c:pt idx="153">
                  <c:v>1.30000000000002</c:v>
                </c:pt>
                <c:pt idx="154">
                  <c:v>1.30000000000002</c:v>
                </c:pt>
                <c:pt idx="155">
                  <c:v>1.30000000000002</c:v>
                </c:pt>
                <c:pt idx="156">
                  <c:v>1.30000000000002</c:v>
                </c:pt>
                <c:pt idx="157">
                  <c:v>1.30000000000002</c:v>
                </c:pt>
                <c:pt idx="158">
                  <c:v>1.30000000000002</c:v>
                </c:pt>
                <c:pt idx="159">
                  <c:v>1.30000000000002</c:v>
                </c:pt>
                <c:pt idx="160">
                  <c:v>1.30000000000002</c:v>
                </c:pt>
                <c:pt idx="161">
                  <c:v>1.30000000000002</c:v>
                </c:pt>
                <c:pt idx="162">
                  <c:v>1.30000000000002</c:v>
                </c:pt>
                <c:pt idx="163">
                  <c:v>1.30000000000002</c:v>
                </c:pt>
                <c:pt idx="164">
                  <c:v>-4.49999999999999</c:v>
                </c:pt>
                <c:pt idx="165">
                  <c:v>-4.49999999999999</c:v>
                </c:pt>
                <c:pt idx="166">
                  <c:v>-4.49999999999999</c:v>
                </c:pt>
                <c:pt idx="167">
                  <c:v>-4.49999999999999</c:v>
                </c:pt>
                <c:pt idx="168">
                  <c:v>-4.49999999999999</c:v>
                </c:pt>
                <c:pt idx="169">
                  <c:v>-4.49999999999999</c:v>
                </c:pt>
                <c:pt idx="170">
                  <c:v>-4.49999999999999</c:v>
                </c:pt>
                <c:pt idx="171">
                  <c:v>-4.49999999999999</c:v>
                </c:pt>
                <c:pt idx="172">
                  <c:v>-4.49999999999999</c:v>
                </c:pt>
                <c:pt idx="173">
                  <c:v>-4.49999999999999</c:v>
                </c:pt>
                <c:pt idx="174">
                  <c:v>-4.49999999999999</c:v>
                </c:pt>
                <c:pt idx="175">
                  <c:v>-4.49999999999999</c:v>
                </c:pt>
                <c:pt idx="176">
                  <c:v>-4.49999999999999</c:v>
                </c:pt>
                <c:pt idx="177">
                  <c:v>-4.49999999999999</c:v>
                </c:pt>
                <c:pt idx="178">
                  <c:v>-4.49999999999999</c:v>
                </c:pt>
                <c:pt idx="179">
                  <c:v>-4.49999999999999</c:v>
                </c:pt>
                <c:pt idx="180">
                  <c:v>-4.49999999999999</c:v>
                </c:pt>
                <c:pt idx="181">
                  <c:v>-4.49999999999999</c:v>
                </c:pt>
                <c:pt idx="182">
                  <c:v>-4.49999999999999</c:v>
                </c:pt>
                <c:pt idx="183">
                  <c:v>-4.49999999999999</c:v>
                </c:pt>
                <c:pt idx="184">
                  <c:v>-4.49999999999999</c:v>
                </c:pt>
                <c:pt idx="185">
                  <c:v>-4.49999999999999</c:v>
                </c:pt>
                <c:pt idx="186">
                  <c:v>-4.49999999999999</c:v>
                </c:pt>
                <c:pt idx="187">
                  <c:v>-4.49999999999999</c:v>
                </c:pt>
                <c:pt idx="188">
                  <c:v>-4.49999999999999</c:v>
                </c:pt>
                <c:pt idx="189">
                  <c:v>-4.49999999999999</c:v>
                </c:pt>
                <c:pt idx="190">
                  <c:v>-4.49999999999999</c:v>
                </c:pt>
                <c:pt idx="191">
                  <c:v>-4.49999999999999</c:v>
                </c:pt>
                <c:pt idx="192">
                  <c:v>-4.49999999999999</c:v>
                </c:pt>
                <c:pt idx="193">
                  <c:v>-4.49999999999999</c:v>
                </c:pt>
                <c:pt idx="194">
                  <c:v>-4.49999999999999</c:v>
                </c:pt>
                <c:pt idx="195">
                  <c:v>-4.49999999999999</c:v>
                </c:pt>
                <c:pt idx="196">
                  <c:v>-4.49999999999999</c:v>
                </c:pt>
                <c:pt idx="197">
                  <c:v>-4.49999999999999</c:v>
                </c:pt>
                <c:pt idx="198">
                  <c:v>-4.49999999999999</c:v>
                </c:pt>
                <c:pt idx="199">
                  <c:v>-4.49999999999999</c:v>
                </c:pt>
                <c:pt idx="200">
                  <c:v>-4.49999999999999</c:v>
                </c:pt>
                <c:pt idx="201">
                  <c:v>-4.49999999999999</c:v>
                </c:pt>
                <c:pt idx="202">
                  <c:v>-4.49999999999999</c:v>
                </c:pt>
                <c:pt idx="203">
                  <c:v>-4.49999999999999</c:v>
                </c:pt>
                <c:pt idx="204">
                  <c:v>-4.49999999999999</c:v>
                </c:pt>
                <c:pt idx="205">
                  <c:v>-4.49999999999999</c:v>
                </c:pt>
                <c:pt idx="206">
                  <c:v>-4.49999999999999</c:v>
                </c:pt>
                <c:pt idx="207">
                  <c:v>-4.49999999999999</c:v>
                </c:pt>
                <c:pt idx="208">
                  <c:v>-4.49999999999999</c:v>
                </c:pt>
                <c:pt idx="209">
                  <c:v>-4.49999999999999</c:v>
                </c:pt>
                <c:pt idx="210">
                  <c:v>-4.49999999999999</c:v>
                </c:pt>
                <c:pt idx="211">
                  <c:v>-4.49999999999999</c:v>
                </c:pt>
                <c:pt idx="212">
                  <c:v>-4.49999999999999</c:v>
                </c:pt>
                <c:pt idx="213">
                  <c:v>-4.49999999999999</c:v>
                </c:pt>
                <c:pt idx="214">
                  <c:v>-4.49999999999999</c:v>
                </c:pt>
                <c:pt idx="215">
                  <c:v>-4.49999999999999</c:v>
                </c:pt>
                <c:pt idx="216">
                  <c:v>-4.49999999999999</c:v>
                </c:pt>
                <c:pt idx="217">
                  <c:v>-4.49999999999999</c:v>
                </c:pt>
                <c:pt idx="218">
                  <c:v>-4.49999999999999</c:v>
                </c:pt>
                <c:pt idx="219">
                  <c:v>-4.49999999999999</c:v>
                </c:pt>
                <c:pt idx="220">
                  <c:v>-4.49999999999999</c:v>
                </c:pt>
                <c:pt idx="221">
                  <c:v>-4.49999999999999</c:v>
                </c:pt>
                <c:pt idx="222">
                  <c:v>-4.49999999999999</c:v>
                </c:pt>
                <c:pt idx="223">
                  <c:v>-4.49999999999999</c:v>
                </c:pt>
                <c:pt idx="224">
                  <c:v>-4.49999999999999</c:v>
                </c:pt>
                <c:pt idx="225">
                  <c:v>-4.49999999999999</c:v>
                </c:pt>
                <c:pt idx="226">
                  <c:v>-4.49999999999999</c:v>
                </c:pt>
                <c:pt idx="227">
                  <c:v>-4.49999999999999</c:v>
                </c:pt>
                <c:pt idx="228">
                  <c:v>-4.49999999999999</c:v>
                </c:pt>
                <c:pt idx="229">
                  <c:v>-4.49999999999999</c:v>
                </c:pt>
                <c:pt idx="230">
                  <c:v>-4.49999999999999</c:v>
                </c:pt>
                <c:pt idx="231">
                  <c:v>-4.49999999999999</c:v>
                </c:pt>
                <c:pt idx="232">
                  <c:v>-4.49999999999999</c:v>
                </c:pt>
                <c:pt idx="233">
                  <c:v>-4.49999999999999</c:v>
                </c:pt>
                <c:pt idx="234">
                  <c:v>-4.49999999999999</c:v>
                </c:pt>
                <c:pt idx="235">
                  <c:v>-4.49999999999999</c:v>
                </c:pt>
                <c:pt idx="236">
                  <c:v>-4.49999999999999</c:v>
                </c:pt>
                <c:pt idx="237">
                  <c:v>-4.49999999999999</c:v>
                </c:pt>
                <c:pt idx="238">
                  <c:v>-4.49999999999999</c:v>
                </c:pt>
                <c:pt idx="239">
                  <c:v>-4.49999999999999</c:v>
                </c:pt>
                <c:pt idx="240">
                  <c:v>-4.49999999999999</c:v>
                </c:pt>
                <c:pt idx="241">
                  <c:v>-4.49999999999999</c:v>
                </c:pt>
                <c:pt idx="242">
                  <c:v>-4.49999999999999</c:v>
                </c:pt>
                <c:pt idx="243">
                  <c:v>-4.49999999999999</c:v>
                </c:pt>
                <c:pt idx="244">
                  <c:v>-4.49999999999999</c:v>
                </c:pt>
                <c:pt idx="245">
                  <c:v>-4.49999999999999</c:v>
                </c:pt>
                <c:pt idx="246">
                  <c:v>-4.49999999999999</c:v>
                </c:pt>
                <c:pt idx="247">
                  <c:v>-4.49999999999999</c:v>
                </c:pt>
                <c:pt idx="248">
                  <c:v>-4.49999999999999</c:v>
                </c:pt>
                <c:pt idx="249">
                  <c:v>-4.49999999999999</c:v>
                </c:pt>
                <c:pt idx="250">
                  <c:v>-4.49999999999999</c:v>
                </c:pt>
                <c:pt idx="251">
                  <c:v>-4.49999999999999</c:v>
                </c:pt>
                <c:pt idx="252">
                  <c:v>-4.49999999999999</c:v>
                </c:pt>
                <c:pt idx="253">
                  <c:v>-4.49999999999999</c:v>
                </c:pt>
                <c:pt idx="254">
                  <c:v>-4.49999999999999</c:v>
                </c:pt>
                <c:pt idx="255">
                  <c:v>-4.49999999999999</c:v>
                </c:pt>
                <c:pt idx="256">
                  <c:v>-4.49999999999999</c:v>
                </c:pt>
                <c:pt idx="257">
                  <c:v>-4.49999999999999</c:v>
                </c:pt>
                <c:pt idx="258">
                  <c:v>-4.49999999999999</c:v>
                </c:pt>
                <c:pt idx="259">
                  <c:v>-4.49999999999999</c:v>
                </c:pt>
                <c:pt idx="260">
                  <c:v>-4.49999999999999</c:v>
                </c:pt>
                <c:pt idx="261">
                  <c:v>-4.49999999999999</c:v>
                </c:pt>
                <c:pt idx="262">
                  <c:v>-4.49999999999999</c:v>
                </c:pt>
                <c:pt idx="263">
                  <c:v>-4.49999999999999</c:v>
                </c:pt>
                <c:pt idx="264">
                  <c:v>-4.49999999999999</c:v>
                </c:pt>
                <c:pt idx="265">
                  <c:v>-4.49999999999999</c:v>
                </c:pt>
                <c:pt idx="266">
                  <c:v>-4.49999999999999</c:v>
                </c:pt>
                <c:pt idx="267">
                  <c:v>-4.49999999999999</c:v>
                </c:pt>
                <c:pt idx="268">
                  <c:v>-4.49999999999999</c:v>
                </c:pt>
                <c:pt idx="269">
                  <c:v>-4.49999999999999</c:v>
                </c:pt>
                <c:pt idx="270">
                  <c:v>-4.49999999999999</c:v>
                </c:pt>
                <c:pt idx="271">
                  <c:v>-4.49999999999999</c:v>
                </c:pt>
                <c:pt idx="272">
                  <c:v>-4.49999999999999</c:v>
                </c:pt>
                <c:pt idx="273">
                  <c:v>-4.49999999999999</c:v>
                </c:pt>
                <c:pt idx="274">
                  <c:v>-4.49999999999999</c:v>
                </c:pt>
                <c:pt idx="275">
                  <c:v>-4.49999999999999</c:v>
                </c:pt>
                <c:pt idx="276">
                  <c:v>-4.49999999999999</c:v>
                </c:pt>
                <c:pt idx="277">
                  <c:v>-4.49999999999999</c:v>
                </c:pt>
                <c:pt idx="278">
                  <c:v>-4.49999999999999</c:v>
                </c:pt>
                <c:pt idx="279">
                  <c:v>-4.49999999999999</c:v>
                </c:pt>
                <c:pt idx="280">
                  <c:v>-4.49999999999999</c:v>
                </c:pt>
                <c:pt idx="281">
                  <c:v>-4.49999999999999</c:v>
                </c:pt>
                <c:pt idx="282">
                  <c:v>-4.49999999999999</c:v>
                </c:pt>
                <c:pt idx="283">
                  <c:v>-4.49999999999999</c:v>
                </c:pt>
                <c:pt idx="284">
                  <c:v>-4.49999999999999</c:v>
                </c:pt>
                <c:pt idx="285">
                  <c:v>-4.49999999999999</c:v>
                </c:pt>
                <c:pt idx="286">
                  <c:v>-4.49999999999999</c:v>
                </c:pt>
                <c:pt idx="287">
                  <c:v>-4.49999999999999</c:v>
                </c:pt>
                <c:pt idx="288">
                  <c:v>-4.49999999999999</c:v>
                </c:pt>
                <c:pt idx="289">
                  <c:v>-4.49999999999999</c:v>
                </c:pt>
                <c:pt idx="290">
                  <c:v>-4.49999999999999</c:v>
                </c:pt>
                <c:pt idx="291">
                  <c:v>-4.49999999999999</c:v>
                </c:pt>
                <c:pt idx="292">
                  <c:v>-4.49999999999999</c:v>
                </c:pt>
                <c:pt idx="293">
                  <c:v>-4.49999999999999</c:v>
                </c:pt>
                <c:pt idx="294">
                  <c:v>-4.49999999999999</c:v>
                </c:pt>
                <c:pt idx="295">
                  <c:v>-4.49999999999999</c:v>
                </c:pt>
                <c:pt idx="296">
                  <c:v>-4.49999999999999</c:v>
                </c:pt>
                <c:pt idx="297">
                  <c:v>-4.49999999999999</c:v>
                </c:pt>
                <c:pt idx="298">
                  <c:v>-4.49999999999999</c:v>
                </c:pt>
                <c:pt idx="299">
                  <c:v>-4.49999999999999</c:v>
                </c:pt>
                <c:pt idx="300">
                  <c:v>-4.49999999999999</c:v>
                </c:pt>
                <c:pt idx="301">
                  <c:v>-4.49999999999999</c:v>
                </c:pt>
                <c:pt idx="302">
                  <c:v>-4.49999999999999</c:v>
                </c:pt>
                <c:pt idx="303">
                  <c:v>-4.49999999999999</c:v>
                </c:pt>
                <c:pt idx="304">
                  <c:v>-4.49999999999999</c:v>
                </c:pt>
                <c:pt idx="305">
                  <c:v>-4.49999999999999</c:v>
                </c:pt>
                <c:pt idx="306">
                  <c:v>-4.49999999999999</c:v>
                </c:pt>
                <c:pt idx="307">
                  <c:v>-4.49999999999999</c:v>
                </c:pt>
                <c:pt idx="308">
                  <c:v>-4.49999999999999</c:v>
                </c:pt>
                <c:pt idx="309">
                  <c:v>-4.49999999999999</c:v>
                </c:pt>
                <c:pt idx="310">
                  <c:v>-4.49999999999999</c:v>
                </c:pt>
                <c:pt idx="311">
                  <c:v>-4.49999999999999</c:v>
                </c:pt>
                <c:pt idx="312">
                  <c:v>-4.49999999999999</c:v>
                </c:pt>
                <c:pt idx="313">
                  <c:v>-4.49999999999999</c:v>
                </c:pt>
                <c:pt idx="314">
                  <c:v>-4.49999999999999</c:v>
                </c:pt>
                <c:pt idx="315">
                  <c:v>-4.49999999999999</c:v>
                </c:pt>
                <c:pt idx="316">
                  <c:v>-4.49999999999999</c:v>
                </c:pt>
                <c:pt idx="317">
                  <c:v>-4.49999999999999</c:v>
                </c:pt>
                <c:pt idx="318">
                  <c:v>-4.49999999999999</c:v>
                </c:pt>
                <c:pt idx="319">
                  <c:v>-4.49999999999999</c:v>
                </c:pt>
                <c:pt idx="320">
                  <c:v>-4.49999999999999</c:v>
                </c:pt>
                <c:pt idx="321">
                  <c:v>-4.49999999999999</c:v>
                </c:pt>
                <c:pt idx="322">
                  <c:v>-4.49999999999999</c:v>
                </c:pt>
                <c:pt idx="323">
                  <c:v>-4.49999999999999</c:v>
                </c:pt>
                <c:pt idx="324">
                  <c:v>-4.49999999999999</c:v>
                </c:pt>
                <c:pt idx="325">
                  <c:v>-4.49999999999999</c:v>
                </c:pt>
                <c:pt idx="326">
                  <c:v>-4.49999999999999</c:v>
                </c:pt>
                <c:pt idx="327">
                  <c:v>-4.49999999999999</c:v>
                </c:pt>
                <c:pt idx="328">
                  <c:v>-4.49999999999999</c:v>
                </c:pt>
                <c:pt idx="329">
                  <c:v>-4.49999999999999</c:v>
                </c:pt>
                <c:pt idx="330">
                  <c:v>-4.49999999999999</c:v>
                </c:pt>
                <c:pt idx="331">
                  <c:v>-4.49999999999999</c:v>
                </c:pt>
                <c:pt idx="332">
                  <c:v>-4.49999999999999</c:v>
                </c:pt>
                <c:pt idx="333">
                  <c:v>-4.49999999999999</c:v>
                </c:pt>
                <c:pt idx="334">
                  <c:v>-4.49999999999999</c:v>
                </c:pt>
                <c:pt idx="335">
                  <c:v>-4.49999999999999</c:v>
                </c:pt>
                <c:pt idx="336">
                  <c:v>-4.49999999999999</c:v>
                </c:pt>
                <c:pt idx="337">
                  <c:v>-4.49999999999999</c:v>
                </c:pt>
                <c:pt idx="338">
                  <c:v>-4.49999999999999</c:v>
                </c:pt>
                <c:pt idx="339">
                  <c:v>-4.49999999999999</c:v>
                </c:pt>
                <c:pt idx="340">
                  <c:v>-4.49999999999999</c:v>
                </c:pt>
                <c:pt idx="341">
                  <c:v>-4.49999999999999</c:v>
                </c:pt>
                <c:pt idx="342">
                  <c:v>-4.49999999999999</c:v>
                </c:pt>
                <c:pt idx="343">
                  <c:v>-4.49999999999999</c:v>
                </c:pt>
                <c:pt idx="344">
                  <c:v>-4.49999999999999</c:v>
                </c:pt>
                <c:pt idx="345">
                  <c:v>-4.49999999999999</c:v>
                </c:pt>
                <c:pt idx="346">
                  <c:v>-4.49999999999999</c:v>
                </c:pt>
                <c:pt idx="347">
                  <c:v>-4.49999999999999</c:v>
                </c:pt>
                <c:pt idx="348">
                  <c:v>-4.49999999999999</c:v>
                </c:pt>
                <c:pt idx="349">
                  <c:v>-4.49999999999999</c:v>
                </c:pt>
                <c:pt idx="350">
                  <c:v>-4.49999999999999</c:v>
                </c:pt>
                <c:pt idx="351">
                  <c:v>-4.49999999999999</c:v>
                </c:pt>
                <c:pt idx="352">
                  <c:v>-4.49999999999999</c:v>
                </c:pt>
                <c:pt idx="353">
                  <c:v>-4.49999999999999</c:v>
                </c:pt>
                <c:pt idx="354">
                  <c:v>-4.49999999999999</c:v>
                </c:pt>
                <c:pt idx="355">
                  <c:v>-4.49999999999999</c:v>
                </c:pt>
                <c:pt idx="356">
                  <c:v>-4.49999999999999</c:v>
                </c:pt>
                <c:pt idx="357">
                  <c:v>-4.49999999999999</c:v>
                </c:pt>
                <c:pt idx="358">
                  <c:v>-4.49999999999999</c:v>
                </c:pt>
                <c:pt idx="359">
                  <c:v>-4.49999999999999</c:v>
                </c:pt>
                <c:pt idx="360">
                  <c:v>-4.49999999999999</c:v>
                </c:pt>
                <c:pt idx="361">
                  <c:v>-4.49999999999999</c:v>
                </c:pt>
                <c:pt idx="362">
                  <c:v>-4.49999999999999</c:v>
                </c:pt>
                <c:pt idx="363">
                  <c:v>-4.49999999999999</c:v>
                </c:pt>
                <c:pt idx="364">
                  <c:v>-4.49999999999999</c:v>
                </c:pt>
                <c:pt idx="365">
                  <c:v>-4.49999999999999</c:v>
                </c:pt>
                <c:pt idx="366">
                  <c:v>-4.49999999999999</c:v>
                </c:pt>
                <c:pt idx="367">
                  <c:v>-4.49999999999999</c:v>
                </c:pt>
                <c:pt idx="368">
                  <c:v>-4.49999999999999</c:v>
                </c:pt>
                <c:pt idx="369">
                  <c:v>-4.49999999999999</c:v>
                </c:pt>
                <c:pt idx="370">
                  <c:v>-4.49999999999999</c:v>
                </c:pt>
                <c:pt idx="371">
                  <c:v>-4.49999999999999</c:v>
                </c:pt>
                <c:pt idx="372">
                  <c:v>-4.49999999999999</c:v>
                </c:pt>
                <c:pt idx="373">
                  <c:v>-4.49999999999999</c:v>
                </c:pt>
                <c:pt idx="374">
                  <c:v>-4.49999999999999</c:v>
                </c:pt>
                <c:pt idx="375">
                  <c:v>-4.49999999999999</c:v>
                </c:pt>
                <c:pt idx="376">
                  <c:v>-4.49999999999999</c:v>
                </c:pt>
                <c:pt idx="377">
                  <c:v>-4.49999999999999</c:v>
                </c:pt>
                <c:pt idx="378">
                  <c:v>-4.49999999999999</c:v>
                </c:pt>
                <c:pt idx="379">
                  <c:v>-4.49999999999999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37350937"/>
        <c:axId val="930449243"/>
      </c:lineChart>
      <c:catAx>
        <c:axId val="9373509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0449243"/>
        <c:crosses val="autoZero"/>
        <c:auto val="1"/>
        <c:lblAlgn val="ctr"/>
        <c:lblOffset val="100"/>
        <c:noMultiLvlLbl val="0"/>
      </c:catAx>
      <c:valAx>
        <c:axId val="9304492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73509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B_12_04_32_20KPa!$K$3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B_12_04_32_20KPa!$J$4:$J$345</c:f>
              <c:numCache>
                <c:formatCode>0.00_);[Red]\(0.00\)</c:formatCode>
                <c:ptCount val="342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0.367</c:v>
                </c:pt>
                <c:pt idx="12" c:formatCode="0.00_);[Red]\(0.00\)">
                  <c:v>0.401</c:v>
                </c:pt>
                <c:pt idx="13" c:formatCode="0.00_);[Red]\(0.00\)">
                  <c:v>0.434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0.601</c:v>
                </c:pt>
                <c:pt idx="19" c:formatCode="0.00_);[Red]\(0.00\)">
                  <c:v>0.635</c:v>
                </c:pt>
                <c:pt idx="20" c:formatCode="0.00_);[Red]\(0.00\)">
                  <c:v>0.668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0.768</c:v>
                </c:pt>
                <c:pt idx="24" c:formatCode="0.00_);[Red]\(0.00\)">
                  <c:v>0.802</c:v>
                </c:pt>
                <c:pt idx="25" c:formatCode="0.00_);[Red]\(0.00\)">
                  <c:v>0.835</c:v>
                </c:pt>
                <c:pt idx="26" c:formatCode="0.00_);[Red]\(0.00\)">
                  <c:v>0.869</c:v>
                </c:pt>
                <c:pt idx="27" c:formatCode="0.00_);[Red]\(0.00\)">
                  <c:v>0.902</c:v>
                </c:pt>
                <c:pt idx="28" c:formatCode="0.00_);[Red]\(0.00\)">
                  <c:v>0.935</c:v>
                </c:pt>
                <c:pt idx="29" c:formatCode="0.00_);[Red]\(0.00\)">
                  <c:v>0.969</c:v>
                </c:pt>
                <c:pt idx="30" c:formatCode="0.00_);[Red]\(0.00\)">
                  <c:v>1.002</c:v>
                </c:pt>
                <c:pt idx="31" c:formatCode="0.00_);[Red]\(0.00\)">
                  <c:v>1.036</c:v>
                </c:pt>
                <c:pt idx="32" c:formatCode="0.00_);[Red]\(0.00\)">
                  <c:v>1.069</c:v>
                </c:pt>
                <c:pt idx="33" c:formatCode="0.00_);[Red]\(0.00\)">
                  <c:v>1.102</c:v>
                </c:pt>
                <c:pt idx="34" c:formatCode="0.00_);[Red]\(0.00\)">
                  <c:v>1.136</c:v>
                </c:pt>
                <c:pt idx="35" c:formatCode="0.00_);[Red]\(0.00\)">
                  <c:v>1.169</c:v>
                </c:pt>
                <c:pt idx="36" c:formatCode="0.00_);[Red]\(0.00\)">
                  <c:v>1.203</c:v>
                </c:pt>
                <c:pt idx="37" c:formatCode="0.00_);[Red]\(0.00\)">
                  <c:v>1.236</c:v>
                </c:pt>
                <c:pt idx="38" c:formatCode="0.00_);[Red]\(0.00\)">
                  <c:v>1.269</c:v>
                </c:pt>
                <c:pt idx="39" c:formatCode="0.00_);[Red]\(0.00\)">
                  <c:v>1.303</c:v>
                </c:pt>
                <c:pt idx="40" c:formatCode="0.00_);[Red]\(0.00\)">
                  <c:v>1.336</c:v>
                </c:pt>
                <c:pt idx="41" c:formatCode="0.00_);[Red]\(0.00\)">
                  <c:v>1.37</c:v>
                </c:pt>
                <c:pt idx="42" c:formatCode="0.00_);[Red]\(0.00\)">
                  <c:v>1.403</c:v>
                </c:pt>
                <c:pt idx="43" c:formatCode="0.00_);[Red]\(0.00\)">
                  <c:v>1.437</c:v>
                </c:pt>
                <c:pt idx="44" c:formatCode="0.00_);[Red]\(0.00\)">
                  <c:v>1.47</c:v>
                </c:pt>
                <c:pt idx="45" c:formatCode="0.00_);[Red]\(0.00\)">
                  <c:v>1.503</c:v>
                </c:pt>
                <c:pt idx="46" c:formatCode="0.00_);[Red]\(0.00\)">
                  <c:v>1.537</c:v>
                </c:pt>
                <c:pt idx="47" c:formatCode="0.00_);[Red]\(0.00\)">
                  <c:v>1.57</c:v>
                </c:pt>
                <c:pt idx="48" c:formatCode="0.00_);[Red]\(0.00\)">
                  <c:v>1.604</c:v>
                </c:pt>
                <c:pt idx="49" c:formatCode="0.00_);[Red]\(0.00\)">
                  <c:v>1.637</c:v>
                </c:pt>
                <c:pt idx="50" c:formatCode="0.00_);[Red]\(0.00\)">
                  <c:v>1.67</c:v>
                </c:pt>
                <c:pt idx="51" c:formatCode="0.00_);[Red]\(0.00\)">
                  <c:v>1.704</c:v>
                </c:pt>
                <c:pt idx="52" c:formatCode="0.00_);[Red]\(0.00\)">
                  <c:v>1.737</c:v>
                </c:pt>
                <c:pt idx="53" c:formatCode="0.00_);[Red]\(0.00\)">
                  <c:v>1.771</c:v>
                </c:pt>
                <c:pt idx="54" c:formatCode="0.00_);[Red]\(0.00\)">
                  <c:v>1.804</c:v>
                </c:pt>
                <c:pt idx="55" c:formatCode="0.00_);[Red]\(0.00\)">
                  <c:v>1.837</c:v>
                </c:pt>
                <c:pt idx="56" c:formatCode="0.00_);[Red]\(0.00\)">
                  <c:v>1.871</c:v>
                </c:pt>
                <c:pt idx="57" c:formatCode="0.00_);[Red]\(0.00\)">
                  <c:v>1.904</c:v>
                </c:pt>
                <c:pt idx="58" c:formatCode="0.00_);[Red]\(0.00\)">
                  <c:v>1.938</c:v>
                </c:pt>
                <c:pt idx="59" c:formatCode="0.00_);[Red]\(0.00\)">
                  <c:v>1.971</c:v>
                </c:pt>
                <c:pt idx="60" c:formatCode="0.00_);[Red]\(0.00\)">
                  <c:v>2.004</c:v>
                </c:pt>
                <c:pt idx="61" c:formatCode="0.00_);[Red]\(0.00\)">
                  <c:v>2.038</c:v>
                </c:pt>
                <c:pt idx="62" c:formatCode="0.00_);[Red]\(0.00\)">
                  <c:v>2.071</c:v>
                </c:pt>
                <c:pt idx="63" c:formatCode="0.00_);[Red]\(0.00\)">
                  <c:v>2.105</c:v>
                </c:pt>
                <c:pt idx="64" c:formatCode="0.00_);[Red]\(0.00\)">
                  <c:v>2.138</c:v>
                </c:pt>
                <c:pt idx="65" c:formatCode="0.00_);[Red]\(0.00\)">
                  <c:v>2.171</c:v>
                </c:pt>
                <c:pt idx="66" c:formatCode="0.00_);[Red]\(0.00\)">
                  <c:v>2.205</c:v>
                </c:pt>
                <c:pt idx="67" c:formatCode="0.00_);[Red]\(0.00\)">
                  <c:v>2.238</c:v>
                </c:pt>
                <c:pt idx="68" c:formatCode="0.00_);[Red]\(0.00\)">
                  <c:v>2.272</c:v>
                </c:pt>
                <c:pt idx="69" c:formatCode="0.00_);[Red]\(0.00\)">
                  <c:v>2.305</c:v>
                </c:pt>
                <c:pt idx="70" c:formatCode="0.00_);[Red]\(0.00\)">
                  <c:v>2.339</c:v>
                </c:pt>
                <c:pt idx="71" c:formatCode="0.00_);[Red]\(0.00\)">
                  <c:v>2.372</c:v>
                </c:pt>
                <c:pt idx="72" c:formatCode="0.00_);[Red]\(0.00\)">
                  <c:v>2.405</c:v>
                </c:pt>
                <c:pt idx="73" c:formatCode="0.00_);[Red]\(0.00\)">
                  <c:v>2.439</c:v>
                </c:pt>
                <c:pt idx="74" c:formatCode="0.00_);[Red]\(0.00\)">
                  <c:v>2.472</c:v>
                </c:pt>
                <c:pt idx="75" c:formatCode="0.00_);[Red]\(0.00\)">
                  <c:v>2.506</c:v>
                </c:pt>
                <c:pt idx="76" c:formatCode="0.00_);[Red]\(0.00\)">
                  <c:v>2.539</c:v>
                </c:pt>
                <c:pt idx="77" c:formatCode="0.00_);[Red]\(0.00\)">
                  <c:v>2.572</c:v>
                </c:pt>
                <c:pt idx="78" c:formatCode="0.00_);[Red]\(0.00\)">
                  <c:v>2.606</c:v>
                </c:pt>
                <c:pt idx="79" c:formatCode="0.00_);[Red]\(0.00\)">
                  <c:v>2.639</c:v>
                </c:pt>
                <c:pt idx="80" c:formatCode="0.00_);[Red]\(0.00\)">
                  <c:v>2.673</c:v>
                </c:pt>
                <c:pt idx="81" c:formatCode="0.00_);[Red]\(0.00\)">
                  <c:v>2.706</c:v>
                </c:pt>
                <c:pt idx="82" c:formatCode="0.00_);[Red]\(0.00\)">
                  <c:v>2.739</c:v>
                </c:pt>
                <c:pt idx="83" c:formatCode="0.00_);[Red]\(0.00\)">
                  <c:v>2.773</c:v>
                </c:pt>
                <c:pt idx="84" c:formatCode="0.00_);[Red]\(0.00\)">
                  <c:v>2.806</c:v>
                </c:pt>
                <c:pt idx="85" c:formatCode="0.00_);[Red]\(0.00\)">
                  <c:v>2.84</c:v>
                </c:pt>
                <c:pt idx="86" c:formatCode="0.00_);[Red]\(0.00\)">
                  <c:v>2.873</c:v>
                </c:pt>
                <c:pt idx="87" c:formatCode="0.00_);[Red]\(0.00\)">
                  <c:v>2.906</c:v>
                </c:pt>
                <c:pt idx="88" c:formatCode="0.00_);[Red]\(0.00\)">
                  <c:v>2.94</c:v>
                </c:pt>
                <c:pt idx="89" c:formatCode="0.00_);[Red]\(0.00\)">
                  <c:v>2.973</c:v>
                </c:pt>
                <c:pt idx="90" c:formatCode="0.00_);[Red]\(0.00\)">
                  <c:v>3.007</c:v>
                </c:pt>
                <c:pt idx="91" c:formatCode="0.00_);[Red]\(0.00\)">
                  <c:v>3.04</c:v>
                </c:pt>
                <c:pt idx="92" c:formatCode="0.00_);[Red]\(0.00\)">
                  <c:v>3.073</c:v>
                </c:pt>
                <c:pt idx="93" c:formatCode="0.00_);[Red]\(0.00\)">
                  <c:v>3.107</c:v>
                </c:pt>
                <c:pt idx="94" c:formatCode="0.00_);[Red]\(0.00\)">
                  <c:v>3.14</c:v>
                </c:pt>
                <c:pt idx="95" c:formatCode="0.00_);[Red]\(0.00\)">
                  <c:v>3.174</c:v>
                </c:pt>
                <c:pt idx="96" c:formatCode="0.00_);[Red]\(0.00\)">
                  <c:v>3.207</c:v>
                </c:pt>
                <c:pt idx="97" c:formatCode="0.00_);[Red]\(0.00\)">
                  <c:v>3.241</c:v>
                </c:pt>
                <c:pt idx="98" c:formatCode="0.00_);[Red]\(0.00\)">
                  <c:v>3.274</c:v>
                </c:pt>
                <c:pt idx="99" c:formatCode="0.00_);[Red]\(0.00\)">
                  <c:v>3.307</c:v>
                </c:pt>
                <c:pt idx="100" c:formatCode="0.00_);[Red]\(0.00\)">
                  <c:v>3.341</c:v>
                </c:pt>
                <c:pt idx="101" c:formatCode="0.00_);[Red]\(0.00\)">
                  <c:v>3.374</c:v>
                </c:pt>
                <c:pt idx="102" c:formatCode="0.00_);[Red]\(0.00\)">
                  <c:v>3.408</c:v>
                </c:pt>
                <c:pt idx="103" c:formatCode="0.00_);[Red]\(0.00\)">
                  <c:v>3.441</c:v>
                </c:pt>
                <c:pt idx="104" c:formatCode="0.00_);[Red]\(0.00\)">
                  <c:v>3.474</c:v>
                </c:pt>
                <c:pt idx="105" c:formatCode="0.00_);[Red]\(0.00\)">
                  <c:v>3.508</c:v>
                </c:pt>
                <c:pt idx="106" c:formatCode="0.00_);[Red]\(0.00\)">
                  <c:v>3.541</c:v>
                </c:pt>
                <c:pt idx="107" c:formatCode="0.00_);[Red]\(0.00\)">
                  <c:v>3.575</c:v>
                </c:pt>
                <c:pt idx="108" c:formatCode="0.00_);[Red]\(0.00\)">
                  <c:v>3.608</c:v>
                </c:pt>
                <c:pt idx="109" c:formatCode="0.00_);[Red]\(0.00\)">
                  <c:v>3.641</c:v>
                </c:pt>
                <c:pt idx="110" c:formatCode="0.00_);[Red]\(0.00\)">
                  <c:v>3.675</c:v>
                </c:pt>
                <c:pt idx="111" c:formatCode="0.00_);[Red]\(0.00\)">
                  <c:v>3.708</c:v>
                </c:pt>
                <c:pt idx="112" c:formatCode="0.00_);[Red]\(0.00\)">
                  <c:v>3.742</c:v>
                </c:pt>
                <c:pt idx="113" c:formatCode="0.00_);[Red]\(0.00\)">
                  <c:v>3.775</c:v>
                </c:pt>
                <c:pt idx="114" c:formatCode="0.00_);[Red]\(0.00\)">
                  <c:v>3.808</c:v>
                </c:pt>
                <c:pt idx="115" c:formatCode="0.00_);[Red]\(0.00\)">
                  <c:v>3.842</c:v>
                </c:pt>
                <c:pt idx="116" c:formatCode="0.00_);[Red]\(0.00\)">
                  <c:v>3.875</c:v>
                </c:pt>
                <c:pt idx="117" c:formatCode="0.00_);[Red]\(0.00\)">
                  <c:v>3.909</c:v>
                </c:pt>
                <c:pt idx="118" c:formatCode="0.00_);[Red]\(0.00\)">
                  <c:v>3.942</c:v>
                </c:pt>
                <c:pt idx="119" c:formatCode="0.00_);[Red]\(0.00\)">
                  <c:v>3.975</c:v>
                </c:pt>
                <c:pt idx="120" c:formatCode="0.00_);[Red]\(0.00\)">
                  <c:v>4.009</c:v>
                </c:pt>
                <c:pt idx="121" c:formatCode="0.00_);[Red]\(0.00\)">
                  <c:v>4.042</c:v>
                </c:pt>
                <c:pt idx="122" c:formatCode="0.00_);[Red]\(0.00\)">
                  <c:v>4.076</c:v>
                </c:pt>
                <c:pt idx="123" c:formatCode="0.00_);[Red]\(0.00\)">
                  <c:v>4.109</c:v>
                </c:pt>
                <c:pt idx="124" c:formatCode="0.00_);[Red]\(0.00\)">
                  <c:v>4.143</c:v>
                </c:pt>
                <c:pt idx="125" c:formatCode="0.00_);[Red]\(0.00\)">
                  <c:v>4.176</c:v>
                </c:pt>
                <c:pt idx="126" c:formatCode="0.00_);[Red]\(0.00\)">
                  <c:v>4.209</c:v>
                </c:pt>
                <c:pt idx="127" c:formatCode="0.00_);[Red]\(0.00\)">
                  <c:v>4.243</c:v>
                </c:pt>
                <c:pt idx="128" c:formatCode="0.00_);[Red]\(0.00\)">
                  <c:v>4.276</c:v>
                </c:pt>
                <c:pt idx="129" c:formatCode="0.00_);[Red]\(0.00\)">
                  <c:v>4.31</c:v>
                </c:pt>
                <c:pt idx="130" c:formatCode="0.00_);[Red]\(0.00\)">
                  <c:v>4.343</c:v>
                </c:pt>
                <c:pt idx="131" c:formatCode="0.00_);[Red]\(0.00\)">
                  <c:v>4.376</c:v>
                </c:pt>
                <c:pt idx="132" c:formatCode="0.00_);[Red]\(0.00\)">
                  <c:v>4.41</c:v>
                </c:pt>
                <c:pt idx="133" c:formatCode="0.00_);[Red]\(0.00\)">
                  <c:v>4.443</c:v>
                </c:pt>
                <c:pt idx="134" c:formatCode="0.00_);[Red]\(0.00\)">
                  <c:v>4.477</c:v>
                </c:pt>
                <c:pt idx="135" c:formatCode="0.00_);[Red]\(0.00\)">
                  <c:v>4.51</c:v>
                </c:pt>
                <c:pt idx="136" c:formatCode="0.00_);[Red]\(0.00\)">
                  <c:v>4.543</c:v>
                </c:pt>
                <c:pt idx="137" c:formatCode="0.00_);[Red]\(0.00\)">
                  <c:v>4.577</c:v>
                </c:pt>
                <c:pt idx="138" c:formatCode="0.00_);[Red]\(0.00\)">
                  <c:v>4.61</c:v>
                </c:pt>
                <c:pt idx="139" c:formatCode="0.00_);[Red]\(0.00\)">
                  <c:v>4.644</c:v>
                </c:pt>
                <c:pt idx="140" c:formatCode="0.00_);[Red]\(0.00\)">
                  <c:v>4.677</c:v>
                </c:pt>
                <c:pt idx="141" c:formatCode="0.00_);[Red]\(0.00\)">
                  <c:v>4.71</c:v>
                </c:pt>
                <c:pt idx="142" c:formatCode="0.00_);[Red]\(0.00\)">
                  <c:v>4.744</c:v>
                </c:pt>
                <c:pt idx="143" c:formatCode="0.00_);[Red]\(0.00\)">
                  <c:v>4.777</c:v>
                </c:pt>
                <c:pt idx="144" c:formatCode="0.00_);[Red]\(0.00\)">
                  <c:v>4.811</c:v>
                </c:pt>
                <c:pt idx="145" c:formatCode="0.00_);[Red]\(0.00\)">
                  <c:v>4.844</c:v>
                </c:pt>
                <c:pt idx="146" c:formatCode="0.00_);[Red]\(0.00\)">
                  <c:v>4.877</c:v>
                </c:pt>
                <c:pt idx="147" c:formatCode="0.00_);[Red]\(0.00\)">
                  <c:v>4.911</c:v>
                </c:pt>
                <c:pt idx="148" c:formatCode="0.00_);[Red]\(0.00\)">
                  <c:v>4.944</c:v>
                </c:pt>
                <c:pt idx="149" c:formatCode="0.00_);[Red]\(0.00\)">
                  <c:v>4.978</c:v>
                </c:pt>
                <c:pt idx="150" c:formatCode="0.00_);[Red]\(0.00\)">
                  <c:v>5.011</c:v>
                </c:pt>
                <c:pt idx="151" c:formatCode="0.00_);[Red]\(0.00\)">
                  <c:v>5.045</c:v>
                </c:pt>
                <c:pt idx="152" c:formatCode="0.00_);[Red]\(0.00\)">
                  <c:v>5.078</c:v>
                </c:pt>
                <c:pt idx="153" c:formatCode="0.00_);[Red]\(0.00\)">
                  <c:v>5.111</c:v>
                </c:pt>
                <c:pt idx="154" c:formatCode="0.00_);[Red]\(0.00\)">
                  <c:v>5.145</c:v>
                </c:pt>
                <c:pt idx="155" c:formatCode="0.00_);[Red]\(0.00\)">
                  <c:v>5.178</c:v>
                </c:pt>
                <c:pt idx="156" c:formatCode="0.00_);[Red]\(0.00\)">
                  <c:v>5.212</c:v>
                </c:pt>
                <c:pt idx="157" c:formatCode="0.00_);[Red]\(0.00\)">
                  <c:v>5.245</c:v>
                </c:pt>
                <c:pt idx="158" c:formatCode="0.00_);[Red]\(0.00\)">
                  <c:v>5.278</c:v>
                </c:pt>
                <c:pt idx="159" c:formatCode="0.00_);[Red]\(0.00\)">
                  <c:v>5.312</c:v>
                </c:pt>
                <c:pt idx="160" c:formatCode="0.00_);[Red]\(0.00\)">
                  <c:v>5.345</c:v>
                </c:pt>
                <c:pt idx="161" c:formatCode="0.00_);[Red]\(0.00\)">
                  <c:v>5.379</c:v>
                </c:pt>
                <c:pt idx="162" c:formatCode="0.00_);[Red]\(0.00\)">
                  <c:v>5.412</c:v>
                </c:pt>
                <c:pt idx="163" c:formatCode="0.00_);[Red]\(0.00\)">
                  <c:v>5.445</c:v>
                </c:pt>
                <c:pt idx="164" c:formatCode="0.00_);[Red]\(0.00\)">
                  <c:v>5.479</c:v>
                </c:pt>
                <c:pt idx="165" c:formatCode="0.00_);[Red]\(0.00\)">
                  <c:v>5.512</c:v>
                </c:pt>
                <c:pt idx="166" c:formatCode="0.00_);[Red]\(0.00\)">
                  <c:v>5.546</c:v>
                </c:pt>
                <c:pt idx="167" c:formatCode="0.00_);[Red]\(0.00\)">
                  <c:v>5.579</c:v>
                </c:pt>
                <c:pt idx="168" c:formatCode="0.00_);[Red]\(0.00\)">
                  <c:v>5.612</c:v>
                </c:pt>
                <c:pt idx="169" c:formatCode="0.00_);[Red]\(0.00\)">
                  <c:v>5.646</c:v>
                </c:pt>
                <c:pt idx="170" c:formatCode="0.00_);[Red]\(0.00\)">
                  <c:v>5.679</c:v>
                </c:pt>
                <c:pt idx="171" c:formatCode="0.00_);[Red]\(0.00\)">
                  <c:v>5.713</c:v>
                </c:pt>
                <c:pt idx="172" c:formatCode="0.00_);[Red]\(0.00\)">
                  <c:v>5.746</c:v>
                </c:pt>
                <c:pt idx="173" c:formatCode="0.00_);[Red]\(0.00\)">
                  <c:v>5.779</c:v>
                </c:pt>
                <c:pt idx="174" c:formatCode="0.00_);[Red]\(0.00\)">
                  <c:v>5.813</c:v>
                </c:pt>
                <c:pt idx="175" c:formatCode="0.00_);[Red]\(0.00\)">
                  <c:v>5.846</c:v>
                </c:pt>
                <c:pt idx="176" c:formatCode="0.00_);[Red]\(0.00\)">
                  <c:v>5.88</c:v>
                </c:pt>
                <c:pt idx="177" c:formatCode="0.00_);[Red]\(0.00\)">
                  <c:v>5.913</c:v>
                </c:pt>
                <c:pt idx="178" c:formatCode="0.00_);[Red]\(0.00\)">
                  <c:v>5.947</c:v>
                </c:pt>
                <c:pt idx="179" c:formatCode="0.00_);[Red]\(0.00\)">
                  <c:v>5.98</c:v>
                </c:pt>
                <c:pt idx="180" c:formatCode="0.00_);[Red]\(0.00\)">
                  <c:v>6.013</c:v>
                </c:pt>
                <c:pt idx="181" c:formatCode="0.00_);[Red]\(0.00\)">
                  <c:v>6.047</c:v>
                </c:pt>
                <c:pt idx="182" c:formatCode="0.00_);[Red]\(0.00\)">
                  <c:v>6.08</c:v>
                </c:pt>
                <c:pt idx="183" c:formatCode="0.00_);[Red]\(0.00\)">
                  <c:v>6.114</c:v>
                </c:pt>
                <c:pt idx="184" c:formatCode="0.00_);[Red]\(0.00\)">
                  <c:v>6.147</c:v>
                </c:pt>
                <c:pt idx="185" c:formatCode="0.00_);[Red]\(0.00\)">
                  <c:v>6.18</c:v>
                </c:pt>
                <c:pt idx="186" c:formatCode="0.00_);[Red]\(0.00\)">
                  <c:v>6.214</c:v>
                </c:pt>
                <c:pt idx="187" c:formatCode="0.00_);[Red]\(0.00\)">
                  <c:v>6.247</c:v>
                </c:pt>
                <c:pt idx="188" c:formatCode="0.00_);[Red]\(0.00\)">
                  <c:v>6.281</c:v>
                </c:pt>
                <c:pt idx="189" c:formatCode="0.00_);[Red]\(0.00\)">
                  <c:v>6.314</c:v>
                </c:pt>
                <c:pt idx="190" c:formatCode="0.00_);[Red]\(0.00\)">
                  <c:v>6.347</c:v>
                </c:pt>
                <c:pt idx="191" c:formatCode="0.00_);[Red]\(0.00\)">
                  <c:v>6.381</c:v>
                </c:pt>
                <c:pt idx="192" c:formatCode="0.00_);[Red]\(0.00\)">
                  <c:v>6.414</c:v>
                </c:pt>
                <c:pt idx="193" c:formatCode="0.00_);[Red]\(0.00\)">
                  <c:v>6.448</c:v>
                </c:pt>
                <c:pt idx="194" c:formatCode="0.00_);[Red]\(0.00\)">
                  <c:v>6.481</c:v>
                </c:pt>
                <c:pt idx="195" c:formatCode="0.00_);[Red]\(0.00\)">
                  <c:v>6.514</c:v>
                </c:pt>
                <c:pt idx="196" c:formatCode="0.00_);[Red]\(0.00\)">
                  <c:v>6.548</c:v>
                </c:pt>
                <c:pt idx="197" c:formatCode="0.00_);[Red]\(0.00\)">
                  <c:v>6.581</c:v>
                </c:pt>
                <c:pt idx="198" c:formatCode="0.00_);[Red]\(0.00\)">
                  <c:v>6.615</c:v>
                </c:pt>
                <c:pt idx="199" c:formatCode="0.00_);[Red]\(0.00\)">
                  <c:v>6.648</c:v>
                </c:pt>
                <c:pt idx="200" c:formatCode="0.00_);[Red]\(0.00\)">
                  <c:v>6.681</c:v>
                </c:pt>
                <c:pt idx="201" c:formatCode="0.00_);[Red]\(0.00\)">
                  <c:v>6.715</c:v>
                </c:pt>
                <c:pt idx="202" c:formatCode="0.00_);[Red]\(0.00\)">
                  <c:v>6.748</c:v>
                </c:pt>
                <c:pt idx="203" c:formatCode="0.00_);[Red]\(0.00\)">
                  <c:v>6.782</c:v>
                </c:pt>
                <c:pt idx="204" c:formatCode="0.00_);[Red]\(0.00\)">
                  <c:v>6.815</c:v>
                </c:pt>
                <c:pt idx="205" c:formatCode="0.00_);[Red]\(0.00\)">
                  <c:v>6.849</c:v>
                </c:pt>
                <c:pt idx="206" c:formatCode="0.00_);[Red]\(0.00\)">
                  <c:v>6.882</c:v>
                </c:pt>
                <c:pt idx="207" c:formatCode="0.00_);[Red]\(0.00\)">
                  <c:v>6.915</c:v>
                </c:pt>
                <c:pt idx="208" c:formatCode="0.00_);[Red]\(0.00\)">
                  <c:v>6.949</c:v>
                </c:pt>
                <c:pt idx="209" c:formatCode="0.00_);[Red]\(0.00\)">
                  <c:v>6.982</c:v>
                </c:pt>
                <c:pt idx="210" c:formatCode="0.00_);[Red]\(0.00\)">
                  <c:v>7.016</c:v>
                </c:pt>
                <c:pt idx="211" c:formatCode="0.00_);[Red]\(0.00\)">
                  <c:v>7.049</c:v>
                </c:pt>
                <c:pt idx="212" c:formatCode="0.00_);[Red]\(0.00\)">
                  <c:v>7.082</c:v>
                </c:pt>
                <c:pt idx="213" c:formatCode="0.00_);[Red]\(0.00\)">
                  <c:v>7.116</c:v>
                </c:pt>
                <c:pt idx="214" c:formatCode="0.00_);[Red]\(0.00\)">
                  <c:v>7.149</c:v>
                </c:pt>
                <c:pt idx="215" c:formatCode="0.00_);[Red]\(0.00\)">
                  <c:v>7.183</c:v>
                </c:pt>
                <c:pt idx="216" c:formatCode="0.00_);[Red]\(0.00\)">
                  <c:v>7.216</c:v>
                </c:pt>
                <c:pt idx="217" c:formatCode="0.00_);[Red]\(0.00\)">
                  <c:v>7.249</c:v>
                </c:pt>
                <c:pt idx="218" c:formatCode="0.00_);[Red]\(0.00\)">
                  <c:v>7.283</c:v>
                </c:pt>
                <c:pt idx="219" c:formatCode="0.00_);[Red]\(0.00\)">
                  <c:v>7.316</c:v>
                </c:pt>
                <c:pt idx="220" c:formatCode="0.00_);[Red]\(0.00\)">
                  <c:v>7.35</c:v>
                </c:pt>
                <c:pt idx="221" c:formatCode="0.00_);[Red]\(0.00\)">
                  <c:v>7.383</c:v>
                </c:pt>
                <c:pt idx="222" c:formatCode="0.00_);[Red]\(0.00\)">
                  <c:v>7.416</c:v>
                </c:pt>
                <c:pt idx="223" c:formatCode="0.00_);[Red]\(0.00\)">
                  <c:v>7.45</c:v>
                </c:pt>
                <c:pt idx="224" c:formatCode="0.00_);[Red]\(0.00\)">
                  <c:v>7.483</c:v>
                </c:pt>
                <c:pt idx="225" c:formatCode="0.00_);[Red]\(0.00\)">
                  <c:v>7.517</c:v>
                </c:pt>
                <c:pt idx="226" c:formatCode="0.00_);[Red]\(0.00\)">
                  <c:v>7.55</c:v>
                </c:pt>
                <c:pt idx="227" c:formatCode="0.00_);[Red]\(0.00\)">
                  <c:v>7.583</c:v>
                </c:pt>
                <c:pt idx="228" c:formatCode="0.00_);[Red]\(0.00\)">
                  <c:v>7.617</c:v>
                </c:pt>
                <c:pt idx="229" c:formatCode="0.00_);[Red]\(0.00\)">
                  <c:v>7.65</c:v>
                </c:pt>
                <c:pt idx="230" c:formatCode="0.00_);[Red]\(0.00\)">
                  <c:v>7.684</c:v>
                </c:pt>
                <c:pt idx="231" c:formatCode="0.00_);[Red]\(0.00\)">
                  <c:v>7.717</c:v>
                </c:pt>
                <c:pt idx="232" c:formatCode="0.00_);[Red]\(0.00\)">
                  <c:v>7.751</c:v>
                </c:pt>
                <c:pt idx="233" c:formatCode="0.00_);[Red]\(0.00\)">
                  <c:v>7.784</c:v>
                </c:pt>
                <c:pt idx="234" c:formatCode="0.00_);[Red]\(0.00\)">
                  <c:v>7.817</c:v>
                </c:pt>
                <c:pt idx="235" c:formatCode="0.00_);[Red]\(0.00\)">
                  <c:v>7.851</c:v>
                </c:pt>
                <c:pt idx="236" c:formatCode="0.00_);[Red]\(0.00\)">
                  <c:v>7.884</c:v>
                </c:pt>
                <c:pt idx="237" c:formatCode="0.00_);[Red]\(0.00\)">
                  <c:v>7.918</c:v>
                </c:pt>
                <c:pt idx="238" c:formatCode="0.00_);[Red]\(0.00\)">
                  <c:v>7.951</c:v>
                </c:pt>
                <c:pt idx="239" c:formatCode="0.00_);[Red]\(0.00\)">
                  <c:v>7.984</c:v>
                </c:pt>
                <c:pt idx="240" c:formatCode="0.00_);[Red]\(0.00\)">
                  <c:v>8.018</c:v>
                </c:pt>
                <c:pt idx="241" c:formatCode="0.00_);[Red]\(0.00\)">
                  <c:v>8.051</c:v>
                </c:pt>
                <c:pt idx="242" c:formatCode="0.00_);[Red]\(0.00\)">
                  <c:v>8.085</c:v>
                </c:pt>
                <c:pt idx="243" c:formatCode="0.00_);[Red]\(0.00\)">
                  <c:v>8.118</c:v>
                </c:pt>
                <c:pt idx="244" c:formatCode="0.00_);[Red]\(0.00\)">
                  <c:v>8.151</c:v>
                </c:pt>
                <c:pt idx="245" c:formatCode="0.00_);[Red]\(0.00\)">
                  <c:v>8.185</c:v>
                </c:pt>
                <c:pt idx="246" c:formatCode="0.00_);[Red]\(0.00\)">
                  <c:v>8.218</c:v>
                </c:pt>
                <c:pt idx="247" c:formatCode="0.00_);[Red]\(0.00\)">
                  <c:v>8.252</c:v>
                </c:pt>
                <c:pt idx="248" c:formatCode="0.00_);[Red]\(0.00\)">
                  <c:v>8.285</c:v>
                </c:pt>
                <c:pt idx="249" c:formatCode="0.00_);[Red]\(0.00\)">
                  <c:v>8.318</c:v>
                </c:pt>
                <c:pt idx="250" c:formatCode="0.00_);[Red]\(0.00\)">
                  <c:v>8.352</c:v>
                </c:pt>
                <c:pt idx="251" c:formatCode="0.00_);[Red]\(0.00\)">
                  <c:v>8.385</c:v>
                </c:pt>
                <c:pt idx="252" c:formatCode="0.00_);[Red]\(0.00\)">
                  <c:v>8.419</c:v>
                </c:pt>
                <c:pt idx="253" c:formatCode="0.00_);[Red]\(0.00\)">
                  <c:v>8.452</c:v>
                </c:pt>
                <c:pt idx="254" c:formatCode="0.00_);[Red]\(0.00\)">
                  <c:v>8.485</c:v>
                </c:pt>
                <c:pt idx="255" c:formatCode="0.00_);[Red]\(0.00\)">
                  <c:v>8.519</c:v>
                </c:pt>
                <c:pt idx="256" c:formatCode="0.00_);[Red]\(0.00\)">
                  <c:v>8.552</c:v>
                </c:pt>
                <c:pt idx="257" c:formatCode="0.00_);[Red]\(0.00\)">
                  <c:v>8.586</c:v>
                </c:pt>
                <c:pt idx="258" c:formatCode="0.00_);[Red]\(0.00\)">
                  <c:v>8.619</c:v>
                </c:pt>
                <c:pt idx="259" c:formatCode="0.00_);[Red]\(0.00\)">
                  <c:v>8.652</c:v>
                </c:pt>
                <c:pt idx="260" c:formatCode="0.00_);[Red]\(0.00\)">
                  <c:v>8.686</c:v>
                </c:pt>
                <c:pt idx="261" c:formatCode="0.00_);[Red]\(0.00\)">
                  <c:v>8.719</c:v>
                </c:pt>
                <c:pt idx="262" c:formatCode="0.00_);[Red]\(0.00\)">
                  <c:v>8.753</c:v>
                </c:pt>
                <c:pt idx="263" c:formatCode="0.00_);[Red]\(0.00\)">
                  <c:v>8.786</c:v>
                </c:pt>
                <c:pt idx="264" c:formatCode="0.00_);[Red]\(0.00\)">
                  <c:v>8.82</c:v>
                </c:pt>
                <c:pt idx="265" c:formatCode="0.00_);[Red]\(0.00\)">
                  <c:v>8.853</c:v>
                </c:pt>
                <c:pt idx="266" c:formatCode="0.00_);[Red]\(0.00\)">
                  <c:v>8.886</c:v>
                </c:pt>
                <c:pt idx="267" c:formatCode="0.00_);[Red]\(0.00\)">
                  <c:v>8.92</c:v>
                </c:pt>
                <c:pt idx="268" c:formatCode="0.00_);[Red]\(0.00\)">
                  <c:v>8.953</c:v>
                </c:pt>
                <c:pt idx="269" c:formatCode="0.00_);[Red]\(0.00\)">
                  <c:v>8.987</c:v>
                </c:pt>
                <c:pt idx="270" c:formatCode="0.00_);[Red]\(0.00\)">
                  <c:v>9.02</c:v>
                </c:pt>
                <c:pt idx="271" c:formatCode="0.00_);[Red]\(0.00\)">
                  <c:v>9.053</c:v>
                </c:pt>
                <c:pt idx="272" c:formatCode="0.00_);[Red]\(0.00\)">
                  <c:v>9.087</c:v>
                </c:pt>
                <c:pt idx="273" c:formatCode="0.00_);[Red]\(0.00\)">
                  <c:v>9.12</c:v>
                </c:pt>
                <c:pt idx="274" c:formatCode="0.00_);[Red]\(0.00\)">
                  <c:v>9.154</c:v>
                </c:pt>
                <c:pt idx="275" c:formatCode="0.00_);[Red]\(0.00\)">
                  <c:v>9.187</c:v>
                </c:pt>
                <c:pt idx="276" c:formatCode="0.00_);[Red]\(0.00\)">
                  <c:v>9.22</c:v>
                </c:pt>
                <c:pt idx="277" c:formatCode="0.00_);[Red]\(0.00\)">
                  <c:v>9.254</c:v>
                </c:pt>
                <c:pt idx="278" c:formatCode="0.00_);[Red]\(0.00\)">
                  <c:v>9.287</c:v>
                </c:pt>
                <c:pt idx="279" c:formatCode="0.00_);[Red]\(0.00\)">
                  <c:v>9.321</c:v>
                </c:pt>
                <c:pt idx="280" c:formatCode="0.00_);[Red]\(0.00\)">
                  <c:v>9.354</c:v>
                </c:pt>
                <c:pt idx="281" c:formatCode="0.00_);[Red]\(0.00\)">
                  <c:v>9.387</c:v>
                </c:pt>
                <c:pt idx="282" c:formatCode="0.00_);[Red]\(0.00\)">
                  <c:v>9.421</c:v>
                </c:pt>
                <c:pt idx="283" c:formatCode="0.00_);[Red]\(0.00\)">
                  <c:v>9.454</c:v>
                </c:pt>
                <c:pt idx="284" c:formatCode="0.00_);[Red]\(0.00\)">
                  <c:v>9.488</c:v>
                </c:pt>
                <c:pt idx="285" c:formatCode="0.00_);[Red]\(0.00\)">
                  <c:v>9.521</c:v>
                </c:pt>
                <c:pt idx="286" c:formatCode="0.00_);[Red]\(0.00\)">
                  <c:v>9.554</c:v>
                </c:pt>
                <c:pt idx="287" c:formatCode="0.00_);[Red]\(0.00\)">
                  <c:v>9.588</c:v>
                </c:pt>
                <c:pt idx="288" c:formatCode="0.00_);[Red]\(0.00\)">
                  <c:v>9.621</c:v>
                </c:pt>
                <c:pt idx="289" c:formatCode="0.00_);[Red]\(0.00\)">
                  <c:v>9.655</c:v>
                </c:pt>
                <c:pt idx="290" c:formatCode="0.00_);[Red]\(0.00\)">
                  <c:v>9.688</c:v>
                </c:pt>
                <c:pt idx="291" c:formatCode="0.00_);[Red]\(0.00\)">
                  <c:v>9.722</c:v>
                </c:pt>
                <c:pt idx="292" c:formatCode="0.00_);[Red]\(0.00\)">
                  <c:v>9.755</c:v>
                </c:pt>
                <c:pt idx="293" c:formatCode="0.00_);[Red]\(0.00\)">
                  <c:v>9.788</c:v>
                </c:pt>
                <c:pt idx="294" c:formatCode="0.00_);[Red]\(0.00\)">
                  <c:v>9.822</c:v>
                </c:pt>
                <c:pt idx="295" c:formatCode="0.00_);[Red]\(0.00\)">
                  <c:v>9.855</c:v>
                </c:pt>
                <c:pt idx="296" c:formatCode="0.00_);[Red]\(0.00\)">
                  <c:v>9.889</c:v>
                </c:pt>
                <c:pt idx="297" c:formatCode="0.00_);[Red]\(0.00\)">
                  <c:v>9.922</c:v>
                </c:pt>
                <c:pt idx="298" c:formatCode="0.00_);[Red]\(0.00\)">
                  <c:v>9.955</c:v>
                </c:pt>
                <c:pt idx="299" c:formatCode="0.00_);[Red]\(0.00\)">
                  <c:v>9.989</c:v>
                </c:pt>
                <c:pt idx="300" c:formatCode="0.00_);[Red]\(0.00\)">
                  <c:v>10.022</c:v>
                </c:pt>
                <c:pt idx="301" c:formatCode="0.00_);[Red]\(0.00\)">
                  <c:v>10.056</c:v>
                </c:pt>
                <c:pt idx="302" c:formatCode="0.00_);[Red]\(0.00\)">
                  <c:v>10.089</c:v>
                </c:pt>
                <c:pt idx="303" c:formatCode="0.00_);[Red]\(0.00\)">
                  <c:v>10.122</c:v>
                </c:pt>
                <c:pt idx="304" c:formatCode="0.00_);[Red]\(0.00\)">
                  <c:v>10.156</c:v>
                </c:pt>
                <c:pt idx="305" c:formatCode="0.00_);[Red]\(0.00\)">
                  <c:v>10.189</c:v>
                </c:pt>
                <c:pt idx="306" c:formatCode="0.00_);[Red]\(0.00\)">
                  <c:v>10.223</c:v>
                </c:pt>
                <c:pt idx="307" c:formatCode="0.00_);[Red]\(0.00\)">
                  <c:v>10.256</c:v>
                </c:pt>
                <c:pt idx="308" c:formatCode="0.00_);[Red]\(0.00\)">
                  <c:v>10.289</c:v>
                </c:pt>
                <c:pt idx="309" c:formatCode="0.00_);[Red]\(0.00\)">
                  <c:v>10.323</c:v>
                </c:pt>
                <c:pt idx="310" c:formatCode="0.00_);[Red]\(0.00\)">
                  <c:v>10.356</c:v>
                </c:pt>
                <c:pt idx="311" c:formatCode="0.00_);[Red]\(0.00\)">
                  <c:v>10.39</c:v>
                </c:pt>
                <c:pt idx="312" c:formatCode="0.00_);[Red]\(0.00\)">
                  <c:v>10.423</c:v>
                </c:pt>
                <c:pt idx="313" c:formatCode="0.00_);[Red]\(0.00\)">
                  <c:v>10.456</c:v>
                </c:pt>
                <c:pt idx="314" c:formatCode="0.00_);[Red]\(0.00\)">
                  <c:v>10.49</c:v>
                </c:pt>
                <c:pt idx="315" c:formatCode="0.00_);[Red]\(0.00\)">
                  <c:v>10.523</c:v>
                </c:pt>
                <c:pt idx="316" c:formatCode="0.00_);[Red]\(0.00\)">
                  <c:v>10.557</c:v>
                </c:pt>
                <c:pt idx="317" c:formatCode="0.00_);[Red]\(0.00\)">
                  <c:v>10.59</c:v>
                </c:pt>
                <c:pt idx="318" c:formatCode="0.00_);[Red]\(0.00\)">
                  <c:v>10.624</c:v>
                </c:pt>
                <c:pt idx="319" c:formatCode="0.00_);[Red]\(0.00\)">
                  <c:v>10.657</c:v>
                </c:pt>
                <c:pt idx="320" c:formatCode="0.00_);[Red]\(0.00\)">
                  <c:v>10.69</c:v>
                </c:pt>
                <c:pt idx="321" c:formatCode="0.00_);[Red]\(0.00\)">
                  <c:v>10.724</c:v>
                </c:pt>
                <c:pt idx="322" c:formatCode="0.00_);[Red]\(0.00\)">
                  <c:v>10.757</c:v>
                </c:pt>
                <c:pt idx="323" c:formatCode="0.00_);[Red]\(0.00\)">
                  <c:v>10.791</c:v>
                </c:pt>
                <c:pt idx="324" c:formatCode="0.00_);[Red]\(0.00\)">
                  <c:v>10.824</c:v>
                </c:pt>
                <c:pt idx="325" c:formatCode="0.00_);[Red]\(0.00\)">
                  <c:v>10.857</c:v>
                </c:pt>
                <c:pt idx="326" c:formatCode="0.00_);[Red]\(0.00\)">
                  <c:v>10.891</c:v>
                </c:pt>
                <c:pt idx="327" c:formatCode="0.00_);[Red]\(0.00\)">
                  <c:v>10.924</c:v>
                </c:pt>
                <c:pt idx="328" c:formatCode="0.00_);[Red]\(0.00\)">
                  <c:v>10.958</c:v>
                </c:pt>
                <c:pt idx="329" c:formatCode="0.00_);[Red]\(0.00\)">
                  <c:v>10.991</c:v>
                </c:pt>
                <c:pt idx="330" c:formatCode="0.00_);[Red]\(0.00\)">
                  <c:v>11.024</c:v>
                </c:pt>
                <c:pt idx="331" c:formatCode="0.00_);[Red]\(0.00\)">
                  <c:v>11.058</c:v>
                </c:pt>
                <c:pt idx="332" c:formatCode="0.00_);[Red]\(0.00\)">
                  <c:v>11.091</c:v>
                </c:pt>
                <c:pt idx="333" c:formatCode="0.00_);[Red]\(0.00\)">
                  <c:v>11.125</c:v>
                </c:pt>
                <c:pt idx="334" c:formatCode="0.00_);[Red]\(0.00\)">
                  <c:v>11.158</c:v>
                </c:pt>
                <c:pt idx="335" c:formatCode="0.00_);[Red]\(0.00\)">
                  <c:v>11.191</c:v>
                </c:pt>
                <c:pt idx="336" c:formatCode="0.00_);[Red]\(0.00\)">
                  <c:v>11.225</c:v>
                </c:pt>
                <c:pt idx="337" c:formatCode="0.00_);[Red]\(0.00\)">
                  <c:v>11.258</c:v>
                </c:pt>
                <c:pt idx="338" c:formatCode="0.00_);[Red]\(0.00\)">
                  <c:v>11.292</c:v>
                </c:pt>
                <c:pt idx="339" c:formatCode="0.00_);[Red]\(0.00\)">
                  <c:v>11.325</c:v>
                </c:pt>
                <c:pt idx="340" c:formatCode="0.00_);[Red]\(0.00\)">
                  <c:v>11.358</c:v>
                </c:pt>
                <c:pt idx="341" c:formatCode="0.00_);[Red]\(0.00\)">
                  <c:v>11.392</c:v>
                </c:pt>
              </c:numCache>
            </c:numRef>
          </c:cat>
          <c:val>
            <c:numRef>
              <c:f>B_12_04_32_20KPa!$K$4:$K$345</c:f>
              <c:numCache>
                <c:formatCode>0.000_ </c:formatCode>
                <c:ptCount val="342"/>
                <c:pt idx="0">
                  <c:v>0</c:v>
                </c:pt>
                <c:pt idx="1">
                  <c:v>0</c:v>
                </c:pt>
                <c:pt idx="2">
                  <c:v>-0.100000000000031</c:v>
                </c:pt>
                <c:pt idx="3">
                  <c:v>-0.100000000000031</c:v>
                </c:pt>
                <c:pt idx="4">
                  <c:v>-0.100000000000031</c:v>
                </c:pt>
                <c:pt idx="5">
                  <c:v>-0.199999999999992</c:v>
                </c:pt>
                <c:pt idx="6">
                  <c:v>-0.300000000000022</c:v>
                </c:pt>
                <c:pt idx="7">
                  <c:v>-0.399999999999984</c:v>
                </c:pt>
                <c:pt idx="8">
                  <c:v>-0.500000000000014</c:v>
                </c:pt>
                <c:pt idx="9">
                  <c:v>-0.599999999999976</c:v>
                </c:pt>
                <c:pt idx="10">
                  <c:v>-0.599999999999976</c:v>
                </c:pt>
                <c:pt idx="11">
                  <c:v>-0.500000000000014</c:v>
                </c:pt>
                <c:pt idx="12">
                  <c:v>-0.599999999999976</c:v>
                </c:pt>
                <c:pt idx="13">
                  <c:v>-0.700000000000006</c:v>
                </c:pt>
                <c:pt idx="14">
                  <c:v>-0.700000000000006</c:v>
                </c:pt>
                <c:pt idx="15">
                  <c:v>-0.599999999999976</c:v>
                </c:pt>
                <c:pt idx="16">
                  <c:v>-0.599999999999976</c:v>
                </c:pt>
                <c:pt idx="17">
                  <c:v>-0.500000000000014</c:v>
                </c:pt>
                <c:pt idx="18">
                  <c:v>-0.399999999999984</c:v>
                </c:pt>
                <c:pt idx="19">
                  <c:v>-0.300000000000022</c:v>
                </c:pt>
                <c:pt idx="20">
                  <c:v>-0.300000000000022</c:v>
                </c:pt>
                <c:pt idx="21">
                  <c:v>-0.300000000000022</c:v>
                </c:pt>
                <c:pt idx="22">
                  <c:v>-0.199999999999992</c:v>
                </c:pt>
                <c:pt idx="23">
                  <c:v>-0.199999999999992</c:v>
                </c:pt>
                <c:pt idx="24">
                  <c:v>-0.100000000000031</c:v>
                </c:pt>
                <c:pt idx="25">
                  <c:v>0</c:v>
                </c:pt>
                <c:pt idx="26">
                  <c:v>0</c:v>
                </c:pt>
                <c:pt idx="27">
                  <c:v>0.199999999999992</c:v>
                </c:pt>
                <c:pt idx="28">
                  <c:v>0.199999999999992</c:v>
                </c:pt>
                <c:pt idx="29">
                  <c:v>0.199999999999992</c:v>
                </c:pt>
                <c:pt idx="30">
                  <c:v>0.300000000000022</c:v>
                </c:pt>
                <c:pt idx="31">
                  <c:v>0.399999999999984</c:v>
                </c:pt>
                <c:pt idx="32">
                  <c:v>0.300000000000022</c:v>
                </c:pt>
                <c:pt idx="33">
                  <c:v>0.300000000000022</c:v>
                </c:pt>
                <c:pt idx="34">
                  <c:v>0.300000000000022</c:v>
                </c:pt>
                <c:pt idx="35">
                  <c:v>0.199999999999992</c:v>
                </c:pt>
                <c:pt idx="36">
                  <c:v>0.300000000000022</c:v>
                </c:pt>
                <c:pt idx="37">
                  <c:v>0.199999999999992</c:v>
                </c:pt>
                <c:pt idx="38">
                  <c:v>0.100000000000031</c:v>
                </c:pt>
                <c:pt idx="39">
                  <c:v>0.100000000000031</c:v>
                </c:pt>
                <c:pt idx="40">
                  <c:v>0.100000000000031</c:v>
                </c:pt>
                <c:pt idx="41">
                  <c:v>-0.199999999999992</c:v>
                </c:pt>
                <c:pt idx="42">
                  <c:v>-0.100000000000031</c:v>
                </c:pt>
                <c:pt idx="43">
                  <c:v>-0.199999999999992</c:v>
                </c:pt>
                <c:pt idx="44">
                  <c:v>-0.199999999999992</c:v>
                </c:pt>
                <c:pt idx="45">
                  <c:v>-0.300000000000022</c:v>
                </c:pt>
                <c:pt idx="46">
                  <c:v>-0.399999999999984</c:v>
                </c:pt>
                <c:pt idx="47">
                  <c:v>-0.399999999999984</c:v>
                </c:pt>
                <c:pt idx="48">
                  <c:v>-0.599999999999976</c:v>
                </c:pt>
                <c:pt idx="49">
                  <c:v>-0.599999999999976</c:v>
                </c:pt>
                <c:pt idx="50">
                  <c:v>-0.599999999999976</c:v>
                </c:pt>
                <c:pt idx="51">
                  <c:v>-0.599999999999976</c:v>
                </c:pt>
                <c:pt idx="52">
                  <c:v>-0.700000000000006</c:v>
                </c:pt>
                <c:pt idx="53">
                  <c:v>-0.700000000000006</c:v>
                </c:pt>
                <c:pt idx="54">
                  <c:v>-0.599999999999976</c:v>
                </c:pt>
                <c:pt idx="55">
                  <c:v>-0.599999999999976</c:v>
                </c:pt>
                <c:pt idx="56">
                  <c:v>-0.599999999999976</c:v>
                </c:pt>
                <c:pt idx="57">
                  <c:v>-0.500000000000014</c:v>
                </c:pt>
                <c:pt idx="58">
                  <c:v>-0.399999999999984</c:v>
                </c:pt>
                <c:pt idx="59">
                  <c:v>-0.300000000000022</c:v>
                </c:pt>
                <c:pt idx="60">
                  <c:v>-0.399999999999984</c:v>
                </c:pt>
                <c:pt idx="61">
                  <c:v>-0.199999999999992</c:v>
                </c:pt>
                <c:pt idx="62">
                  <c:v>-0.199999999999992</c:v>
                </c:pt>
                <c:pt idx="63">
                  <c:v>-0.100000000000031</c:v>
                </c:pt>
                <c:pt idx="64">
                  <c:v>0</c:v>
                </c:pt>
                <c:pt idx="65">
                  <c:v>0.100000000000031</c:v>
                </c:pt>
                <c:pt idx="66">
                  <c:v>0.199999999999992</c:v>
                </c:pt>
                <c:pt idx="67">
                  <c:v>0.300000000000022</c:v>
                </c:pt>
                <c:pt idx="68">
                  <c:v>0.199999999999992</c:v>
                </c:pt>
                <c:pt idx="69">
                  <c:v>0.199999999999992</c:v>
                </c:pt>
                <c:pt idx="70">
                  <c:v>0.300000000000022</c:v>
                </c:pt>
                <c:pt idx="71">
                  <c:v>0.300000000000022</c:v>
                </c:pt>
                <c:pt idx="72">
                  <c:v>0.300000000000022</c:v>
                </c:pt>
                <c:pt idx="73">
                  <c:v>0.199999999999992</c:v>
                </c:pt>
                <c:pt idx="74">
                  <c:v>0.300000000000022</c:v>
                </c:pt>
                <c:pt idx="75">
                  <c:v>0.199999999999992</c:v>
                </c:pt>
                <c:pt idx="76">
                  <c:v>0.199999999999992</c:v>
                </c:pt>
                <c:pt idx="77">
                  <c:v>0.199999999999992</c:v>
                </c:pt>
                <c:pt idx="78">
                  <c:v>0</c:v>
                </c:pt>
                <c:pt idx="79">
                  <c:v>0.100000000000031</c:v>
                </c:pt>
                <c:pt idx="80">
                  <c:v>0</c:v>
                </c:pt>
                <c:pt idx="81">
                  <c:v>0.100000000000031</c:v>
                </c:pt>
                <c:pt idx="82">
                  <c:v>0.100000000000031</c:v>
                </c:pt>
                <c:pt idx="83">
                  <c:v>0.199999999999992</c:v>
                </c:pt>
                <c:pt idx="84">
                  <c:v>0.300000000000022</c:v>
                </c:pt>
                <c:pt idx="85">
                  <c:v>0.300000000000022</c:v>
                </c:pt>
                <c:pt idx="86">
                  <c:v>0.399999999999984</c:v>
                </c:pt>
                <c:pt idx="87">
                  <c:v>0.599999999999976</c:v>
                </c:pt>
                <c:pt idx="88">
                  <c:v>0.599999999999976</c:v>
                </c:pt>
                <c:pt idx="89">
                  <c:v>0.399999999999984</c:v>
                </c:pt>
                <c:pt idx="90">
                  <c:v>0.599999999999976</c:v>
                </c:pt>
                <c:pt idx="91">
                  <c:v>0.500000000000014</c:v>
                </c:pt>
                <c:pt idx="92">
                  <c:v>0.500000000000014</c:v>
                </c:pt>
                <c:pt idx="93">
                  <c:v>0.399999999999984</c:v>
                </c:pt>
                <c:pt idx="94">
                  <c:v>0.399999999999984</c:v>
                </c:pt>
                <c:pt idx="95">
                  <c:v>0.300000000000022</c:v>
                </c:pt>
                <c:pt idx="96">
                  <c:v>0.100000000000031</c:v>
                </c:pt>
                <c:pt idx="97">
                  <c:v>0.100000000000031</c:v>
                </c:pt>
                <c:pt idx="98">
                  <c:v>-0.199999999999992</c:v>
                </c:pt>
                <c:pt idx="99">
                  <c:v>-0.399999999999984</c:v>
                </c:pt>
                <c:pt idx="100">
                  <c:v>-0.599999999999976</c:v>
                </c:pt>
                <c:pt idx="101">
                  <c:v>-1.00000000000003</c:v>
                </c:pt>
                <c:pt idx="102">
                  <c:v>-1.40000000000001</c:v>
                </c:pt>
                <c:pt idx="103">
                  <c:v>-1.90000000000003</c:v>
                </c:pt>
                <c:pt idx="104">
                  <c:v>-3.20000000000001</c:v>
                </c:pt>
                <c:pt idx="105">
                  <c:v>-3.99999999999998</c:v>
                </c:pt>
                <c:pt idx="106">
                  <c:v>-4.40000000000003</c:v>
                </c:pt>
                <c:pt idx="107">
                  <c:v>-4.80000000000001</c:v>
                </c:pt>
                <c:pt idx="108">
                  <c:v>-5.79999999999997</c:v>
                </c:pt>
                <c:pt idx="109">
                  <c:v>-6.29999999999999</c:v>
                </c:pt>
                <c:pt idx="110">
                  <c:v>-6.60000000000001</c:v>
                </c:pt>
                <c:pt idx="111">
                  <c:v>-6.69999999999997</c:v>
                </c:pt>
                <c:pt idx="112">
                  <c:v>-6.49999999999998</c:v>
                </c:pt>
                <c:pt idx="113">
                  <c:v>-6.49999999999998</c:v>
                </c:pt>
                <c:pt idx="114">
                  <c:v>-6.29999999999999</c:v>
                </c:pt>
                <c:pt idx="115">
                  <c:v>-6.09999999999999</c:v>
                </c:pt>
                <c:pt idx="116">
                  <c:v>-5.79999999999997</c:v>
                </c:pt>
                <c:pt idx="117">
                  <c:v>-5.39999999999999</c:v>
                </c:pt>
                <c:pt idx="118">
                  <c:v>-4.89999999999997</c:v>
                </c:pt>
                <c:pt idx="119">
                  <c:v>-3.90000000000001</c:v>
                </c:pt>
                <c:pt idx="120">
                  <c:v>-2.60000000000003</c:v>
                </c:pt>
                <c:pt idx="121">
                  <c:v>-1.20000000000002</c:v>
                </c:pt>
                <c:pt idx="122">
                  <c:v>0.199999999999992</c:v>
                </c:pt>
                <c:pt idx="123">
                  <c:v>1.09999999999999</c:v>
                </c:pt>
                <c:pt idx="124">
                  <c:v>1.69999999999997</c:v>
                </c:pt>
                <c:pt idx="125">
                  <c:v>3.09999999999998</c:v>
                </c:pt>
                <c:pt idx="126">
                  <c:v>3.90000000000001</c:v>
                </c:pt>
                <c:pt idx="127">
                  <c:v>4.49999999999999</c:v>
                </c:pt>
                <c:pt idx="128">
                  <c:v>4.49999999999999</c:v>
                </c:pt>
                <c:pt idx="129">
                  <c:v>4.60000000000002</c:v>
                </c:pt>
                <c:pt idx="130">
                  <c:v>5.70000000000001</c:v>
                </c:pt>
                <c:pt idx="131">
                  <c:v>5.9</c:v>
                </c:pt>
                <c:pt idx="132">
                  <c:v>5.99999999999996</c:v>
                </c:pt>
                <c:pt idx="133">
                  <c:v>5.79999999999997</c:v>
                </c:pt>
                <c:pt idx="134">
                  <c:v>5.39999999999999</c:v>
                </c:pt>
                <c:pt idx="135">
                  <c:v>5</c:v>
                </c:pt>
                <c:pt idx="136">
                  <c:v>4.19999999999997</c:v>
                </c:pt>
                <c:pt idx="137">
                  <c:v>2.69999999999999</c:v>
                </c:pt>
                <c:pt idx="138">
                  <c:v>1.29999999999998</c:v>
                </c:pt>
                <c:pt idx="139">
                  <c:v>-0.599999999999976</c:v>
                </c:pt>
                <c:pt idx="140">
                  <c:v>-2.5</c:v>
                </c:pt>
                <c:pt idx="141">
                  <c:v>-4.60000000000002</c:v>
                </c:pt>
                <c:pt idx="142">
                  <c:v>-6.99999999999999</c:v>
                </c:pt>
                <c:pt idx="143">
                  <c:v>-8.4</c:v>
                </c:pt>
                <c:pt idx="144">
                  <c:v>-10.6</c:v>
                </c:pt>
                <c:pt idx="145">
                  <c:v>-11.8</c:v>
                </c:pt>
                <c:pt idx="146">
                  <c:v>-13.5</c:v>
                </c:pt>
                <c:pt idx="147">
                  <c:v>-14.3</c:v>
                </c:pt>
                <c:pt idx="148">
                  <c:v>-15.6</c:v>
                </c:pt>
                <c:pt idx="149">
                  <c:v>-16</c:v>
                </c:pt>
                <c:pt idx="150">
                  <c:v>-16.1</c:v>
                </c:pt>
                <c:pt idx="151">
                  <c:v>-16</c:v>
                </c:pt>
                <c:pt idx="152">
                  <c:v>-15.8</c:v>
                </c:pt>
                <c:pt idx="153">
                  <c:v>-15.2</c:v>
                </c:pt>
                <c:pt idx="154">
                  <c:v>-14.6</c:v>
                </c:pt>
                <c:pt idx="155">
                  <c:v>-13.9</c:v>
                </c:pt>
                <c:pt idx="156">
                  <c:v>-12.7</c:v>
                </c:pt>
                <c:pt idx="157">
                  <c:v>-10.8</c:v>
                </c:pt>
                <c:pt idx="158">
                  <c:v>-8.70000000000003</c:v>
                </c:pt>
                <c:pt idx="159">
                  <c:v>-6.99999999999999</c:v>
                </c:pt>
                <c:pt idx="160">
                  <c:v>-4.20000000000004</c:v>
                </c:pt>
                <c:pt idx="161">
                  <c:v>-1.6</c:v>
                </c:pt>
                <c:pt idx="162">
                  <c:v>0.100000000000031</c:v>
                </c:pt>
                <c:pt idx="163">
                  <c:v>1.69999999999997</c:v>
                </c:pt>
                <c:pt idx="164">
                  <c:v>3.90000000000001</c:v>
                </c:pt>
                <c:pt idx="165">
                  <c:v>5.2</c:v>
                </c:pt>
                <c:pt idx="166">
                  <c:v>7.19999999999998</c:v>
                </c:pt>
                <c:pt idx="167">
                  <c:v>8.49999999999997</c:v>
                </c:pt>
                <c:pt idx="168">
                  <c:v>9.69999999999999</c:v>
                </c:pt>
                <c:pt idx="169">
                  <c:v>10</c:v>
                </c:pt>
                <c:pt idx="170">
                  <c:v>9.89999999999998</c:v>
                </c:pt>
                <c:pt idx="171">
                  <c:v>9.60000000000002</c:v>
                </c:pt>
                <c:pt idx="172">
                  <c:v>8.99999999999998</c:v>
                </c:pt>
                <c:pt idx="173">
                  <c:v>8.20000000000001</c:v>
                </c:pt>
                <c:pt idx="174">
                  <c:v>6.60000000000001</c:v>
                </c:pt>
                <c:pt idx="175">
                  <c:v>4.49999999999999</c:v>
                </c:pt>
                <c:pt idx="176">
                  <c:v>2.10000000000002</c:v>
                </c:pt>
                <c:pt idx="177">
                  <c:v>0.100000000000031</c:v>
                </c:pt>
                <c:pt idx="178">
                  <c:v>-2.5</c:v>
                </c:pt>
                <c:pt idx="179">
                  <c:v>-5.50000000000002</c:v>
                </c:pt>
                <c:pt idx="180">
                  <c:v>-8.4</c:v>
                </c:pt>
                <c:pt idx="181">
                  <c:v>-11.4</c:v>
                </c:pt>
                <c:pt idx="182">
                  <c:v>-14.2</c:v>
                </c:pt>
                <c:pt idx="183">
                  <c:v>-16.7</c:v>
                </c:pt>
                <c:pt idx="184">
                  <c:v>-18.3</c:v>
                </c:pt>
                <c:pt idx="185">
                  <c:v>-20.4</c:v>
                </c:pt>
                <c:pt idx="186">
                  <c:v>-22.1</c:v>
                </c:pt>
                <c:pt idx="187">
                  <c:v>-23.1</c:v>
                </c:pt>
                <c:pt idx="188">
                  <c:v>-24.6</c:v>
                </c:pt>
                <c:pt idx="189">
                  <c:v>-24.8</c:v>
                </c:pt>
                <c:pt idx="190">
                  <c:v>-24.6</c:v>
                </c:pt>
                <c:pt idx="191">
                  <c:v>-24.1</c:v>
                </c:pt>
                <c:pt idx="192">
                  <c:v>-23.4</c:v>
                </c:pt>
                <c:pt idx="193">
                  <c:v>-22.5</c:v>
                </c:pt>
                <c:pt idx="194">
                  <c:v>-20.4</c:v>
                </c:pt>
                <c:pt idx="195">
                  <c:v>-18.6</c:v>
                </c:pt>
                <c:pt idx="196">
                  <c:v>-16.1</c:v>
                </c:pt>
                <c:pt idx="197">
                  <c:v>-13.1</c:v>
                </c:pt>
                <c:pt idx="198">
                  <c:v>-10</c:v>
                </c:pt>
                <c:pt idx="199">
                  <c:v>-7.19999999999998</c:v>
                </c:pt>
                <c:pt idx="200">
                  <c:v>-3.90000000000001</c:v>
                </c:pt>
                <c:pt idx="201">
                  <c:v>-0.700000000000006</c:v>
                </c:pt>
                <c:pt idx="202">
                  <c:v>1.69999999999997</c:v>
                </c:pt>
                <c:pt idx="203">
                  <c:v>4.19999999999997</c:v>
                </c:pt>
                <c:pt idx="204">
                  <c:v>6.20000000000003</c:v>
                </c:pt>
                <c:pt idx="205">
                  <c:v>8.6</c:v>
                </c:pt>
                <c:pt idx="206">
                  <c:v>10.4</c:v>
                </c:pt>
                <c:pt idx="207">
                  <c:v>11.3</c:v>
                </c:pt>
                <c:pt idx="208">
                  <c:v>12.2</c:v>
                </c:pt>
                <c:pt idx="209">
                  <c:v>12.5</c:v>
                </c:pt>
                <c:pt idx="210">
                  <c:v>12.4</c:v>
                </c:pt>
                <c:pt idx="211">
                  <c:v>12</c:v>
                </c:pt>
                <c:pt idx="212">
                  <c:v>11.5</c:v>
                </c:pt>
                <c:pt idx="213">
                  <c:v>10.8</c:v>
                </c:pt>
                <c:pt idx="214">
                  <c:v>9.10000000000001</c:v>
                </c:pt>
                <c:pt idx="215">
                  <c:v>6.49999999999998</c:v>
                </c:pt>
                <c:pt idx="216">
                  <c:v>3.99999999999998</c:v>
                </c:pt>
                <c:pt idx="217">
                  <c:v>1.40000000000001</c:v>
                </c:pt>
                <c:pt idx="218">
                  <c:v>-1.40000000000001</c:v>
                </c:pt>
                <c:pt idx="219">
                  <c:v>-3.79999999999998</c:v>
                </c:pt>
                <c:pt idx="220">
                  <c:v>-6.40000000000002</c:v>
                </c:pt>
                <c:pt idx="221">
                  <c:v>-9.10000000000001</c:v>
                </c:pt>
                <c:pt idx="222">
                  <c:v>-11.9</c:v>
                </c:pt>
                <c:pt idx="223">
                  <c:v>-14.2</c:v>
                </c:pt>
                <c:pt idx="224">
                  <c:v>-16.6</c:v>
                </c:pt>
                <c:pt idx="225">
                  <c:v>-17.9</c:v>
                </c:pt>
                <c:pt idx="226">
                  <c:v>-19.2</c:v>
                </c:pt>
                <c:pt idx="227">
                  <c:v>-20.1</c:v>
                </c:pt>
                <c:pt idx="228">
                  <c:v>-21</c:v>
                </c:pt>
                <c:pt idx="229">
                  <c:v>-21.3</c:v>
                </c:pt>
                <c:pt idx="230">
                  <c:v>-21.2</c:v>
                </c:pt>
                <c:pt idx="231">
                  <c:v>-20.7</c:v>
                </c:pt>
                <c:pt idx="232">
                  <c:v>-20.1</c:v>
                </c:pt>
                <c:pt idx="233">
                  <c:v>-19</c:v>
                </c:pt>
                <c:pt idx="234">
                  <c:v>-17.1</c:v>
                </c:pt>
                <c:pt idx="235">
                  <c:v>-15.3</c:v>
                </c:pt>
                <c:pt idx="236">
                  <c:v>-12.7</c:v>
                </c:pt>
                <c:pt idx="237">
                  <c:v>-9.49999999999999</c:v>
                </c:pt>
                <c:pt idx="238">
                  <c:v>-6.8</c:v>
                </c:pt>
                <c:pt idx="239">
                  <c:v>-3.90000000000001</c:v>
                </c:pt>
                <c:pt idx="240">
                  <c:v>-0.700000000000006</c:v>
                </c:pt>
                <c:pt idx="241">
                  <c:v>1.90000000000003</c:v>
                </c:pt>
                <c:pt idx="242">
                  <c:v>4.19999999999997</c:v>
                </c:pt>
                <c:pt idx="243">
                  <c:v>6.29999999999999</c:v>
                </c:pt>
                <c:pt idx="244">
                  <c:v>8.79999999999999</c:v>
                </c:pt>
                <c:pt idx="245">
                  <c:v>10.6</c:v>
                </c:pt>
                <c:pt idx="246">
                  <c:v>11.5</c:v>
                </c:pt>
                <c:pt idx="247">
                  <c:v>12.5</c:v>
                </c:pt>
                <c:pt idx="248">
                  <c:v>13</c:v>
                </c:pt>
                <c:pt idx="249">
                  <c:v>12.7</c:v>
                </c:pt>
                <c:pt idx="250">
                  <c:v>12.5</c:v>
                </c:pt>
                <c:pt idx="251">
                  <c:v>11.9</c:v>
                </c:pt>
                <c:pt idx="252">
                  <c:v>11.3</c:v>
                </c:pt>
                <c:pt idx="253">
                  <c:v>10.2</c:v>
                </c:pt>
                <c:pt idx="254">
                  <c:v>7.80000000000003</c:v>
                </c:pt>
                <c:pt idx="255">
                  <c:v>5.39999999999999</c:v>
                </c:pt>
                <c:pt idx="256">
                  <c:v>3.4</c:v>
                </c:pt>
                <c:pt idx="257">
                  <c:v>0.799999999999967</c:v>
                </c:pt>
                <c:pt idx="258">
                  <c:v>-1.70000000000003</c:v>
                </c:pt>
                <c:pt idx="259">
                  <c:v>-4.89999999999997</c:v>
                </c:pt>
                <c:pt idx="260">
                  <c:v>-8.00000000000002</c:v>
                </c:pt>
                <c:pt idx="261">
                  <c:v>-10.8</c:v>
                </c:pt>
                <c:pt idx="262">
                  <c:v>-13.2</c:v>
                </c:pt>
                <c:pt idx="263">
                  <c:v>-15.2</c:v>
                </c:pt>
                <c:pt idx="264">
                  <c:v>-17</c:v>
                </c:pt>
                <c:pt idx="265">
                  <c:v>-18.6</c:v>
                </c:pt>
                <c:pt idx="266">
                  <c:v>-19.4</c:v>
                </c:pt>
                <c:pt idx="267">
                  <c:v>-19.7</c:v>
                </c:pt>
                <c:pt idx="268">
                  <c:v>-19.6</c:v>
                </c:pt>
                <c:pt idx="269">
                  <c:v>-19.2</c:v>
                </c:pt>
                <c:pt idx="270">
                  <c:v>-18.6</c:v>
                </c:pt>
                <c:pt idx="271">
                  <c:v>-17.9</c:v>
                </c:pt>
                <c:pt idx="272">
                  <c:v>-17.1</c:v>
                </c:pt>
                <c:pt idx="273">
                  <c:v>-15.8</c:v>
                </c:pt>
                <c:pt idx="274">
                  <c:v>-13.7</c:v>
                </c:pt>
                <c:pt idx="275">
                  <c:v>-10.8</c:v>
                </c:pt>
                <c:pt idx="276">
                  <c:v>-8.6</c:v>
                </c:pt>
                <c:pt idx="277">
                  <c:v>-6.09999999999999</c:v>
                </c:pt>
                <c:pt idx="278">
                  <c:v>-3.4</c:v>
                </c:pt>
                <c:pt idx="279">
                  <c:v>-0.399999999999984</c:v>
                </c:pt>
                <c:pt idx="280">
                  <c:v>2.19999999999998</c:v>
                </c:pt>
                <c:pt idx="281">
                  <c:v>4.60000000000002</c:v>
                </c:pt>
                <c:pt idx="282">
                  <c:v>7.19999999999998</c:v>
                </c:pt>
                <c:pt idx="283">
                  <c:v>9.49999999999999</c:v>
                </c:pt>
                <c:pt idx="284">
                  <c:v>11.1</c:v>
                </c:pt>
                <c:pt idx="285">
                  <c:v>12.7</c:v>
                </c:pt>
                <c:pt idx="286">
                  <c:v>13.5</c:v>
                </c:pt>
                <c:pt idx="287">
                  <c:v>13.5</c:v>
                </c:pt>
                <c:pt idx="288">
                  <c:v>13.3</c:v>
                </c:pt>
                <c:pt idx="289">
                  <c:v>12.9</c:v>
                </c:pt>
                <c:pt idx="290">
                  <c:v>12.3</c:v>
                </c:pt>
                <c:pt idx="291">
                  <c:v>11.7</c:v>
                </c:pt>
                <c:pt idx="292">
                  <c:v>10.9</c:v>
                </c:pt>
                <c:pt idx="293">
                  <c:v>9.39999999999996</c:v>
                </c:pt>
                <c:pt idx="294">
                  <c:v>6.69999999999997</c:v>
                </c:pt>
                <c:pt idx="295">
                  <c:v>4.3</c:v>
                </c:pt>
                <c:pt idx="296">
                  <c:v>1.6</c:v>
                </c:pt>
                <c:pt idx="297">
                  <c:v>-0.300000000000022</c:v>
                </c:pt>
                <c:pt idx="298">
                  <c:v>-2.89999999999999</c:v>
                </c:pt>
                <c:pt idx="299">
                  <c:v>-5.70000000000001</c:v>
                </c:pt>
                <c:pt idx="300">
                  <c:v>-8.20000000000001</c:v>
                </c:pt>
                <c:pt idx="301">
                  <c:v>-10.8</c:v>
                </c:pt>
                <c:pt idx="302">
                  <c:v>-13.2</c:v>
                </c:pt>
                <c:pt idx="303">
                  <c:v>-14.8</c:v>
                </c:pt>
                <c:pt idx="304">
                  <c:v>-16.1</c:v>
                </c:pt>
                <c:pt idx="305">
                  <c:v>-16.9</c:v>
                </c:pt>
                <c:pt idx="306">
                  <c:v>-18</c:v>
                </c:pt>
                <c:pt idx="307">
                  <c:v>-18.5</c:v>
                </c:pt>
                <c:pt idx="308">
                  <c:v>-18.4</c:v>
                </c:pt>
                <c:pt idx="309">
                  <c:v>-18</c:v>
                </c:pt>
                <c:pt idx="310">
                  <c:v>-17.6</c:v>
                </c:pt>
                <c:pt idx="311">
                  <c:v>-16.9</c:v>
                </c:pt>
                <c:pt idx="312">
                  <c:v>-15.6</c:v>
                </c:pt>
                <c:pt idx="313">
                  <c:v>-13.9</c:v>
                </c:pt>
                <c:pt idx="314">
                  <c:v>-11.7</c:v>
                </c:pt>
                <c:pt idx="315">
                  <c:v>-9.3</c:v>
                </c:pt>
                <c:pt idx="316">
                  <c:v>-6.8</c:v>
                </c:pt>
                <c:pt idx="317">
                  <c:v>-3.79999999999998</c:v>
                </c:pt>
                <c:pt idx="318">
                  <c:v>-0.800000000000037</c:v>
                </c:pt>
                <c:pt idx="319">
                  <c:v>1.69999999999997</c:v>
                </c:pt>
                <c:pt idx="320">
                  <c:v>4.40000000000003</c:v>
                </c:pt>
                <c:pt idx="321">
                  <c:v>6.40000000000002</c:v>
                </c:pt>
                <c:pt idx="322">
                  <c:v>8.79999999999999</c:v>
                </c:pt>
                <c:pt idx="323">
                  <c:v>10.7</c:v>
                </c:pt>
                <c:pt idx="324">
                  <c:v>12.5</c:v>
                </c:pt>
                <c:pt idx="325">
                  <c:v>13.4</c:v>
                </c:pt>
                <c:pt idx="326">
                  <c:v>13.5</c:v>
                </c:pt>
                <c:pt idx="327">
                  <c:v>13.5</c:v>
                </c:pt>
                <c:pt idx="328">
                  <c:v>13</c:v>
                </c:pt>
                <c:pt idx="329">
                  <c:v>12.5</c:v>
                </c:pt>
                <c:pt idx="330">
                  <c:v>11.9</c:v>
                </c:pt>
                <c:pt idx="331">
                  <c:v>11.1</c:v>
                </c:pt>
                <c:pt idx="332">
                  <c:v>9.80000000000002</c:v>
                </c:pt>
                <c:pt idx="333">
                  <c:v>7.59999999999997</c:v>
                </c:pt>
                <c:pt idx="334">
                  <c:v>4.69999999999998</c:v>
                </c:pt>
                <c:pt idx="335">
                  <c:v>2.69999999999999</c:v>
                </c:pt>
                <c:pt idx="336">
                  <c:v>0.500000000000014</c:v>
                </c:pt>
                <c:pt idx="337">
                  <c:v>-1.90000000000003</c:v>
                </c:pt>
                <c:pt idx="338">
                  <c:v>-5</c:v>
                </c:pt>
                <c:pt idx="339">
                  <c:v>-7.39999999999998</c:v>
                </c:pt>
                <c:pt idx="340">
                  <c:v>-9.40000000000003</c:v>
                </c:pt>
                <c:pt idx="341">
                  <c:v>-11.6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B_12_04_32_20KPa!$L$3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B_12_04_32_20KPa!$J$4:$J$345</c:f>
              <c:numCache>
                <c:formatCode>0.00_);[Red]\(0.00\)</c:formatCode>
                <c:ptCount val="342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0.367</c:v>
                </c:pt>
                <c:pt idx="12" c:formatCode="0.00_);[Red]\(0.00\)">
                  <c:v>0.401</c:v>
                </c:pt>
                <c:pt idx="13" c:formatCode="0.00_);[Red]\(0.00\)">
                  <c:v>0.434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0.601</c:v>
                </c:pt>
                <c:pt idx="19" c:formatCode="0.00_);[Red]\(0.00\)">
                  <c:v>0.635</c:v>
                </c:pt>
                <c:pt idx="20" c:formatCode="0.00_);[Red]\(0.00\)">
                  <c:v>0.668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0.768</c:v>
                </c:pt>
                <c:pt idx="24" c:formatCode="0.00_);[Red]\(0.00\)">
                  <c:v>0.802</c:v>
                </c:pt>
                <c:pt idx="25" c:formatCode="0.00_);[Red]\(0.00\)">
                  <c:v>0.835</c:v>
                </c:pt>
                <c:pt idx="26" c:formatCode="0.00_);[Red]\(0.00\)">
                  <c:v>0.869</c:v>
                </c:pt>
                <c:pt idx="27" c:formatCode="0.00_);[Red]\(0.00\)">
                  <c:v>0.902</c:v>
                </c:pt>
                <c:pt idx="28" c:formatCode="0.00_);[Red]\(0.00\)">
                  <c:v>0.935</c:v>
                </c:pt>
                <c:pt idx="29" c:formatCode="0.00_);[Red]\(0.00\)">
                  <c:v>0.969</c:v>
                </c:pt>
                <c:pt idx="30" c:formatCode="0.00_);[Red]\(0.00\)">
                  <c:v>1.002</c:v>
                </c:pt>
                <c:pt idx="31" c:formatCode="0.00_);[Red]\(0.00\)">
                  <c:v>1.036</c:v>
                </c:pt>
                <c:pt idx="32" c:formatCode="0.00_);[Red]\(0.00\)">
                  <c:v>1.069</c:v>
                </c:pt>
                <c:pt idx="33" c:formatCode="0.00_);[Red]\(0.00\)">
                  <c:v>1.102</c:v>
                </c:pt>
                <c:pt idx="34" c:formatCode="0.00_);[Red]\(0.00\)">
                  <c:v>1.136</c:v>
                </c:pt>
                <c:pt idx="35" c:formatCode="0.00_);[Red]\(0.00\)">
                  <c:v>1.169</c:v>
                </c:pt>
                <c:pt idx="36" c:formatCode="0.00_);[Red]\(0.00\)">
                  <c:v>1.203</c:v>
                </c:pt>
                <c:pt idx="37" c:formatCode="0.00_);[Red]\(0.00\)">
                  <c:v>1.236</c:v>
                </c:pt>
                <c:pt idx="38" c:formatCode="0.00_);[Red]\(0.00\)">
                  <c:v>1.269</c:v>
                </c:pt>
                <c:pt idx="39" c:formatCode="0.00_);[Red]\(0.00\)">
                  <c:v>1.303</c:v>
                </c:pt>
                <c:pt idx="40" c:formatCode="0.00_);[Red]\(0.00\)">
                  <c:v>1.336</c:v>
                </c:pt>
                <c:pt idx="41" c:formatCode="0.00_);[Red]\(0.00\)">
                  <c:v>1.37</c:v>
                </c:pt>
                <c:pt idx="42" c:formatCode="0.00_);[Red]\(0.00\)">
                  <c:v>1.403</c:v>
                </c:pt>
                <c:pt idx="43" c:formatCode="0.00_);[Red]\(0.00\)">
                  <c:v>1.437</c:v>
                </c:pt>
                <c:pt idx="44" c:formatCode="0.00_);[Red]\(0.00\)">
                  <c:v>1.47</c:v>
                </c:pt>
                <c:pt idx="45" c:formatCode="0.00_);[Red]\(0.00\)">
                  <c:v>1.503</c:v>
                </c:pt>
                <c:pt idx="46" c:formatCode="0.00_);[Red]\(0.00\)">
                  <c:v>1.537</c:v>
                </c:pt>
                <c:pt idx="47" c:formatCode="0.00_);[Red]\(0.00\)">
                  <c:v>1.57</c:v>
                </c:pt>
                <c:pt idx="48" c:formatCode="0.00_);[Red]\(0.00\)">
                  <c:v>1.604</c:v>
                </c:pt>
                <c:pt idx="49" c:formatCode="0.00_);[Red]\(0.00\)">
                  <c:v>1.637</c:v>
                </c:pt>
                <c:pt idx="50" c:formatCode="0.00_);[Red]\(0.00\)">
                  <c:v>1.67</c:v>
                </c:pt>
                <c:pt idx="51" c:formatCode="0.00_);[Red]\(0.00\)">
                  <c:v>1.704</c:v>
                </c:pt>
                <c:pt idx="52" c:formatCode="0.00_);[Red]\(0.00\)">
                  <c:v>1.737</c:v>
                </c:pt>
                <c:pt idx="53" c:formatCode="0.00_);[Red]\(0.00\)">
                  <c:v>1.771</c:v>
                </c:pt>
                <c:pt idx="54" c:formatCode="0.00_);[Red]\(0.00\)">
                  <c:v>1.804</c:v>
                </c:pt>
                <c:pt idx="55" c:formatCode="0.00_);[Red]\(0.00\)">
                  <c:v>1.837</c:v>
                </c:pt>
                <c:pt idx="56" c:formatCode="0.00_);[Red]\(0.00\)">
                  <c:v>1.871</c:v>
                </c:pt>
                <c:pt idx="57" c:formatCode="0.00_);[Red]\(0.00\)">
                  <c:v>1.904</c:v>
                </c:pt>
                <c:pt idx="58" c:formatCode="0.00_);[Red]\(0.00\)">
                  <c:v>1.938</c:v>
                </c:pt>
                <c:pt idx="59" c:formatCode="0.00_);[Red]\(0.00\)">
                  <c:v>1.971</c:v>
                </c:pt>
                <c:pt idx="60" c:formatCode="0.00_);[Red]\(0.00\)">
                  <c:v>2.004</c:v>
                </c:pt>
                <c:pt idx="61" c:formatCode="0.00_);[Red]\(0.00\)">
                  <c:v>2.038</c:v>
                </c:pt>
                <c:pt idx="62" c:formatCode="0.00_);[Red]\(0.00\)">
                  <c:v>2.071</c:v>
                </c:pt>
                <c:pt idx="63" c:formatCode="0.00_);[Red]\(0.00\)">
                  <c:v>2.105</c:v>
                </c:pt>
                <c:pt idx="64" c:formatCode="0.00_);[Red]\(0.00\)">
                  <c:v>2.138</c:v>
                </c:pt>
                <c:pt idx="65" c:formatCode="0.00_);[Red]\(0.00\)">
                  <c:v>2.171</c:v>
                </c:pt>
                <c:pt idx="66" c:formatCode="0.00_);[Red]\(0.00\)">
                  <c:v>2.205</c:v>
                </c:pt>
                <c:pt idx="67" c:formatCode="0.00_);[Red]\(0.00\)">
                  <c:v>2.238</c:v>
                </c:pt>
                <c:pt idx="68" c:formatCode="0.00_);[Red]\(0.00\)">
                  <c:v>2.272</c:v>
                </c:pt>
                <c:pt idx="69" c:formatCode="0.00_);[Red]\(0.00\)">
                  <c:v>2.305</c:v>
                </c:pt>
                <c:pt idx="70" c:formatCode="0.00_);[Red]\(0.00\)">
                  <c:v>2.339</c:v>
                </c:pt>
                <c:pt idx="71" c:formatCode="0.00_);[Red]\(0.00\)">
                  <c:v>2.372</c:v>
                </c:pt>
                <c:pt idx="72" c:formatCode="0.00_);[Red]\(0.00\)">
                  <c:v>2.405</c:v>
                </c:pt>
                <c:pt idx="73" c:formatCode="0.00_);[Red]\(0.00\)">
                  <c:v>2.439</c:v>
                </c:pt>
                <c:pt idx="74" c:formatCode="0.00_);[Red]\(0.00\)">
                  <c:v>2.472</c:v>
                </c:pt>
                <c:pt idx="75" c:formatCode="0.00_);[Red]\(0.00\)">
                  <c:v>2.506</c:v>
                </c:pt>
                <c:pt idx="76" c:formatCode="0.00_);[Red]\(0.00\)">
                  <c:v>2.539</c:v>
                </c:pt>
                <c:pt idx="77" c:formatCode="0.00_);[Red]\(0.00\)">
                  <c:v>2.572</c:v>
                </c:pt>
                <c:pt idx="78" c:formatCode="0.00_);[Red]\(0.00\)">
                  <c:v>2.606</c:v>
                </c:pt>
                <c:pt idx="79" c:formatCode="0.00_);[Red]\(0.00\)">
                  <c:v>2.639</c:v>
                </c:pt>
                <c:pt idx="80" c:formatCode="0.00_);[Red]\(0.00\)">
                  <c:v>2.673</c:v>
                </c:pt>
                <c:pt idx="81" c:formatCode="0.00_);[Red]\(0.00\)">
                  <c:v>2.706</c:v>
                </c:pt>
                <c:pt idx="82" c:formatCode="0.00_);[Red]\(0.00\)">
                  <c:v>2.739</c:v>
                </c:pt>
                <c:pt idx="83" c:formatCode="0.00_);[Red]\(0.00\)">
                  <c:v>2.773</c:v>
                </c:pt>
                <c:pt idx="84" c:formatCode="0.00_);[Red]\(0.00\)">
                  <c:v>2.806</c:v>
                </c:pt>
                <c:pt idx="85" c:formatCode="0.00_);[Red]\(0.00\)">
                  <c:v>2.84</c:v>
                </c:pt>
                <c:pt idx="86" c:formatCode="0.00_);[Red]\(0.00\)">
                  <c:v>2.873</c:v>
                </c:pt>
                <c:pt idx="87" c:formatCode="0.00_);[Red]\(0.00\)">
                  <c:v>2.906</c:v>
                </c:pt>
                <c:pt idx="88" c:formatCode="0.00_);[Red]\(0.00\)">
                  <c:v>2.94</c:v>
                </c:pt>
                <c:pt idx="89" c:formatCode="0.00_);[Red]\(0.00\)">
                  <c:v>2.973</c:v>
                </c:pt>
                <c:pt idx="90" c:formatCode="0.00_);[Red]\(0.00\)">
                  <c:v>3.007</c:v>
                </c:pt>
                <c:pt idx="91" c:formatCode="0.00_);[Red]\(0.00\)">
                  <c:v>3.04</c:v>
                </c:pt>
                <c:pt idx="92" c:formatCode="0.00_);[Red]\(0.00\)">
                  <c:v>3.073</c:v>
                </c:pt>
                <c:pt idx="93" c:formatCode="0.00_);[Red]\(0.00\)">
                  <c:v>3.107</c:v>
                </c:pt>
                <c:pt idx="94" c:formatCode="0.00_);[Red]\(0.00\)">
                  <c:v>3.14</c:v>
                </c:pt>
                <c:pt idx="95" c:formatCode="0.00_);[Red]\(0.00\)">
                  <c:v>3.174</c:v>
                </c:pt>
                <c:pt idx="96" c:formatCode="0.00_);[Red]\(0.00\)">
                  <c:v>3.207</c:v>
                </c:pt>
                <c:pt idx="97" c:formatCode="0.00_);[Red]\(0.00\)">
                  <c:v>3.241</c:v>
                </c:pt>
                <c:pt idx="98" c:formatCode="0.00_);[Red]\(0.00\)">
                  <c:v>3.274</c:v>
                </c:pt>
                <c:pt idx="99" c:formatCode="0.00_);[Red]\(0.00\)">
                  <c:v>3.307</c:v>
                </c:pt>
                <c:pt idx="100" c:formatCode="0.00_);[Red]\(0.00\)">
                  <c:v>3.341</c:v>
                </c:pt>
                <c:pt idx="101" c:formatCode="0.00_);[Red]\(0.00\)">
                  <c:v>3.374</c:v>
                </c:pt>
                <c:pt idx="102" c:formatCode="0.00_);[Red]\(0.00\)">
                  <c:v>3.408</c:v>
                </c:pt>
                <c:pt idx="103" c:formatCode="0.00_);[Red]\(0.00\)">
                  <c:v>3.441</c:v>
                </c:pt>
                <c:pt idx="104" c:formatCode="0.00_);[Red]\(0.00\)">
                  <c:v>3.474</c:v>
                </c:pt>
                <c:pt idx="105" c:formatCode="0.00_);[Red]\(0.00\)">
                  <c:v>3.508</c:v>
                </c:pt>
                <c:pt idx="106" c:formatCode="0.00_);[Red]\(0.00\)">
                  <c:v>3.541</c:v>
                </c:pt>
                <c:pt idx="107" c:formatCode="0.00_);[Red]\(0.00\)">
                  <c:v>3.575</c:v>
                </c:pt>
                <c:pt idx="108" c:formatCode="0.00_);[Red]\(0.00\)">
                  <c:v>3.608</c:v>
                </c:pt>
                <c:pt idx="109" c:formatCode="0.00_);[Red]\(0.00\)">
                  <c:v>3.641</c:v>
                </c:pt>
                <c:pt idx="110" c:formatCode="0.00_);[Red]\(0.00\)">
                  <c:v>3.675</c:v>
                </c:pt>
                <c:pt idx="111" c:formatCode="0.00_);[Red]\(0.00\)">
                  <c:v>3.708</c:v>
                </c:pt>
                <c:pt idx="112" c:formatCode="0.00_);[Red]\(0.00\)">
                  <c:v>3.742</c:v>
                </c:pt>
                <c:pt idx="113" c:formatCode="0.00_);[Red]\(0.00\)">
                  <c:v>3.775</c:v>
                </c:pt>
                <c:pt idx="114" c:formatCode="0.00_);[Red]\(0.00\)">
                  <c:v>3.808</c:v>
                </c:pt>
                <c:pt idx="115" c:formatCode="0.00_);[Red]\(0.00\)">
                  <c:v>3.842</c:v>
                </c:pt>
                <c:pt idx="116" c:formatCode="0.00_);[Red]\(0.00\)">
                  <c:v>3.875</c:v>
                </c:pt>
                <c:pt idx="117" c:formatCode="0.00_);[Red]\(0.00\)">
                  <c:v>3.909</c:v>
                </c:pt>
                <c:pt idx="118" c:formatCode="0.00_);[Red]\(0.00\)">
                  <c:v>3.942</c:v>
                </c:pt>
                <c:pt idx="119" c:formatCode="0.00_);[Red]\(0.00\)">
                  <c:v>3.975</c:v>
                </c:pt>
                <c:pt idx="120" c:formatCode="0.00_);[Red]\(0.00\)">
                  <c:v>4.009</c:v>
                </c:pt>
                <c:pt idx="121" c:formatCode="0.00_);[Red]\(0.00\)">
                  <c:v>4.042</c:v>
                </c:pt>
                <c:pt idx="122" c:formatCode="0.00_);[Red]\(0.00\)">
                  <c:v>4.076</c:v>
                </c:pt>
                <c:pt idx="123" c:formatCode="0.00_);[Red]\(0.00\)">
                  <c:v>4.109</c:v>
                </c:pt>
                <c:pt idx="124" c:formatCode="0.00_);[Red]\(0.00\)">
                  <c:v>4.143</c:v>
                </c:pt>
                <c:pt idx="125" c:formatCode="0.00_);[Red]\(0.00\)">
                  <c:v>4.176</c:v>
                </c:pt>
                <c:pt idx="126" c:formatCode="0.00_);[Red]\(0.00\)">
                  <c:v>4.209</c:v>
                </c:pt>
                <c:pt idx="127" c:formatCode="0.00_);[Red]\(0.00\)">
                  <c:v>4.243</c:v>
                </c:pt>
                <c:pt idx="128" c:formatCode="0.00_);[Red]\(0.00\)">
                  <c:v>4.276</c:v>
                </c:pt>
                <c:pt idx="129" c:formatCode="0.00_);[Red]\(0.00\)">
                  <c:v>4.31</c:v>
                </c:pt>
                <c:pt idx="130" c:formatCode="0.00_);[Red]\(0.00\)">
                  <c:v>4.343</c:v>
                </c:pt>
                <c:pt idx="131" c:formatCode="0.00_);[Red]\(0.00\)">
                  <c:v>4.376</c:v>
                </c:pt>
                <c:pt idx="132" c:formatCode="0.00_);[Red]\(0.00\)">
                  <c:v>4.41</c:v>
                </c:pt>
                <c:pt idx="133" c:formatCode="0.00_);[Red]\(0.00\)">
                  <c:v>4.443</c:v>
                </c:pt>
                <c:pt idx="134" c:formatCode="0.00_);[Red]\(0.00\)">
                  <c:v>4.477</c:v>
                </c:pt>
                <c:pt idx="135" c:formatCode="0.00_);[Red]\(0.00\)">
                  <c:v>4.51</c:v>
                </c:pt>
                <c:pt idx="136" c:formatCode="0.00_);[Red]\(0.00\)">
                  <c:v>4.543</c:v>
                </c:pt>
                <c:pt idx="137" c:formatCode="0.00_);[Red]\(0.00\)">
                  <c:v>4.577</c:v>
                </c:pt>
                <c:pt idx="138" c:formatCode="0.00_);[Red]\(0.00\)">
                  <c:v>4.61</c:v>
                </c:pt>
                <c:pt idx="139" c:formatCode="0.00_);[Red]\(0.00\)">
                  <c:v>4.644</c:v>
                </c:pt>
                <c:pt idx="140" c:formatCode="0.00_);[Red]\(0.00\)">
                  <c:v>4.677</c:v>
                </c:pt>
                <c:pt idx="141" c:formatCode="0.00_);[Red]\(0.00\)">
                  <c:v>4.71</c:v>
                </c:pt>
                <c:pt idx="142" c:formatCode="0.00_);[Red]\(0.00\)">
                  <c:v>4.744</c:v>
                </c:pt>
                <c:pt idx="143" c:formatCode="0.00_);[Red]\(0.00\)">
                  <c:v>4.777</c:v>
                </c:pt>
                <c:pt idx="144" c:formatCode="0.00_);[Red]\(0.00\)">
                  <c:v>4.811</c:v>
                </c:pt>
                <c:pt idx="145" c:formatCode="0.00_);[Red]\(0.00\)">
                  <c:v>4.844</c:v>
                </c:pt>
                <c:pt idx="146" c:formatCode="0.00_);[Red]\(0.00\)">
                  <c:v>4.877</c:v>
                </c:pt>
                <c:pt idx="147" c:formatCode="0.00_);[Red]\(0.00\)">
                  <c:v>4.911</c:v>
                </c:pt>
                <c:pt idx="148" c:formatCode="0.00_);[Red]\(0.00\)">
                  <c:v>4.944</c:v>
                </c:pt>
                <c:pt idx="149" c:formatCode="0.00_);[Red]\(0.00\)">
                  <c:v>4.978</c:v>
                </c:pt>
                <c:pt idx="150" c:formatCode="0.00_);[Red]\(0.00\)">
                  <c:v>5.011</c:v>
                </c:pt>
                <c:pt idx="151" c:formatCode="0.00_);[Red]\(0.00\)">
                  <c:v>5.045</c:v>
                </c:pt>
                <c:pt idx="152" c:formatCode="0.00_);[Red]\(0.00\)">
                  <c:v>5.078</c:v>
                </c:pt>
                <c:pt idx="153" c:formatCode="0.00_);[Red]\(0.00\)">
                  <c:v>5.111</c:v>
                </c:pt>
                <c:pt idx="154" c:formatCode="0.00_);[Red]\(0.00\)">
                  <c:v>5.145</c:v>
                </c:pt>
                <c:pt idx="155" c:formatCode="0.00_);[Red]\(0.00\)">
                  <c:v>5.178</c:v>
                </c:pt>
                <c:pt idx="156" c:formatCode="0.00_);[Red]\(0.00\)">
                  <c:v>5.212</c:v>
                </c:pt>
                <c:pt idx="157" c:formatCode="0.00_);[Red]\(0.00\)">
                  <c:v>5.245</c:v>
                </c:pt>
                <c:pt idx="158" c:formatCode="0.00_);[Red]\(0.00\)">
                  <c:v>5.278</c:v>
                </c:pt>
                <c:pt idx="159" c:formatCode="0.00_);[Red]\(0.00\)">
                  <c:v>5.312</c:v>
                </c:pt>
                <c:pt idx="160" c:formatCode="0.00_);[Red]\(0.00\)">
                  <c:v>5.345</c:v>
                </c:pt>
                <c:pt idx="161" c:formatCode="0.00_);[Red]\(0.00\)">
                  <c:v>5.379</c:v>
                </c:pt>
                <c:pt idx="162" c:formatCode="0.00_);[Red]\(0.00\)">
                  <c:v>5.412</c:v>
                </c:pt>
                <c:pt idx="163" c:formatCode="0.00_);[Red]\(0.00\)">
                  <c:v>5.445</c:v>
                </c:pt>
                <c:pt idx="164" c:formatCode="0.00_);[Red]\(0.00\)">
                  <c:v>5.479</c:v>
                </c:pt>
                <c:pt idx="165" c:formatCode="0.00_);[Red]\(0.00\)">
                  <c:v>5.512</c:v>
                </c:pt>
                <c:pt idx="166" c:formatCode="0.00_);[Red]\(0.00\)">
                  <c:v>5.546</c:v>
                </c:pt>
                <c:pt idx="167" c:formatCode="0.00_);[Red]\(0.00\)">
                  <c:v>5.579</c:v>
                </c:pt>
                <c:pt idx="168" c:formatCode="0.00_);[Red]\(0.00\)">
                  <c:v>5.612</c:v>
                </c:pt>
                <c:pt idx="169" c:formatCode="0.00_);[Red]\(0.00\)">
                  <c:v>5.646</c:v>
                </c:pt>
                <c:pt idx="170" c:formatCode="0.00_);[Red]\(0.00\)">
                  <c:v>5.679</c:v>
                </c:pt>
                <c:pt idx="171" c:formatCode="0.00_);[Red]\(0.00\)">
                  <c:v>5.713</c:v>
                </c:pt>
                <c:pt idx="172" c:formatCode="0.00_);[Red]\(0.00\)">
                  <c:v>5.746</c:v>
                </c:pt>
                <c:pt idx="173" c:formatCode="0.00_);[Red]\(0.00\)">
                  <c:v>5.779</c:v>
                </c:pt>
                <c:pt idx="174" c:formatCode="0.00_);[Red]\(0.00\)">
                  <c:v>5.813</c:v>
                </c:pt>
                <c:pt idx="175" c:formatCode="0.00_);[Red]\(0.00\)">
                  <c:v>5.846</c:v>
                </c:pt>
                <c:pt idx="176" c:formatCode="0.00_);[Red]\(0.00\)">
                  <c:v>5.88</c:v>
                </c:pt>
                <c:pt idx="177" c:formatCode="0.00_);[Red]\(0.00\)">
                  <c:v>5.913</c:v>
                </c:pt>
                <c:pt idx="178" c:formatCode="0.00_);[Red]\(0.00\)">
                  <c:v>5.947</c:v>
                </c:pt>
                <c:pt idx="179" c:formatCode="0.00_);[Red]\(0.00\)">
                  <c:v>5.98</c:v>
                </c:pt>
                <c:pt idx="180" c:formatCode="0.00_);[Red]\(0.00\)">
                  <c:v>6.013</c:v>
                </c:pt>
                <c:pt idx="181" c:formatCode="0.00_);[Red]\(0.00\)">
                  <c:v>6.047</c:v>
                </c:pt>
                <c:pt idx="182" c:formatCode="0.00_);[Red]\(0.00\)">
                  <c:v>6.08</c:v>
                </c:pt>
                <c:pt idx="183" c:formatCode="0.00_);[Red]\(0.00\)">
                  <c:v>6.114</c:v>
                </c:pt>
                <c:pt idx="184" c:formatCode="0.00_);[Red]\(0.00\)">
                  <c:v>6.147</c:v>
                </c:pt>
                <c:pt idx="185" c:formatCode="0.00_);[Red]\(0.00\)">
                  <c:v>6.18</c:v>
                </c:pt>
                <c:pt idx="186" c:formatCode="0.00_);[Red]\(0.00\)">
                  <c:v>6.214</c:v>
                </c:pt>
                <c:pt idx="187" c:formatCode="0.00_);[Red]\(0.00\)">
                  <c:v>6.247</c:v>
                </c:pt>
                <c:pt idx="188" c:formatCode="0.00_);[Red]\(0.00\)">
                  <c:v>6.281</c:v>
                </c:pt>
                <c:pt idx="189" c:formatCode="0.00_);[Red]\(0.00\)">
                  <c:v>6.314</c:v>
                </c:pt>
                <c:pt idx="190" c:formatCode="0.00_);[Red]\(0.00\)">
                  <c:v>6.347</c:v>
                </c:pt>
                <c:pt idx="191" c:formatCode="0.00_);[Red]\(0.00\)">
                  <c:v>6.381</c:v>
                </c:pt>
                <c:pt idx="192" c:formatCode="0.00_);[Red]\(0.00\)">
                  <c:v>6.414</c:v>
                </c:pt>
                <c:pt idx="193" c:formatCode="0.00_);[Red]\(0.00\)">
                  <c:v>6.448</c:v>
                </c:pt>
                <c:pt idx="194" c:formatCode="0.00_);[Red]\(0.00\)">
                  <c:v>6.481</c:v>
                </c:pt>
                <c:pt idx="195" c:formatCode="0.00_);[Red]\(0.00\)">
                  <c:v>6.514</c:v>
                </c:pt>
                <c:pt idx="196" c:formatCode="0.00_);[Red]\(0.00\)">
                  <c:v>6.548</c:v>
                </c:pt>
                <c:pt idx="197" c:formatCode="0.00_);[Red]\(0.00\)">
                  <c:v>6.581</c:v>
                </c:pt>
                <c:pt idx="198" c:formatCode="0.00_);[Red]\(0.00\)">
                  <c:v>6.615</c:v>
                </c:pt>
                <c:pt idx="199" c:formatCode="0.00_);[Red]\(0.00\)">
                  <c:v>6.648</c:v>
                </c:pt>
                <c:pt idx="200" c:formatCode="0.00_);[Red]\(0.00\)">
                  <c:v>6.681</c:v>
                </c:pt>
                <c:pt idx="201" c:formatCode="0.00_);[Red]\(0.00\)">
                  <c:v>6.715</c:v>
                </c:pt>
                <c:pt idx="202" c:formatCode="0.00_);[Red]\(0.00\)">
                  <c:v>6.748</c:v>
                </c:pt>
                <c:pt idx="203" c:formatCode="0.00_);[Red]\(0.00\)">
                  <c:v>6.782</c:v>
                </c:pt>
                <c:pt idx="204" c:formatCode="0.00_);[Red]\(0.00\)">
                  <c:v>6.815</c:v>
                </c:pt>
                <c:pt idx="205" c:formatCode="0.00_);[Red]\(0.00\)">
                  <c:v>6.849</c:v>
                </c:pt>
                <c:pt idx="206" c:formatCode="0.00_);[Red]\(0.00\)">
                  <c:v>6.882</c:v>
                </c:pt>
                <c:pt idx="207" c:formatCode="0.00_);[Red]\(0.00\)">
                  <c:v>6.915</c:v>
                </c:pt>
                <c:pt idx="208" c:formatCode="0.00_);[Red]\(0.00\)">
                  <c:v>6.949</c:v>
                </c:pt>
                <c:pt idx="209" c:formatCode="0.00_);[Red]\(0.00\)">
                  <c:v>6.982</c:v>
                </c:pt>
                <c:pt idx="210" c:formatCode="0.00_);[Red]\(0.00\)">
                  <c:v>7.016</c:v>
                </c:pt>
                <c:pt idx="211" c:formatCode="0.00_);[Red]\(0.00\)">
                  <c:v>7.049</c:v>
                </c:pt>
                <c:pt idx="212" c:formatCode="0.00_);[Red]\(0.00\)">
                  <c:v>7.082</c:v>
                </c:pt>
                <c:pt idx="213" c:formatCode="0.00_);[Red]\(0.00\)">
                  <c:v>7.116</c:v>
                </c:pt>
                <c:pt idx="214" c:formatCode="0.00_);[Red]\(0.00\)">
                  <c:v>7.149</c:v>
                </c:pt>
                <c:pt idx="215" c:formatCode="0.00_);[Red]\(0.00\)">
                  <c:v>7.183</c:v>
                </c:pt>
                <c:pt idx="216" c:formatCode="0.00_);[Red]\(0.00\)">
                  <c:v>7.216</c:v>
                </c:pt>
                <c:pt idx="217" c:formatCode="0.00_);[Red]\(0.00\)">
                  <c:v>7.249</c:v>
                </c:pt>
                <c:pt idx="218" c:formatCode="0.00_);[Red]\(0.00\)">
                  <c:v>7.283</c:v>
                </c:pt>
                <c:pt idx="219" c:formatCode="0.00_);[Red]\(0.00\)">
                  <c:v>7.316</c:v>
                </c:pt>
                <c:pt idx="220" c:formatCode="0.00_);[Red]\(0.00\)">
                  <c:v>7.35</c:v>
                </c:pt>
                <c:pt idx="221" c:formatCode="0.00_);[Red]\(0.00\)">
                  <c:v>7.383</c:v>
                </c:pt>
                <c:pt idx="222" c:formatCode="0.00_);[Red]\(0.00\)">
                  <c:v>7.416</c:v>
                </c:pt>
                <c:pt idx="223" c:formatCode="0.00_);[Red]\(0.00\)">
                  <c:v>7.45</c:v>
                </c:pt>
                <c:pt idx="224" c:formatCode="0.00_);[Red]\(0.00\)">
                  <c:v>7.483</c:v>
                </c:pt>
                <c:pt idx="225" c:formatCode="0.00_);[Red]\(0.00\)">
                  <c:v>7.517</c:v>
                </c:pt>
                <c:pt idx="226" c:formatCode="0.00_);[Red]\(0.00\)">
                  <c:v>7.55</c:v>
                </c:pt>
                <c:pt idx="227" c:formatCode="0.00_);[Red]\(0.00\)">
                  <c:v>7.583</c:v>
                </c:pt>
                <c:pt idx="228" c:formatCode="0.00_);[Red]\(0.00\)">
                  <c:v>7.617</c:v>
                </c:pt>
                <c:pt idx="229" c:formatCode="0.00_);[Red]\(0.00\)">
                  <c:v>7.65</c:v>
                </c:pt>
                <c:pt idx="230" c:formatCode="0.00_);[Red]\(0.00\)">
                  <c:v>7.684</c:v>
                </c:pt>
                <c:pt idx="231" c:formatCode="0.00_);[Red]\(0.00\)">
                  <c:v>7.717</c:v>
                </c:pt>
                <c:pt idx="232" c:formatCode="0.00_);[Red]\(0.00\)">
                  <c:v>7.751</c:v>
                </c:pt>
                <c:pt idx="233" c:formatCode="0.00_);[Red]\(0.00\)">
                  <c:v>7.784</c:v>
                </c:pt>
                <c:pt idx="234" c:formatCode="0.00_);[Red]\(0.00\)">
                  <c:v>7.817</c:v>
                </c:pt>
                <c:pt idx="235" c:formatCode="0.00_);[Red]\(0.00\)">
                  <c:v>7.851</c:v>
                </c:pt>
                <c:pt idx="236" c:formatCode="0.00_);[Red]\(0.00\)">
                  <c:v>7.884</c:v>
                </c:pt>
                <c:pt idx="237" c:formatCode="0.00_);[Red]\(0.00\)">
                  <c:v>7.918</c:v>
                </c:pt>
                <c:pt idx="238" c:formatCode="0.00_);[Red]\(0.00\)">
                  <c:v>7.951</c:v>
                </c:pt>
                <c:pt idx="239" c:formatCode="0.00_);[Red]\(0.00\)">
                  <c:v>7.984</c:v>
                </c:pt>
                <c:pt idx="240" c:formatCode="0.00_);[Red]\(0.00\)">
                  <c:v>8.018</c:v>
                </c:pt>
                <c:pt idx="241" c:formatCode="0.00_);[Red]\(0.00\)">
                  <c:v>8.051</c:v>
                </c:pt>
                <c:pt idx="242" c:formatCode="0.00_);[Red]\(0.00\)">
                  <c:v>8.085</c:v>
                </c:pt>
                <c:pt idx="243" c:formatCode="0.00_);[Red]\(0.00\)">
                  <c:v>8.118</c:v>
                </c:pt>
                <c:pt idx="244" c:formatCode="0.00_);[Red]\(0.00\)">
                  <c:v>8.151</c:v>
                </c:pt>
                <c:pt idx="245" c:formatCode="0.00_);[Red]\(0.00\)">
                  <c:v>8.185</c:v>
                </c:pt>
                <c:pt idx="246" c:formatCode="0.00_);[Red]\(0.00\)">
                  <c:v>8.218</c:v>
                </c:pt>
                <c:pt idx="247" c:formatCode="0.00_);[Red]\(0.00\)">
                  <c:v>8.252</c:v>
                </c:pt>
                <c:pt idx="248" c:formatCode="0.00_);[Red]\(0.00\)">
                  <c:v>8.285</c:v>
                </c:pt>
                <c:pt idx="249" c:formatCode="0.00_);[Red]\(0.00\)">
                  <c:v>8.318</c:v>
                </c:pt>
                <c:pt idx="250" c:formatCode="0.00_);[Red]\(0.00\)">
                  <c:v>8.352</c:v>
                </c:pt>
                <c:pt idx="251" c:formatCode="0.00_);[Red]\(0.00\)">
                  <c:v>8.385</c:v>
                </c:pt>
                <c:pt idx="252" c:formatCode="0.00_);[Red]\(0.00\)">
                  <c:v>8.419</c:v>
                </c:pt>
                <c:pt idx="253" c:formatCode="0.00_);[Red]\(0.00\)">
                  <c:v>8.452</c:v>
                </c:pt>
                <c:pt idx="254" c:formatCode="0.00_);[Red]\(0.00\)">
                  <c:v>8.485</c:v>
                </c:pt>
                <c:pt idx="255" c:formatCode="0.00_);[Red]\(0.00\)">
                  <c:v>8.519</c:v>
                </c:pt>
                <c:pt idx="256" c:formatCode="0.00_);[Red]\(0.00\)">
                  <c:v>8.552</c:v>
                </c:pt>
                <c:pt idx="257" c:formatCode="0.00_);[Red]\(0.00\)">
                  <c:v>8.586</c:v>
                </c:pt>
                <c:pt idx="258" c:formatCode="0.00_);[Red]\(0.00\)">
                  <c:v>8.619</c:v>
                </c:pt>
                <c:pt idx="259" c:formatCode="0.00_);[Red]\(0.00\)">
                  <c:v>8.652</c:v>
                </c:pt>
                <c:pt idx="260" c:formatCode="0.00_);[Red]\(0.00\)">
                  <c:v>8.686</c:v>
                </c:pt>
                <c:pt idx="261" c:formatCode="0.00_);[Red]\(0.00\)">
                  <c:v>8.719</c:v>
                </c:pt>
                <c:pt idx="262" c:formatCode="0.00_);[Red]\(0.00\)">
                  <c:v>8.753</c:v>
                </c:pt>
                <c:pt idx="263" c:formatCode="0.00_);[Red]\(0.00\)">
                  <c:v>8.786</c:v>
                </c:pt>
                <c:pt idx="264" c:formatCode="0.00_);[Red]\(0.00\)">
                  <c:v>8.82</c:v>
                </c:pt>
                <c:pt idx="265" c:formatCode="0.00_);[Red]\(0.00\)">
                  <c:v>8.853</c:v>
                </c:pt>
                <c:pt idx="266" c:formatCode="0.00_);[Red]\(0.00\)">
                  <c:v>8.886</c:v>
                </c:pt>
                <c:pt idx="267" c:formatCode="0.00_);[Red]\(0.00\)">
                  <c:v>8.92</c:v>
                </c:pt>
                <c:pt idx="268" c:formatCode="0.00_);[Red]\(0.00\)">
                  <c:v>8.953</c:v>
                </c:pt>
                <c:pt idx="269" c:formatCode="0.00_);[Red]\(0.00\)">
                  <c:v>8.987</c:v>
                </c:pt>
                <c:pt idx="270" c:formatCode="0.00_);[Red]\(0.00\)">
                  <c:v>9.02</c:v>
                </c:pt>
                <c:pt idx="271" c:formatCode="0.00_);[Red]\(0.00\)">
                  <c:v>9.053</c:v>
                </c:pt>
                <c:pt idx="272" c:formatCode="0.00_);[Red]\(0.00\)">
                  <c:v>9.087</c:v>
                </c:pt>
                <c:pt idx="273" c:formatCode="0.00_);[Red]\(0.00\)">
                  <c:v>9.12</c:v>
                </c:pt>
                <c:pt idx="274" c:formatCode="0.00_);[Red]\(0.00\)">
                  <c:v>9.154</c:v>
                </c:pt>
                <c:pt idx="275" c:formatCode="0.00_);[Red]\(0.00\)">
                  <c:v>9.187</c:v>
                </c:pt>
                <c:pt idx="276" c:formatCode="0.00_);[Red]\(0.00\)">
                  <c:v>9.22</c:v>
                </c:pt>
                <c:pt idx="277" c:formatCode="0.00_);[Red]\(0.00\)">
                  <c:v>9.254</c:v>
                </c:pt>
                <c:pt idx="278" c:formatCode="0.00_);[Red]\(0.00\)">
                  <c:v>9.287</c:v>
                </c:pt>
                <c:pt idx="279" c:formatCode="0.00_);[Red]\(0.00\)">
                  <c:v>9.321</c:v>
                </c:pt>
                <c:pt idx="280" c:formatCode="0.00_);[Red]\(0.00\)">
                  <c:v>9.354</c:v>
                </c:pt>
                <c:pt idx="281" c:formatCode="0.00_);[Red]\(0.00\)">
                  <c:v>9.387</c:v>
                </c:pt>
                <c:pt idx="282" c:formatCode="0.00_);[Red]\(0.00\)">
                  <c:v>9.421</c:v>
                </c:pt>
                <c:pt idx="283" c:formatCode="0.00_);[Red]\(0.00\)">
                  <c:v>9.454</c:v>
                </c:pt>
                <c:pt idx="284" c:formatCode="0.00_);[Red]\(0.00\)">
                  <c:v>9.488</c:v>
                </c:pt>
                <c:pt idx="285" c:formatCode="0.00_);[Red]\(0.00\)">
                  <c:v>9.521</c:v>
                </c:pt>
                <c:pt idx="286" c:formatCode="0.00_);[Red]\(0.00\)">
                  <c:v>9.554</c:v>
                </c:pt>
                <c:pt idx="287" c:formatCode="0.00_);[Red]\(0.00\)">
                  <c:v>9.588</c:v>
                </c:pt>
                <c:pt idx="288" c:formatCode="0.00_);[Red]\(0.00\)">
                  <c:v>9.621</c:v>
                </c:pt>
                <c:pt idx="289" c:formatCode="0.00_);[Red]\(0.00\)">
                  <c:v>9.655</c:v>
                </c:pt>
                <c:pt idx="290" c:formatCode="0.00_);[Red]\(0.00\)">
                  <c:v>9.688</c:v>
                </c:pt>
                <c:pt idx="291" c:formatCode="0.00_);[Red]\(0.00\)">
                  <c:v>9.722</c:v>
                </c:pt>
                <c:pt idx="292" c:formatCode="0.00_);[Red]\(0.00\)">
                  <c:v>9.755</c:v>
                </c:pt>
                <c:pt idx="293" c:formatCode="0.00_);[Red]\(0.00\)">
                  <c:v>9.788</c:v>
                </c:pt>
                <c:pt idx="294" c:formatCode="0.00_);[Red]\(0.00\)">
                  <c:v>9.822</c:v>
                </c:pt>
                <c:pt idx="295" c:formatCode="0.00_);[Red]\(0.00\)">
                  <c:v>9.855</c:v>
                </c:pt>
                <c:pt idx="296" c:formatCode="0.00_);[Red]\(0.00\)">
                  <c:v>9.889</c:v>
                </c:pt>
                <c:pt idx="297" c:formatCode="0.00_);[Red]\(0.00\)">
                  <c:v>9.922</c:v>
                </c:pt>
                <c:pt idx="298" c:formatCode="0.00_);[Red]\(0.00\)">
                  <c:v>9.955</c:v>
                </c:pt>
                <c:pt idx="299" c:formatCode="0.00_);[Red]\(0.00\)">
                  <c:v>9.989</c:v>
                </c:pt>
                <c:pt idx="300" c:formatCode="0.00_);[Red]\(0.00\)">
                  <c:v>10.022</c:v>
                </c:pt>
                <c:pt idx="301" c:formatCode="0.00_);[Red]\(0.00\)">
                  <c:v>10.056</c:v>
                </c:pt>
                <c:pt idx="302" c:formatCode="0.00_);[Red]\(0.00\)">
                  <c:v>10.089</c:v>
                </c:pt>
                <c:pt idx="303" c:formatCode="0.00_);[Red]\(0.00\)">
                  <c:v>10.122</c:v>
                </c:pt>
                <c:pt idx="304" c:formatCode="0.00_);[Red]\(0.00\)">
                  <c:v>10.156</c:v>
                </c:pt>
                <c:pt idx="305" c:formatCode="0.00_);[Red]\(0.00\)">
                  <c:v>10.189</c:v>
                </c:pt>
                <c:pt idx="306" c:formatCode="0.00_);[Red]\(0.00\)">
                  <c:v>10.223</c:v>
                </c:pt>
                <c:pt idx="307" c:formatCode="0.00_);[Red]\(0.00\)">
                  <c:v>10.256</c:v>
                </c:pt>
                <c:pt idx="308" c:formatCode="0.00_);[Red]\(0.00\)">
                  <c:v>10.289</c:v>
                </c:pt>
                <c:pt idx="309" c:formatCode="0.00_);[Red]\(0.00\)">
                  <c:v>10.323</c:v>
                </c:pt>
                <c:pt idx="310" c:formatCode="0.00_);[Red]\(0.00\)">
                  <c:v>10.356</c:v>
                </c:pt>
                <c:pt idx="311" c:formatCode="0.00_);[Red]\(0.00\)">
                  <c:v>10.39</c:v>
                </c:pt>
                <c:pt idx="312" c:formatCode="0.00_);[Red]\(0.00\)">
                  <c:v>10.423</c:v>
                </c:pt>
                <c:pt idx="313" c:formatCode="0.00_);[Red]\(0.00\)">
                  <c:v>10.456</c:v>
                </c:pt>
                <c:pt idx="314" c:formatCode="0.00_);[Red]\(0.00\)">
                  <c:v>10.49</c:v>
                </c:pt>
                <c:pt idx="315" c:formatCode="0.00_);[Red]\(0.00\)">
                  <c:v>10.523</c:v>
                </c:pt>
                <c:pt idx="316" c:formatCode="0.00_);[Red]\(0.00\)">
                  <c:v>10.557</c:v>
                </c:pt>
                <c:pt idx="317" c:formatCode="0.00_);[Red]\(0.00\)">
                  <c:v>10.59</c:v>
                </c:pt>
                <c:pt idx="318" c:formatCode="0.00_);[Red]\(0.00\)">
                  <c:v>10.624</c:v>
                </c:pt>
                <c:pt idx="319" c:formatCode="0.00_);[Red]\(0.00\)">
                  <c:v>10.657</c:v>
                </c:pt>
                <c:pt idx="320" c:formatCode="0.00_);[Red]\(0.00\)">
                  <c:v>10.69</c:v>
                </c:pt>
                <c:pt idx="321" c:formatCode="0.00_);[Red]\(0.00\)">
                  <c:v>10.724</c:v>
                </c:pt>
                <c:pt idx="322" c:formatCode="0.00_);[Red]\(0.00\)">
                  <c:v>10.757</c:v>
                </c:pt>
                <c:pt idx="323" c:formatCode="0.00_);[Red]\(0.00\)">
                  <c:v>10.791</c:v>
                </c:pt>
                <c:pt idx="324" c:formatCode="0.00_);[Red]\(0.00\)">
                  <c:v>10.824</c:v>
                </c:pt>
                <c:pt idx="325" c:formatCode="0.00_);[Red]\(0.00\)">
                  <c:v>10.857</c:v>
                </c:pt>
                <c:pt idx="326" c:formatCode="0.00_);[Red]\(0.00\)">
                  <c:v>10.891</c:v>
                </c:pt>
                <c:pt idx="327" c:formatCode="0.00_);[Red]\(0.00\)">
                  <c:v>10.924</c:v>
                </c:pt>
                <c:pt idx="328" c:formatCode="0.00_);[Red]\(0.00\)">
                  <c:v>10.958</c:v>
                </c:pt>
                <c:pt idx="329" c:formatCode="0.00_);[Red]\(0.00\)">
                  <c:v>10.991</c:v>
                </c:pt>
                <c:pt idx="330" c:formatCode="0.00_);[Red]\(0.00\)">
                  <c:v>11.024</c:v>
                </c:pt>
                <c:pt idx="331" c:formatCode="0.00_);[Red]\(0.00\)">
                  <c:v>11.058</c:v>
                </c:pt>
                <c:pt idx="332" c:formatCode="0.00_);[Red]\(0.00\)">
                  <c:v>11.091</c:v>
                </c:pt>
                <c:pt idx="333" c:formatCode="0.00_);[Red]\(0.00\)">
                  <c:v>11.125</c:v>
                </c:pt>
                <c:pt idx="334" c:formatCode="0.00_);[Red]\(0.00\)">
                  <c:v>11.158</c:v>
                </c:pt>
                <c:pt idx="335" c:formatCode="0.00_);[Red]\(0.00\)">
                  <c:v>11.191</c:v>
                </c:pt>
                <c:pt idx="336" c:formatCode="0.00_);[Red]\(0.00\)">
                  <c:v>11.225</c:v>
                </c:pt>
                <c:pt idx="337" c:formatCode="0.00_);[Red]\(0.00\)">
                  <c:v>11.258</c:v>
                </c:pt>
                <c:pt idx="338" c:formatCode="0.00_);[Red]\(0.00\)">
                  <c:v>11.292</c:v>
                </c:pt>
                <c:pt idx="339" c:formatCode="0.00_);[Red]\(0.00\)">
                  <c:v>11.325</c:v>
                </c:pt>
                <c:pt idx="340" c:formatCode="0.00_);[Red]\(0.00\)">
                  <c:v>11.358</c:v>
                </c:pt>
                <c:pt idx="341" c:formatCode="0.00_);[Red]\(0.00\)">
                  <c:v>11.392</c:v>
                </c:pt>
              </c:numCache>
            </c:numRef>
          </c:cat>
          <c:val>
            <c:numRef>
              <c:f>B_12_04_32_20KPa!$L$4:$L$345</c:f>
              <c:numCache>
                <c:formatCode>General</c:formatCode>
                <c:ptCount val="342"/>
                <c:pt idx="0">
                  <c:v>-24.8</c:v>
                </c:pt>
                <c:pt idx="1">
                  <c:v>-24.8</c:v>
                </c:pt>
                <c:pt idx="2">
                  <c:v>-24.8</c:v>
                </c:pt>
                <c:pt idx="3">
                  <c:v>-24.8</c:v>
                </c:pt>
                <c:pt idx="4">
                  <c:v>-24.8</c:v>
                </c:pt>
                <c:pt idx="5">
                  <c:v>-24.8</c:v>
                </c:pt>
                <c:pt idx="6">
                  <c:v>-24.8</c:v>
                </c:pt>
                <c:pt idx="7">
                  <c:v>-24.8</c:v>
                </c:pt>
                <c:pt idx="8">
                  <c:v>-24.8</c:v>
                </c:pt>
                <c:pt idx="9">
                  <c:v>-24.8</c:v>
                </c:pt>
                <c:pt idx="10">
                  <c:v>-24.8</c:v>
                </c:pt>
                <c:pt idx="11">
                  <c:v>-24.8</c:v>
                </c:pt>
                <c:pt idx="12">
                  <c:v>-24.8</c:v>
                </c:pt>
                <c:pt idx="13">
                  <c:v>-24.8</c:v>
                </c:pt>
                <c:pt idx="14">
                  <c:v>-24.8</c:v>
                </c:pt>
                <c:pt idx="15">
                  <c:v>-24.8</c:v>
                </c:pt>
                <c:pt idx="16">
                  <c:v>-24.8</c:v>
                </c:pt>
                <c:pt idx="17">
                  <c:v>-24.8</c:v>
                </c:pt>
                <c:pt idx="18">
                  <c:v>-24.8</c:v>
                </c:pt>
                <c:pt idx="19">
                  <c:v>-24.8</c:v>
                </c:pt>
                <c:pt idx="20">
                  <c:v>-24.8</c:v>
                </c:pt>
                <c:pt idx="21">
                  <c:v>-24.8</c:v>
                </c:pt>
                <c:pt idx="22">
                  <c:v>-24.8</c:v>
                </c:pt>
                <c:pt idx="23">
                  <c:v>-24.8</c:v>
                </c:pt>
                <c:pt idx="24">
                  <c:v>-24.8</c:v>
                </c:pt>
                <c:pt idx="25">
                  <c:v>-24.8</c:v>
                </c:pt>
                <c:pt idx="26">
                  <c:v>-24.8</c:v>
                </c:pt>
                <c:pt idx="27">
                  <c:v>-24.8</c:v>
                </c:pt>
                <c:pt idx="28">
                  <c:v>-24.8</c:v>
                </c:pt>
                <c:pt idx="29">
                  <c:v>-24.8</c:v>
                </c:pt>
                <c:pt idx="30">
                  <c:v>-24.8</c:v>
                </c:pt>
                <c:pt idx="31">
                  <c:v>-24.8</c:v>
                </c:pt>
                <c:pt idx="32">
                  <c:v>-24.8</c:v>
                </c:pt>
                <c:pt idx="33">
                  <c:v>-24.8</c:v>
                </c:pt>
                <c:pt idx="34">
                  <c:v>-24.8</c:v>
                </c:pt>
                <c:pt idx="35">
                  <c:v>-24.8</c:v>
                </c:pt>
                <c:pt idx="36">
                  <c:v>-24.8</c:v>
                </c:pt>
                <c:pt idx="37">
                  <c:v>-24.8</c:v>
                </c:pt>
                <c:pt idx="38">
                  <c:v>-24.8</c:v>
                </c:pt>
                <c:pt idx="39">
                  <c:v>-24.8</c:v>
                </c:pt>
                <c:pt idx="40">
                  <c:v>-24.8</c:v>
                </c:pt>
                <c:pt idx="41">
                  <c:v>-24.8</c:v>
                </c:pt>
                <c:pt idx="42">
                  <c:v>-24.8</c:v>
                </c:pt>
                <c:pt idx="43">
                  <c:v>-24.8</c:v>
                </c:pt>
                <c:pt idx="44">
                  <c:v>-24.8</c:v>
                </c:pt>
                <c:pt idx="45">
                  <c:v>-24.8</c:v>
                </c:pt>
                <c:pt idx="46">
                  <c:v>-24.8</c:v>
                </c:pt>
                <c:pt idx="47">
                  <c:v>-24.8</c:v>
                </c:pt>
                <c:pt idx="48">
                  <c:v>-24.8</c:v>
                </c:pt>
                <c:pt idx="49">
                  <c:v>-24.8</c:v>
                </c:pt>
                <c:pt idx="50">
                  <c:v>-24.8</c:v>
                </c:pt>
                <c:pt idx="51">
                  <c:v>-24.8</c:v>
                </c:pt>
                <c:pt idx="52">
                  <c:v>-24.8</c:v>
                </c:pt>
                <c:pt idx="53">
                  <c:v>-24.8</c:v>
                </c:pt>
                <c:pt idx="54">
                  <c:v>-24.8</c:v>
                </c:pt>
                <c:pt idx="55">
                  <c:v>-24.8</c:v>
                </c:pt>
                <c:pt idx="56">
                  <c:v>-24.8</c:v>
                </c:pt>
                <c:pt idx="57">
                  <c:v>-24.8</c:v>
                </c:pt>
                <c:pt idx="58">
                  <c:v>-24.8</c:v>
                </c:pt>
                <c:pt idx="59">
                  <c:v>-24.8</c:v>
                </c:pt>
                <c:pt idx="60">
                  <c:v>-24.8</c:v>
                </c:pt>
                <c:pt idx="61">
                  <c:v>-24.8</c:v>
                </c:pt>
                <c:pt idx="62">
                  <c:v>-24.8</c:v>
                </c:pt>
                <c:pt idx="63">
                  <c:v>-24.8</c:v>
                </c:pt>
                <c:pt idx="64">
                  <c:v>-24.8</c:v>
                </c:pt>
                <c:pt idx="65">
                  <c:v>-24.8</c:v>
                </c:pt>
                <c:pt idx="66">
                  <c:v>-24.8</c:v>
                </c:pt>
                <c:pt idx="67">
                  <c:v>-24.8</c:v>
                </c:pt>
                <c:pt idx="68">
                  <c:v>-24.8</c:v>
                </c:pt>
                <c:pt idx="69">
                  <c:v>-24.8</c:v>
                </c:pt>
                <c:pt idx="70">
                  <c:v>-24.8</c:v>
                </c:pt>
                <c:pt idx="71">
                  <c:v>-24.8</c:v>
                </c:pt>
                <c:pt idx="72">
                  <c:v>-24.8</c:v>
                </c:pt>
                <c:pt idx="73">
                  <c:v>-24.8</c:v>
                </c:pt>
                <c:pt idx="74">
                  <c:v>-24.8</c:v>
                </c:pt>
                <c:pt idx="75">
                  <c:v>-24.8</c:v>
                </c:pt>
                <c:pt idx="76">
                  <c:v>-24.8</c:v>
                </c:pt>
                <c:pt idx="77">
                  <c:v>-24.8</c:v>
                </c:pt>
                <c:pt idx="78">
                  <c:v>-24.8</c:v>
                </c:pt>
                <c:pt idx="79">
                  <c:v>13.5</c:v>
                </c:pt>
                <c:pt idx="80">
                  <c:v>13.5</c:v>
                </c:pt>
                <c:pt idx="81">
                  <c:v>13.5</c:v>
                </c:pt>
                <c:pt idx="82">
                  <c:v>13.5</c:v>
                </c:pt>
                <c:pt idx="83">
                  <c:v>13.5</c:v>
                </c:pt>
                <c:pt idx="84">
                  <c:v>13.5</c:v>
                </c:pt>
                <c:pt idx="85">
                  <c:v>13.5</c:v>
                </c:pt>
                <c:pt idx="86">
                  <c:v>13.5</c:v>
                </c:pt>
                <c:pt idx="87">
                  <c:v>13.5</c:v>
                </c:pt>
                <c:pt idx="88">
                  <c:v>13.5</c:v>
                </c:pt>
                <c:pt idx="89">
                  <c:v>13.5</c:v>
                </c:pt>
                <c:pt idx="90">
                  <c:v>13.5</c:v>
                </c:pt>
                <c:pt idx="91">
                  <c:v>13.5</c:v>
                </c:pt>
                <c:pt idx="92">
                  <c:v>13.5</c:v>
                </c:pt>
                <c:pt idx="93">
                  <c:v>13.5</c:v>
                </c:pt>
                <c:pt idx="94">
                  <c:v>13.5</c:v>
                </c:pt>
                <c:pt idx="95">
                  <c:v>13.5</c:v>
                </c:pt>
                <c:pt idx="96">
                  <c:v>13.5</c:v>
                </c:pt>
                <c:pt idx="97">
                  <c:v>-24.8</c:v>
                </c:pt>
                <c:pt idx="98">
                  <c:v>-24.8</c:v>
                </c:pt>
                <c:pt idx="99">
                  <c:v>-24.8</c:v>
                </c:pt>
                <c:pt idx="100">
                  <c:v>-24.8</c:v>
                </c:pt>
                <c:pt idx="101">
                  <c:v>-24.8</c:v>
                </c:pt>
                <c:pt idx="102">
                  <c:v>-24.8</c:v>
                </c:pt>
                <c:pt idx="103">
                  <c:v>-24.8</c:v>
                </c:pt>
                <c:pt idx="104">
                  <c:v>-24.8</c:v>
                </c:pt>
                <c:pt idx="105">
                  <c:v>-24.8</c:v>
                </c:pt>
                <c:pt idx="106">
                  <c:v>-24.8</c:v>
                </c:pt>
                <c:pt idx="107">
                  <c:v>-24.8</c:v>
                </c:pt>
                <c:pt idx="108">
                  <c:v>-24.8</c:v>
                </c:pt>
                <c:pt idx="109">
                  <c:v>-24.8</c:v>
                </c:pt>
                <c:pt idx="110">
                  <c:v>-24.8</c:v>
                </c:pt>
                <c:pt idx="111">
                  <c:v>-24.8</c:v>
                </c:pt>
                <c:pt idx="112">
                  <c:v>-24.8</c:v>
                </c:pt>
                <c:pt idx="113">
                  <c:v>-24.8</c:v>
                </c:pt>
                <c:pt idx="114">
                  <c:v>13.5</c:v>
                </c:pt>
                <c:pt idx="115">
                  <c:v>13.5</c:v>
                </c:pt>
                <c:pt idx="116">
                  <c:v>13.5</c:v>
                </c:pt>
                <c:pt idx="117">
                  <c:v>13.5</c:v>
                </c:pt>
                <c:pt idx="118">
                  <c:v>13.5</c:v>
                </c:pt>
                <c:pt idx="119">
                  <c:v>13.5</c:v>
                </c:pt>
                <c:pt idx="120">
                  <c:v>13.5</c:v>
                </c:pt>
                <c:pt idx="121">
                  <c:v>13.5</c:v>
                </c:pt>
                <c:pt idx="122">
                  <c:v>13.5</c:v>
                </c:pt>
                <c:pt idx="123">
                  <c:v>13.5</c:v>
                </c:pt>
                <c:pt idx="124">
                  <c:v>13.5</c:v>
                </c:pt>
                <c:pt idx="125">
                  <c:v>13.5</c:v>
                </c:pt>
                <c:pt idx="126">
                  <c:v>13.5</c:v>
                </c:pt>
                <c:pt idx="127">
                  <c:v>13.5</c:v>
                </c:pt>
                <c:pt idx="128">
                  <c:v>13.5</c:v>
                </c:pt>
                <c:pt idx="129">
                  <c:v>13.5</c:v>
                </c:pt>
                <c:pt idx="130">
                  <c:v>13.5</c:v>
                </c:pt>
                <c:pt idx="131">
                  <c:v>13.5</c:v>
                </c:pt>
                <c:pt idx="132">
                  <c:v>13.5</c:v>
                </c:pt>
                <c:pt idx="133">
                  <c:v>-24.8</c:v>
                </c:pt>
                <c:pt idx="134">
                  <c:v>-24.8</c:v>
                </c:pt>
                <c:pt idx="135">
                  <c:v>-24.8</c:v>
                </c:pt>
                <c:pt idx="136">
                  <c:v>-24.8</c:v>
                </c:pt>
                <c:pt idx="137">
                  <c:v>-24.8</c:v>
                </c:pt>
                <c:pt idx="138">
                  <c:v>-24.8</c:v>
                </c:pt>
                <c:pt idx="139">
                  <c:v>-24.8</c:v>
                </c:pt>
                <c:pt idx="140">
                  <c:v>-24.8</c:v>
                </c:pt>
                <c:pt idx="141">
                  <c:v>-24.8</c:v>
                </c:pt>
                <c:pt idx="142">
                  <c:v>-24.8</c:v>
                </c:pt>
                <c:pt idx="143">
                  <c:v>-24.8</c:v>
                </c:pt>
                <c:pt idx="144">
                  <c:v>-24.8</c:v>
                </c:pt>
                <c:pt idx="145">
                  <c:v>-24.8</c:v>
                </c:pt>
                <c:pt idx="146">
                  <c:v>-24.8</c:v>
                </c:pt>
                <c:pt idx="147">
                  <c:v>-24.8</c:v>
                </c:pt>
                <c:pt idx="148">
                  <c:v>-24.8</c:v>
                </c:pt>
                <c:pt idx="149">
                  <c:v>-24.8</c:v>
                </c:pt>
                <c:pt idx="150">
                  <c:v>-24.8</c:v>
                </c:pt>
                <c:pt idx="151">
                  <c:v>13.5</c:v>
                </c:pt>
                <c:pt idx="152">
                  <c:v>13.5</c:v>
                </c:pt>
                <c:pt idx="153">
                  <c:v>13.5</c:v>
                </c:pt>
                <c:pt idx="154">
                  <c:v>13.5</c:v>
                </c:pt>
                <c:pt idx="155">
                  <c:v>13.5</c:v>
                </c:pt>
                <c:pt idx="156">
                  <c:v>13.5</c:v>
                </c:pt>
                <c:pt idx="157">
                  <c:v>13.5</c:v>
                </c:pt>
                <c:pt idx="158">
                  <c:v>13.5</c:v>
                </c:pt>
                <c:pt idx="159">
                  <c:v>13.5</c:v>
                </c:pt>
                <c:pt idx="160">
                  <c:v>13.5</c:v>
                </c:pt>
                <c:pt idx="161">
                  <c:v>13.5</c:v>
                </c:pt>
                <c:pt idx="162">
                  <c:v>13.5</c:v>
                </c:pt>
                <c:pt idx="163">
                  <c:v>13.5</c:v>
                </c:pt>
                <c:pt idx="164">
                  <c:v>13.5</c:v>
                </c:pt>
                <c:pt idx="165">
                  <c:v>13.5</c:v>
                </c:pt>
                <c:pt idx="166">
                  <c:v>13.5</c:v>
                </c:pt>
                <c:pt idx="167">
                  <c:v>13.5</c:v>
                </c:pt>
                <c:pt idx="168">
                  <c:v>13.5</c:v>
                </c:pt>
                <c:pt idx="169">
                  <c:v>-24.8</c:v>
                </c:pt>
                <c:pt idx="170">
                  <c:v>-24.8</c:v>
                </c:pt>
                <c:pt idx="171">
                  <c:v>-24.8</c:v>
                </c:pt>
                <c:pt idx="172">
                  <c:v>-24.8</c:v>
                </c:pt>
                <c:pt idx="173">
                  <c:v>-24.8</c:v>
                </c:pt>
                <c:pt idx="174">
                  <c:v>-24.8</c:v>
                </c:pt>
                <c:pt idx="175">
                  <c:v>-24.8</c:v>
                </c:pt>
                <c:pt idx="176">
                  <c:v>-24.8</c:v>
                </c:pt>
                <c:pt idx="177">
                  <c:v>-24.8</c:v>
                </c:pt>
                <c:pt idx="178">
                  <c:v>-24.8</c:v>
                </c:pt>
                <c:pt idx="179">
                  <c:v>-24.8</c:v>
                </c:pt>
                <c:pt idx="180">
                  <c:v>-24.8</c:v>
                </c:pt>
                <c:pt idx="181">
                  <c:v>-24.8</c:v>
                </c:pt>
                <c:pt idx="182">
                  <c:v>-24.8</c:v>
                </c:pt>
                <c:pt idx="183">
                  <c:v>-24.8</c:v>
                </c:pt>
                <c:pt idx="184">
                  <c:v>-24.8</c:v>
                </c:pt>
                <c:pt idx="185">
                  <c:v>-24.8</c:v>
                </c:pt>
                <c:pt idx="186">
                  <c:v>-24.8</c:v>
                </c:pt>
                <c:pt idx="187">
                  <c:v>-24.8</c:v>
                </c:pt>
                <c:pt idx="188">
                  <c:v>-24.8</c:v>
                </c:pt>
                <c:pt idx="189">
                  <c:v>-24.8</c:v>
                </c:pt>
                <c:pt idx="190">
                  <c:v>-24.8</c:v>
                </c:pt>
                <c:pt idx="191">
                  <c:v>-24.8</c:v>
                </c:pt>
                <c:pt idx="192">
                  <c:v>-24.8</c:v>
                </c:pt>
                <c:pt idx="193">
                  <c:v>-24.8</c:v>
                </c:pt>
                <c:pt idx="194">
                  <c:v>-24.8</c:v>
                </c:pt>
                <c:pt idx="195">
                  <c:v>-24.8</c:v>
                </c:pt>
                <c:pt idx="196">
                  <c:v>-24.8</c:v>
                </c:pt>
                <c:pt idx="197">
                  <c:v>-24.8</c:v>
                </c:pt>
                <c:pt idx="198">
                  <c:v>-24.8</c:v>
                </c:pt>
                <c:pt idx="199">
                  <c:v>-24.8</c:v>
                </c:pt>
                <c:pt idx="200">
                  <c:v>-24.8</c:v>
                </c:pt>
                <c:pt idx="201">
                  <c:v>-24.8</c:v>
                </c:pt>
                <c:pt idx="202">
                  <c:v>-24.8</c:v>
                </c:pt>
                <c:pt idx="203">
                  <c:v>-24.8</c:v>
                </c:pt>
                <c:pt idx="204">
                  <c:v>-24.8</c:v>
                </c:pt>
                <c:pt idx="205">
                  <c:v>-24.8</c:v>
                </c:pt>
                <c:pt idx="206">
                  <c:v>-24.8</c:v>
                </c:pt>
                <c:pt idx="207">
                  <c:v>-24.8</c:v>
                </c:pt>
                <c:pt idx="208">
                  <c:v>-24.8</c:v>
                </c:pt>
                <c:pt idx="209">
                  <c:v>-24.8</c:v>
                </c:pt>
                <c:pt idx="210">
                  <c:v>-24.8</c:v>
                </c:pt>
                <c:pt idx="211">
                  <c:v>-24.8</c:v>
                </c:pt>
                <c:pt idx="212">
                  <c:v>-24.8</c:v>
                </c:pt>
                <c:pt idx="213">
                  <c:v>-24.8</c:v>
                </c:pt>
                <c:pt idx="214">
                  <c:v>-24.8</c:v>
                </c:pt>
                <c:pt idx="215">
                  <c:v>-24.8</c:v>
                </c:pt>
                <c:pt idx="216">
                  <c:v>-24.8</c:v>
                </c:pt>
                <c:pt idx="217">
                  <c:v>-24.8</c:v>
                </c:pt>
                <c:pt idx="218">
                  <c:v>-24.8</c:v>
                </c:pt>
                <c:pt idx="219">
                  <c:v>-24.8</c:v>
                </c:pt>
                <c:pt idx="220">
                  <c:v>-24.8</c:v>
                </c:pt>
                <c:pt idx="221">
                  <c:v>-24.8</c:v>
                </c:pt>
                <c:pt idx="222">
                  <c:v>-24.8</c:v>
                </c:pt>
                <c:pt idx="223">
                  <c:v>-24.8</c:v>
                </c:pt>
                <c:pt idx="224">
                  <c:v>-24.8</c:v>
                </c:pt>
                <c:pt idx="225">
                  <c:v>-24.8</c:v>
                </c:pt>
                <c:pt idx="226">
                  <c:v>-24.8</c:v>
                </c:pt>
                <c:pt idx="227">
                  <c:v>-24.8</c:v>
                </c:pt>
                <c:pt idx="228">
                  <c:v>-24.8</c:v>
                </c:pt>
                <c:pt idx="229">
                  <c:v>-24.8</c:v>
                </c:pt>
                <c:pt idx="230">
                  <c:v>-24.8</c:v>
                </c:pt>
                <c:pt idx="231">
                  <c:v>-24.8</c:v>
                </c:pt>
                <c:pt idx="232">
                  <c:v>-24.8</c:v>
                </c:pt>
                <c:pt idx="233">
                  <c:v>-24.8</c:v>
                </c:pt>
                <c:pt idx="234">
                  <c:v>-24.8</c:v>
                </c:pt>
                <c:pt idx="235">
                  <c:v>-24.8</c:v>
                </c:pt>
                <c:pt idx="236">
                  <c:v>-24.8</c:v>
                </c:pt>
                <c:pt idx="237">
                  <c:v>-24.8</c:v>
                </c:pt>
                <c:pt idx="238">
                  <c:v>-24.8</c:v>
                </c:pt>
                <c:pt idx="239">
                  <c:v>-24.8</c:v>
                </c:pt>
                <c:pt idx="240">
                  <c:v>-24.8</c:v>
                </c:pt>
                <c:pt idx="241">
                  <c:v>-24.8</c:v>
                </c:pt>
                <c:pt idx="242">
                  <c:v>-24.8</c:v>
                </c:pt>
                <c:pt idx="243">
                  <c:v>-24.8</c:v>
                </c:pt>
                <c:pt idx="244">
                  <c:v>-24.8</c:v>
                </c:pt>
                <c:pt idx="245">
                  <c:v>-24.8</c:v>
                </c:pt>
                <c:pt idx="246">
                  <c:v>-24.8</c:v>
                </c:pt>
                <c:pt idx="247">
                  <c:v>-24.8</c:v>
                </c:pt>
                <c:pt idx="248">
                  <c:v>-24.8</c:v>
                </c:pt>
                <c:pt idx="249">
                  <c:v>-24.8</c:v>
                </c:pt>
                <c:pt idx="250">
                  <c:v>-24.8</c:v>
                </c:pt>
                <c:pt idx="251">
                  <c:v>-24.8</c:v>
                </c:pt>
                <c:pt idx="252">
                  <c:v>-24.8</c:v>
                </c:pt>
                <c:pt idx="253">
                  <c:v>-24.8</c:v>
                </c:pt>
                <c:pt idx="254">
                  <c:v>-24.8</c:v>
                </c:pt>
                <c:pt idx="255">
                  <c:v>-24.8</c:v>
                </c:pt>
                <c:pt idx="256">
                  <c:v>-24.8</c:v>
                </c:pt>
                <c:pt idx="257">
                  <c:v>-24.8</c:v>
                </c:pt>
                <c:pt idx="258">
                  <c:v>-24.8</c:v>
                </c:pt>
                <c:pt idx="259">
                  <c:v>-24.8</c:v>
                </c:pt>
                <c:pt idx="260">
                  <c:v>-24.8</c:v>
                </c:pt>
                <c:pt idx="261">
                  <c:v>-24.8</c:v>
                </c:pt>
                <c:pt idx="262">
                  <c:v>-24.8</c:v>
                </c:pt>
                <c:pt idx="263">
                  <c:v>-24.8</c:v>
                </c:pt>
                <c:pt idx="264">
                  <c:v>-24.8</c:v>
                </c:pt>
                <c:pt idx="265">
                  <c:v>-24.8</c:v>
                </c:pt>
                <c:pt idx="266">
                  <c:v>-24.8</c:v>
                </c:pt>
                <c:pt idx="267">
                  <c:v>-24.8</c:v>
                </c:pt>
                <c:pt idx="268">
                  <c:v>-24.8</c:v>
                </c:pt>
                <c:pt idx="269">
                  <c:v>-24.8</c:v>
                </c:pt>
                <c:pt idx="270">
                  <c:v>-24.8</c:v>
                </c:pt>
                <c:pt idx="271">
                  <c:v>-24.8</c:v>
                </c:pt>
                <c:pt idx="272">
                  <c:v>-24.8</c:v>
                </c:pt>
                <c:pt idx="273">
                  <c:v>-24.8</c:v>
                </c:pt>
                <c:pt idx="274">
                  <c:v>-24.8</c:v>
                </c:pt>
                <c:pt idx="275">
                  <c:v>-24.8</c:v>
                </c:pt>
                <c:pt idx="276">
                  <c:v>-24.8</c:v>
                </c:pt>
                <c:pt idx="277">
                  <c:v>-24.8</c:v>
                </c:pt>
                <c:pt idx="278">
                  <c:v>-24.8</c:v>
                </c:pt>
                <c:pt idx="279">
                  <c:v>-24.8</c:v>
                </c:pt>
                <c:pt idx="280">
                  <c:v>-24.8</c:v>
                </c:pt>
                <c:pt idx="281">
                  <c:v>-24.8</c:v>
                </c:pt>
                <c:pt idx="282">
                  <c:v>-24.8</c:v>
                </c:pt>
                <c:pt idx="283">
                  <c:v>-24.8</c:v>
                </c:pt>
                <c:pt idx="284">
                  <c:v>-24.8</c:v>
                </c:pt>
                <c:pt idx="285">
                  <c:v>-24.8</c:v>
                </c:pt>
                <c:pt idx="286">
                  <c:v>-24.8</c:v>
                </c:pt>
                <c:pt idx="287">
                  <c:v>-24.8</c:v>
                </c:pt>
                <c:pt idx="288">
                  <c:v>-24.8</c:v>
                </c:pt>
                <c:pt idx="289">
                  <c:v>-24.8</c:v>
                </c:pt>
                <c:pt idx="290">
                  <c:v>-24.8</c:v>
                </c:pt>
                <c:pt idx="291">
                  <c:v>-24.8</c:v>
                </c:pt>
                <c:pt idx="292">
                  <c:v>-24.8</c:v>
                </c:pt>
                <c:pt idx="293">
                  <c:v>-24.8</c:v>
                </c:pt>
                <c:pt idx="294">
                  <c:v>-24.8</c:v>
                </c:pt>
                <c:pt idx="295">
                  <c:v>-24.8</c:v>
                </c:pt>
                <c:pt idx="296">
                  <c:v>-24.8</c:v>
                </c:pt>
                <c:pt idx="297">
                  <c:v>-24.8</c:v>
                </c:pt>
                <c:pt idx="298">
                  <c:v>-24.8</c:v>
                </c:pt>
                <c:pt idx="299">
                  <c:v>-24.8</c:v>
                </c:pt>
                <c:pt idx="300">
                  <c:v>-24.8</c:v>
                </c:pt>
                <c:pt idx="301">
                  <c:v>-24.8</c:v>
                </c:pt>
                <c:pt idx="302">
                  <c:v>-24.8</c:v>
                </c:pt>
                <c:pt idx="303">
                  <c:v>-24.8</c:v>
                </c:pt>
                <c:pt idx="304">
                  <c:v>-24.8</c:v>
                </c:pt>
                <c:pt idx="305">
                  <c:v>-24.8</c:v>
                </c:pt>
                <c:pt idx="306">
                  <c:v>-24.8</c:v>
                </c:pt>
                <c:pt idx="307">
                  <c:v>-24.8</c:v>
                </c:pt>
                <c:pt idx="308">
                  <c:v>-24.8</c:v>
                </c:pt>
                <c:pt idx="309">
                  <c:v>-24.8</c:v>
                </c:pt>
                <c:pt idx="310">
                  <c:v>-24.8</c:v>
                </c:pt>
                <c:pt idx="311">
                  <c:v>-24.8</c:v>
                </c:pt>
                <c:pt idx="312">
                  <c:v>-24.8</c:v>
                </c:pt>
                <c:pt idx="313">
                  <c:v>-24.8</c:v>
                </c:pt>
                <c:pt idx="314">
                  <c:v>-24.8</c:v>
                </c:pt>
                <c:pt idx="315">
                  <c:v>-24.8</c:v>
                </c:pt>
                <c:pt idx="316">
                  <c:v>-24.8</c:v>
                </c:pt>
                <c:pt idx="317">
                  <c:v>-24.8</c:v>
                </c:pt>
                <c:pt idx="318">
                  <c:v>-24.8</c:v>
                </c:pt>
                <c:pt idx="319">
                  <c:v>-24.8</c:v>
                </c:pt>
                <c:pt idx="320">
                  <c:v>-24.8</c:v>
                </c:pt>
                <c:pt idx="321">
                  <c:v>-24.8</c:v>
                </c:pt>
                <c:pt idx="322">
                  <c:v>-24.8</c:v>
                </c:pt>
                <c:pt idx="323">
                  <c:v>-24.8</c:v>
                </c:pt>
                <c:pt idx="324">
                  <c:v>-24.8</c:v>
                </c:pt>
                <c:pt idx="325">
                  <c:v>-24.8</c:v>
                </c:pt>
                <c:pt idx="326">
                  <c:v>-24.8</c:v>
                </c:pt>
                <c:pt idx="327">
                  <c:v>-24.8</c:v>
                </c:pt>
                <c:pt idx="328">
                  <c:v>-24.8</c:v>
                </c:pt>
                <c:pt idx="329">
                  <c:v>-24.8</c:v>
                </c:pt>
                <c:pt idx="330">
                  <c:v>-24.8</c:v>
                </c:pt>
                <c:pt idx="331">
                  <c:v>-24.8</c:v>
                </c:pt>
                <c:pt idx="332">
                  <c:v>-24.8</c:v>
                </c:pt>
                <c:pt idx="333">
                  <c:v>-24.8</c:v>
                </c:pt>
                <c:pt idx="334">
                  <c:v>-24.8</c:v>
                </c:pt>
                <c:pt idx="335">
                  <c:v>-24.8</c:v>
                </c:pt>
                <c:pt idx="336">
                  <c:v>-24.8</c:v>
                </c:pt>
                <c:pt idx="337">
                  <c:v>-24.8</c:v>
                </c:pt>
                <c:pt idx="338">
                  <c:v>-24.8</c:v>
                </c:pt>
                <c:pt idx="339">
                  <c:v>-24.8</c:v>
                </c:pt>
                <c:pt idx="340">
                  <c:v>-24.8</c:v>
                </c:pt>
                <c:pt idx="341">
                  <c:v>-24.8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5281387"/>
        <c:axId val="512662415"/>
      </c:lineChart>
      <c:catAx>
        <c:axId val="1052813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662415"/>
        <c:crosses val="autoZero"/>
        <c:auto val="1"/>
        <c:lblAlgn val="ctr"/>
        <c:lblOffset val="100"/>
        <c:noMultiLvlLbl val="0"/>
      </c:catAx>
      <c:valAx>
        <c:axId val="51266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281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A_13_58_43_Pro_20KPa!$K$3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A_13_58_43_Pro_20KPa!$J$4:$J$530</c:f>
              <c:numCache>
                <c:formatCode>0.00_);[Red]\(0.00\)</c:formatCode>
                <c:ptCount val="527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1.671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2.374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2.608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2.842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3.076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3.176</c:v>
                </c:pt>
                <c:pt idx="96" c:formatCode="0.00_);[Red]\(0.00\)">
                  <c:v>3.209</c:v>
                </c:pt>
                <c:pt idx="97" c:formatCode="0.00_);[Red]\(0.00\)">
                  <c:v>3.243</c:v>
                </c:pt>
                <c:pt idx="98" c:formatCode="0.00_);[Red]\(0.00\)">
                  <c:v>3.276</c:v>
                </c:pt>
                <c:pt idx="99" c:formatCode="0.00_);[Red]\(0.00\)">
                  <c:v>3.31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3.41</c:v>
                </c:pt>
                <c:pt idx="103" c:formatCode="0.00_);[Red]\(0.00\)">
                  <c:v>3.443</c:v>
                </c:pt>
                <c:pt idx="104" c:formatCode="0.00_);[Red]\(0.00\)">
                  <c:v>3.477</c:v>
                </c:pt>
                <c:pt idx="105" c:formatCode="0.00_);[Red]\(0.00\)">
                  <c:v>3.51</c:v>
                </c:pt>
                <c:pt idx="106" c:formatCode="0.00_);[Red]\(0.00\)">
                  <c:v>3.544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3.644</c:v>
                </c:pt>
                <c:pt idx="110" c:formatCode="0.00_);[Red]\(0.00\)">
                  <c:v>3.677</c:v>
                </c:pt>
                <c:pt idx="111" c:formatCode="0.00_);[Red]\(0.00\)">
                  <c:v>3.711</c:v>
                </c:pt>
                <c:pt idx="112" c:formatCode="0.00_);[Red]\(0.00\)">
                  <c:v>3.744</c:v>
                </c:pt>
                <c:pt idx="113" c:formatCode="0.00_);[Red]\(0.00\)">
                  <c:v>3.778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3.878</c:v>
                </c:pt>
                <c:pt idx="117" c:formatCode="0.00_);[Red]\(0.00\)">
                  <c:v>3.911</c:v>
                </c:pt>
                <c:pt idx="118" c:formatCode="0.00_);[Red]\(0.00\)">
                  <c:v>3.945</c:v>
                </c:pt>
                <c:pt idx="119" c:formatCode="0.00_);[Red]\(0.00\)">
                  <c:v>3.978</c:v>
                </c:pt>
                <c:pt idx="120" c:formatCode="0.00_);[Red]\(0.00\)">
                  <c:v>4.012</c:v>
                </c:pt>
                <c:pt idx="121" c:formatCode="0.00_);[Red]\(0.00\)">
                  <c:v>4.045</c:v>
                </c:pt>
                <c:pt idx="122" c:formatCode="0.00_);[Red]\(0.00\)">
                  <c:v>4.078</c:v>
                </c:pt>
                <c:pt idx="123" c:formatCode="0.00_);[Red]\(0.00\)">
                  <c:v>4.112</c:v>
                </c:pt>
                <c:pt idx="124" c:formatCode="0.00_);[Red]\(0.00\)">
                  <c:v>4.145</c:v>
                </c:pt>
                <c:pt idx="125" c:formatCode="0.00_);[Red]\(0.00\)">
                  <c:v>4.179</c:v>
                </c:pt>
                <c:pt idx="126" c:formatCode="0.00_);[Red]\(0.00\)">
                  <c:v>4.212</c:v>
                </c:pt>
                <c:pt idx="127" c:formatCode="0.00_);[Red]\(0.00\)">
                  <c:v>4.246</c:v>
                </c:pt>
                <c:pt idx="128" c:formatCode="0.00_);[Red]\(0.00\)">
                  <c:v>4.279</c:v>
                </c:pt>
                <c:pt idx="129" c:formatCode="0.00_);[Red]\(0.00\)">
                  <c:v>4.312</c:v>
                </c:pt>
                <c:pt idx="130" c:formatCode="0.00_);[Red]\(0.00\)">
                  <c:v>4.346</c:v>
                </c:pt>
                <c:pt idx="131" c:formatCode="0.00_);[Red]\(0.00\)">
                  <c:v>4.379</c:v>
                </c:pt>
                <c:pt idx="132" c:formatCode="0.00_);[Red]\(0.00\)">
                  <c:v>4.413</c:v>
                </c:pt>
                <c:pt idx="133" c:formatCode="0.00_);[Red]\(0.00\)">
                  <c:v>4.446</c:v>
                </c:pt>
                <c:pt idx="134" c:formatCode="0.00_);[Red]\(0.00\)">
                  <c:v>4.48</c:v>
                </c:pt>
                <c:pt idx="135" c:formatCode="0.00_);[Red]\(0.00\)">
                  <c:v>4.513</c:v>
                </c:pt>
                <c:pt idx="136" c:formatCode="0.00_);[Red]\(0.00\)">
                  <c:v>4.546</c:v>
                </c:pt>
                <c:pt idx="137" c:formatCode="0.00_);[Red]\(0.00\)">
                  <c:v>4.58</c:v>
                </c:pt>
                <c:pt idx="138" c:formatCode="0.00_);[Red]\(0.00\)">
                  <c:v>4.613</c:v>
                </c:pt>
                <c:pt idx="139" c:formatCode="0.00_);[Red]\(0.00\)">
                  <c:v>4.647</c:v>
                </c:pt>
                <c:pt idx="140" c:formatCode="0.00_);[Red]\(0.00\)">
                  <c:v>4.68</c:v>
                </c:pt>
                <c:pt idx="141" c:formatCode="0.00_);[Red]\(0.00\)">
                  <c:v>4.714</c:v>
                </c:pt>
                <c:pt idx="142" c:formatCode="0.00_);[Red]\(0.00\)">
                  <c:v>4.747</c:v>
                </c:pt>
                <c:pt idx="143" c:formatCode="0.00_);[Red]\(0.00\)">
                  <c:v>4.78</c:v>
                </c:pt>
                <c:pt idx="144" c:formatCode="0.00_);[Red]\(0.00\)">
                  <c:v>4.814</c:v>
                </c:pt>
                <c:pt idx="145" c:formatCode="0.00_);[Red]\(0.00\)">
                  <c:v>4.847</c:v>
                </c:pt>
                <c:pt idx="146" c:formatCode="0.00_);[Red]\(0.00\)">
                  <c:v>4.881</c:v>
                </c:pt>
                <c:pt idx="147" c:formatCode="0.00_);[Red]\(0.00\)">
                  <c:v>4.914</c:v>
                </c:pt>
                <c:pt idx="148" c:formatCode="0.00_);[Red]\(0.00\)">
                  <c:v>4.948</c:v>
                </c:pt>
                <c:pt idx="149" c:formatCode="0.00_);[Red]\(0.00\)">
                  <c:v>4.981</c:v>
                </c:pt>
                <c:pt idx="150" c:formatCode="0.00_);[Red]\(0.00\)">
                  <c:v>5.014</c:v>
                </c:pt>
                <c:pt idx="151" c:formatCode="0.00_);[Red]\(0.00\)">
                  <c:v>5.048</c:v>
                </c:pt>
                <c:pt idx="152" c:formatCode="0.00_);[Red]\(0.00\)">
                  <c:v>5.081</c:v>
                </c:pt>
                <c:pt idx="153" c:formatCode="0.00_);[Red]\(0.00\)">
                  <c:v>5.115</c:v>
                </c:pt>
                <c:pt idx="154" c:formatCode="0.00_);[Red]\(0.00\)">
                  <c:v>5.148</c:v>
                </c:pt>
                <c:pt idx="155" c:formatCode="0.00_);[Red]\(0.00\)">
                  <c:v>5.182</c:v>
                </c:pt>
                <c:pt idx="156" c:formatCode="0.00_);[Red]\(0.00\)">
                  <c:v>5.215</c:v>
                </c:pt>
                <c:pt idx="157" c:formatCode="0.00_);[Red]\(0.00\)">
                  <c:v>5.248</c:v>
                </c:pt>
                <c:pt idx="158" c:formatCode="0.00_);[Red]\(0.00\)">
                  <c:v>5.282</c:v>
                </c:pt>
                <c:pt idx="159" c:formatCode="0.00_);[Red]\(0.00\)">
                  <c:v>5.315</c:v>
                </c:pt>
                <c:pt idx="160" c:formatCode="0.00_);[Red]\(0.00\)">
                  <c:v>5.349</c:v>
                </c:pt>
                <c:pt idx="161" c:formatCode="0.00_);[Red]\(0.00\)">
                  <c:v>5.382</c:v>
                </c:pt>
                <c:pt idx="162" c:formatCode="0.00_);[Red]\(0.00\)">
                  <c:v>5.416</c:v>
                </c:pt>
                <c:pt idx="163" c:formatCode="0.00_);[Red]\(0.00\)">
                  <c:v>5.449</c:v>
                </c:pt>
                <c:pt idx="164" c:formatCode="0.00_);[Red]\(0.00\)">
                  <c:v>5.483</c:v>
                </c:pt>
                <c:pt idx="165" c:formatCode="0.00_);[Red]\(0.00\)">
                  <c:v>5.516</c:v>
                </c:pt>
                <c:pt idx="166" c:formatCode="0.00_);[Red]\(0.00\)">
                  <c:v>5.549</c:v>
                </c:pt>
                <c:pt idx="167" c:formatCode="0.00_);[Red]\(0.00\)">
                  <c:v>5.583</c:v>
                </c:pt>
                <c:pt idx="168" c:formatCode="0.00_);[Red]\(0.00\)">
                  <c:v>5.616</c:v>
                </c:pt>
                <c:pt idx="169" c:formatCode="0.00_);[Red]\(0.00\)">
                  <c:v>5.65</c:v>
                </c:pt>
                <c:pt idx="170" c:formatCode="0.00_);[Red]\(0.00\)">
                  <c:v>5.683</c:v>
                </c:pt>
                <c:pt idx="171" c:formatCode="0.00_);[Red]\(0.00\)">
                  <c:v>5.717</c:v>
                </c:pt>
                <c:pt idx="172" c:formatCode="0.00_);[Red]\(0.00\)">
                  <c:v>5.75</c:v>
                </c:pt>
                <c:pt idx="173" c:formatCode="0.00_);[Red]\(0.00\)">
                  <c:v>5.783</c:v>
                </c:pt>
                <c:pt idx="174" c:formatCode="0.00_);[Red]\(0.00\)">
                  <c:v>5.817</c:v>
                </c:pt>
                <c:pt idx="175" c:formatCode="0.00_);[Red]\(0.00\)">
                  <c:v>5.85</c:v>
                </c:pt>
                <c:pt idx="176" c:formatCode="0.00_);[Red]\(0.00\)">
                  <c:v>5.884</c:v>
                </c:pt>
                <c:pt idx="177" c:formatCode="0.00_);[Red]\(0.00\)">
                  <c:v>5.917</c:v>
                </c:pt>
                <c:pt idx="178" c:formatCode="0.00_);[Red]\(0.00\)">
                  <c:v>5.951</c:v>
                </c:pt>
                <c:pt idx="179" c:formatCode="0.00_);[Red]\(0.00\)">
                  <c:v>5.984</c:v>
                </c:pt>
                <c:pt idx="180" c:formatCode="0.00_);[Red]\(0.00\)">
                  <c:v>6.017</c:v>
                </c:pt>
                <c:pt idx="181" c:formatCode="0.00_);[Red]\(0.00\)">
                  <c:v>6.051</c:v>
                </c:pt>
                <c:pt idx="182" c:formatCode="0.00_);[Red]\(0.00\)">
                  <c:v>6.084</c:v>
                </c:pt>
                <c:pt idx="183" c:formatCode="0.00_);[Red]\(0.00\)">
                  <c:v>6.118</c:v>
                </c:pt>
                <c:pt idx="184" c:formatCode="0.00_);[Red]\(0.00\)">
                  <c:v>6.151</c:v>
                </c:pt>
                <c:pt idx="185" c:formatCode="0.00_);[Red]\(0.00\)">
                  <c:v>6.185</c:v>
                </c:pt>
                <c:pt idx="186" c:formatCode="0.00_);[Red]\(0.00\)">
                  <c:v>6.218</c:v>
                </c:pt>
                <c:pt idx="187" c:formatCode="0.00_);[Red]\(0.00\)">
                  <c:v>6.251</c:v>
                </c:pt>
                <c:pt idx="188" c:formatCode="0.00_);[Red]\(0.00\)">
                  <c:v>6.285</c:v>
                </c:pt>
                <c:pt idx="189" c:formatCode="0.00_);[Red]\(0.00\)">
                  <c:v>6.318</c:v>
                </c:pt>
                <c:pt idx="190" c:formatCode="0.00_);[Red]\(0.00\)">
                  <c:v>6.352</c:v>
                </c:pt>
                <c:pt idx="191" c:formatCode="0.00_);[Red]\(0.00\)">
                  <c:v>6.385</c:v>
                </c:pt>
                <c:pt idx="192" c:formatCode="0.00_);[Red]\(0.00\)">
                  <c:v>6.419</c:v>
                </c:pt>
                <c:pt idx="193" c:formatCode="0.00_);[Red]\(0.00\)">
                  <c:v>6.452</c:v>
                </c:pt>
                <c:pt idx="194" c:formatCode="0.00_);[Red]\(0.00\)">
                  <c:v>6.485</c:v>
                </c:pt>
                <c:pt idx="195" c:formatCode="0.00_);[Red]\(0.00\)">
                  <c:v>6.519</c:v>
                </c:pt>
                <c:pt idx="196" c:formatCode="0.00_);[Red]\(0.00\)">
                  <c:v>6.552</c:v>
                </c:pt>
                <c:pt idx="197" c:formatCode="0.00_);[Red]\(0.00\)">
                  <c:v>6.586</c:v>
                </c:pt>
                <c:pt idx="198" c:formatCode="0.00_);[Red]\(0.00\)">
                  <c:v>6.619</c:v>
                </c:pt>
                <c:pt idx="199" c:formatCode="0.00_);[Red]\(0.00\)">
                  <c:v>6.653</c:v>
                </c:pt>
                <c:pt idx="200" c:formatCode="0.00_);[Red]\(0.00\)">
                  <c:v>6.686</c:v>
                </c:pt>
                <c:pt idx="201" c:formatCode="0.00_);[Red]\(0.00\)">
                  <c:v>6.719</c:v>
                </c:pt>
                <c:pt idx="202" c:formatCode="0.00_);[Red]\(0.00\)">
                  <c:v>6.753</c:v>
                </c:pt>
                <c:pt idx="203" c:formatCode="0.00_);[Red]\(0.00\)">
                  <c:v>6.786</c:v>
                </c:pt>
                <c:pt idx="204" c:formatCode="0.00_);[Red]\(0.00\)">
                  <c:v>6.82</c:v>
                </c:pt>
                <c:pt idx="205" c:formatCode="0.00_);[Red]\(0.00\)">
                  <c:v>6.853</c:v>
                </c:pt>
                <c:pt idx="206" c:formatCode="0.00_);[Red]\(0.00\)">
                  <c:v>6.887</c:v>
                </c:pt>
                <c:pt idx="207" c:formatCode="0.00_);[Red]\(0.00\)">
                  <c:v>6.92</c:v>
                </c:pt>
                <c:pt idx="208" c:formatCode="0.00_);[Red]\(0.00\)">
                  <c:v>6.953</c:v>
                </c:pt>
                <c:pt idx="209" c:formatCode="0.00_);[Red]\(0.00\)">
                  <c:v>6.987</c:v>
                </c:pt>
                <c:pt idx="210" c:formatCode="0.00_);[Red]\(0.00\)">
                  <c:v>7.02</c:v>
                </c:pt>
                <c:pt idx="211" c:formatCode="0.00_);[Red]\(0.00\)">
                  <c:v>7.054</c:v>
                </c:pt>
                <c:pt idx="212" c:formatCode="0.00_);[Red]\(0.00\)">
                  <c:v>7.087</c:v>
                </c:pt>
                <c:pt idx="213" c:formatCode="0.00_);[Red]\(0.00\)">
                  <c:v>7.121</c:v>
                </c:pt>
                <c:pt idx="214" c:formatCode="0.00_);[Red]\(0.00\)">
                  <c:v>7.154</c:v>
                </c:pt>
                <c:pt idx="215" c:formatCode="0.00_);[Red]\(0.00\)">
                  <c:v>7.187</c:v>
                </c:pt>
                <c:pt idx="216" c:formatCode="0.00_);[Red]\(0.00\)">
                  <c:v>7.221</c:v>
                </c:pt>
                <c:pt idx="217" c:formatCode="0.00_);[Red]\(0.00\)">
                  <c:v>7.254</c:v>
                </c:pt>
                <c:pt idx="218" c:formatCode="0.00_);[Red]\(0.00\)">
                  <c:v>7.288</c:v>
                </c:pt>
                <c:pt idx="219" c:formatCode="0.00_);[Red]\(0.00\)">
                  <c:v>7.321</c:v>
                </c:pt>
                <c:pt idx="220" c:formatCode="0.00_);[Red]\(0.00\)">
                  <c:v>7.355</c:v>
                </c:pt>
                <c:pt idx="221" c:formatCode="0.00_);[Red]\(0.00\)">
                  <c:v>7.388</c:v>
                </c:pt>
                <c:pt idx="222" c:formatCode="0.00_);[Red]\(0.00\)">
                  <c:v>7.421</c:v>
                </c:pt>
                <c:pt idx="223" c:formatCode="0.00_);[Red]\(0.00\)">
                  <c:v>7.455</c:v>
                </c:pt>
                <c:pt idx="224" c:formatCode="0.00_);[Red]\(0.00\)">
                  <c:v>7.488</c:v>
                </c:pt>
                <c:pt idx="225" c:formatCode="0.00_);[Red]\(0.00\)">
                  <c:v>7.522</c:v>
                </c:pt>
                <c:pt idx="226" c:formatCode="0.00_);[Red]\(0.00\)">
                  <c:v>7.555</c:v>
                </c:pt>
                <c:pt idx="227" c:formatCode="0.00_);[Red]\(0.00\)">
                  <c:v>7.589</c:v>
                </c:pt>
                <c:pt idx="228" c:formatCode="0.00_);[Red]\(0.00\)">
                  <c:v>7.622</c:v>
                </c:pt>
                <c:pt idx="229" c:formatCode="0.00_);[Red]\(0.00\)">
                  <c:v>7.655</c:v>
                </c:pt>
                <c:pt idx="230" c:formatCode="0.00_);[Red]\(0.00\)">
                  <c:v>7.689</c:v>
                </c:pt>
                <c:pt idx="231" c:formatCode="0.00_);[Red]\(0.00\)">
                  <c:v>7.722</c:v>
                </c:pt>
                <c:pt idx="232" c:formatCode="0.00_);[Red]\(0.00\)">
                  <c:v>7.756</c:v>
                </c:pt>
                <c:pt idx="233" c:formatCode="0.00_);[Red]\(0.00\)">
                  <c:v>7.789</c:v>
                </c:pt>
                <c:pt idx="234" c:formatCode="0.00_);[Red]\(0.00\)">
                  <c:v>7.823</c:v>
                </c:pt>
                <c:pt idx="235" c:formatCode="0.00_);[Red]\(0.00\)">
                  <c:v>7.856</c:v>
                </c:pt>
                <c:pt idx="236" c:formatCode="0.00_);[Red]\(0.00\)">
                  <c:v>7.889</c:v>
                </c:pt>
                <c:pt idx="237" c:formatCode="0.00_);[Red]\(0.00\)">
                  <c:v>7.923</c:v>
                </c:pt>
                <c:pt idx="238" c:formatCode="0.00_);[Red]\(0.00\)">
                  <c:v>7.956</c:v>
                </c:pt>
                <c:pt idx="239" c:formatCode="0.00_);[Red]\(0.00\)">
                  <c:v>7.99</c:v>
                </c:pt>
                <c:pt idx="240" c:formatCode="0.00_);[Red]\(0.00\)">
                  <c:v>8.023</c:v>
                </c:pt>
                <c:pt idx="241" c:formatCode="0.00_);[Red]\(0.00\)">
                  <c:v>8.057</c:v>
                </c:pt>
                <c:pt idx="242" c:formatCode="0.00_);[Red]\(0.00\)">
                  <c:v>8.09</c:v>
                </c:pt>
                <c:pt idx="243" c:formatCode="0.00_);[Red]\(0.00\)">
                  <c:v>8.123</c:v>
                </c:pt>
                <c:pt idx="244" c:formatCode="0.00_);[Red]\(0.00\)">
                  <c:v>8.157</c:v>
                </c:pt>
                <c:pt idx="245" c:formatCode="0.00_);[Red]\(0.00\)">
                  <c:v>8.19</c:v>
                </c:pt>
                <c:pt idx="246" c:formatCode="0.00_);[Red]\(0.00\)">
                  <c:v>8.224</c:v>
                </c:pt>
                <c:pt idx="247" c:formatCode="0.00_);[Red]\(0.00\)">
                  <c:v>8.257</c:v>
                </c:pt>
                <c:pt idx="248" c:formatCode="0.00_);[Red]\(0.00\)">
                  <c:v>8.291</c:v>
                </c:pt>
                <c:pt idx="249" c:formatCode="0.00_);[Red]\(0.00\)">
                  <c:v>8.324</c:v>
                </c:pt>
                <c:pt idx="250" c:formatCode="0.00_);[Red]\(0.00\)">
                  <c:v>8.357</c:v>
                </c:pt>
                <c:pt idx="251" c:formatCode="0.00_);[Red]\(0.00\)">
                  <c:v>8.391</c:v>
                </c:pt>
                <c:pt idx="252" c:formatCode="0.00_);[Red]\(0.00\)">
                  <c:v>8.424</c:v>
                </c:pt>
                <c:pt idx="253" c:formatCode="0.00_);[Red]\(0.00\)">
                  <c:v>8.458</c:v>
                </c:pt>
                <c:pt idx="254" c:formatCode="0.00_);[Red]\(0.00\)">
                  <c:v>8.491</c:v>
                </c:pt>
                <c:pt idx="255" c:formatCode="0.00_);[Red]\(0.00\)">
                  <c:v>8.525</c:v>
                </c:pt>
                <c:pt idx="256" c:formatCode="0.00_);[Red]\(0.00\)">
                  <c:v>8.558</c:v>
                </c:pt>
                <c:pt idx="257" c:formatCode="0.00_);[Red]\(0.00\)">
                  <c:v>8.591</c:v>
                </c:pt>
                <c:pt idx="258" c:formatCode="0.00_);[Red]\(0.00\)">
                  <c:v>8.625</c:v>
                </c:pt>
                <c:pt idx="259" c:formatCode="0.00_);[Red]\(0.00\)">
                  <c:v>8.658</c:v>
                </c:pt>
                <c:pt idx="260" c:formatCode="0.00_);[Red]\(0.00\)">
                  <c:v>8.692</c:v>
                </c:pt>
                <c:pt idx="261" c:formatCode="0.00_);[Red]\(0.00\)">
                  <c:v>8.725</c:v>
                </c:pt>
                <c:pt idx="262" c:formatCode="0.00_);[Red]\(0.00\)">
                  <c:v>8.759</c:v>
                </c:pt>
                <c:pt idx="263" c:formatCode="0.00_);[Red]\(0.00\)">
                  <c:v>8.792</c:v>
                </c:pt>
                <c:pt idx="264" c:formatCode="0.00_);[Red]\(0.00\)">
                  <c:v>8.825</c:v>
                </c:pt>
                <c:pt idx="265" c:formatCode="0.00_);[Red]\(0.00\)">
                  <c:v>8.859</c:v>
                </c:pt>
                <c:pt idx="266" c:formatCode="0.00_);[Red]\(0.00\)">
                  <c:v>8.892</c:v>
                </c:pt>
                <c:pt idx="267" c:formatCode="0.00_);[Red]\(0.00\)">
                  <c:v>8.926</c:v>
                </c:pt>
                <c:pt idx="268" c:formatCode="0.00_);[Red]\(0.00\)">
                  <c:v>8.959</c:v>
                </c:pt>
                <c:pt idx="269" c:formatCode="0.00_);[Red]\(0.00\)">
                  <c:v>8.993</c:v>
                </c:pt>
                <c:pt idx="270" c:formatCode="0.00_);[Red]\(0.00\)">
                  <c:v>9.026</c:v>
                </c:pt>
                <c:pt idx="271" c:formatCode="0.00_);[Red]\(0.00\)">
                  <c:v>9.06</c:v>
                </c:pt>
                <c:pt idx="272" c:formatCode="0.00_);[Red]\(0.00\)">
                  <c:v>9.093</c:v>
                </c:pt>
                <c:pt idx="273" c:formatCode="0.00_);[Red]\(0.00\)">
                  <c:v>9.126</c:v>
                </c:pt>
                <c:pt idx="274" c:formatCode="0.00_);[Red]\(0.00\)">
                  <c:v>9.16</c:v>
                </c:pt>
                <c:pt idx="275" c:formatCode="0.00_);[Red]\(0.00\)">
                  <c:v>9.193</c:v>
                </c:pt>
                <c:pt idx="276" c:formatCode="0.00_);[Red]\(0.00\)">
                  <c:v>9.227</c:v>
                </c:pt>
                <c:pt idx="277" c:formatCode="0.00_);[Red]\(0.00\)">
                  <c:v>9.26</c:v>
                </c:pt>
                <c:pt idx="278" c:formatCode="0.00_);[Red]\(0.00\)">
                  <c:v>9.294</c:v>
                </c:pt>
                <c:pt idx="279" c:formatCode="0.00_);[Red]\(0.00\)">
                  <c:v>9.327</c:v>
                </c:pt>
                <c:pt idx="280" c:formatCode="0.00_);[Red]\(0.00\)">
                  <c:v>9.36</c:v>
                </c:pt>
                <c:pt idx="281" c:formatCode="0.00_);[Red]\(0.00\)">
                  <c:v>9.394</c:v>
                </c:pt>
                <c:pt idx="282" c:formatCode="0.00_);[Red]\(0.00\)">
                  <c:v>9.427</c:v>
                </c:pt>
                <c:pt idx="283" c:formatCode="0.00_);[Red]\(0.00\)">
                  <c:v>9.461</c:v>
                </c:pt>
                <c:pt idx="284" c:formatCode="0.00_);[Red]\(0.00\)">
                  <c:v>9.494</c:v>
                </c:pt>
                <c:pt idx="285" c:formatCode="0.00_);[Red]\(0.00\)">
                  <c:v>9.528</c:v>
                </c:pt>
                <c:pt idx="286" c:formatCode="0.00_);[Red]\(0.00\)">
                  <c:v>9.561</c:v>
                </c:pt>
                <c:pt idx="287" c:formatCode="0.00_);[Red]\(0.00\)">
                  <c:v>9.594</c:v>
                </c:pt>
                <c:pt idx="288" c:formatCode="0.00_);[Red]\(0.00\)">
                  <c:v>9.628</c:v>
                </c:pt>
                <c:pt idx="289" c:formatCode="0.00_);[Red]\(0.00\)">
                  <c:v>9.661</c:v>
                </c:pt>
                <c:pt idx="290" c:formatCode="0.00_);[Red]\(0.00\)">
                  <c:v>9.695</c:v>
                </c:pt>
                <c:pt idx="291" c:formatCode="0.00_);[Red]\(0.00\)">
                  <c:v>9.728</c:v>
                </c:pt>
                <c:pt idx="292" c:formatCode="0.00_);[Red]\(0.00\)">
                  <c:v>9.762</c:v>
                </c:pt>
                <c:pt idx="293" c:formatCode="0.00_);[Red]\(0.00\)">
                  <c:v>9.795</c:v>
                </c:pt>
                <c:pt idx="294" c:formatCode="0.00_);[Red]\(0.00\)">
                  <c:v>9.828</c:v>
                </c:pt>
                <c:pt idx="295" c:formatCode="0.00_);[Red]\(0.00\)">
                  <c:v>9.862</c:v>
                </c:pt>
                <c:pt idx="296" c:formatCode="0.00_);[Red]\(0.00\)">
                  <c:v>9.895</c:v>
                </c:pt>
                <c:pt idx="297" c:formatCode="0.00_);[Red]\(0.00\)">
                  <c:v>9.929</c:v>
                </c:pt>
                <c:pt idx="298" c:formatCode="0.00_);[Red]\(0.00\)">
                  <c:v>9.962</c:v>
                </c:pt>
                <c:pt idx="299" c:formatCode="0.00_);[Red]\(0.00\)">
                  <c:v>9.996</c:v>
                </c:pt>
                <c:pt idx="300" c:formatCode="0.00_);[Red]\(0.00\)">
                  <c:v>10.029</c:v>
                </c:pt>
                <c:pt idx="301" c:formatCode="0.00_);[Red]\(0.00\)">
                  <c:v>10.062</c:v>
                </c:pt>
                <c:pt idx="302" c:formatCode="0.00_);[Red]\(0.00\)">
                  <c:v>10.096</c:v>
                </c:pt>
                <c:pt idx="303" c:formatCode="0.00_);[Red]\(0.00\)">
                  <c:v>10.129</c:v>
                </c:pt>
                <c:pt idx="304" c:formatCode="0.00_);[Red]\(0.00\)">
                  <c:v>10.163</c:v>
                </c:pt>
                <c:pt idx="305" c:formatCode="0.00_);[Red]\(0.00\)">
                  <c:v>10.196</c:v>
                </c:pt>
                <c:pt idx="306" c:formatCode="0.00_);[Red]\(0.00\)">
                  <c:v>10.23</c:v>
                </c:pt>
                <c:pt idx="307" c:formatCode="0.00_);[Red]\(0.00\)">
                  <c:v>10.263</c:v>
                </c:pt>
                <c:pt idx="308" c:formatCode="0.00_);[Red]\(0.00\)">
                  <c:v>10.296</c:v>
                </c:pt>
                <c:pt idx="309" c:formatCode="0.00_);[Red]\(0.00\)">
                  <c:v>10.33</c:v>
                </c:pt>
                <c:pt idx="310" c:formatCode="0.00_);[Red]\(0.00\)">
                  <c:v>10.363</c:v>
                </c:pt>
                <c:pt idx="311" c:formatCode="0.00_);[Red]\(0.00\)">
                  <c:v>10.397</c:v>
                </c:pt>
                <c:pt idx="312" c:formatCode="0.00_);[Red]\(0.00\)">
                  <c:v>10.43</c:v>
                </c:pt>
                <c:pt idx="313" c:formatCode="0.00_);[Red]\(0.00\)">
                  <c:v>10.464</c:v>
                </c:pt>
                <c:pt idx="314" c:formatCode="0.00_);[Red]\(0.00\)">
                  <c:v>10.497</c:v>
                </c:pt>
                <c:pt idx="315" c:formatCode="0.00_);[Red]\(0.00\)">
                  <c:v>10.53</c:v>
                </c:pt>
                <c:pt idx="316" c:formatCode="0.00_);[Red]\(0.00\)">
                  <c:v>10.564</c:v>
                </c:pt>
                <c:pt idx="317" c:formatCode="0.00_);[Red]\(0.00\)">
                  <c:v>10.597</c:v>
                </c:pt>
                <c:pt idx="318" c:formatCode="0.00_);[Red]\(0.00\)">
                  <c:v>10.631</c:v>
                </c:pt>
                <c:pt idx="319" c:formatCode="0.00_);[Red]\(0.00\)">
                  <c:v>10.664</c:v>
                </c:pt>
                <c:pt idx="320" c:formatCode="0.00_);[Red]\(0.00\)">
                  <c:v>10.698</c:v>
                </c:pt>
                <c:pt idx="321" c:formatCode="0.00_);[Red]\(0.00\)">
                  <c:v>10.731</c:v>
                </c:pt>
                <c:pt idx="322" c:formatCode="0.00_);[Red]\(0.00\)">
                  <c:v>10.764</c:v>
                </c:pt>
                <c:pt idx="323" c:formatCode="0.00_);[Red]\(0.00\)">
                  <c:v>10.798</c:v>
                </c:pt>
                <c:pt idx="324" c:formatCode="0.00_);[Red]\(0.00\)">
                  <c:v>10.831</c:v>
                </c:pt>
                <c:pt idx="325" c:formatCode="0.00_);[Red]\(0.00\)">
                  <c:v>10.865</c:v>
                </c:pt>
                <c:pt idx="326" c:formatCode="0.00_);[Red]\(0.00\)">
                  <c:v>10.898</c:v>
                </c:pt>
                <c:pt idx="327" c:formatCode="0.00_);[Red]\(0.00\)">
                  <c:v>10.932</c:v>
                </c:pt>
                <c:pt idx="328" c:formatCode="0.00_);[Red]\(0.00\)">
                  <c:v>10.965</c:v>
                </c:pt>
                <c:pt idx="329" c:formatCode="0.00_);[Red]\(0.00\)">
                  <c:v>10.998</c:v>
                </c:pt>
                <c:pt idx="330" c:formatCode="0.00_);[Red]\(0.00\)">
                  <c:v>11.032</c:v>
                </c:pt>
                <c:pt idx="331" c:formatCode="0.00_);[Red]\(0.00\)">
                  <c:v>11.065</c:v>
                </c:pt>
                <c:pt idx="332" c:formatCode="0.00_);[Red]\(0.00\)">
                  <c:v>11.099</c:v>
                </c:pt>
                <c:pt idx="333" c:formatCode="0.00_);[Red]\(0.00\)">
                  <c:v>11.132</c:v>
                </c:pt>
                <c:pt idx="334" c:formatCode="0.00_);[Red]\(0.00\)">
                  <c:v>11.166</c:v>
                </c:pt>
                <c:pt idx="335" c:formatCode="0.00_);[Red]\(0.00\)">
                  <c:v>11.199</c:v>
                </c:pt>
                <c:pt idx="336" c:formatCode="0.00_);[Red]\(0.00\)">
                  <c:v>11.232</c:v>
                </c:pt>
                <c:pt idx="337" c:formatCode="0.00_);[Red]\(0.00\)">
                  <c:v>11.266</c:v>
                </c:pt>
                <c:pt idx="338" c:formatCode="0.00_);[Red]\(0.00\)">
                  <c:v>11.299</c:v>
                </c:pt>
                <c:pt idx="339" c:formatCode="0.00_);[Red]\(0.00\)">
                  <c:v>11.333</c:v>
                </c:pt>
                <c:pt idx="340" c:formatCode="0.00_);[Red]\(0.00\)">
                  <c:v>11.366</c:v>
                </c:pt>
                <c:pt idx="341" c:formatCode="0.00_);[Red]\(0.00\)">
                  <c:v>11.4</c:v>
                </c:pt>
                <c:pt idx="342" c:formatCode="0.00_);[Red]\(0.00\)">
                  <c:v>11.433</c:v>
                </c:pt>
                <c:pt idx="343" c:formatCode="0.00_);[Red]\(0.00\)">
                  <c:v>11.466</c:v>
                </c:pt>
                <c:pt idx="344" c:formatCode="0.00_);[Red]\(0.00\)">
                  <c:v>11.5</c:v>
                </c:pt>
                <c:pt idx="345" c:formatCode="0.00_);[Red]\(0.00\)">
                  <c:v>11.533</c:v>
                </c:pt>
                <c:pt idx="346" c:formatCode="0.00_);[Red]\(0.00\)">
                  <c:v>11.567</c:v>
                </c:pt>
                <c:pt idx="347" c:formatCode="0.00_);[Red]\(0.00\)">
                  <c:v>11.6</c:v>
                </c:pt>
                <c:pt idx="348" c:formatCode="0.00_);[Red]\(0.00\)">
                  <c:v>11.634</c:v>
                </c:pt>
                <c:pt idx="349" c:formatCode="0.00_);[Red]\(0.00\)">
                  <c:v>11.667</c:v>
                </c:pt>
                <c:pt idx="350" c:formatCode="0.00_);[Red]\(0.00\)">
                  <c:v>11.7</c:v>
                </c:pt>
                <c:pt idx="351" c:formatCode="0.00_);[Red]\(0.00\)">
                  <c:v>11.734</c:v>
                </c:pt>
                <c:pt idx="352" c:formatCode="0.00_);[Red]\(0.00\)">
                  <c:v>11.767</c:v>
                </c:pt>
                <c:pt idx="353" c:formatCode="0.00_);[Red]\(0.00\)">
                  <c:v>11.801</c:v>
                </c:pt>
                <c:pt idx="354" c:formatCode="0.00_);[Red]\(0.00\)">
                  <c:v>11.834</c:v>
                </c:pt>
                <c:pt idx="355" c:formatCode="0.00_);[Red]\(0.00\)">
                  <c:v>11.868</c:v>
                </c:pt>
                <c:pt idx="356" c:formatCode="0.00_);[Red]\(0.00\)">
                  <c:v>11.901</c:v>
                </c:pt>
                <c:pt idx="357" c:formatCode="0.00_);[Red]\(0.00\)">
                  <c:v>11.934</c:v>
                </c:pt>
                <c:pt idx="358" c:formatCode="0.00_);[Red]\(0.00\)">
                  <c:v>11.968</c:v>
                </c:pt>
                <c:pt idx="359" c:formatCode="0.00_);[Red]\(0.00\)">
                  <c:v>12.001</c:v>
                </c:pt>
                <c:pt idx="360" c:formatCode="0.00_);[Red]\(0.00\)">
                  <c:v>12.035</c:v>
                </c:pt>
                <c:pt idx="361" c:formatCode="0.00_);[Red]\(0.00\)">
                  <c:v>12.068</c:v>
                </c:pt>
                <c:pt idx="362" c:formatCode="0.00_);[Red]\(0.00\)">
                  <c:v>12.102</c:v>
                </c:pt>
                <c:pt idx="363" c:formatCode="0.00_);[Red]\(0.00\)">
                  <c:v>12.135</c:v>
                </c:pt>
                <c:pt idx="364" c:formatCode="0.00_);[Red]\(0.00\)">
                  <c:v>12.168</c:v>
                </c:pt>
                <c:pt idx="365" c:formatCode="0.00_);[Red]\(0.00\)">
                  <c:v>12.202</c:v>
                </c:pt>
                <c:pt idx="366" c:formatCode="0.00_);[Red]\(0.00\)">
                  <c:v>12.235</c:v>
                </c:pt>
                <c:pt idx="367" c:formatCode="0.00_);[Red]\(0.00\)">
                  <c:v>12.269</c:v>
                </c:pt>
                <c:pt idx="368" c:formatCode="0.00_);[Red]\(0.00\)">
                  <c:v>12.302</c:v>
                </c:pt>
                <c:pt idx="369" c:formatCode="0.00_);[Red]\(0.00\)">
                  <c:v>12.336</c:v>
                </c:pt>
                <c:pt idx="370" c:formatCode="0.00_);[Red]\(0.00\)">
                  <c:v>12.369</c:v>
                </c:pt>
                <c:pt idx="371" c:formatCode="0.00_);[Red]\(0.00\)">
                  <c:v>12.402</c:v>
                </c:pt>
                <c:pt idx="372" c:formatCode="0.00_);[Red]\(0.00\)">
                  <c:v>12.436</c:v>
                </c:pt>
                <c:pt idx="373" c:formatCode="0.00_);[Red]\(0.00\)">
                  <c:v>12.469</c:v>
                </c:pt>
                <c:pt idx="374" c:formatCode="0.00_);[Red]\(0.00\)">
                  <c:v>12.503</c:v>
                </c:pt>
                <c:pt idx="375" c:formatCode="0.00_);[Red]\(0.00\)">
                  <c:v>12.536</c:v>
                </c:pt>
                <c:pt idx="376" c:formatCode="0.00_);[Red]\(0.00\)">
                  <c:v>12.57</c:v>
                </c:pt>
                <c:pt idx="377" c:formatCode="0.00_);[Red]\(0.00\)">
                  <c:v>12.603</c:v>
                </c:pt>
                <c:pt idx="378" c:formatCode="0.00_);[Red]\(0.00\)">
                  <c:v>12.637</c:v>
                </c:pt>
                <c:pt idx="379" c:formatCode="0.00_);[Red]\(0.00\)">
                  <c:v>12.67</c:v>
                </c:pt>
                <c:pt idx="380" c:formatCode="0.00_);[Red]\(0.00\)">
                  <c:v>12.703</c:v>
                </c:pt>
                <c:pt idx="381" c:formatCode="0.00_);[Red]\(0.00\)">
                  <c:v>12.737</c:v>
                </c:pt>
                <c:pt idx="382" c:formatCode="0.00_);[Red]\(0.00\)">
                  <c:v>12.77</c:v>
                </c:pt>
                <c:pt idx="383" c:formatCode="0.00_);[Red]\(0.00\)">
                  <c:v>12.804</c:v>
                </c:pt>
                <c:pt idx="384" c:formatCode="0.00_);[Red]\(0.00\)">
                  <c:v>12.837</c:v>
                </c:pt>
                <c:pt idx="385" c:formatCode="0.00_);[Red]\(0.00\)">
                  <c:v>12.871</c:v>
                </c:pt>
                <c:pt idx="386" c:formatCode="0.00_);[Red]\(0.00\)">
                  <c:v>12.904</c:v>
                </c:pt>
                <c:pt idx="387" c:formatCode="0.00_);[Red]\(0.00\)">
                  <c:v>12.937</c:v>
                </c:pt>
                <c:pt idx="388" c:formatCode="0.00_);[Red]\(0.00\)">
                  <c:v>12.971</c:v>
                </c:pt>
                <c:pt idx="389" c:formatCode="0.00_);[Red]\(0.00\)">
                  <c:v>13.004</c:v>
                </c:pt>
                <c:pt idx="390" c:formatCode="0.00_);[Red]\(0.00\)">
                  <c:v>13.038</c:v>
                </c:pt>
                <c:pt idx="391" c:formatCode="0.00_);[Red]\(0.00\)">
                  <c:v>13.071</c:v>
                </c:pt>
                <c:pt idx="392" c:formatCode="0.00_);[Red]\(0.00\)">
                  <c:v>13.105</c:v>
                </c:pt>
                <c:pt idx="393" c:formatCode="0.00_);[Red]\(0.00\)">
                  <c:v>13.138</c:v>
                </c:pt>
                <c:pt idx="394" c:formatCode="0.00_);[Red]\(0.00\)">
                  <c:v>13.171</c:v>
                </c:pt>
                <c:pt idx="395" c:formatCode="0.00_);[Red]\(0.00\)">
                  <c:v>13.205</c:v>
                </c:pt>
                <c:pt idx="396" c:formatCode="0.00_);[Red]\(0.00\)">
                  <c:v>13.238</c:v>
                </c:pt>
                <c:pt idx="397" c:formatCode="0.00_);[Red]\(0.00\)">
                  <c:v>13.272</c:v>
                </c:pt>
                <c:pt idx="398" c:formatCode="0.00_);[Red]\(0.00\)">
                  <c:v>13.305</c:v>
                </c:pt>
                <c:pt idx="399" c:formatCode="0.00_);[Red]\(0.00\)">
                  <c:v>13.339</c:v>
                </c:pt>
                <c:pt idx="400" c:formatCode="0.00_);[Red]\(0.00\)">
                  <c:v>13.372</c:v>
                </c:pt>
                <c:pt idx="401" c:formatCode="0.00_);[Red]\(0.00\)">
                  <c:v>13.405</c:v>
                </c:pt>
                <c:pt idx="402" c:formatCode="0.00_);[Red]\(0.00\)">
                  <c:v>13.439</c:v>
                </c:pt>
                <c:pt idx="403" c:formatCode="0.00_);[Red]\(0.00\)">
                  <c:v>13.472</c:v>
                </c:pt>
                <c:pt idx="404" c:formatCode="0.00_);[Red]\(0.00\)">
                  <c:v>13.506</c:v>
                </c:pt>
                <c:pt idx="405" c:formatCode="0.00_);[Red]\(0.00\)">
                  <c:v>13.539</c:v>
                </c:pt>
                <c:pt idx="406" c:formatCode="0.00_);[Red]\(0.00\)">
                  <c:v>13.573</c:v>
                </c:pt>
                <c:pt idx="407" c:formatCode="0.00_);[Red]\(0.00\)">
                  <c:v>13.606</c:v>
                </c:pt>
                <c:pt idx="408" c:formatCode="0.00_);[Red]\(0.00\)">
                  <c:v>13.639</c:v>
                </c:pt>
                <c:pt idx="409" c:formatCode="0.00_);[Red]\(0.00\)">
                  <c:v>13.673</c:v>
                </c:pt>
                <c:pt idx="410" c:formatCode="0.00_);[Red]\(0.00\)">
                  <c:v>13.706</c:v>
                </c:pt>
                <c:pt idx="411" c:formatCode="0.00_);[Red]\(0.00\)">
                  <c:v>13.74</c:v>
                </c:pt>
                <c:pt idx="412" c:formatCode="0.00_);[Red]\(0.00\)">
                  <c:v>13.773</c:v>
                </c:pt>
                <c:pt idx="413" c:formatCode="0.00_);[Red]\(0.00\)">
                  <c:v>13.807</c:v>
                </c:pt>
                <c:pt idx="414" c:formatCode="0.00_);[Red]\(0.00\)">
                  <c:v>13.84</c:v>
                </c:pt>
                <c:pt idx="415" c:formatCode="0.00_);[Red]\(0.00\)">
                  <c:v>13.873</c:v>
                </c:pt>
                <c:pt idx="416" c:formatCode="0.00_);[Red]\(0.00\)">
                  <c:v>13.907</c:v>
                </c:pt>
                <c:pt idx="417" c:formatCode="0.00_);[Red]\(0.00\)">
                  <c:v>13.94</c:v>
                </c:pt>
                <c:pt idx="418" c:formatCode="0.00_);[Red]\(0.00\)">
                  <c:v>13.974</c:v>
                </c:pt>
                <c:pt idx="419" c:formatCode="0.00_);[Red]\(0.00\)">
                  <c:v>14.007</c:v>
                </c:pt>
                <c:pt idx="420" c:formatCode="0.00_);[Red]\(0.00\)">
                  <c:v>14.041</c:v>
                </c:pt>
                <c:pt idx="421" c:formatCode="0.00_);[Red]\(0.00\)">
                  <c:v>14.074</c:v>
                </c:pt>
                <c:pt idx="422" c:formatCode="0.00_);[Red]\(0.00\)">
                  <c:v>14.107</c:v>
                </c:pt>
                <c:pt idx="423" c:formatCode="0.00_);[Red]\(0.00\)">
                  <c:v>14.141</c:v>
                </c:pt>
                <c:pt idx="424" c:formatCode="0.00_);[Red]\(0.00\)">
                  <c:v>14.174</c:v>
                </c:pt>
                <c:pt idx="425" c:formatCode="0.00_);[Red]\(0.00\)">
                  <c:v>14.208</c:v>
                </c:pt>
                <c:pt idx="426" c:formatCode="0.00_);[Red]\(0.00\)">
                  <c:v>14.241</c:v>
                </c:pt>
                <c:pt idx="427" c:formatCode="0.00_);[Red]\(0.00\)">
                  <c:v>14.275</c:v>
                </c:pt>
                <c:pt idx="428" c:formatCode="0.00_);[Red]\(0.00\)">
                  <c:v>14.308</c:v>
                </c:pt>
                <c:pt idx="429" c:formatCode="0.00_);[Red]\(0.00\)">
                  <c:v>14.341</c:v>
                </c:pt>
                <c:pt idx="430" c:formatCode="0.00_);[Red]\(0.00\)">
                  <c:v>14.375</c:v>
                </c:pt>
                <c:pt idx="431" c:formatCode="0.00_);[Red]\(0.00\)">
                  <c:v>14.408</c:v>
                </c:pt>
                <c:pt idx="432" c:formatCode="0.00_);[Red]\(0.00\)">
                  <c:v>14.442</c:v>
                </c:pt>
                <c:pt idx="433" c:formatCode="0.00_);[Red]\(0.00\)">
                  <c:v>14.475</c:v>
                </c:pt>
                <c:pt idx="434" c:formatCode="0.00_);[Red]\(0.00\)">
                  <c:v>14.509</c:v>
                </c:pt>
                <c:pt idx="435" c:formatCode="0.00_);[Red]\(0.00\)">
                  <c:v>14.542</c:v>
                </c:pt>
                <c:pt idx="436" c:formatCode="0.00_);[Red]\(0.00\)">
                  <c:v>14.575</c:v>
                </c:pt>
                <c:pt idx="437" c:formatCode="0.00_);[Red]\(0.00\)">
                  <c:v>14.609</c:v>
                </c:pt>
                <c:pt idx="438" c:formatCode="0.00_);[Red]\(0.00\)">
                  <c:v>14.642</c:v>
                </c:pt>
                <c:pt idx="439" c:formatCode="0.00_);[Red]\(0.00\)">
                  <c:v>14.676</c:v>
                </c:pt>
                <c:pt idx="440" c:formatCode="0.00_);[Red]\(0.00\)">
                  <c:v>14.709</c:v>
                </c:pt>
                <c:pt idx="441" c:formatCode="0.00_);[Red]\(0.00\)">
                  <c:v>14.743</c:v>
                </c:pt>
                <c:pt idx="442" c:formatCode="0.00_);[Red]\(0.00\)">
                  <c:v>14.776</c:v>
                </c:pt>
                <c:pt idx="443" c:formatCode="0.00_);[Red]\(0.00\)">
                  <c:v>14.809</c:v>
                </c:pt>
                <c:pt idx="444" c:formatCode="0.00_);[Red]\(0.00\)">
                  <c:v>14.843</c:v>
                </c:pt>
                <c:pt idx="445" c:formatCode="0.00_);[Red]\(0.00\)">
                  <c:v>14.876</c:v>
                </c:pt>
                <c:pt idx="446" c:formatCode="0.00_);[Red]\(0.00\)">
                  <c:v>14.91</c:v>
                </c:pt>
                <c:pt idx="447" c:formatCode="0.00_);[Red]\(0.00\)">
                  <c:v>14.943</c:v>
                </c:pt>
                <c:pt idx="448" c:formatCode="0.00_);[Red]\(0.00\)">
                  <c:v>14.977</c:v>
                </c:pt>
                <c:pt idx="449" c:formatCode="0.00_);[Red]\(0.00\)">
                  <c:v>15.01</c:v>
                </c:pt>
                <c:pt idx="450" c:formatCode="0.00_);[Red]\(0.00\)">
                  <c:v>15.043</c:v>
                </c:pt>
                <c:pt idx="451" c:formatCode="0.00_);[Red]\(0.00\)">
                  <c:v>15.077</c:v>
                </c:pt>
                <c:pt idx="452" c:formatCode="0.00_);[Red]\(0.00\)">
                  <c:v>15.11</c:v>
                </c:pt>
                <c:pt idx="453" c:formatCode="0.00_);[Red]\(0.00\)">
                  <c:v>15.144</c:v>
                </c:pt>
                <c:pt idx="454" c:formatCode="0.00_);[Red]\(0.00\)">
                  <c:v>15.177</c:v>
                </c:pt>
                <c:pt idx="455" c:formatCode="0.00_);[Red]\(0.00\)">
                  <c:v>15.211</c:v>
                </c:pt>
                <c:pt idx="456" c:formatCode="0.00_);[Red]\(0.00\)">
                  <c:v>15.244</c:v>
                </c:pt>
                <c:pt idx="457" c:formatCode="0.00_);[Red]\(0.00\)">
                  <c:v>15.277</c:v>
                </c:pt>
                <c:pt idx="458" c:formatCode="0.00_);[Red]\(0.00\)">
                  <c:v>15.311</c:v>
                </c:pt>
                <c:pt idx="459" c:formatCode="0.00_);[Red]\(0.00\)">
                  <c:v>15.344</c:v>
                </c:pt>
                <c:pt idx="460" c:formatCode="0.00_);[Red]\(0.00\)">
                  <c:v>15.378</c:v>
                </c:pt>
                <c:pt idx="461" c:formatCode="0.00_);[Red]\(0.00\)">
                  <c:v>15.411</c:v>
                </c:pt>
                <c:pt idx="462" c:formatCode="0.00_);[Red]\(0.00\)">
                  <c:v>15.445</c:v>
                </c:pt>
                <c:pt idx="463" c:formatCode="0.00_);[Red]\(0.00\)">
                  <c:v>15.478</c:v>
                </c:pt>
                <c:pt idx="464" c:formatCode="0.00_);[Red]\(0.00\)">
                  <c:v>15.511</c:v>
                </c:pt>
                <c:pt idx="465" c:formatCode="0.00_);[Red]\(0.00\)">
                  <c:v>15.545</c:v>
                </c:pt>
                <c:pt idx="466" c:formatCode="0.00_);[Red]\(0.00\)">
                  <c:v>15.578</c:v>
                </c:pt>
                <c:pt idx="467" c:formatCode="0.00_);[Red]\(0.00\)">
                  <c:v>15.612</c:v>
                </c:pt>
                <c:pt idx="468" c:formatCode="0.00_);[Red]\(0.00\)">
                  <c:v>15.645</c:v>
                </c:pt>
                <c:pt idx="469" c:formatCode="0.00_);[Red]\(0.00\)">
                  <c:v>15.679</c:v>
                </c:pt>
                <c:pt idx="470" c:formatCode="0.00_);[Red]\(0.00\)">
                  <c:v>15.712</c:v>
                </c:pt>
                <c:pt idx="471" c:formatCode="0.00_);[Red]\(0.00\)">
                  <c:v>15.745</c:v>
                </c:pt>
                <c:pt idx="472" c:formatCode="0.00_);[Red]\(0.00\)">
                  <c:v>15.779</c:v>
                </c:pt>
                <c:pt idx="473" c:formatCode="0.00_);[Red]\(0.00\)">
                  <c:v>15.812</c:v>
                </c:pt>
                <c:pt idx="474" c:formatCode="0.00_);[Red]\(0.00\)">
                  <c:v>15.846</c:v>
                </c:pt>
                <c:pt idx="475" c:formatCode="0.00_);[Red]\(0.00\)">
                  <c:v>15.879</c:v>
                </c:pt>
                <c:pt idx="476" c:formatCode="0.00_);[Red]\(0.00\)">
                  <c:v>15.913</c:v>
                </c:pt>
                <c:pt idx="477" c:formatCode="0.00_);[Red]\(0.00\)">
                  <c:v>15.946</c:v>
                </c:pt>
                <c:pt idx="478" c:formatCode="0.00_);[Red]\(0.00\)">
                  <c:v>15.979</c:v>
                </c:pt>
                <c:pt idx="479" c:formatCode="0.00_);[Red]\(0.00\)">
                  <c:v>16.013</c:v>
                </c:pt>
                <c:pt idx="480" c:formatCode="0.00_);[Red]\(0.00\)">
                  <c:v>16.046</c:v>
                </c:pt>
                <c:pt idx="481" c:formatCode="0.00_);[Red]\(0.00\)">
                  <c:v>16.08</c:v>
                </c:pt>
                <c:pt idx="482" c:formatCode="0.00_);[Red]\(0.00\)">
                  <c:v>16.113</c:v>
                </c:pt>
                <c:pt idx="483" c:formatCode="0.00_);[Red]\(0.00\)">
                  <c:v>16.147</c:v>
                </c:pt>
                <c:pt idx="484" c:formatCode="0.00_);[Red]\(0.00\)">
                  <c:v>16.18</c:v>
                </c:pt>
                <c:pt idx="485" c:formatCode="0.00_);[Red]\(0.00\)">
                  <c:v>16.214</c:v>
                </c:pt>
                <c:pt idx="486" c:formatCode="0.00_);[Red]\(0.00\)">
                  <c:v>16.247</c:v>
                </c:pt>
                <c:pt idx="487" c:formatCode="0.00_);[Red]\(0.00\)">
                  <c:v>16.28</c:v>
                </c:pt>
                <c:pt idx="488" c:formatCode="0.00_);[Red]\(0.00\)">
                  <c:v>16.314</c:v>
                </c:pt>
                <c:pt idx="489" c:formatCode="0.00_);[Red]\(0.00\)">
                  <c:v>16.347</c:v>
                </c:pt>
                <c:pt idx="490" c:formatCode="0.00_);[Red]\(0.00\)">
                  <c:v>16.381</c:v>
                </c:pt>
                <c:pt idx="491" c:formatCode="0.00_);[Red]\(0.00\)">
                  <c:v>16.414</c:v>
                </c:pt>
                <c:pt idx="492" c:formatCode="0.00_);[Red]\(0.00\)">
                  <c:v>16.448</c:v>
                </c:pt>
                <c:pt idx="493" c:formatCode="0.00_);[Red]\(0.00\)">
                  <c:v>16.481</c:v>
                </c:pt>
                <c:pt idx="494" c:formatCode="0.00_);[Red]\(0.00\)">
                  <c:v>16.514</c:v>
                </c:pt>
                <c:pt idx="495" c:formatCode="0.00_);[Red]\(0.00\)">
                  <c:v>16.548</c:v>
                </c:pt>
                <c:pt idx="496" c:formatCode="0.00_);[Red]\(0.00\)">
                  <c:v>16.581</c:v>
                </c:pt>
                <c:pt idx="497" c:formatCode="0.00_);[Red]\(0.00\)">
                  <c:v>16.615</c:v>
                </c:pt>
                <c:pt idx="498" c:formatCode="0.00_);[Red]\(0.00\)">
                  <c:v>16.648</c:v>
                </c:pt>
                <c:pt idx="499" c:formatCode="0.00_);[Red]\(0.00\)">
                  <c:v>16.682</c:v>
                </c:pt>
                <c:pt idx="500" c:formatCode="0.00_);[Red]\(0.00\)">
                  <c:v>16.715</c:v>
                </c:pt>
                <c:pt idx="501" c:formatCode="0.00_);[Red]\(0.00\)">
                  <c:v>16.748</c:v>
                </c:pt>
                <c:pt idx="502" c:formatCode="0.00_);[Red]\(0.00\)">
                  <c:v>16.782</c:v>
                </c:pt>
                <c:pt idx="503" c:formatCode="0.00_);[Red]\(0.00\)">
                  <c:v>16.815</c:v>
                </c:pt>
                <c:pt idx="504" c:formatCode="0.00_);[Red]\(0.00\)">
                  <c:v>16.849</c:v>
                </c:pt>
                <c:pt idx="505" c:formatCode="0.00_);[Red]\(0.00\)">
                  <c:v>16.882</c:v>
                </c:pt>
                <c:pt idx="506" c:formatCode="0.00_);[Red]\(0.00\)">
                  <c:v>16.916</c:v>
                </c:pt>
                <c:pt idx="507" c:formatCode="0.00_);[Red]\(0.00\)">
                  <c:v>16.949</c:v>
                </c:pt>
                <c:pt idx="508" c:formatCode="0.00_);[Red]\(0.00\)">
                  <c:v>16.982</c:v>
                </c:pt>
                <c:pt idx="509" c:formatCode="0.00_);[Red]\(0.00\)">
                  <c:v>17.016</c:v>
                </c:pt>
                <c:pt idx="510" c:formatCode="0.00_);[Red]\(0.00\)">
                  <c:v>17.049</c:v>
                </c:pt>
                <c:pt idx="511" c:formatCode="0.00_);[Red]\(0.00\)">
                  <c:v>17.083</c:v>
                </c:pt>
                <c:pt idx="512" c:formatCode="0.00_);[Red]\(0.00\)">
                  <c:v>17.116</c:v>
                </c:pt>
                <c:pt idx="513" c:formatCode="0.00_);[Red]\(0.00\)">
                  <c:v>17.15</c:v>
                </c:pt>
                <c:pt idx="514" c:formatCode="0.00_);[Red]\(0.00\)">
                  <c:v>17.183</c:v>
                </c:pt>
                <c:pt idx="515" c:formatCode="0.00_);[Red]\(0.00\)">
                  <c:v>17.216</c:v>
                </c:pt>
                <c:pt idx="516" c:formatCode="0.00_);[Red]\(0.00\)">
                  <c:v>17.25</c:v>
                </c:pt>
                <c:pt idx="517" c:formatCode="0.00_);[Red]\(0.00\)">
                  <c:v>17.283</c:v>
                </c:pt>
                <c:pt idx="518" c:formatCode="0.00_);[Red]\(0.00\)">
                  <c:v>17.317</c:v>
                </c:pt>
                <c:pt idx="519" c:formatCode="0.00_);[Red]\(0.00\)">
                  <c:v>17.35</c:v>
                </c:pt>
                <c:pt idx="520" c:formatCode="0.00_);[Red]\(0.00\)">
                  <c:v>17.384</c:v>
                </c:pt>
                <c:pt idx="521" c:formatCode="0.00_);[Red]\(0.00\)">
                  <c:v>17.417</c:v>
                </c:pt>
                <c:pt idx="522" c:formatCode="0.00_);[Red]\(0.00\)">
                  <c:v>17.45</c:v>
                </c:pt>
                <c:pt idx="523" c:formatCode="0.00_);[Red]\(0.00\)">
                  <c:v>17.484</c:v>
                </c:pt>
                <c:pt idx="524" c:formatCode="0.00_);[Red]\(0.00\)">
                  <c:v>17.517</c:v>
                </c:pt>
                <c:pt idx="525" c:formatCode="0.00_);[Red]\(0.00\)">
                  <c:v>17.551</c:v>
                </c:pt>
                <c:pt idx="526" c:formatCode="0.00_);[Red]\(0.00\)">
                  <c:v>17.584</c:v>
                </c:pt>
              </c:numCache>
            </c:numRef>
          </c:cat>
          <c:val>
            <c:numRef>
              <c:f>A_13_58_43_Pro_20KPa!$K$4:$K$530</c:f>
              <c:numCache>
                <c:formatCode>0.000_ </c:formatCode>
                <c:ptCount val="527"/>
                <c:pt idx="0">
                  <c:v>0</c:v>
                </c:pt>
                <c:pt idx="1">
                  <c:v>-0.299999999999988</c:v>
                </c:pt>
                <c:pt idx="2">
                  <c:v>-0.299999999999988</c:v>
                </c:pt>
                <c:pt idx="3">
                  <c:v>-0.399999999999984</c:v>
                </c:pt>
                <c:pt idx="4">
                  <c:v>-0.49999999999998</c:v>
                </c:pt>
                <c:pt idx="5">
                  <c:v>-0.60000000000001</c:v>
                </c:pt>
                <c:pt idx="6">
                  <c:v>-0.49999999999998</c:v>
                </c:pt>
                <c:pt idx="7">
                  <c:v>-0.700000000000006</c:v>
                </c:pt>
                <c:pt idx="8">
                  <c:v>-0.700000000000006</c:v>
                </c:pt>
                <c:pt idx="9">
                  <c:v>-0.700000000000006</c:v>
                </c:pt>
                <c:pt idx="10">
                  <c:v>-0.60000000000001</c:v>
                </c:pt>
                <c:pt idx="11">
                  <c:v>-0.60000000000001</c:v>
                </c:pt>
                <c:pt idx="12">
                  <c:v>-0.49999999999998</c:v>
                </c:pt>
                <c:pt idx="13">
                  <c:v>-0.49999999999998</c:v>
                </c:pt>
                <c:pt idx="14">
                  <c:v>-0.399999999999984</c:v>
                </c:pt>
                <c:pt idx="15">
                  <c:v>-0.199999999999992</c:v>
                </c:pt>
                <c:pt idx="16">
                  <c:v>-0.299999999999988</c:v>
                </c:pt>
                <c:pt idx="17">
                  <c:v>-0.199999999999992</c:v>
                </c:pt>
                <c:pt idx="18">
                  <c:v>-0.0999999999999959</c:v>
                </c:pt>
                <c:pt idx="19">
                  <c:v>0</c:v>
                </c:pt>
                <c:pt idx="20">
                  <c:v>0.0999999999999959</c:v>
                </c:pt>
                <c:pt idx="21">
                  <c:v>0.0999999999999959</c:v>
                </c:pt>
                <c:pt idx="22">
                  <c:v>0.300000000000022</c:v>
                </c:pt>
                <c:pt idx="23">
                  <c:v>0.300000000000022</c:v>
                </c:pt>
                <c:pt idx="24">
                  <c:v>0.300000000000022</c:v>
                </c:pt>
                <c:pt idx="25">
                  <c:v>0.400000000000018</c:v>
                </c:pt>
                <c:pt idx="26">
                  <c:v>0.400000000000018</c:v>
                </c:pt>
                <c:pt idx="27">
                  <c:v>0.400000000000018</c:v>
                </c:pt>
                <c:pt idx="28">
                  <c:v>0.400000000000018</c:v>
                </c:pt>
                <c:pt idx="29">
                  <c:v>0.400000000000018</c:v>
                </c:pt>
                <c:pt idx="30">
                  <c:v>0.300000000000022</c:v>
                </c:pt>
                <c:pt idx="31">
                  <c:v>0.300000000000022</c:v>
                </c:pt>
                <c:pt idx="32">
                  <c:v>0.199999999999992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-0.0999999999999959</c:v>
                </c:pt>
                <c:pt idx="37">
                  <c:v>-0.0999999999999959</c:v>
                </c:pt>
                <c:pt idx="38">
                  <c:v>-0.0999999999999959</c:v>
                </c:pt>
                <c:pt idx="39">
                  <c:v>-0.299999999999988</c:v>
                </c:pt>
                <c:pt idx="40">
                  <c:v>-0.399999999999984</c:v>
                </c:pt>
                <c:pt idx="41">
                  <c:v>-0.399999999999984</c:v>
                </c:pt>
                <c:pt idx="42">
                  <c:v>-0.399999999999984</c:v>
                </c:pt>
                <c:pt idx="43">
                  <c:v>-0.399999999999984</c:v>
                </c:pt>
                <c:pt idx="44">
                  <c:v>-0.700000000000006</c:v>
                </c:pt>
                <c:pt idx="45">
                  <c:v>-0.700000000000006</c:v>
                </c:pt>
                <c:pt idx="46">
                  <c:v>-0.700000000000006</c:v>
                </c:pt>
                <c:pt idx="47">
                  <c:v>-0.60000000000001</c:v>
                </c:pt>
                <c:pt idx="48">
                  <c:v>-0.60000000000001</c:v>
                </c:pt>
                <c:pt idx="49">
                  <c:v>-0.700000000000006</c:v>
                </c:pt>
                <c:pt idx="50">
                  <c:v>-0.60000000000001</c:v>
                </c:pt>
                <c:pt idx="51">
                  <c:v>-0.60000000000001</c:v>
                </c:pt>
                <c:pt idx="52">
                  <c:v>-0.49999999999998</c:v>
                </c:pt>
                <c:pt idx="53">
                  <c:v>-0.399999999999984</c:v>
                </c:pt>
                <c:pt idx="54">
                  <c:v>-0.299999999999988</c:v>
                </c:pt>
                <c:pt idx="55">
                  <c:v>-0.199999999999992</c:v>
                </c:pt>
                <c:pt idx="56">
                  <c:v>-0.199999999999992</c:v>
                </c:pt>
                <c:pt idx="57">
                  <c:v>0.0999999999999959</c:v>
                </c:pt>
                <c:pt idx="58">
                  <c:v>0</c:v>
                </c:pt>
                <c:pt idx="59">
                  <c:v>0</c:v>
                </c:pt>
                <c:pt idx="60">
                  <c:v>0.199999999999992</c:v>
                </c:pt>
                <c:pt idx="61">
                  <c:v>0.199999999999992</c:v>
                </c:pt>
                <c:pt idx="62">
                  <c:v>0.199999999999992</c:v>
                </c:pt>
                <c:pt idx="63">
                  <c:v>0.400000000000018</c:v>
                </c:pt>
                <c:pt idx="64">
                  <c:v>0.400000000000018</c:v>
                </c:pt>
                <c:pt idx="65">
                  <c:v>0.400000000000018</c:v>
                </c:pt>
                <c:pt idx="66">
                  <c:v>0.300000000000022</c:v>
                </c:pt>
                <c:pt idx="67">
                  <c:v>0.400000000000018</c:v>
                </c:pt>
                <c:pt idx="68">
                  <c:v>0.400000000000018</c:v>
                </c:pt>
                <c:pt idx="69">
                  <c:v>0.300000000000022</c:v>
                </c:pt>
                <c:pt idx="70">
                  <c:v>0.199999999999992</c:v>
                </c:pt>
                <c:pt idx="71">
                  <c:v>0.300000000000022</c:v>
                </c:pt>
                <c:pt idx="72">
                  <c:v>0.0999999999999959</c:v>
                </c:pt>
                <c:pt idx="73">
                  <c:v>0</c:v>
                </c:pt>
                <c:pt idx="74">
                  <c:v>0</c:v>
                </c:pt>
                <c:pt idx="75">
                  <c:v>-0.0999999999999959</c:v>
                </c:pt>
                <c:pt idx="76">
                  <c:v>0</c:v>
                </c:pt>
                <c:pt idx="77">
                  <c:v>-0.199999999999992</c:v>
                </c:pt>
                <c:pt idx="78">
                  <c:v>-0.299999999999988</c:v>
                </c:pt>
                <c:pt idx="79">
                  <c:v>-0.49999999999998</c:v>
                </c:pt>
                <c:pt idx="80">
                  <c:v>-0.399999999999984</c:v>
                </c:pt>
                <c:pt idx="81">
                  <c:v>-0.60000000000001</c:v>
                </c:pt>
                <c:pt idx="82">
                  <c:v>-0.60000000000001</c:v>
                </c:pt>
                <c:pt idx="83">
                  <c:v>-0.60000000000001</c:v>
                </c:pt>
                <c:pt idx="84">
                  <c:v>-0.60000000000001</c:v>
                </c:pt>
                <c:pt idx="85">
                  <c:v>-0.700000000000006</c:v>
                </c:pt>
                <c:pt idx="86">
                  <c:v>-0.800000000000002</c:v>
                </c:pt>
                <c:pt idx="87">
                  <c:v>-0.800000000000002</c:v>
                </c:pt>
                <c:pt idx="88">
                  <c:v>-0.700000000000006</c:v>
                </c:pt>
                <c:pt idx="89">
                  <c:v>-0.60000000000001</c:v>
                </c:pt>
                <c:pt idx="90">
                  <c:v>-0.60000000000001</c:v>
                </c:pt>
                <c:pt idx="91">
                  <c:v>-0.49999999999998</c:v>
                </c:pt>
                <c:pt idx="92">
                  <c:v>-0.49999999999998</c:v>
                </c:pt>
                <c:pt idx="93">
                  <c:v>-0.299999999999988</c:v>
                </c:pt>
                <c:pt idx="94">
                  <c:v>-0.199999999999992</c:v>
                </c:pt>
                <c:pt idx="95">
                  <c:v>-0.199999999999992</c:v>
                </c:pt>
                <c:pt idx="96">
                  <c:v>-0.0999999999999959</c:v>
                </c:pt>
                <c:pt idx="97">
                  <c:v>0</c:v>
                </c:pt>
                <c:pt idx="98">
                  <c:v>0</c:v>
                </c:pt>
                <c:pt idx="99">
                  <c:v>0.0999999999999959</c:v>
                </c:pt>
                <c:pt idx="100">
                  <c:v>0.199999999999992</c:v>
                </c:pt>
                <c:pt idx="101">
                  <c:v>0.199999999999992</c:v>
                </c:pt>
                <c:pt idx="102">
                  <c:v>0.199999999999992</c:v>
                </c:pt>
                <c:pt idx="103">
                  <c:v>0.400000000000018</c:v>
                </c:pt>
                <c:pt idx="104">
                  <c:v>0.500000000000014</c:v>
                </c:pt>
                <c:pt idx="105">
                  <c:v>0.60000000000001</c:v>
                </c:pt>
                <c:pt idx="106">
                  <c:v>0.60000000000001</c:v>
                </c:pt>
                <c:pt idx="107">
                  <c:v>0.700000000000006</c:v>
                </c:pt>
                <c:pt idx="108">
                  <c:v>0.800000000000002</c:v>
                </c:pt>
                <c:pt idx="109">
                  <c:v>0.60000000000001</c:v>
                </c:pt>
                <c:pt idx="110">
                  <c:v>0.400000000000018</c:v>
                </c:pt>
                <c:pt idx="111">
                  <c:v>0.400000000000018</c:v>
                </c:pt>
                <c:pt idx="112">
                  <c:v>0.300000000000022</c:v>
                </c:pt>
                <c:pt idx="113">
                  <c:v>0.0999999999999959</c:v>
                </c:pt>
                <c:pt idx="114">
                  <c:v>-0.0999999999999959</c:v>
                </c:pt>
                <c:pt idx="115">
                  <c:v>-0.299999999999988</c:v>
                </c:pt>
                <c:pt idx="116">
                  <c:v>-0.49999999999998</c:v>
                </c:pt>
                <c:pt idx="117">
                  <c:v>-0.800000000000002</c:v>
                </c:pt>
                <c:pt idx="118">
                  <c:v>-1.09999999999999</c:v>
                </c:pt>
                <c:pt idx="119">
                  <c:v>-1.50000000000001</c:v>
                </c:pt>
                <c:pt idx="120">
                  <c:v>-1.99999999999999</c:v>
                </c:pt>
                <c:pt idx="121">
                  <c:v>-3.5</c:v>
                </c:pt>
                <c:pt idx="122">
                  <c:v>-4.39999999999999</c:v>
                </c:pt>
                <c:pt idx="123">
                  <c:v>-5.39999999999999</c:v>
                </c:pt>
                <c:pt idx="124">
                  <c:v>-6.60000000000001</c:v>
                </c:pt>
                <c:pt idx="125">
                  <c:v>-7.40000000000001</c:v>
                </c:pt>
                <c:pt idx="126">
                  <c:v>-8.19999999999998</c:v>
                </c:pt>
                <c:pt idx="127">
                  <c:v>-9.4</c:v>
                </c:pt>
                <c:pt idx="128">
                  <c:v>-10.3</c:v>
                </c:pt>
                <c:pt idx="129">
                  <c:v>-10.6</c:v>
                </c:pt>
                <c:pt idx="130">
                  <c:v>-10.8</c:v>
                </c:pt>
                <c:pt idx="131">
                  <c:v>-11.7</c:v>
                </c:pt>
                <c:pt idx="132">
                  <c:v>-12</c:v>
                </c:pt>
                <c:pt idx="133">
                  <c:v>-12.1</c:v>
                </c:pt>
                <c:pt idx="134">
                  <c:v>-12</c:v>
                </c:pt>
                <c:pt idx="135">
                  <c:v>-11.7</c:v>
                </c:pt>
                <c:pt idx="136">
                  <c:v>-11.4</c:v>
                </c:pt>
                <c:pt idx="137">
                  <c:v>-11.2</c:v>
                </c:pt>
                <c:pt idx="138">
                  <c:v>-10.2</c:v>
                </c:pt>
                <c:pt idx="139">
                  <c:v>-8.99999999999998</c:v>
                </c:pt>
                <c:pt idx="140">
                  <c:v>-7.79999999999999</c:v>
                </c:pt>
                <c:pt idx="141">
                  <c:v>-6.8</c:v>
                </c:pt>
                <c:pt idx="142">
                  <c:v>-5.29999999999999</c:v>
                </c:pt>
                <c:pt idx="143">
                  <c:v>-3.59999999999999</c:v>
                </c:pt>
                <c:pt idx="144">
                  <c:v>-1.7</c:v>
                </c:pt>
                <c:pt idx="145">
                  <c:v>-0.800000000000002</c:v>
                </c:pt>
                <c:pt idx="146">
                  <c:v>0.500000000000014</c:v>
                </c:pt>
                <c:pt idx="147">
                  <c:v>1.20000000000002</c:v>
                </c:pt>
                <c:pt idx="148">
                  <c:v>1.89999999999999</c:v>
                </c:pt>
                <c:pt idx="149">
                  <c:v>2.79999999999999</c:v>
                </c:pt>
                <c:pt idx="150">
                  <c:v>3.3</c:v>
                </c:pt>
                <c:pt idx="151">
                  <c:v>3.40000000000003</c:v>
                </c:pt>
                <c:pt idx="152">
                  <c:v>3.5</c:v>
                </c:pt>
                <c:pt idx="153">
                  <c:v>3.3</c:v>
                </c:pt>
                <c:pt idx="154">
                  <c:v>2.90000000000002</c:v>
                </c:pt>
                <c:pt idx="155">
                  <c:v>2.70000000000003</c:v>
                </c:pt>
                <c:pt idx="156">
                  <c:v>2.10000000000002</c:v>
                </c:pt>
                <c:pt idx="157">
                  <c:v>1.20000000000002</c:v>
                </c:pt>
                <c:pt idx="158">
                  <c:v>-0.399999999999984</c:v>
                </c:pt>
                <c:pt idx="159">
                  <c:v>-1.8</c:v>
                </c:pt>
                <c:pt idx="160">
                  <c:v>-4.3</c:v>
                </c:pt>
                <c:pt idx="161">
                  <c:v>-6.39999999999998</c:v>
                </c:pt>
                <c:pt idx="162">
                  <c:v>-8.79999999999999</c:v>
                </c:pt>
                <c:pt idx="163">
                  <c:v>-11.1</c:v>
                </c:pt>
                <c:pt idx="164">
                  <c:v>-13.4</c:v>
                </c:pt>
                <c:pt idx="165">
                  <c:v>-15.1</c:v>
                </c:pt>
                <c:pt idx="166">
                  <c:v>-17.3</c:v>
                </c:pt>
                <c:pt idx="167">
                  <c:v>-19.4</c:v>
                </c:pt>
                <c:pt idx="168">
                  <c:v>-20.7</c:v>
                </c:pt>
                <c:pt idx="169">
                  <c:v>-22.1</c:v>
                </c:pt>
                <c:pt idx="170">
                  <c:v>-22.5</c:v>
                </c:pt>
                <c:pt idx="171">
                  <c:v>-22.8</c:v>
                </c:pt>
                <c:pt idx="172">
                  <c:v>-22.6</c:v>
                </c:pt>
                <c:pt idx="173">
                  <c:v>-22.3</c:v>
                </c:pt>
                <c:pt idx="174">
                  <c:v>-21.8</c:v>
                </c:pt>
                <c:pt idx="175">
                  <c:v>-21.5</c:v>
                </c:pt>
                <c:pt idx="176">
                  <c:v>-20.9</c:v>
                </c:pt>
                <c:pt idx="177">
                  <c:v>-19.8</c:v>
                </c:pt>
                <c:pt idx="178">
                  <c:v>-18.4</c:v>
                </c:pt>
                <c:pt idx="179">
                  <c:v>-16.5</c:v>
                </c:pt>
                <c:pt idx="180">
                  <c:v>-14</c:v>
                </c:pt>
                <c:pt idx="181">
                  <c:v>-12.2</c:v>
                </c:pt>
                <c:pt idx="182">
                  <c:v>-9.79999999999998</c:v>
                </c:pt>
                <c:pt idx="183">
                  <c:v>-7.40000000000001</c:v>
                </c:pt>
                <c:pt idx="184">
                  <c:v>-5.1</c:v>
                </c:pt>
                <c:pt idx="185">
                  <c:v>-2.99999999999998</c:v>
                </c:pt>
                <c:pt idx="186">
                  <c:v>-0.800000000000002</c:v>
                </c:pt>
                <c:pt idx="187">
                  <c:v>0.700000000000006</c:v>
                </c:pt>
                <c:pt idx="188">
                  <c:v>1.8</c:v>
                </c:pt>
                <c:pt idx="189">
                  <c:v>3.19999999999997</c:v>
                </c:pt>
                <c:pt idx="190">
                  <c:v>3.89999999999998</c:v>
                </c:pt>
                <c:pt idx="191">
                  <c:v>3.89999999999998</c:v>
                </c:pt>
                <c:pt idx="192">
                  <c:v>3.80000000000002</c:v>
                </c:pt>
                <c:pt idx="193">
                  <c:v>3.3</c:v>
                </c:pt>
                <c:pt idx="194">
                  <c:v>2.6</c:v>
                </c:pt>
                <c:pt idx="195">
                  <c:v>1.8</c:v>
                </c:pt>
                <c:pt idx="196">
                  <c:v>0.60000000000001</c:v>
                </c:pt>
                <c:pt idx="197">
                  <c:v>-1.19999999999999</c:v>
                </c:pt>
                <c:pt idx="198">
                  <c:v>-3.4</c:v>
                </c:pt>
                <c:pt idx="199">
                  <c:v>-6.19999999999999</c:v>
                </c:pt>
                <c:pt idx="200">
                  <c:v>-9.20000000000001</c:v>
                </c:pt>
                <c:pt idx="201">
                  <c:v>-12</c:v>
                </c:pt>
                <c:pt idx="202">
                  <c:v>-15.1</c:v>
                </c:pt>
                <c:pt idx="203">
                  <c:v>-18</c:v>
                </c:pt>
                <c:pt idx="204">
                  <c:v>-20.9</c:v>
                </c:pt>
                <c:pt idx="205">
                  <c:v>-23.2</c:v>
                </c:pt>
                <c:pt idx="206">
                  <c:v>-25.4</c:v>
                </c:pt>
                <c:pt idx="207">
                  <c:v>-27.4</c:v>
                </c:pt>
                <c:pt idx="208">
                  <c:v>-28.9</c:v>
                </c:pt>
                <c:pt idx="209">
                  <c:v>-29.7</c:v>
                </c:pt>
                <c:pt idx="210">
                  <c:v>-30.7</c:v>
                </c:pt>
                <c:pt idx="211">
                  <c:v>-30.9</c:v>
                </c:pt>
                <c:pt idx="212">
                  <c:v>-30.5</c:v>
                </c:pt>
                <c:pt idx="213">
                  <c:v>-30.3</c:v>
                </c:pt>
                <c:pt idx="214">
                  <c:v>-29.5</c:v>
                </c:pt>
                <c:pt idx="215">
                  <c:v>-28.6</c:v>
                </c:pt>
                <c:pt idx="216">
                  <c:v>-26.3</c:v>
                </c:pt>
                <c:pt idx="217">
                  <c:v>-24.3</c:v>
                </c:pt>
                <c:pt idx="218">
                  <c:v>-22.2</c:v>
                </c:pt>
                <c:pt idx="219">
                  <c:v>-19.1</c:v>
                </c:pt>
                <c:pt idx="220">
                  <c:v>-16.2</c:v>
                </c:pt>
                <c:pt idx="221">
                  <c:v>-12.8</c:v>
                </c:pt>
                <c:pt idx="222">
                  <c:v>-9.69999999999999</c:v>
                </c:pt>
                <c:pt idx="223">
                  <c:v>-6.60000000000001</c:v>
                </c:pt>
                <c:pt idx="224">
                  <c:v>-3.79999999999998</c:v>
                </c:pt>
                <c:pt idx="225">
                  <c:v>-0.899999999999998</c:v>
                </c:pt>
                <c:pt idx="226">
                  <c:v>1.6</c:v>
                </c:pt>
                <c:pt idx="227">
                  <c:v>3.80000000000002</c:v>
                </c:pt>
                <c:pt idx="228">
                  <c:v>5.00000000000004</c:v>
                </c:pt>
                <c:pt idx="229">
                  <c:v>6.50000000000001</c:v>
                </c:pt>
                <c:pt idx="230">
                  <c:v>7.00000000000003</c:v>
                </c:pt>
                <c:pt idx="231">
                  <c:v>6.9</c:v>
                </c:pt>
                <c:pt idx="232">
                  <c:v>6.59999999999997</c:v>
                </c:pt>
                <c:pt idx="233">
                  <c:v>6</c:v>
                </c:pt>
                <c:pt idx="234">
                  <c:v>5.29999999999999</c:v>
                </c:pt>
                <c:pt idx="235">
                  <c:v>4.30000000000003</c:v>
                </c:pt>
                <c:pt idx="236">
                  <c:v>2.10000000000002</c:v>
                </c:pt>
                <c:pt idx="237">
                  <c:v>0.300000000000022</c:v>
                </c:pt>
                <c:pt idx="238">
                  <c:v>-2.40000000000001</c:v>
                </c:pt>
                <c:pt idx="239">
                  <c:v>-5.39999999999999</c:v>
                </c:pt>
                <c:pt idx="240">
                  <c:v>-8.4</c:v>
                </c:pt>
                <c:pt idx="241">
                  <c:v>-11.5</c:v>
                </c:pt>
                <c:pt idx="242">
                  <c:v>-14.6</c:v>
                </c:pt>
                <c:pt idx="243">
                  <c:v>-17.6</c:v>
                </c:pt>
                <c:pt idx="244">
                  <c:v>-20.1</c:v>
                </c:pt>
                <c:pt idx="245">
                  <c:v>-22.6</c:v>
                </c:pt>
                <c:pt idx="246">
                  <c:v>-24.3</c:v>
                </c:pt>
                <c:pt idx="247">
                  <c:v>-25.9</c:v>
                </c:pt>
                <c:pt idx="248">
                  <c:v>-27.7</c:v>
                </c:pt>
                <c:pt idx="249">
                  <c:v>-28.5</c:v>
                </c:pt>
                <c:pt idx="250">
                  <c:v>-28.6</c:v>
                </c:pt>
                <c:pt idx="251">
                  <c:v>-28.4</c:v>
                </c:pt>
                <c:pt idx="252">
                  <c:v>-27.9</c:v>
                </c:pt>
                <c:pt idx="253">
                  <c:v>-27.3</c:v>
                </c:pt>
                <c:pt idx="254">
                  <c:v>-26.4</c:v>
                </c:pt>
                <c:pt idx="255">
                  <c:v>-24.9</c:v>
                </c:pt>
                <c:pt idx="256">
                  <c:v>-23</c:v>
                </c:pt>
                <c:pt idx="257">
                  <c:v>-21.3</c:v>
                </c:pt>
                <c:pt idx="258">
                  <c:v>-18.4</c:v>
                </c:pt>
                <c:pt idx="259">
                  <c:v>-15.6</c:v>
                </c:pt>
                <c:pt idx="260">
                  <c:v>-12.6</c:v>
                </c:pt>
                <c:pt idx="261">
                  <c:v>-9.49999999999999</c:v>
                </c:pt>
                <c:pt idx="262">
                  <c:v>-6.7</c:v>
                </c:pt>
                <c:pt idx="263">
                  <c:v>-3.20000000000001</c:v>
                </c:pt>
                <c:pt idx="264">
                  <c:v>-0.299999999999988</c:v>
                </c:pt>
                <c:pt idx="265">
                  <c:v>1.7</c:v>
                </c:pt>
                <c:pt idx="266">
                  <c:v>3.69999999999999</c:v>
                </c:pt>
                <c:pt idx="267">
                  <c:v>5.40000000000002</c:v>
                </c:pt>
                <c:pt idx="268">
                  <c:v>6.9</c:v>
                </c:pt>
                <c:pt idx="269">
                  <c:v>7.6</c:v>
                </c:pt>
                <c:pt idx="270">
                  <c:v>8.5</c:v>
                </c:pt>
                <c:pt idx="271">
                  <c:v>8.80000000000002</c:v>
                </c:pt>
                <c:pt idx="272">
                  <c:v>8.5</c:v>
                </c:pt>
                <c:pt idx="273">
                  <c:v>7.99999999999999</c:v>
                </c:pt>
                <c:pt idx="274">
                  <c:v>6.9</c:v>
                </c:pt>
                <c:pt idx="275">
                  <c:v>4.90000000000001</c:v>
                </c:pt>
                <c:pt idx="276">
                  <c:v>3.10000000000001</c:v>
                </c:pt>
                <c:pt idx="277">
                  <c:v>0.800000000000002</c:v>
                </c:pt>
                <c:pt idx="278">
                  <c:v>-1.99999999999999</c:v>
                </c:pt>
                <c:pt idx="279">
                  <c:v>-5.49999999999998</c:v>
                </c:pt>
                <c:pt idx="280">
                  <c:v>-8.19999999999998</c:v>
                </c:pt>
                <c:pt idx="281">
                  <c:v>-11.5</c:v>
                </c:pt>
                <c:pt idx="282">
                  <c:v>-14.3</c:v>
                </c:pt>
                <c:pt idx="283">
                  <c:v>-16.9</c:v>
                </c:pt>
                <c:pt idx="284">
                  <c:v>-19.4</c:v>
                </c:pt>
                <c:pt idx="285">
                  <c:v>-21.2</c:v>
                </c:pt>
                <c:pt idx="286">
                  <c:v>-22.9</c:v>
                </c:pt>
                <c:pt idx="287">
                  <c:v>-24.6</c:v>
                </c:pt>
                <c:pt idx="288">
                  <c:v>-25.3</c:v>
                </c:pt>
                <c:pt idx="289">
                  <c:v>-25.5</c:v>
                </c:pt>
                <c:pt idx="290">
                  <c:v>-25.3</c:v>
                </c:pt>
                <c:pt idx="291">
                  <c:v>-25</c:v>
                </c:pt>
                <c:pt idx="292">
                  <c:v>-24.4</c:v>
                </c:pt>
                <c:pt idx="293">
                  <c:v>-23.6</c:v>
                </c:pt>
                <c:pt idx="294">
                  <c:v>-22.6</c:v>
                </c:pt>
                <c:pt idx="295">
                  <c:v>-20.5</c:v>
                </c:pt>
                <c:pt idx="296">
                  <c:v>-18.6</c:v>
                </c:pt>
                <c:pt idx="297">
                  <c:v>-15.9</c:v>
                </c:pt>
                <c:pt idx="298">
                  <c:v>-13.1</c:v>
                </c:pt>
                <c:pt idx="299">
                  <c:v>-10.1</c:v>
                </c:pt>
                <c:pt idx="300">
                  <c:v>-6.9</c:v>
                </c:pt>
                <c:pt idx="301">
                  <c:v>-3.79999999999998</c:v>
                </c:pt>
                <c:pt idx="302">
                  <c:v>-0.60000000000001</c:v>
                </c:pt>
                <c:pt idx="303">
                  <c:v>1.50000000000001</c:v>
                </c:pt>
                <c:pt idx="304">
                  <c:v>3.5</c:v>
                </c:pt>
                <c:pt idx="305">
                  <c:v>5.20000000000003</c:v>
                </c:pt>
                <c:pt idx="306">
                  <c:v>7.6</c:v>
                </c:pt>
                <c:pt idx="307">
                  <c:v>9.00000000000001</c:v>
                </c:pt>
                <c:pt idx="308">
                  <c:v>9.70000000000002</c:v>
                </c:pt>
                <c:pt idx="309">
                  <c:v>10.1</c:v>
                </c:pt>
                <c:pt idx="310">
                  <c:v>9.79999999999998</c:v>
                </c:pt>
                <c:pt idx="311">
                  <c:v>9.50000000000003</c:v>
                </c:pt>
                <c:pt idx="312">
                  <c:v>8.89999999999998</c:v>
                </c:pt>
                <c:pt idx="313">
                  <c:v>8.19999999999998</c:v>
                </c:pt>
                <c:pt idx="314">
                  <c:v>6.80000000000004</c:v>
                </c:pt>
                <c:pt idx="315">
                  <c:v>4.50000000000002</c:v>
                </c:pt>
                <c:pt idx="316">
                  <c:v>1.7</c:v>
                </c:pt>
                <c:pt idx="317">
                  <c:v>0</c:v>
                </c:pt>
                <c:pt idx="318">
                  <c:v>-2.69999999999999</c:v>
                </c:pt>
                <c:pt idx="319">
                  <c:v>-5.70000000000001</c:v>
                </c:pt>
                <c:pt idx="320">
                  <c:v>-8.5</c:v>
                </c:pt>
                <c:pt idx="321">
                  <c:v>-11.4</c:v>
                </c:pt>
                <c:pt idx="322">
                  <c:v>-14.3</c:v>
                </c:pt>
                <c:pt idx="323">
                  <c:v>-16.8</c:v>
                </c:pt>
                <c:pt idx="324">
                  <c:v>-19.2</c:v>
                </c:pt>
                <c:pt idx="325">
                  <c:v>-20.9</c:v>
                </c:pt>
                <c:pt idx="326">
                  <c:v>-22.3</c:v>
                </c:pt>
                <c:pt idx="327">
                  <c:v>-22.6</c:v>
                </c:pt>
                <c:pt idx="328">
                  <c:v>-22.9</c:v>
                </c:pt>
                <c:pt idx="329">
                  <c:v>-23.8</c:v>
                </c:pt>
                <c:pt idx="330">
                  <c:v>-23.8</c:v>
                </c:pt>
                <c:pt idx="331">
                  <c:v>-23.5</c:v>
                </c:pt>
                <c:pt idx="332">
                  <c:v>-23</c:v>
                </c:pt>
                <c:pt idx="333">
                  <c:v>-22.2</c:v>
                </c:pt>
                <c:pt idx="334">
                  <c:v>-20.2</c:v>
                </c:pt>
                <c:pt idx="335">
                  <c:v>-18.3</c:v>
                </c:pt>
                <c:pt idx="336">
                  <c:v>-15.8</c:v>
                </c:pt>
                <c:pt idx="337">
                  <c:v>-12.7</c:v>
                </c:pt>
                <c:pt idx="338">
                  <c:v>-9.89999999999998</c:v>
                </c:pt>
                <c:pt idx="339">
                  <c:v>-6.9</c:v>
                </c:pt>
                <c:pt idx="340">
                  <c:v>-3.89999999999998</c:v>
                </c:pt>
                <c:pt idx="341">
                  <c:v>-0.60000000000001</c:v>
                </c:pt>
                <c:pt idx="342">
                  <c:v>1.6</c:v>
                </c:pt>
                <c:pt idx="343">
                  <c:v>4.00000000000001</c:v>
                </c:pt>
                <c:pt idx="344">
                  <c:v>5.90000000000004</c:v>
                </c:pt>
                <c:pt idx="345">
                  <c:v>7.6</c:v>
                </c:pt>
                <c:pt idx="346">
                  <c:v>9.20000000000001</c:v>
                </c:pt>
                <c:pt idx="347">
                  <c:v>10.1</c:v>
                </c:pt>
                <c:pt idx="348">
                  <c:v>10.3</c:v>
                </c:pt>
                <c:pt idx="349">
                  <c:v>9.99999999999997</c:v>
                </c:pt>
                <c:pt idx="350">
                  <c:v>9.59999999999999</c:v>
                </c:pt>
                <c:pt idx="351">
                  <c:v>9.09999999999998</c:v>
                </c:pt>
                <c:pt idx="352">
                  <c:v>8.30000000000001</c:v>
                </c:pt>
                <c:pt idx="353">
                  <c:v>7.70000000000003</c:v>
                </c:pt>
                <c:pt idx="354">
                  <c:v>5.80000000000001</c:v>
                </c:pt>
                <c:pt idx="355">
                  <c:v>3.69999999999999</c:v>
                </c:pt>
                <c:pt idx="356">
                  <c:v>0.999999999999994</c:v>
                </c:pt>
                <c:pt idx="357">
                  <c:v>-1.39999999999998</c:v>
                </c:pt>
                <c:pt idx="358">
                  <c:v>-4.2</c:v>
                </c:pt>
                <c:pt idx="359">
                  <c:v>-6.60000000000001</c:v>
                </c:pt>
                <c:pt idx="360">
                  <c:v>-8.99999999999998</c:v>
                </c:pt>
                <c:pt idx="361">
                  <c:v>-11.9</c:v>
                </c:pt>
                <c:pt idx="362">
                  <c:v>-14.4</c:v>
                </c:pt>
                <c:pt idx="363">
                  <c:v>-16.7</c:v>
                </c:pt>
                <c:pt idx="364">
                  <c:v>-18.3</c:v>
                </c:pt>
                <c:pt idx="365">
                  <c:v>-19.8</c:v>
                </c:pt>
                <c:pt idx="366">
                  <c:v>-20.6</c:v>
                </c:pt>
                <c:pt idx="367">
                  <c:v>-21.3</c:v>
                </c:pt>
                <c:pt idx="368">
                  <c:v>-21.7</c:v>
                </c:pt>
                <c:pt idx="369">
                  <c:v>-21.5</c:v>
                </c:pt>
                <c:pt idx="370">
                  <c:v>-21.2</c:v>
                </c:pt>
                <c:pt idx="371">
                  <c:v>-20.7</c:v>
                </c:pt>
                <c:pt idx="372">
                  <c:v>-19.8</c:v>
                </c:pt>
                <c:pt idx="373">
                  <c:v>-18.4</c:v>
                </c:pt>
                <c:pt idx="374">
                  <c:v>-16.4</c:v>
                </c:pt>
                <c:pt idx="375">
                  <c:v>-13.4</c:v>
                </c:pt>
                <c:pt idx="376">
                  <c:v>-10.7</c:v>
                </c:pt>
                <c:pt idx="377">
                  <c:v>-8.4</c:v>
                </c:pt>
                <c:pt idx="378">
                  <c:v>-5.70000000000001</c:v>
                </c:pt>
                <c:pt idx="379">
                  <c:v>-2.5</c:v>
                </c:pt>
                <c:pt idx="380">
                  <c:v>-0.0999999999999959</c:v>
                </c:pt>
                <c:pt idx="381">
                  <c:v>1.8</c:v>
                </c:pt>
                <c:pt idx="382">
                  <c:v>4.30000000000003</c:v>
                </c:pt>
                <c:pt idx="383">
                  <c:v>6.50000000000001</c:v>
                </c:pt>
                <c:pt idx="384">
                  <c:v>7.6</c:v>
                </c:pt>
                <c:pt idx="385">
                  <c:v>9.20000000000001</c:v>
                </c:pt>
                <c:pt idx="386">
                  <c:v>10.1</c:v>
                </c:pt>
                <c:pt idx="387">
                  <c:v>10.4</c:v>
                </c:pt>
                <c:pt idx="388">
                  <c:v>10.2</c:v>
                </c:pt>
                <c:pt idx="389">
                  <c:v>9.79999999999998</c:v>
                </c:pt>
                <c:pt idx="390">
                  <c:v>9.20000000000001</c:v>
                </c:pt>
                <c:pt idx="391">
                  <c:v>8.60000000000003</c:v>
                </c:pt>
                <c:pt idx="392">
                  <c:v>7.70000000000003</c:v>
                </c:pt>
                <c:pt idx="393">
                  <c:v>6.39999999999998</c:v>
                </c:pt>
                <c:pt idx="394">
                  <c:v>4.00000000000001</c:v>
                </c:pt>
                <c:pt idx="395">
                  <c:v>1.50000000000001</c:v>
                </c:pt>
                <c:pt idx="396">
                  <c:v>-0.999999999999994</c:v>
                </c:pt>
                <c:pt idx="397">
                  <c:v>-3.4</c:v>
                </c:pt>
                <c:pt idx="398">
                  <c:v>-6.19999999999999</c:v>
                </c:pt>
                <c:pt idx="399">
                  <c:v>-8.79999999999999</c:v>
                </c:pt>
                <c:pt idx="400">
                  <c:v>-11.4</c:v>
                </c:pt>
                <c:pt idx="401">
                  <c:v>-14.1</c:v>
                </c:pt>
                <c:pt idx="402">
                  <c:v>-16.6</c:v>
                </c:pt>
                <c:pt idx="403">
                  <c:v>-17.8</c:v>
                </c:pt>
                <c:pt idx="404">
                  <c:v>-19.3</c:v>
                </c:pt>
                <c:pt idx="405">
                  <c:v>-20.2</c:v>
                </c:pt>
                <c:pt idx="406">
                  <c:v>-21.3</c:v>
                </c:pt>
                <c:pt idx="407">
                  <c:v>-21.6</c:v>
                </c:pt>
                <c:pt idx="408">
                  <c:v>-21.4</c:v>
                </c:pt>
                <c:pt idx="409">
                  <c:v>-21.1</c:v>
                </c:pt>
                <c:pt idx="410">
                  <c:v>-20.5</c:v>
                </c:pt>
                <c:pt idx="411">
                  <c:v>-19.8</c:v>
                </c:pt>
                <c:pt idx="412">
                  <c:v>-17.7</c:v>
                </c:pt>
                <c:pt idx="413">
                  <c:v>-15.8</c:v>
                </c:pt>
                <c:pt idx="414">
                  <c:v>-13.5</c:v>
                </c:pt>
                <c:pt idx="415">
                  <c:v>-10.6</c:v>
                </c:pt>
                <c:pt idx="416">
                  <c:v>-7.50000000000001</c:v>
                </c:pt>
                <c:pt idx="417">
                  <c:v>-5</c:v>
                </c:pt>
                <c:pt idx="418">
                  <c:v>-2.19999999999998</c:v>
                </c:pt>
                <c:pt idx="419">
                  <c:v>0.300000000000022</c:v>
                </c:pt>
                <c:pt idx="420">
                  <c:v>2.40000000000001</c:v>
                </c:pt>
                <c:pt idx="421">
                  <c:v>4.70000000000002</c:v>
                </c:pt>
                <c:pt idx="422">
                  <c:v>7.09999999999999</c:v>
                </c:pt>
                <c:pt idx="423">
                  <c:v>8.30000000000001</c:v>
                </c:pt>
                <c:pt idx="424">
                  <c:v>9.79999999999998</c:v>
                </c:pt>
                <c:pt idx="425">
                  <c:v>10.5</c:v>
                </c:pt>
                <c:pt idx="426">
                  <c:v>10.6</c:v>
                </c:pt>
                <c:pt idx="427">
                  <c:v>11.3</c:v>
                </c:pt>
                <c:pt idx="428">
                  <c:v>11.6</c:v>
                </c:pt>
                <c:pt idx="429">
                  <c:v>11.2</c:v>
                </c:pt>
                <c:pt idx="430">
                  <c:v>10.6</c:v>
                </c:pt>
                <c:pt idx="431">
                  <c:v>9.79999999999998</c:v>
                </c:pt>
                <c:pt idx="432">
                  <c:v>8.19999999999998</c:v>
                </c:pt>
                <c:pt idx="433">
                  <c:v>6.19999999999999</c:v>
                </c:pt>
                <c:pt idx="434">
                  <c:v>3.60000000000003</c:v>
                </c:pt>
                <c:pt idx="435">
                  <c:v>1.40000000000001</c:v>
                </c:pt>
                <c:pt idx="436">
                  <c:v>-1.50000000000001</c:v>
                </c:pt>
                <c:pt idx="437">
                  <c:v>-4.3</c:v>
                </c:pt>
                <c:pt idx="438">
                  <c:v>-6.49999999999998</c:v>
                </c:pt>
                <c:pt idx="439">
                  <c:v>-8.89999999999998</c:v>
                </c:pt>
                <c:pt idx="440">
                  <c:v>-11.5</c:v>
                </c:pt>
                <c:pt idx="441">
                  <c:v>-13.8</c:v>
                </c:pt>
                <c:pt idx="442">
                  <c:v>-16</c:v>
                </c:pt>
                <c:pt idx="443">
                  <c:v>-17</c:v>
                </c:pt>
                <c:pt idx="444">
                  <c:v>-18.6</c:v>
                </c:pt>
                <c:pt idx="445">
                  <c:v>-19.3</c:v>
                </c:pt>
                <c:pt idx="446">
                  <c:v>-19.4</c:v>
                </c:pt>
                <c:pt idx="447">
                  <c:v>-19.1</c:v>
                </c:pt>
                <c:pt idx="448">
                  <c:v>-18.6</c:v>
                </c:pt>
                <c:pt idx="449">
                  <c:v>-17.8</c:v>
                </c:pt>
                <c:pt idx="450">
                  <c:v>-17.1</c:v>
                </c:pt>
                <c:pt idx="451">
                  <c:v>-16.1</c:v>
                </c:pt>
                <c:pt idx="452">
                  <c:v>-13.8</c:v>
                </c:pt>
                <c:pt idx="453">
                  <c:v>-12.2</c:v>
                </c:pt>
                <c:pt idx="454">
                  <c:v>-9.69999999999999</c:v>
                </c:pt>
                <c:pt idx="455">
                  <c:v>-6.8</c:v>
                </c:pt>
                <c:pt idx="456">
                  <c:v>-4.3</c:v>
                </c:pt>
                <c:pt idx="457">
                  <c:v>-0.999999999999994</c:v>
                </c:pt>
                <c:pt idx="458">
                  <c:v>1.50000000000001</c:v>
                </c:pt>
                <c:pt idx="459">
                  <c:v>3.69999999999999</c:v>
                </c:pt>
                <c:pt idx="460">
                  <c:v>5.90000000000004</c:v>
                </c:pt>
                <c:pt idx="461">
                  <c:v>7.90000000000003</c:v>
                </c:pt>
                <c:pt idx="462">
                  <c:v>9.79999999999998</c:v>
                </c:pt>
                <c:pt idx="463">
                  <c:v>10.5</c:v>
                </c:pt>
                <c:pt idx="464">
                  <c:v>11.2</c:v>
                </c:pt>
                <c:pt idx="465">
                  <c:v>12</c:v>
                </c:pt>
                <c:pt idx="466">
                  <c:v>12.1</c:v>
                </c:pt>
                <c:pt idx="467">
                  <c:v>12</c:v>
                </c:pt>
                <c:pt idx="468">
                  <c:v>11.7</c:v>
                </c:pt>
                <c:pt idx="469">
                  <c:v>11</c:v>
                </c:pt>
                <c:pt idx="470">
                  <c:v>10.2</c:v>
                </c:pt>
                <c:pt idx="471">
                  <c:v>8.60000000000003</c:v>
                </c:pt>
                <c:pt idx="472">
                  <c:v>6.19999999999999</c:v>
                </c:pt>
                <c:pt idx="473">
                  <c:v>4.00000000000001</c:v>
                </c:pt>
                <c:pt idx="474">
                  <c:v>1.50000000000001</c:v>
                </c:pt>
                <c:pt idx="475">
                  <c:v>-0.999999999999994</c:v>
                </c:pt>
                <c:pt idx="476">
                  <c:v>-3.79999999999998</c:v>
                </c:pt>
                <c:pt idx="477">
                  <c:v>-6.09999999999999</c:v>
                </c:pt>
                <c:pt idx="478">
                  <c:v>-8.69999999999999</c:v>
                </c:pt>
                <c:pt idx="479">
                  <c:v>-11.3</c:v>
                </c:pt>
                <c:pt idx="480">
                  <c:v>-13.3</c:v>
                </c:pt>
                <c:pt idx="481">
                  <c:v>-14.8</c:v>
                </c:pt>
                <c:pt idx="482">
                  <c:v>-16.4</c:v>
                </c:pt>
                <c:pt idx="483">
                  <c:v>-17.1</c:v>
                </c:pt>
                <c:pt idx="484">
                  <c:v>-18.4</c:v>
                </c:pt>
                <c:pt idx="485">
                  <c:v>-18.7</c:v>
                </c:pt>
                <c:pt idx="486">
                  <c:v>-18.7</c:v>
                </c:pt>
                <c:pt idx="487">
                  <c:v>-18.4</c:v>
                </c:pt>
                <c:pt idx="488">
                  <c:v>-17.8</c:v>
                </c:pt>
                <c:pt idx="489">
                  <c:v>-17</c:v>
                </c:pt>
                <c:pt idx="490">
                  <c:v>-15.9</c:v>
                </c:pt>
                <c:pt idx="491">
                  <c:v>-13.8</c:v>
                </c:pt>
                <c:pt idx="492">
                  <c:v>-12.1</c:v>
                </c:pt>
                <c:pt idx="493">
                  <c:v>-9.69999999999999</c:v>
                </c:pt>
                <c:pt idx="494">
                  <c:v>-6.99999999999999</c:v>
                </c:pt>
                <c:pt idx="495">
                  <c:v>-4.49999999999999</c:v>
                </c:pt>
                <c:pt idx="496">
                  <c:v>-1.09999999999999</c:v>
                </c:pt>
                <c:pt idx="497">
                  <c:v>1.40000000000001</c:v>
                </c:pt>
                <c:pt idx="498">
                  <c:v>3.10000000000001</c:v>
                </c:pt>
                <c:pt idx="499">
                  <c:v>5.1</c:v>
                </c:pt>
                <c:pt idx="500">
                  <c:v>7.40000000000001</c:v>
                </c:pt>
                <c:pt idx="501">
                  <c:v>8.5</c:v>
                </c:pt>
                <c:pt idx="502">
                  <c:v>9.90000000000001</c:v>
                </c:pt>
                <c:pt idx="503">
                  <c:v>10.6</c:v>
                </c:pt>
                <c:pt idx="504">
                  <c:v>10.9</c:v>
                </c:pt>
                <c:pt idx="505">
                  <c:v>11.4</c:v>
                </c:pt>
                <c:pt idx="506">
                  <c:v>11.5</c:v>
                </c:pt>
                <c:pt idx="507">
                  <c:v>11.3</c:v>
                </c:pt>
                <c:pt idx="508">
                  <c:v>10.8</c:v>
                </c:pt>
                <c:pt idx="509">
                  <c:v>9.79999999999998</c:v>
                </c:pt>
                <c:pt idx="510">
                  <c:v>8.40000000000004</c:v>
                </c:pt>
                <c:pt idx="511">
                  <c:v>6.30000000000002</c:v>
                </c:pt>
                <c:pt idx="512">
                  <c:v>4.39999999999999</c:v>
                </c:pt>
                <c:pt idx="513">
                  <c:v>1.7</c:v>
                </c:pt>
                <c:pt idx="514">
                  <c:v>-0.299999999999988</c:v>
                </c:pt>
                <c:pt idx="515">
                  <c:v>-3.09999999999998</c:v>
                </c:pt>
                <c:pt idx="516">
                  <c:v>-5.80000000000001</c:v>
                </c:pt>
                <c:pt idx="517">
                  <c:v>-8.19999999999998</c:v>
                </c:pt>
                <c:pt idx="518">
                  <c:v>-10.7</c:v>
                </c:pt>
                <c:pt idx="519">
                  <c:v>-13</c:v>
                </c:pt>
                <c:pt idx="520">
                  <c:v>-14.6</c:v>
                </c:pt>
                <c:pt idx="521">
                  <c:v>-16</c:v>
                </c:pt>
                <c:pt idx="522">
                  <c:v>-16.8</c:v>
                </c:pt>
                <c:pt idx="523">
                  <c:v>-18.3</c:v>
                </c:pt>
                <c:pt idx="524">
                  <c:v>-18.5</c:v>
                </c:pt>
                <c:pt idx="525">
                  <c:v>-18.5</c:v>
                </c:pt>
                <c:pt idx="526">
                  <c:v>-18.1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A_13_58_43_Pro_20KPa!$L$3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A_13_58_43_Pro_20KPa!$J$4:$J$530</c:f>
              <c:numCache>
                <c:formatCode>0.00_);[Red]\(0.00\)</c:formatCode>
                <c:ptCount val="527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1.671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2.374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2.608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2.842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3.076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3.176</c:v>
                </c:pt>
                <c:pt idx="96" c:formatCode="0.00_);[Red]\(0.00\)">
                  <c:v>3.209</c:v>
                </c:pt>
                <c:pt idx="97" c:formatCode="0.00_);[Red]\(0.00\)">
                  <c:v>3.243</c:v>
                </c:pt>
                <c:pt idx="98" c:formatCode="0.00_);[Red]\(0.00\)">
                  <c:v>3.276</c:v>
                </c:pt>
                <c:pt idx="99" c:formatCode="0.00_);[Red]\(0.00\)">
                  <c:v>3.31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3.41</c:v>
                </c:pt>
                <c:pt idx="103" c:formatCode="0.00_);[Red]\(0.00\)">
                  <c:v>3.443</c:v>
                </c:pt>
                <c:pt idx="104" c:formatCode="0.00_);[Red]\(0.00\)">
                  <c:v>3.477</c:v>
                </c:pt>
                <c:pt idx="105" c:formatCode="0.00_);[Red]\(0.00\)">
                  <c:v>3.51</c:v>
                </c:pt>
                <c:pt idx="106" c:formatCode="0.00_);[Red]\(0.00\)">
                  <c:v>3.544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3.644</c:v>
                </c:pt>
                <c:pt idx="110" c:formatCode="0.00_);[Red]\(0.00\)">
                  <c:v>3.677</c:v>
                </c:pt>
                <c:pt idx="111" c:formatCode="0.00_);[Red]\(0.00\)">
                  <c:v>3.711</c:v>
                </c:pt>
                <c:pt idx="112" c:formatCode="0.00_);[Red]\(0.00\)">
                  <c:v>3.744</c:v>
                </c:pt>
                <c:pt idx="113" c:formatCode="0.00_);[Red]\(0.00\)">
                  <c:v>3.778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3.878</c:v>
                </c:pt>
                <c:pt idx="117" c:formatCode="0.00_);[Red]\(0.00\)">
                  <c:v>3.911</c:v>
                </c:pt>
                <c:pt idx="118" c:formatCode="0.00_);[Red]\(0.00\)">
                  <c:v>3.945</c:v>
                </c:pt>
                <c:pt idx="119" c:formatCode="0.00_);[Red]\(0.00\)">
                  <c:v>3.978</c:v>
                </c:pt>
                <c:pt idx="120" c:formatCode="0.00_);[Red]\(0.00\)">
                  <c:v>4.012</c:v>
                </c:pt>
                <c:pt idx="121" c:formatCode="0.00_);[Red]\(0.00\)">
                  <c:v>4.045</c:v>
                </c:pt>
                <c:pt idx="122" c:formatCode="0.00_);[Red]\(0.00\)">
                  <c:v>4.078</c:v>
                </c:pt>
                <c:pt idx="123" c:formatCode="0.00_);[Red]\(0.00\)">
                  <c:v>4.112</c:v>
                </c:pt>
                <c:pt idx="124" c:formatCode="0.00_);[Red]\(0.00\)">
                  <c:v>4.145</c:v>
                </c:pt>
                <c:pt idx="125" c:formatCode="0.00_);[Red]\(0.00\)">
                  <c:v>4.179</c:v>
                </c:pt>
                <c:pt idx="126" c:formatCode="0.00_);[Red]\(0.00\)">
                  <c:v>4.212</c:v>
                </c:pt>
                <c:pt idx="127" c:formatCode="0.00_);[Red]\(0.00\)">
                  <c:v>4.246</c:v>
                </c:pt>
                <c:pt idx="128" c:formatCode="0.00_);[Red]\(0.00\)">
                  <c:v>4.279</c:v>
                </c:pt>
                <c:pt idx="129" c:formatCode="0.00_);[Red]\(0.00\)">
                  <c:v>4.312</c:v>
                </c:pt>
                <c:pt idx="130" c:formatCode="0.00_);[Red]\(0.00\)">
                  <c:v>4.346</c:v>
                </c:pt>
                <c:pt idx="131" c:formatCode="0.00_);[Red]\(0.00\)">
                  <c:v>4.379</c:v>
                </c:pt>
                <c:pt idx="132" c:formatCode="0.00_);[Red]\(0.00\)">
                  <c:v>4.413</c:v>
                </c:pt>
                <c:pt idx="133" c:formatCode="0.00_);[Red]\(0.00\)">
                  <c:v>4.446</c:v>
                </c:pt>
                <c:pt idx="134" c:formatCode="0.00_);[Red]\(0.00\)">
                  <c:v>4.48</c:v>
                </c:pt>
                <c:pt idx="135" c:formatCode="0.00_);[Red]\(0.00\)">
                  <c:v>4.513</c:v>
                </c:pt>
                <c:pt idx="136" c:formatCode="0.00_);[Red]\(0.00\)">
                  <c:v>4.546</c:v>
                </c:pt>
                <c:pt idx="137" c:formatCode="0.00_);[Red]\(0.00\)">
                  <c:v>4.58</c:v>
                </c:pt>
                <c:pt idx="138" c:formatCode="0.00_);[Red]\(0.00\)">
                  <c:v>4.613</c:v>
                </c:pt>
                <c:pt idx="139" c:formatCode="0.00_);[Red]\(0.00\)">
                  <c:v>4.647</c:v>
                </c:pt>
                <c:pt idx="140" c:formatCode="0.00_);[Red]\(0.00\)">
                  <c:v>4.68</c:v>
                </c:pt>
                <c:pt idx="141" c:formatCode="0.00_);[Red]\(0.00\)">
                  <c:v>4.714</c:v>
                </c:pt>
                <c:pt idx="142" c:formatCode="0.00_);[Red]\(0.00\)">
                  <c:v>4.747</c:v>
                </c:pt>
                <c:pt idx="143" c:formatCode="0.00_);[Red]\(0.00\)">
                  <c:v>4.78</c:v>
                </c:pt>
                <c:pt idx="144" c:formatCode="0.00_);[Red]\(0.00\)">
                  <c:v>4.814</c:v>
                </c:pt>
                <c:pt idx="145" c:formatCode="0.00_);[Red]\(0.00\)">
                  <c:v>4.847</c:v>
                </c:pt>
                <c:pt idx="146" c:formatCode="0.00_);[Red]\(0.00\)">
                  <c:v>4.881</c:v>
                </c:pt>
                <c:pt idx="147" c:formatCode="0.00_);[Red]\(0.00\)">
                  <c:v>4.914</c:v>
                </c:pt>
                <c:pt idx="148" c:formatCode="0.00_);[Red]\(0.00\)">
                  <c:v>4.948</c:v>
                </c:pt>
                <c:pt idx="149" c:formatCode="0.00_);[Red]\(0.00\)">
                  <c:v>4.981</c:v>
                </c:pt>
                <c:pt idx="150" c:formatCode="0.00_);[Red]\(0.00\)">
                  <c:v>5.014</c:v>
                </c:pt>
                <c:pt idx="151" c:formatCode="0.00_);[Red]\(0.00\)">
                  <c:v>5.048</c:v>
                </c:pt>
                <c:pt idx="152" c:formatCode="0.00_);[Red]\(0.00\)">
                  <c:v>5.081</c:v>
                </c:pt>
                <c:pt idx="153" c:formatCode="0.00_);[Red]\(0.00\)">
                  <c:v>5.115</c:v>
                </c:pt>
                <c:pt idx="154" c:formatCode="0.00_);[Red]\(0.00\)">
                  <c:v>5.148</c:v>
                </c:pt>
                <c:pt idx="155" c:formatCode="0.00_);[Red]\(0.00\)">
                  <c:v>5.182</c:v>
                </c:pt>
                <c:pt idx="156" c:formatCode="0.00_);[Red]\(0.00\)">
                  <c:v>5.215</c:v>
                </c:pt>
                <c:pt idx="157" c:formatCode="0.00_);[Red]\(0.00\)">
                  <c:v>5.248</c:v>
                </c:pt>
                <c:pt idx="158" c:formatCode="0.00_);[Red]\(0.00\)">
                  <c:v>5.282</c:v>
                </c:pt>
                <c:pt idx="159" c:formatCode="0.00_);[Red]\(0.00\)">
                  <c:v>5.315</c:v>
                </c:pt>
                <c:pt idx="160" c:formatCode="0.00_);[Red]\(0.00\)">
                  <c:v>5.349</c:v>
                </c:pt>
                <c:pt idx="161" c:formatCode="0.00_);[Red]\(0.00\)">
                  <c:v>5.382</c:v>
                </c:pt>
                <c:pt idx="162" c:formatCode="0.00_);[Red]\(0.00\)">
                  <c:v>5.416</c:v>
                </c:pt>
                <c:pt idx="163" c:formatCode="0.00_);[Red]\(0.00\)">
                  <c:v>5.449</c:v>
                </c:pt>
                <c:pt idx="164" c:formatCode="0.00_);[Red]\(0.00\)">
                  <c:v>5.483</c:v>
                </c:pt>
                <c:pt idx="165" c:formatCode="0.00_);[Red]\(0.00\)">
                  <c:v>5.516</c:v>
                </c:pt>
                <c:pt idx="166" c:formatCode="0.00_);[Red]\(0.00\)">
                  <c:v>5.549</c:v>
                </c:pt>
                <c:pt idx="167" c:formatCode="0.00_);[Red]\(0.00\)">
                  <c:v>5.583</c:v>
                </c:pt>
                <c:pt idx="168" c:formatCode="0.00_);[Red]\(0.00\)">
                  <c:v>5.616</c:v>
                </c:pt>
                <c:pt idx="169" c:formatCode="0.00_);[Red]\(0.00\)">
                  <c:v>5.65</c:v>
                </c:pt>
                <c:pt idx="170" c:formatCode="0.00_);[Red]\(0.00\)">
                  <c:v>5.683</c:v>
                </c:pt>
                <c:pt idx="171" c:formatCode="0.00_);[Red]\(0.00\)">
                  <c:v>5.717</c:v>
                </c:pt>
                <c:pt idx="172" c:formatCode="0.00_);[Red]\(0.00\)">
                  <c:v>5.75</c:v>
                </c:pt>
                <c:pt idx="173" c:formatCode="0.00_);[Red]\(0.00\)">
                  <c:v>5.783</c:v>
                </c:pt>
                <c:pt idx="174" c:formatCode="0.00_);[Red]\(0.00\)">
                  <c:v>5.817</c:v>
                </c:pt>
                <c:pt idx="175" c:formatCode="0.00_);[Red]\(0.00\)">
                  <c:v>5.85</c:v>
                </c:pt>
                <c:pt idx="176" c:formatCode="0.00_);[Red]\(0.00\)">
                  <c:v>5.884</c:v>
                </c:pt>
                <c:pt idx="177" c:formatCode="0.00_);[Red]\(0.00\)">
                  <c:v>5.917</c:v>
                </c:pt>
                <c:pt idx="178" c:formatCode="0.00_);[Red]\(0.00\)">
                  <c:v>5.951</c:v>
                </c:pt>
                <c:pt idx="179" c:formatCode="0.00_);[Red]\(0.00\)">
                  <c:v>5.984</c:v>
                </c:pt>
                <c:pt idx="180" c:formatCode="0.00_);[Red]\(0.00\)">
                  <c:v>6.017</c:v>
                </c:pt>
                <c:pt idx="181" c:formatCode="0.00_);[Red]\(0.00\)">
                  <c:v>6.051</c:v>
                </c:pt>
                <c:pt idx="182" c:formatCode="0.00_);[Red]\(0.00\)">
                  <c:v>6.084</c:v>
                </c:pt>
                <c:pt idx="183" c:formatCode="0.00_);[Red]\(0.00\)">
                  <c:v>6.118</c:v>
                </c:pt>
                <c:pt idx="184" c:formatCode="0.00_);[Red]\(0.00\)">
                  <c:v>6.151</c:v>
                </c:pt>
                <c:pt idx="185" c:formatCode="0.00_);[Red]\(0.00\)">
                  <c:v>6.185</c:v>
                </c:pt>
                <c:pt idx="186" c:formatCode="0.00_);[Red]\(0.00\)">
                  <c:v>6.218</c:v>
                </c:pt>
                <c:pt idx="187" c:formatCode="0.00_);[Red]\(0.00\)">
                  <c:v>6.251</c:v>
                </c:pt>
                <c:pt idx="188" c:formatCode="0.00_);[Red]\(0.00\)">
                  <c:v>6.285</c:v>
                </c:pt>
                <c:pt idx="189" c:formatCode="0.00_);[Red]\(0.00\)">
                  <c:v>6.318</c:v>
                </c:pt>
                <c:pt idx="190" c:formatCode="0.00_);[Red]\(0.00\)">
                  <c:v>6.352</c:v>
                </c:pt>
                <c:pt idx="191" c:formatCode="0.00_);[Red]\(0.00\)">
                  <c:v>6.385</c:v>
                </c:pt>
                <c:pt idx="192" c:formatCode="0.00_);[Red]\(0.00\)">
                  <c:v>6.419</c:v>
                </c:pt>
                <c:pt idx="193" c:formatCode="0.00_);[Red]\(0.00\)">
                  <c:v>6.452</c:v>
                </c:pt>
                <c:pt idx="194" c:formatCode="0.00_);[Red]\(0.00\)">
                  <c:v>6.485</c:v>
                </c:pt>
                <c:pt idx="195" c:formatCode="0.00_);[Red]\(0.00\)">
                  <c:v>6.519</c:v>
                </c:pt>
                <c:pt idx="196" c:formatCode="0.00_);[Red]\(0.00\)">
                  <c:v>6.552</c:v>
                </c:pt>
                <c:pt idx="197" c:formatCode="0.00_);[Red]\(0.00\)">
                  <c:v>6.586</c:v>
                </c:pt>
                <c:pt idx="198" c:formatCode="0.00_);[Red]\(0.00\)">
                  <c:v>6.619</c:v>
                </c:pt>
                <c:pt idx="199" c:formatCode="0.00_);[Red]\(0.00\)">
                  <c:v>6.653</c:v>
                </c:pt>
                <c:pt idx="200" c:formatCode="0.00_);[Red]\(0.00\)">
                  <c:v>6.686</c:v>
                </c:pt>
                <c:pt idx="201" c:formatCode="0.00_);[Red]\(0.00\)">
                  <c:v>6.719</c:v>
                </c:pt>
                <c:pt idx="202" c:formatCode="0.00_);[Red]\(0.00\)">
                  <c:v>6.753</c:v>
                </c:pt>
                <c:pt idx="203" c:formatCode="0.00_);[Red]\(0.00\)">
                  <c:v>6.786</c:v>
                </c:pt>
                <c:pt idx="204" c:formatCode="0.00_);[Red]\(0.00\)">
                  <c:v>6.82</c:v>
                </c:pt>
                <c:pt idx="205" c:formatCode="0.00_);[Red]\(0.00\)">
                  <c:v>6.853</c:v>
                </c:pt>
                <c:pt idx="206" c:formatCode="0.00_);[Red]\(0.00\)">
                  <c:v>6.887</c:v>
                </c:pt>
                <c:pt idx="207" c:formatCode="0.00_);[Red]\(0.00\)">
                  <c:v>6.92</c:v>
                </c:pt>
                <c:pt idx="208" c:formatCode="0.00_);[Red]\(0.00\)">
                  <c:v>6.953</c:v>
                </c:pt>
                <c:pt idx="209" c:formatCode="0.00_);[Red]\(0.00\)">
                  <c:v>6.987</c:v>
                </c:pt>
                <c:pt idx="210" c:formatCode="0.00_);[Red]\(0.00\)">
                  <c:v>7.02</c:v>
                </c:pt>
                <c:pt idx="211" c:formatCode="0.00_);[Red]\(0.00\)">
                  <c:v>7.054</c:v>
                </c:pt>
                <c:pt idx="212" c:formatCode="0.00_);[Red]\(0.00\)">
                  <c:v>7.087</c:v>
                </c:pt>
                <c:pt idx="213" c:formatCode="0.00_);[Red]\(0.00\)">
                  <c:v>7.121</c:v>
                </c:pt>
                <c:pt idx="214" c:formatCode="0.00_);[Red]\(0.00\)">
                  <c:v>7.154</c:v>
                </c:pt>
                <c:pt idx="215" c:formatCode="0.00_);[Red]\(0.00\)">
                  <c:v>7.187</c:v>
                </c:pt>
                <c:pt idx="216" c:formatCode="0.00_);[Red]\(0.00\)">
                  <c:v>7.221</c:v>
                </c:pt>
                <c:pt idx="217" c:formatCode="0.00_);[Red]\(0.00\)">
                  <c:v>7.254</c:v>
                </c:pt>
                <c:pt idx="218" c:formatCode="0.00_);[Red]\(0.00\)">
                  <c:v>7.288</c:v>
                </c:pt>
                <c:pt idx="219" c:formatCode="0.00_);[Red]\(0.00\)">
                  <c:v>7.321</c:v>
                </c:pt>
                <c:pt idx="220" c:formatCode="0.00_);[Red]\(0.00\)">
                  <c:v>7.355</c:v>
                </c:pt>
                <c:pt idx="221" c:formatCode="0.00_);[Red]\(0.00\)">
                  <c:v>7.388</c:v>
                </c:pt>
                <c:pt idx="222" c:formatCode="0.00_);[Red]\(0.00\)">
                  <c:v>7.421</c:v>
                </c:pt>
                <c:pt idx="223" c:formatCode="0.00_);[Red]\(0.00\)">
                  <c:v>7.455</c:v>
                </c:pt>
                <c:pt idx="224" c:formatCode="0.00_);[Red]\(0.00\)">
                  <c:v>7.488</c:v>
                </c:pt>
                <c:pt idx="225" c:formatCode="0.00_);[Red]\(0.00\)">
                  <c:v>7.522</c:v>
                </c:pt>
                <c:pt idx="226" c:formatCode="0.00_);[Red]\(0.00\)">
                  <c:v>7.555</c:v>
                </c:pt>
                <c:pt idx="227" c:formatCode="0.00_);[Red]\(0.00\)">
                  <c:v>7.589</c:v>
                </c:pt>
                <c:pt idx="228" c:formatCode="0.00_);[Red]\(0.00\)">
                  <c:v>7.622</c:v>
                </c:pt>
                <c:pt idx="229" c:formatCode="0.00_);[Red]\(0.00\)">
                  <c:v>7.655</c:v>
                </c:pt>
                <c:pt idx="230" c:formatCode="0.00_);[Red]\(0.00\)">
                  <c:v>7.689</c:v>
                </c:pt>
                <c:pt idx="231" c:formatCode="0.00_);[Red]\(0.00\)">
                  <c:v>7.722</c:v>
                </c:pt>
                <c:pt idx="232" c:formatCode="0.00_);[Red]\(0.00\)">
                  <c:v>7.756</c:v>
                </c:pt>
                <c:pt idx="233" c:formatCode="0.00_);[Red]\(0.00\)">
                  <c:v>7.789</c:v>
                </c:pt>
                <c:pt idx="234" c:formatCode="0.00_);[Red]\(0.00\)">
                  <c:v>7.823</c:v>
                </c:pt>
                <c:pt idx="235" c:formatCode="0.00_);[Red]\(0.00\)">
                  <c:v>7.856</c:v>
                </c:pt>
                <c:pt idx="236" c:formatCode="0.00_);[Red]\(0.00\)">
                  <c:v>7.889</c:v>
                </c:pt>
                <c:pt idx="237" c:formatCode="0.00_);[Red]\(0.00\)">
                  <c:v>7.923</c:v>
                </c:pt>
                <c:pt idx="238" c:formatCode="0.00_);[Red]\(0.00\)">
                  <c:v>7.956</c:v>
                </c:pt>
                <c:pt idx="239" c:formatCode="0.00_);[Red]\(0.00\)">
                  <c:v>7.99</c:v>
                </c:pt>
                <c:pt idx="240" c:formatCode="0.00_);[Red]\(0.00\)">
                  <c:v>8.023</c:v>
                </c:pt>
                <c:pt idx="241" c:formatCode="0.00_);[Red]\(0.00\)">
                  <c:v>8.057</c:v>
                </c:pt>
                <c:pt idx="242" c:formatCode="0.00_);[Red]\(0.00\)">
                  <c:v>8.09</c:v>
                </c:pt>
                <c:pt idx="243" c:formatCode="0.00_);[Red]\(0.00\)">
                  <c:v>8.123</c:v>
                </c:pt>
                <c:pt idx="244" c:formatCode="0.00_);[Red]\(0.00\)">
                  <c:v>8.157</c:v>
                </c:pt>
                <c:pt idx="245" c:formatCode="0.00_);[Red]\(0.00\)">
                  <c:v>8.19</c:v>
                </c:pt>
                <c:pt idx="246" c:formatCode="0.00_);[Red]\(0.00\)">
                  <c:v>8.224</c:v>
                </c:pt>
                <c:pt idx="247" c:formatCode="0.00_);[Red]\(0.00\)">
                  <c:v>8.257</c:v>
                </c:pt>
                <c:pt idx="248" c:formatCode="0.00_);[Red]\(0.00\)">
                  <c:v>8.291</c:v>
                </c:pt>
                <c:pt idx="249" c:formatCode="0.00_);[Red]\(0.00\)">
                  <c:v>8.324</c:v>
                </c:pt>
                <c:pt idx="250" c:formatCode="0.00_);[Red]\(0.00\)">
                  <c:v>8.357</c:v>
                </c:pt>
                <c:pt idx="251" c:formatCode="0.00_);[Red]\(0.00\)">
                  <c:v>8.391</c:v>
                </c:pt>
                <c:pt idx="252" c:formatCode="0.00_);[Red]\(0.00\)">
                  <c:v>8.424</c:v>
                </c:pt>
                <c:pt idx="253" c:formatCode="0.00_);[Red]\(0.00\)">
                  <c:v>8.458</c:v>
                </c:pt>
                <c:pt idx="254" c:formatCode="0.00_);[Red]\(0.00\)">
                  <c:v>8.491</c:v>
                </c:pt>
                <c:pt idx="255" c:formatCode="0.00_);[Red]\(0.00\)">
                  <c:v>8.525</c:v>
                </c:pt>
                <c:pt idx="256" c:formatCode="0.00_);[Red]\(0.00\)">
                  <c:v>8.558</c:v>
                </c:pt>
                <c:pt idx="257" c:formatCode="0.00_);[Red]\(0.00\)">
                  <c:v>8.591</c:v>
                </c:pt>
                <c:pt idx="258" c:formatCode="0.00_);[Red]\(0.00\)">
                  <c:v>8.625</c:v>
                </c:pt>
                <c:pt idx="259" c:formatCode="0.00_);[Red]\(0.00\)">
                  <c:v>8.658</c:v>
                </c:pt>
                <c:pt idx="260" c:formatCode="0.00_);[Red]\(0.00\)">
                  <c:v>8.692</c:v>
                </c:pt>
                <c:pt idx="261" c:formatCode="0.00_);[Red]\(0.00\)">
                  <c:v>8.725</c:v>
                </c:pt>
                <c:pt idx="262" c:formatCode="0.00_);[Red]\(0.00\)">
                  <c:v>8.759</c:v>
                </c:pt>
                <c:pt idx="263" c:formatCode="0.00_);[Red]\(0.00\)">
                  <c:v>8.792</c:v>
                </c:pt>
                <c:pt idx="264" c:formatCode="0.00_);[Red]\(0.00\)">
                  <c:v>8.825</c:v>
                </c:pt>
                <c:pt idx="265" c:formatCode="0.00_);[Red]\(0.00\)">
                  <c:v>8.859</c:v>
                </c:pt>
                <c:pt idx="266" c:formatCode="0.00_);[Red]\(0.00\)">
                  <c:v>8.892</c:v>
                </c:pt>
                <c:pt idx="267" c:formatCode="0.00_);[Red]\(0.00\)">
                  <c:v>8.926</c:v>
                </c:pt>
                <c:pt idx="268" c:formatCode="0.00_);[Red]\(0.00\)">
                  <c:v>8.959</c:v>
                </c:pt>
                <c:pt idx="269" c:formatCode="0.00_);[Red]\(0.00\)">
                  <c:v>8.993</c:v>
                </c:pt>
                <c:pt idx="270" c:formatCode="0.00_);[Red]\(0.00\)">
                  <c:v>9.026</c:v>
                </c:pt>
                <c:pt idx="271" c:formatCode="0.00_);[Red]\(0.00\)">
                  <c:v>9.06</c:v>
                </c:pt>
                <c:pt idx="272" c:formatCode="0.00_);[Red]\(0.00\)">
                  <c:v>9.093</c:v>
                </c:pt>
                <c:pt idx="273" c:formatCode="0.00_);[Red]\(0.00\)">
                  <c:v>9.126</c:v>
                </c:pt>
                <c:pt idx="274" c:formatCode="0.00_);[Red]\(0.00\)">
                  <c:v>9.16</c:v>
                </c:pt>
                <c:pt idx="275" c:formatCode="0.00_);[Red]\(0.00\)">
                  <c:v>9.193</c:v>
                </c:pt>
                <c:pt idx="276" c:formatCode="0.00_);[Red]\(0.00\)">
                  <c:v>9.227</c:v>
                </c:pt>
                <c:pt idx="277" c:formatCode="0.00_);[Red]\(0.00\)">
                  <c:v>9.26</c:v>
                </c:pt>
                <c:pt idx="278" c:formatCode="0.00_);[Red]\(0.00\)">
                  <c:v>9.294</c:v>
                </c:pt>
                <c:pt idx="279" c:formatCode="0.00_);[Red]\(0.00\)">
                  <c:v>9.327</c:v>
                </c:pt>
                <c:pt idx="280" c:formatCode="0.00_);[Red]\(0.00\)">
                  <c:v>9.36</c:v>
                </c:pt>
                <c:pt idx="281" c:formatCode="0.00_);[Red]\(0.00\)">
                  <c:v>9.394</c:v>
                </c:pt>
                <c:pt idx="282" c:formatCode="0.00_);[Red]\(0.00\)">
                  <c:v>9.427</c:v>
                </c:pt>
                <c:pt idx="283" c:formatCode="0.00_);[Red]\(0.00\)">
                  <c:v>9.461</c:v>
                </c:pt>
                <c:pt idx="284" c:formatCode="0.00_);[Red]\(0.00\)">
                  <c:v>9.494</c:v>
                </c:pt>
                <c:pt idx="285" c:formatCode="0.00_);[Red]\(0.00\)">
                  <c:v>9.528</c:v>
                </c:pt>
                <c:pt idx="286" c:formatCode="0.00_);[Red]\(0.00\)">
                  <c:v>9.561</c:v>
                </c:pt>
                <c:pt idx="287" c:formatCode="0.00_);[Red]\(0.00\)">
                  <c:v>9.594</c:v>
                </c:pt>
                <c:pt idx="288" c:formatCode="0.00_);[Red]\(0.00\)">
                  <c:v>9.628</c:v>
                </c:pt>
                <c:pt idx="289" c:formatCode="0.00_);[Red]\(0.00\)">
                  <c:v>9.661</c:v>
                </c:pt>
                <c:pt idx="290" c:formatCode="0.00_);[Red]\(0.00\)">
                  <c:v>9.695</c:v>
                </c:pt>
                <c:pt idx="291" c:formatCode="0.00_);[Red]\(0.00\)">
                  <c:v>9.728</c:v>
                </c:pt>
                <c:pt idx="292" c:formatCode="0.00_);[Red]\(0.00\)">
                  <c:v>9.762</c:v>
                </c:pt>
                <c:pt idx="293" c:formatCode="0.00_);[Red]\(0.00\)">
                  <c:v>9.795</c:v>
                </c:pt>
                <c:pt idx="294" c:formatCode="0.00_);[Red]\(0.00\)">
                  <c:v>9.828</c:v>
                </c:pt>
                <c:pt idx="295" c:formatCode="0.00_);[Red]\(0.00\)">
                  <c:v>9.862</c:v>
                </c:pt>
                <c:pt idx="296" c:formatCode="0.00_);[Red]\(0.00\)">
                  <c:v>9.895</c:v>
                </c:pt>
                <c:pt idx="297" c:formatCode="0.00_);[Red]\(0.00\)">
                  <c:v>9.929</c:v>
                </c:pt>
                <c:pt idx="298" c:formatCode="0.00_);[Red]\(0.00\)">
                  <c:v>9.962</c:v>
                </c:pt>
                <c:pt idx="299" c:formatCode="0.00_);[Red]\(0.00\)">
                  <c:v>9.996</c:v>
                </c:pt>
                <c:pt idx="300" c:formatCode="0.00_);[Red]\(0.00\)">
                  <c:v>10.029</c:v>
                </c:pt>
                <c:pt idx="301" c:formatCode="0.00_);[Red]\(0.00\)">
                  <c:v>10.062</c:v>
                </c:pt>
                <c:pt idx="302" c:formatCode="0.00_);[Red]\(0.00\)">
                  <c:v>10.096</c:v>
                </c:pt>
                <c:pt idx="303" c:formatCode="0.00_);[Red]\(0.00\)">
                  <c:v>10.129</c:v>
                </c:pt>
                <c:pt idx="304" c:formatCode="0.00_);[Red]\(0.00\)">
                  <c:v>10.163</c:v>
                </c:pt>
                <c:pt idx="305" c:formatCode="0.00_);[Red]\(0.00\)">
                  <c:v>10.196</c:v>
                </c:pt>
                <c:pt idx="306" c:formatCode="0.00_);[Red]\(0.00\)">
                  <c:v>10.23</c:v>
                </c:pt>
                <c:pt idx="307" c:formatCode="0.00_);[Red]\(0.00\)">
                  <c:v>10.263</c:v>
                </c:pt>
                <c:pt idx="308" c:formatCode="0.00_);[Red]\(0.00\)">
                  <c:v>10.296</c:v>
                </c:pt>
                <c:pt idx="309" c:formatCode="0.00_);[Red]\(0.00\)">
                  <c:v>10.33</c:v>
                </c:pt>
                <c:pt idx="310" c:formatCode="0.00_);[Red]\(0.00\)">
                  <c:v>10.363</c:v>
                </c:pt>
                <c:pt idx="311" c:formatCode="0.00_);[Red]\(0.00\)">
                  <c:v>10.397</c:v>
                </c:pt>
                <c:pt idx="312" c:formatCode="0.00_);[Red]\(0.00\)">
                  <c:v>10.43</c:v>
                </c:pt>
                <c:pt idx="313" c:formatCode="0.00_);[Red]\(0.00\)">
                  <c:v>10.464</c:v>
                </c:pt>
                <c:pt idx="314" c:formatCode="0.00_);[Red]\(0.00\)">
                  <c:v>10.497</c:v>
                </c:pt>
                <c:pt idx="315" c:formatCode="0.00_);[Red]\(0.00\)">
                  <c:v>10.53</c:v>
                </c:pt>
                <c:pt idx="316" c:formatCode="0.00_);[Red]\(0.00\)">
                  <c:v>10.564</c:v>
                </c:pt>
                <c:pt idx="317" c:formatCode="0.00_);[Red]\(0.00\)">
                  <c:v>10.597</c:v>
                </c:pt>
                <c:pt idx="318" c:formatCode="0.00_);[Red]\(0.00\)">
                  <c:v>10.631</c:v>
                </c:pt>
                <c:pt idx="319" c:formatCode="0.00_);[Red]\(0.00\)">
                  <c:v>10.664</c:v>
                </c:pt>
                <c:pt idx="320" c:formatCode="0.00_);[Red]\(0.00\)">
                  <c:v>10.698</c:v>
                </c:pt>
                <c:pt idx="321" c:formatCode="0.00_);[Red]\(0.00\)">
                  <c:v>10.731</c:v>
                </c:pt>
                <c:pt idx="322" c:formatCode="0.00_);[Red]\(0.00\)">
                  <c:v>10.764</c:v>
                </c:pt>
                <c:pt idx="323" c:formatCode="0.00_);[Red]\(0.00\)">
                  <c:v>10.798</c:v>
                </c:pt>
                <c:pt idx="324" c:formatCode="0.00_);[Red]\(0.00\)">
                  <c:v>10.831</c:v>
                </c:pt>
                <c:pt idx="325" c:formatCode="0.00_);[Red]\(0.00\)">
                  <c:v>10.865</c:v>
                </c:pt>
                <c:pt idx="326" c:formatCode="0.00_);[Red]\(0.00\)">
                  <c:v>10.898</c:v>
                </c:pt>
                <c:pt idx="327" c:formatCode="0.00_);[Red]\(0.00\)">
                  <c:v>10.932</c:v>
                </c:pt>
                <c:pt idx="328" c:formatCode="0.00_);[Red]\(0.00\)">
                  <c:v>10.965</c:v>
                </c:pt>
                <c:pt idx="329" c:formatCode="0.00_);[Red]\(0.00\)">
                  <c:v>10.998</c:v>
                </c:pt>
                <c:pt idx="330" c:formatCode="0.00_);[Red]\(0.00\)">
                  <c:v>11.032</c:v>
                </c:pt>
                <c:pt idx="331" c:formatCode="0.00_);[Red]\(0.00\)">
                  <c:v>11.065</c:v>
                </c:pt>
                <c:pt idx="332" c:formatCode="0.00_);[Red]\(0.00\)">
                  <c:v>11.099</c:v>
                </c:pt>
                <c:pt idx="333" c:formatCode="0.00_);[Red]\(0.00\)">
                  <c:v>11.132</c:v>
                </c:pt>
                <c:pt idx="334" c:formatCode="0.00_);[Red]\(0.00\)">
                  <c:v>11.166</c:v>
                </c:pt>
                <c:pt idx="335" c:formatCode="0.00_);[Red]\(0.00\)">
                  <c:v>11.199</c:v>
                </c:pt>
                <c:pt idx="336" c:formatCode="0.00_);[Red]\(0.00\)">
                  <c:v>11.232</c:v>
                </c:pt>
                <c:pt idx="337" c:formatCode="0.00_);[Red]\(0.00\)">
                  <c:v>11.266</c:v>
                </c:pt>
                <c:pt idx="338" c:formatCode="0.00_);[Red]\(0.00\)">
                  <c:v>11.299</c:v>
                </c:pt>
                <c:pt idx="339" c:formatCode="0.00_);[Red]\(0.00\)">
                  <c:v>11.333</c:v>
                </c:pt>
                <c:pt idx="340" c:formatCode="0.00_);[Red]\(0.00\)">
                  <c:v>11.366</c:v>
                </c:pt>
                <c:pt idx="341" c:formatCode="0.00_);[Red]\(0.00\)">
                  <c:v>11.4</c:v>
                </c:pt>
                <c:pt idx="342" c:formatCode="0.00_);[Red]\(0.00\)">
                  <c:v>11.433</c:v>
                </c:pt>
                <c:pt idx="343" c:formatCode="0.00_);[Red]\(0.00\)">
                  <c:v>11.466</c:v>
                </c:pt>
                <c:pt idx="344" c:formatCode="0.00_);[Red]\(0.00\)">
                  <c:v>11.5</c:v>
                </c:pt>
                <c:pt idx="345" c:formatCode="0.00_);[Red]\(0.00\)">
                  <c:v>11.533</c:v>
                </c:pt>
                <c:pt idx="346" c:formatCode="0.00_);[Red]\(0.00\)">
                  <c:v>11.567</c:v>
                </c:pt>
                <c:pt idx="347" c:formatCode="0.00_);[Red]\(0.00\)">
                  <c:v>11.6</c:v>
                </c:pt>
                <c:pt idx="348" c:formatCode="0.00_);[Red]\(0.00\)">
                  <c:v>11.634</c:v>
                </c:pt>
                <c:pt idx="349" c:formatCode="0.00_);[Red]\(0.00\)">
                  <c:v>11.667</c:v>
                </c:pt>
                <c:pt idx="350" c:formatCode="0.00_);[Red]\(0.00\)">
                  <c:v>11.7</c:v>
                </c:pt>
                <c:pt idx="351" c:formatCode="0.00_);[Red]\(0.00\)">
                  <c:v>11.734</c:v>
                </c:pt>
                <c:pt idx="352" c:formatCode="0.00_);[Red]\(0.00\)">
                  <c:v>11.767</c:v>
                </c:pt>
                <c:pt idx="353" c:formatCode="0.00_);[Red]\(0.00\)">
                  <c:v>11.801</c:v>
                </c:pt>
                <c:pt idx="354" c:formatCode="0.00_);[Red]\(0.00\)">
                  <c:v>11.834</c:v>
                </c:pt>
                <c:pt idx="355" c:formatCode="0.00_);[Red]\(0.00\)">
                  <c:v>11.868</c:v>
                </c:pt>
                <c:pt idx="356" c:formatCode="0.00_);[Red]\(0.00\)">
                  <c:v>11.901</c:v>
                </c:pt>
                <c:pt idx="357" c:formatCode="0.00_);[Red]\(0.00\)">
                  <c:v>11.934</c:v>
                </c:pt>
                <c:pt idx="358" c:formatCode="0.00_);[Red]\(0.00\)">
                  <c:v>11.968</c:v>
                </c:pt>
                <c:pt idx="359" c:formatCode="0.00_);[Red]\(0.00\)">
                  <c:v>12.001</c:v>
                </c:pt>
                <c:pt idx="360" c:formatCode="0.00_);[Red]\(0.00\)">
                  <c:v>12.035</c:v>
                </c:pt>
                <c:pt idx="361" c:formatCode="0.00_);[Red]\(0.00\)">
                  <c:v>12.068</c:v>
                </c:pt>
                <c:pt idx="362" c:formatCode="0.00_);[Red]\(0.00\)">
                  <c:v>12.102</c:v>
                </c:pt>
                <c:pt idx="363" c:formatCode="0.00_);[Red]\(0.00\)">
                  <c:v>12.135</c:v>
                </c:pt>
                <c:pt idx="364" c:formatCode="0.00_);[Red]\(0.00\)">
                  <c:v>12.168</c:v>
                </c:pt>
                <c:pt idx="365" c:formatCode="0.00_);[Red]\(0.00\)">
                  <c:v>12.202</c:v>
                </c:pt>
                <c:pt idx="366" c:formatCode="0.00_);[Red]\(0.00\)">
                  <c:v>12.235</c:v>
                </c:pt>
                <c:pt idx="367" c:formatCode="0.00_);[Red]\(0.00\)">
                  <c:v>12.269</c:v>
                </c:pt>
                <c:pt idx="368" c:formatCode="0.00_);[Red]\(0.00\)">
                  <c:v>12.302</c:v>
                </c:pt>
                <c:pt idx="369" c:formatCode="0.00_);[Red]\(0.00\)">
                  <c:v>12.336</c:v>
                </c:pt>
                <c:pt idx="370" c:formatCode="0.00_);[Red]\(0.00\)">
                  <c:v>12.369</c:v>
                </c:pt>
                <c:pt idx="371" c:formatCode="0.00_);[Red]\(0.00\)">
                  <c:v>12.402</c:v>
                </c:pt>
                <c:pt idx="372" c:formatCode="0.00_);[Red]\(0.00\)">
                  <c:v>12.436</c:v>
                </c:pt>
                <c:pt idx="373" c:formatCode="0.00_);[Red]\(0.00\)">
                  <c:v>12.469</c:v>
                </c:pt>
                <c:pt idx="374" c:formatCode="0.00_);[Red]\(0.00\)">
                  <c:v>12.503</c:v>
                </c:pt>
                <c:pt idx="375" c:formatCode="0.00_);[Red]\(0.00\)">
                  <c:v>12.536</c:v>
                </c:pt>
                <c:pt idx="376" c:formatCode="0.00_);[Red]\(0.00\)">
                  <c:v>12.57</c:v>
                </c:pt>
                <c:pt idx="377" c:formatCode="0.00_);[Red]\(0.00\)">
                  <c:v>12.603</c:v>
                </c:pt>
                <c:pt idx="378" c:formatCode="0.00_);[Red]\(0.00\)">
                  <c:v>12.637</c:v>
                </c:pt>
                <c:pt idx="379" c:formatCode="0.00_);[Red]\(0.00\)">
                  <c:v>12.67</c:v>
                </c:pt>
                <c:pt idx="380" c:formatCode="0.00_);[Red]\(0.00\)">
                  <c:v>12.703</c:v>
                </c:pt>
                <c:pt idx="381" c:formatCode="0.00_);[Red]\(0.00\)">
                  <c:v>12.737</c:v>
                </c:pt>
                <c:pt idx="382" c:formatCode="0.00_);[Red]\(0.00\)">
                  <c:v>12.77</c:v>
                </c:pt>
                <c:pt idx="383" c:formatCode="0.00_);[Red]\(0.00\)">
                  <c:v>12.804</c:v>
                </c:pt>
                <c:pt idx="384" c:formatCode="0.00_);[Red]\(0.00\)">
                  <c:v>12.837</c:v>
                </c:pt>
                <c:pt idx="385" c:formatCode="0.00_);[Red]\(0.00\)">
                  <c:v>12.871</c:v>
                </c:pt>
                <c:pt idx="386" c:formatCode="0.00_);[Red]\(0.00\)">
                  <c:v>12.904</c:v>
                </c:pt>
                <c:pt idx="387" c:formatCode="0.00_);[Red]\(0.00\)">
                  <c:v>12.937</c:v>
                </c:pt>
                <c:pt idx="388" c:formatCode="0.00_);[Red]\(0.00\)">
                  <c:v>12.971</c:v>
                </c:pt>
                <c:pt idx="389" c:formatCode="0.00_);[Red]\(0.00\)">
                  <c:v>13.004</c:v>
                </c:pt>
                <c:pt idx="390" c:formatCode="0.00_);[Red]\(0.00\)">
                  <c:v>13.038</c:v>
                </c:pt>
                <c:pt idx="391" c:formatCode="0.00_);[Red]\(0.00\)">
                  <c:v>13.071</c:v>
                </c:pt>
                <c:pt idx="392" c:formatCode="0.00_);[Red]\(0.00\)">
                  <c:v>13.105</c:v>
                </c:pt>
                <c:pt idx="393" c:formatCode="0.00_);[Red]\(0.00\)">
                  <c:v>13.138</c:v>
                </c:pt>
                <c:pt idx="394" c:formatCode="0.00_);[Red]\(0.00\)">
                  <c:v>13.171</c:v>
                </c:pt>
                <c:pt idx="395" c:formatCode="0.00_);[Red]\(0.00\)">
                  <c:v>13.205</c:v>
                </c:pt>
                <c:pt idx="396" c:formatCode="0.00_);[Red]\(0.00\)">
                  <c:v>13.238</c:v>
                </c:pt>
                <c:pt idx="397" c:formatCode="0.00_);[Red]\(0.00\)">
                  <c:v>13.272</c:v>
                </c:pt>
                <c:pt idx="398" c:formatCode="0.00_);[Red]\(0.00\)">
                  <c:v>13.305</c:v>
                </c:pt>
                <c:pt idx="399" c:formatCode="0.00_);[Red]\(0.00\)">
                  <c:v>13.339</c:v>
                </c:pt>
                <c:pt idx="400" c:formatCode="0.00_);[Red]\(0.00\)">
                  <c:v>13.372</c:v>
                </c:pt>
                <c:pt idx="401" c:formatCode="0.00_);[Red]\(0.00\)">
                  <c:v>13.405</c:v>
                </c:pt>
                <c:pt idx="402" c:formatCode="0.00_);[Red]\(0.00\)">
                  <c:v>13.439</c:v>
                </c:pt>
                <c:pt idx="403" c:formatCode="0.00_);[Red]\(0.00\)">
                  <c:v>13.472</c:v>
                </c:pt>
                <c:pt idx="404" c:formatCode="0.00_);[Red]\(0.00\)">
                  <c:v>13.506</c:v>
                </c:pt>
                <c:pt idx="405" c:formatCode="0.00_);[Red]\(0.00\)">
                  <c:v>13.539</c:v>
                </c:pt>
                <c:pt idx="406" c:formatCode="0.00_);[Red]\(0.00\)">
                  <c:v>13.573</c:v>
                </c:pt>
                <c:pt idx="407" c:formatCode="0.00_);[Red]\(0.00\)">
                  <c:v>13.606</c:v>
                </c:pt>
                <c:pt idx="408" c:formatCode="0.00_);[Red]\(0.00\)">
                  <c:v>13.639</c:v>
                </c:pt>
                <c:pt idx="409" c:formatCode="0.00_);[Red]\(0.00\)">
                  <c:v>13.673</c:v>
                </c:pt>
                <c:pt idx="410" c:formatCode="0.00_);[Red]\(0.00\)">
                  <c:v>13.706</c:v>
                </c:pt>
                <c:pt idx="411" c:formatCode="0.00_);[Red]\(0.00\)">
                  <c:v>13.74</c:v>
                </c:pt>
                <c:pt idx="412" c:formatCode="0.00_);[Red]\(0.00\)">
                  <c:v>13.773</c:v>
                </c:pt>
                <c:pt idx="413" c:formatCode="0.00_);[Red]\(0.00\)">
                  <c:v>13.807</c:v>
                </c:pt>
                <c:pt idx="414" c:formatCode="0.00_);[Red]\(0.00\)">
                  <c:v>13.84</c:v>
                </c:pt>
                <c:pt idx="415" c:formatCode="0.00_);[Red]\(0.00\)">
                  <c:v>13.873</c:v>
                </c:pt>
                <c:pt idx="416" c:formatCode="0.00_);[Red]\(0.00\)">
                  <c:v>13.907</c:v>
                </c:pt>
                <c:pt idx="417" c:formatCode="0.00_);[Red]\(0.00\)">
                  <c:v>13.94</c:v>
                </c:pt>
                <c:pt idx="418" c:formatCode="0.00_);[Red]\(0.00\)">
                  <c:v>13.974</c:v>
                </c:pt>
                <c:pt idx="419" c:formatCode="0.00_);[Red]\(0.00\)">
                  <c:v>14.007</c:v>
                </c:pt>
                <c:pt idx="420" c:formatCode="0.00_);[Red]\(0.00\)">
                  <c:v>14.041</c:v>
                </c:pt>
                <c:pt idx="421" c:formatCode="0.00_);[Red]\(0.00\)">
                  <c:v>14.074</c:v>
                </c:pt>
                <c:pt idx="422" c:formatCode="0.00_);[Red]\(0.00\)">
                  <c:v>14.107</c:v>
                </c:pt>
                <c:pt idx="423" c:formatCode="0.00_);[Red]\(0.00\)">
                  <c:v>14.141</c:v>
                </c:pt>
                <c:pt idx="424" c:formatCode="0.00_);[Red]\(0.00\)">
                  <c:v>14.174</c:v>
                </c:pt>
                <c:pt idx="425" c:formatCode="0.00_);[Red]\(0.00\)">
                  <c:v>14.208</c:v>
                </c:pt>
                <c:pt idx="426" c:formatCode="0.00_);[Red]\(0.00\)">
                  <c:v>14.241</c:v>
                </c:pt>
                <c:pt idx="427" c:formatCode="0.00_);[Red]\(0.00\)">
                  <c:v>14.275</c:v>
                </c:pt>
                <c:pt idx="428" c:formatCode="0.00_);[Red]\(0.00\)">
                  <c:v>14.308</c:v>
                </c:pt>
                <c:pt idx="429" c:formatCode="0.00_);[Red]\(0.00\)">
                  <c:v>14.341</c:v>
                </c:pt>
                <c:pt idx="430" c:formatCode="0.00_);[Red]\(0.00\)">
                  <c:v>14.375</c:v>
                </c:pt>
                <c:pt idx="431" c:formatCode="0.00_);[Red]\(0.00\)">
                  <c:v>14.408</c:v>
                </c:pt>
                <c:pt idx="432" c:formatCode="0.00_);[Red]\(0.00\)">
                  <c:v>14.442</c:v>
                </c:pt>
                <c:pt idx="433" c:formatCode="0.00_);[Red]\(0.00\)">
                  <c:v>14.475</c:v>
                </c:pt>
                <c:pt idx="434" c:formatCode="0.00_);[Red]\(0.00\)">
                  <c:v>14.509</c:v>
                </c:pt>
                <c:pt idx="435" c:formatCode="0.00_);[Red]\(0.00\)">
                  <c:v>14.542</c:v>
                </c:pt>
                <c:pt idx="436" c:formatCode="0.00_);[Red]\(0.00\)">
                  <c:v>14.575</c:v>
                </c:pt>
                <c:pt idx="437" c:formatCode="0.00_);[Red]\(0.00\)">
                  <c:v>14.609</c:v>
                </c:pt>
                <c:pt idx="438" c:formatCode="0.00_);[Red]\(0.00\)">
                  <c:v>14.642</c:v>
                </c:pt>
                <c:pt idx="439" c:formatCode="0.00_);[Red]\(0.00\)">
                  <c:v>14.676</c:v>
                </c:pt>
                <c:pt idx="440" c:formatCode="0.00_);[Red]\(0.00\)">
                  <c:v>14.709</c:v>
                </c:pt>
                <c:pt idx="441" c:formatCode="0.00_);[Red]\(0.00\)">
                  <c:v>14.743</c:v>
                </c:pt>
                <c:pt idx="442" c:formatCode="0.00_);[Red]\(0.00\)">
                  <c:v>14.776</c:v>
                </c:pt>
                <c:pt idx="443" c:formatCode="0.00_);[Red]\(0.00\)">
                  <c:v>14.809</c:v>
                </c:pt>
                <c:pt idx="444" c:formatCode="0.00_);[Red]\(0.00\)">
                  <c:v>14.843</c:v>
                </c:pt>
                <c:pt idx="445" c:formatCode="0.00_);[Red]\(0.00\)">
                  <c:v>14.876</c:v>
                </c:pt>
                <c:pt idx="446" c:formatCode="0.00_);[Red]\(0.00\)">
                  <c:v>14.91</c:v>
                </c:pt>
                <c:pt idx="447" c:formatCode="0.00_);[Red]\(0.00\)">
                  <c:v>14.943</c:v>
                </c:pt>
                <c:pt idx="448" c:formatCode="0.00_);[Red]\(0.00\)">
                  <c:v>14.977</c:v>
                </c:pt>
                <c:pt idx="449" c:formatCode="0.00_);[Red]\(0.00\)">
                  <c:v>15.01</c:v>
                </c:pt>
                <c:pt idx="450" c:formatCode="0.00_);[Red]\(0.00\)">
                  <c:v>15.043</c:v>
                </c:pt>
                <c:pt idx="451" c:formatCode="0.00_);[Red]\(0.00\)">
                  <c:v>15.077</c:v>
                </c:pt>
                <c:pt idx="452" c:formatCode="0.00_);[Red]\(0.00\)">
                  <c:v>15.11</c:v>
                </c:pt>
                <c:pt idx="453" c:formatCode="0.00_);[Red]\(0.00\)">
                  <c:v>15.144</c:v>
                </c:pt>
                <c:pt idx="454" c:formatCode="0.00_);[Red]\(0.00\)">
                  <c:v>15.177</c:v>
                </c:pt>
                <c:pt idx="455" c:formatCode="0.00_);[Red]\(0.00\)">
                  <c:v>15.211</c:v>
                </c:pt>
                <c:pt idx="456" c:formatCode="0.00_);[Red]\(0.00\)">
                  <c:v>15.244</c:v>
                </c:pt>
                <c:pt idx="457" c:formatCode="0.00_);[Red]\(0.00\)">
                  <c:v>15.277</c:v>
                </c:pt>
                <c:pt idx="458" c:formatCode="0.00_);[Red]\(0.00\)">
                  <c:v>15.311</c:v>
                </c:pt>
                <c:pt idx="459" c:formatCode="0.00_);[Red]\(0.00\)">
                  <c:v>15.344</c:v>
                </c:pt>
                <c:pt idx="460" c:formatCode="0.00_);[Red]\(0.00\)">
                  <c:v>15.378</c:v>
                </c:pt>
                <c:pt idx="461" c:formatCode="0.00_);[Red]\(0.00\)">
                  <c:v>15.411</c:v>
                </c:pt>
                <c:pt idx="462" c:formatCode="0.00_);[Red]\(0.00\)">
                  <c:v>15.445</c:v>
                </c:pt>
                <c:pt idx="463" c:formatCode="0.00_);[Red]\(0.00\)">
                  <c:v>15.478</c:v>
                </c:pt>
                <c:pt idx="464" c:formatCode="0.00_);[Red]\(0.00\)">
                  <c:v>15.511</c:v>
                </c:pt>
                <c:pt idx="465" c:formatCode="0.00_);[Red]\(0.00\)">
                  <c:v>15.545</c:v>
                </c:pt>
                <c:pt idx="466" c:formatCode="0.00_);[Red]\(0.00\)">
                  <c:v>15.578</c:v>
                </c:pt>
                <c:pt idx="467" c:formatCode="0.00_);[Red]\(0.00\)">
                  <c:v>15.612</c:v>
                </c:pt>
                <c:pt idx="468" c:formatCode="0.00_);[Red]\(0.00\)">
                  <c:v>15.645</c:v>
                </c:pt>
                <c:pt idx="469" c:formatCode="0.00_);[Red]\(0.00\)">
                  <c:v>15.679</c:v>
                </c:pt>
                <c:pt idx="470" c:formatCode="0.00_);[Red]\(0.00\)">
                  <c:v>15.712</c:v>
                </c:pt>
                <c:pt idx="471" c:formatCode="0.00_);[Red]\(0.00\)">
                  <c:v>15.745</c:v>
                </c:pt>
                <c:pt idx="472" c:formatCode="0.00_);[Red]\(0.00\)">
                  <c:v>15.779</c:v>
                </c:pt>
                <c:pt idx="473" c:formatCode="0.00_);[Red]\(0.00\)">
                  <c:v>15.812</c:v>
                </c:pt>
                <c:pt idx="474" c:formatCode="0.00_);[Red]\(0.00\)">
                  <c:v>15.846</c:v>
                </c:pt>
                <c:pt idx="475" c:formatCode="0.00_);[Red]\(0.00\)">
                  <c:v>15.879</c:v>
                </c:pt>
                <c:pt idx="476" c:formatCode="0.00_);[Red]\(0.00\)">
                  <c:v>15.913</c:v>
                </c:pt>
                <c:pt idx="477" c:formatCode="0.00_);[Red]\(0.00\)">
                  <c:v>15.946</c:v>
                </c:pt>
                <c:pt idx="478" c:formatCode="0.00_);[Red]\(0.00\)">
                  <c:v>15.979</c:v>
                </c:pt>
                <c:pt idx="479" c:formatCode="0.00_);[Red]\(0.00\)">
                  <c:v>16.013</c:v>
                </c:pt>
                <c:pt idx="480" c:formatCode="0.00_);[Red]\(0.00\)">
                  <c:v>16.046</c:v>
                </c:pt>
                <c:pt idx="481" c:formatCode="0.00_);[Red]\(0.00\)">
                  <c:v>16.08</c:v>
                </c:pt>
                <c:pt idx="482" c:formatCode="0.00_);[Red]\(0.00\)">
                  <c:v>16.113</c:v>
                </c:pt>
                <c:pt idx="483" c:formatCode="0.00_);[Red]\(0.00\)">
                  <c:v>16.147</c:v>
                </c:pt>
                <c:pt idx="484" c:formatCode="0.00_);[Red]\(0.00\)">
                  <c:v>16.18</c:v>
                </c:pt>
                <c:pt idx="485" c:formatCode="0.00_);[Red]\(0.00\)">
                  <c:v>16.214</c:v>
                </c:pt>
                <c:pt idx="486" c:formatCode="0.00_);[Red]\(0.00\)">
                  <c:v>16.247</c:v>
                </c:pt>
                <c:pt idx="487" c:formatCode="0.00_);[Red]\(0.00\)">
                  <c:v>16.28</c:v>
                </c:pt>
                <c:pt idx="488" c:formatCode="0.00_);[Red]\(0.00\)">
                  <c:v>16.314</c:v>
                </c:pt>
                <c:pt idx="489" c:formatCode="0.00_);[Red]\(0.00\)">
                  <c:v>16.347</c:v>
                </c:pt>
                <c:pt idx="490" c:formatCode="0.00_);[Red]\(0.00\)">
                  <c:v>16.381</c:v>
                </c:pt>
                <c:pt idx="491" c:formatCode="0.00_);[Red]\(0.00\)">
                  <c:v>16.414</c:v>
                </c:pt>
                <c:pt idx="492" c:formatCode="0.00_);[Red]\(0.00\)">
                  <c:v>16.448</c:v>
                </c:pt>
                <c:pt idx="493" c:formatCode="0.00_);[Red]\(0.00\)">
                  <c:v>16.481</c:v>
                </c:pt>
                <c:pt idx="494" c:formatCode="0.00_);[Red]\(0.00\)">
                  <c:v>16.514</c:v>
                </c:pt>
                <c:pt idx="495" c:formatCode="0.00_);[Red]\(0.00\)">
                  <c:v>16.548</c:v>
                </c:pt>
                <c:pt idx="496" c:formatCode="0.00_);[Red]\(0.00\)">
                  <c:v>16.581</c:v>
                </c:pt>
                <c:pt idx="497" c:formatCode="0.00_);[Red]\(0.00\)">
                  <c:v>16.615</c:v>
                </c:pt>
                <c:pt idx="498" c:formatCode="0.00_);[Red]\(0.00\)">
                  <c:v>16.648</c:v>
                </c:pt>
                <c:pt idx="499" c:formatCode="0.00_);[Red]\(0.00\)">
                  <c:v>16.682</c:v>
                </c:pt>
                <c:pt idx="500" c:formatCode="0.00_);[Red]\(0.00\)">
                  <c:v>16.715</c:v>
                </c:pt>
                <c:pt idx="501" c:formatCode="0.00_);[Red]\(0.00\)">
                  <c:v>16.748</c:v>
                </c:pt>
                <c:pt idx="502" c:formatCode="0.00_);[Red]\(0.00\)">
                  <c:v>16.782</c:v>
                </c:pt>
                <c:pt idx="503" c:formatCode="0.00_);[Red]\(0.00\)">
                  <c:v>16.815</c:v>
                </c:pt>
                <c:pt idx="504" c:formatCode="0.00_);[Red]\(0.00\)">
                  <c:v>16.849</c:v>
                </c:pt>
                <c:pt idx="505" c:formatCode="0.00_);[Red]\(0.00\)">
                  <c:v>16.882</c:v>
                </c:pt>
                <c:pt idx="506" c:formatCode="0.00_);[Red]\(0.00\)">
                  <c:v>16.916</c:v>
                </c:pt>
                <c:pt idx="507" c:formatCode="0.00_);[Red]\(0.00\)">
                  <c:v>16.949</c:v>
                </c:pt>
                <c:pt idx="508" c:formatCode="0.00_);[Red]\(0.00\)">
                  <c:v>16.982</c:v>
                </c:pt>
                <c:pt idx="509" c:formatCode="0.00_);[Red]\(0.00\)">
                  <c:v>17.016</c:v>
                </c:pt>
                <c:pt idx="510" c:formatCode="0.00_);[Red]\(0.00\)">
                  <c:v>17.049</c:v>
                </c:pt>
                <c:pt idx="511" c:formatCode="0.00_);[Red]\(0.00\)">
                  <c:v>17.083</c:v>
                </c:pt>
                <c:pt idx="512" c:formatCode="0.00_);[Red]\(0.00\)">
                  <c:v>17.116</c:v>
                </c:pt>
                <c:pt idx="513" c:formatCode="0.00_);[Red]\(0.00\)">
                  <c:v>17.15</c:v>
                </c:pt>
                <c:pt idx="514" c:formatCode="0.00_);[Red]\(0.00\)">
                  <c:v>17.183</c:v>
                </c:pt>
                <c:pt idx="515" c:formatCode="0.00_);[Red]\(0.00\)">
                  <c:v>17.216</c:v>
                </c:pt>
                <c:pt idx="516" c:formatCode="0.00_);[Red]\(0.00\)">
                  <c:v>17.25</c:v>
                </c:pt>
                <c:pt idx="517" c:formatCode="0.00_);[Red]\(0.00\)">
                  <c:v>17.283</c:v>
                </c:pt>
                <c:pt idx="518" c:formatCode="0.00_);[Red]\(0.00\)">
                  <c:v>17.317</c:v>
                </c:pt>
                <c:pt idx="519" c:formatCode="0.00_);[Red]\(0.00\)">
                  <c:v>17.35</c:v>
                </c:pt>
                <c:pt idx="520" c:formatCode="0.00_);[Red]\(0.00\)">
                  <c:v>17.384</c:v>
                </c:pt>
                <c:pt idx="521" c:formatCode="0.00_);[Red]\(0.00\)">
                  <c:v>17.417</c:v>
                </c:pt>
                <c:pt idx="522" c:formatCode="0.00_);[Red]\(0.00\)">
                  <c:v>17.45</c:v>
                </c:pt>
                <c:pt idx="523" c:formatCode="0.00_);[Red]\(0.00\)">
                  <c:v>17.484</c:v>
                </c:pt>
                <c:pt idx="524" c:formatCode="0.00_);[Red]\(0.00\)">
                  <c:v>17.517</c:v>
                </c:pt>
                <c:pt idx="525" c:formatCode="0.00_);[Red]\(0.00\)">
                  <c:v>17.551</c:v>
                </c:pt>
                <c:pt idx="526" c:formatCode="0.00_);[Red]\(0.00\)">
                  <c:v>17.584</c:v>
                </c:pt>
              </c:numCache>
            </c:numRef>
          </c:cat>
          <c:val>
            <c:numRef>
              <c:f>A_13_58_43_Pro_20KPa!$L$4:$L$530</c:f>
              <c:numCache>
                <c:formatCode>General</c:formatCode>
                <c:ptCount val="527"/>
                <c:pt idx="0">
                  <c:v>-30.9</c:v>
                </c:pt>
                <c:pt idx="1">
                  <c:v>-30.9</c:v>
                </c:pt>
                <c:pt idx="2">
                  <c:v>-30.9</c:v>
                </c:pt>
                <c:pt idx="3">
                  <c:v>-30.9</c:v>
                </c:pt>
                <c:pt idx="4">
                  <c:v>-30.9</c:v>
                </c:pt>
                <c:pt idx="5">
                  <c:v>-30.9</c:v>
                </c:pt>
                <c:pt idx="6">
                  <c:v>-30.9</c:v>
                </c:pt>
                <c:pt idx="7">
                  <c:v>-30.9</c:v>
                </c:pt>
                <c:pt idx="8">
                  <c:v>-30.9</c:v>
                </c:pt>
                <c:pt idx="9">
                  <c:v>-30.9</c:v>
                </c:pt>
                <c:pt idx="10">
                  <c:v>-30.9</c:v>
                </c:pt>
                <c:pt idx="11">
                  <c:v>-30.9</c:v>
                </c:pt>
                <c:pt idx="12">
                  <c:v>-30.9</c:v>
                </c:pt>
                <c:pt idx="13">
                  <c:v>-30.9</c:v>
                </c:pt>
                <c:pt idx="14">
                  <c:v>-30.9</c:v>
                </c:pt>
                <c:pt idx="15">
                  <c:v>-30.9</c:v>
                </c:pt>
                <c:pt idx="16">
                  <c:v>-30.9</c:v>
                </c:pt>
                <c:pt idx="17">
                  <c:v>-30.9</c:v>
                </c:pt>
                <c:pt idx="18">
                  <c:v>-30.9</c:v>
                </c:pt>
                <c:pt idx="19">
                  <c:v>-30.9</c:v>
                </c:pt>
                <c:pt idx="20">
                  <c:v>-30.9</c:v>
                </c:pt>
                <c:pt idx="21">
                  <c:v>-30.9</c:v>
                </c:pt>
                <c:pt idx="22">
                  <c:v>-30.9</c:v>
                </c:pt>
                <c:pt idx="23">
                  <c:v>-30.9</c:v>
                </c:pt>
                <c:pt idx="24">
                  <c:v>-30.9</c:v>
                </c:pt>
                <c:pt idx="25">
                  <c:v>-30.9</c:v>
                </c:pt>
                <c:pt idx="26">
                  <c:v>-30.9</c:v>
                </c:pt>
                <c:pt idx="27">
                  <c:v>-30.9</c:v>
                </c:pt>
                <c:pt idx="28">
                  <c:v>-30.9</c:v>
                </c:pt>
                <c:pt idx="29">
                  <c:v>-30.9</c:v>
                </c:pt>
                <c:pt idx="30">
                  <c:v>-30.9</c:v>
                </c:pt>
                <c:pt idx="31">
                  <c:v>-30.9</c:v>
                </c:pt>
                <c:pt idx="32">
                  <c:v>-30.9</c:v>
                </c:pt>
                <c:pt idx="33">
                  <c:v>-30.9</c:v>
                </c:pt>
                <c:pt idx="34">
                  <c:v>-30.9</c:v>
                </c:pt>
                <c:pt idx="35">
                  <c:v>-30.9</c:v>
                </c:pt>
                <c:pt idx="36">
                  <c:v>-30.9</c:v>
                </c:pt>
                <c:pt idx="37">
                  <c:v>-30.9</c:v>
                </c:pt>
                <c:pt idx="38">
                  <c:v>-30.9</c:v>
                </c:pt>
                <c:pt idx="39">
                  <c:v>-30.9</c:v>
                </c:pt>
                <c:pt idx="40">
                  <c:v>-30.9</c:v>
                </c:pt>
                <c:pt idx="41">
                  <c:v>-30.9</c:v>
                </c:pt>
                <c:pt idx="42">
                  <c:v>-30.9</c:v>
                </c:pt>
                <c:pt idx="43">
                  <c:v>-30.9</c:v>
                </c:pt>
                <c:pt idx="44">
                  <c:v>-30.9</c:v>
                </c:pt>
                <c:pt idx="45">
                  <c:v>-30.9</c:v>
                </c:pt>
                <c:pt idx="46">
                  <c:v>-30.9</c:v>
                </c:pt>
                <c:pt idx="47">
                  <c:v>-30.9</c:v>
                </c:pt>
                <c:pt idx="48">
                  <c:v>-30.9</c:v>
                </c:pt>
                <c:pt idx="49">
                  <c:v>-30.9</c:v>
                </c:pt>
                <c:pt idx="50">
                  <c:v>-30.9</c:v>
                </c:pt>
                <c:pt idx="51">
                  <c:v>-30.9</c:v>
                </c:pt>
                <c:pt idx="52">
                  <c:v>-30.9</c:v>
                </c:pt>
                <c:pt idx="53">
                  <c:v>-30.9</c:v>
                </c:pt>
                <c:pt idx="54">
                  <c:v>-30.9</c:v>
                </c:pt>
                <c:pt idx="55">
                  <c:v>-30.9</c:v>
                </c:pt>
                <c:pt idx="56">
                  <c:v>-30.9</c:v>
                </c:pt>
                <c:pt idx="57">
                  <c:v>-30.9</c:v>
                </c:pt>
                <c:pt idx="58">
                  <c:v>-30.9</c:v>
                </c:pt>
                <c:pt idx="59">
                  <c:v>-30.9</c:v>
                </c:pt>
                <c:pt idx="60">
                  <c:v>-30.9</c:v>
                </c:pt>
                <c:pt idx="61">
                  <c:v>-30.9</c:v>
                </c:pt>
                <c:pt idx="62">
                  <c:v>-30.9</c:v>
                </c:pt>
                <c:pt idx="63">
                  <c:v>-30.9</c:v>
                </c:pt>
                <c:pt idx="64">
                  <c:v>-30.9</c:v>
                </c:pt>
                <c:pt idx="65">
                  <c:v>-30.9</c:v>
                </c:pt>
                <c:pt idx="66">
                  <c:v>-30.9</c:v>
                </c:pt>
                <c:pt idx="67">
                  <c:v>-30.9</c:v>
                </c:pt>
                <c:pt idx="68">
                  <c:v>-30.9</c:v>
                </c:pt>
                <c:pt idx="69">
                  <c:v>-30.9</c:v>
                </c:pt>
                <c:pt idx="70">
                  <c:v>-30.9</c:v>
                </c:pt>
                <c:pt idx="71">
                  <c:v>-30.9</c:v>
                </c:pt>
                <c:pt idx="72">
                  <c:v>-30.9</c:v>
                </c:pt>
                <c:pt idx="73">
                  <c:v>-30.9</c:v>
                </c:pt>
                <c:pt idx="74">
                  <c:v>-30.9</c:v>
                </c:pt>
                <c:pt idx="75">
                  <c:v>-30.9</c:v>
                </c:pt>
                <c:pt idx="76">
                  <c:v>-30.9</c:v>
                </c:pt>
                <c:pt idx="77">
                  <c:v>-30.9</c:v>
                </c:pt>
                <c:pt idx="78">
                  <c:v>-30.9</c:v>
                </c:pt>
                <c:pt idx="79">
                  <c:v>-30.9</c:v>
                </c:pt>
                <c:pt idx="80">
                  <c:v>-30.9</c:v>
                </c:pt>
                <c:pt idx="81">
                  <c:v>-30.9</c:v>
                </c:pt>
                <c:pt idx="82">
                  <c:v>-30.9</c:v>
                </c:pt>
                <c:pt idx="83">
                  <c:v>-30.9</c:v>
                </c:pt>
                <c:pt idx="84">
                  <c:v>-30.9</c:v>
                </c:pt>
                <c:pt idx="85">
                  <c:v>-30.9</c:v>
                </c:pt>
                <c:pt idx="86">
                  <c:v>-30.9</c:v>
                </c:pt>
                <c:pt idx="87">
                  <c:v>-30.9</c:v>
                </c:pt>
                <c:pt idx="88">
                  <c:v>-30.9</c:v>
                </c:pt>
                <c:pt idx="89">
                  <c:v>-30.9</c:v>
                </c:pt>
                <c:pt idx="90">
                  <c:v>-30.9</c:v>
                </c:pt>
                <c:pt idx="91">
                  <c:v>-30.9</c:v>
                </c:pt>
                <c:pt idx="92">
                  <c:v>-30.9</c:v>
                </c:pt>
                <c:pt idx="93">
                  <c:v>-30.9</c:v>
                </c:pt>
                <c:pt idx="94">
                  <c:v>-30.9</c:v>
                </c:pt>
                <c:pt idx="95">
                  <c:v>-30.9</c:v>
                </c:pt>
                <c:pt idx="96">
                  <c:v>-30.9</c:v>
                </c:pt>
                <c:pt idx="97">
                  <c:v>-30.9</c:v>
                </c:pt>
                <c:pt idx="98">
                  <c:v>-30.9</c:v>
                </c:pt>
                <c:pt idx="99">
                  <c:v>-30.9</c:v>
                </c:pt>
                <c:pt idx="100">
                  <c:v>12.1</c:v>
                </c:pt>
                <c:pt idx="101">
                  <c:v>12.1</c:v>
                </c:pt>
                <c:pt idx="102">
                  <c:v>12.1</c:v>
                </c:pt>
                <c:pt idx="103">
                  <c:v>12.1</c:v>
                </c:pt>
                <c:pt idx="104">
                  <c:v>12.1</c:v>
                </c:pt>
                <c:pt idx="105">
                  <c:v>12.1</c:v>
                </c:pt>
                <c:pt idx="106">
                  <c:v>12.1</c:v>
                </c:pt>
                <c:pt idx="107">
                  <c:v>12.1</c:v>
                </c:pt>
                <c:pt idx="108">
                  <c:v>12.1</c:v>
                </c:pt>
                <c:pt idx="109">
                  <c:v>12.1</c:v>
                </c:pt>
                <c:pt idx="110">
                  <c:v>12.1</c:v>
                </c:pt>
                <c:pt idx="111">
                  <c:v>12.1</c:v>
                </c:pt>
                <c:pt idx="112">
                  <c:v>12.1</c:v>
                </c:pt>
                <c:pt idx="113">
                  <c:v>12.1</c:v>
                </c:pt>
                <c:pt idx="114">
                  <c:v>12.1</c:v>
                </c:pt>
                <c:pt idx="115">
                  <c:v>12.1</c:v>
                </c:pt>
                <c:pt idx="116">
                  <c:v>12.1</c:v>
                </c:pt>
                <c:pt idx="117">
                  <c:v>12.1</c:v>
                </c:pt>
                <c:pt idx="118">
                  <c:v>-30.9</c:v>
                </c:pt>
                <c:pt idx="119">
                  <c:v>-30.9</c:v>
                </c:pt>
                <c:pt idx="120">
                  <c:v>-30.9</c:v>
                </c:pt>
                <c:pt idx="121">
                  <c:v>-30.9</c:v>
                </c:pt>
                <c:pt idx="122">
                  <c:v>-30.9</c:v>
                </c:pt>
                <c:pt idx="123">
                  <c:v>-30.9</c:v>
                </c:pt>
                <c:pt idx="124">
                  <c:v>-30.9</c:v>
                </c:pt>
                <c:pt idx="125">
                  <c:v>-30.9</c:v>
                </c:pt>
                <c:pt idx="126">
                  <c:v>-30.9</c:v>
                </c:pt>
                <c:pt idx="127">
                  <c:v>-30.9</c:v>
                </c:pt>
                <c:pt idx="128">
                  <c:v>-30.9</c:v>
                </c:pt>
                <c:pt idx="129">
                  <c:v>-30.9</c:v>
                </c:pt>
                <c:pt idx="130">
                  <c:v>-30.9</c:v>
                </c:pt>
                <c:pt idx="131">
                  <c:v>-30.9</c:v>
                </c:pt>
                <c:pt idx="132">
                  <c:v>-30.9</c:v>
                </c:pt>
                <c:pt idx="133">
                  <c:v>-30.9</c:v>
                </c:pt>
                <c:pt idx="134">
                  <c:v>-30.9</c:v>
                </c:pt>
                <c:pt idx="135">
                  <c:v>-30.9</c:v>
                </c:pt>
                <c:pt idx="136">
                  <c:v>12.1</c:v>
                </c:pt>
                <c:pt idx="137">
                  <c:v>12.1</c:v>
                </c:pt>
                <c:pt idx="138">
                  <c:v>12.1</c:v>
                </c:pt>
                <c:pt idx="139">
                  <c:v>12.1</c:v>
                </c:pt>
                <c:pt idx="140">
                  <c:v>12.1</c:v>
                </c:pt>
                <c:pt idx="141">
                  <c:v>12.1</c:v>
                </c:pt>
                <c:pt idx="142">
                  <c:v>12.1</c:v>
                </c:pt>
                <c:pt idx="143">
                  <c:v>12.1</c:v>
                </c:pt>
                <c:pt idx="144">
                  <c:v>12.1</c:v>
                </c:pt>
                <c:pt idx="145">
                  <c:v>12.1</c:v>
                </c:pt>
                <c:pt idx="146">
                  <c:v>12.1</c:v>
                </c:pt>
                <c:pt idx="147">
                  <c:v>12.1</c:v>
                </c:pt>
                <c:pt idx="148">
                  <c:v>12.1</c:v>
                </c:pt>
                <c:pt idx="149">
                  <c:v>12.1</c:v>
                </c:pt>
                <c:pt idx="150">
                  <c:v>12.1</c:v>
                </c:pt>
                <c:pt idx="151">
                  <c:v>12.1</c:v>
                </c:pt>
                <c:pt idx="152">
                  <c:v>12.1</c:v>
                </c:pt>
                <c:pt idx="153">
                  <c:v>12.1</c:v>
                </c:pt>
                <c:pt idx="154">
                  <c:v>12.1</c:v>
                </c:pt>
                <c:pt idx="155">
                  <c:v>-30.9</c:v>
                </c:pt>
                <c:pt idx="156">
                  <c:v>-30.9</c:v>
                </c:pt>
                <c:pt idx="157">
                  <c:v>-30.9</c:v>
                </c:pt>
                <c:pt idx="158">
                  <c:v>-30.9</c:v>
                </c:pt>
                <c:pt idx="159">
                  <c:v>-30.9</c:v>
                </c:pt>
                <c:pt idx="160">
                  <c:v>-30.9</c:v>
                </c:pt>
                <c:pt idx="161">
                  <c:v>-30.9</c:v>
                </c:pt>
                <c:pt idx="162">
                  <c:v>-30.9</c:v>
                </c:pt>
                <c:pt idx="163">
                  <c:v>-30.9</c:v>
                </c:pt>
                <c:pt idx="164">
                  <c:v>-30.9</c:v>
                </c:pt>
                <c:pt idx="165">
                  <c:v>-30.9</c:v>
                </c:pt>
                <c:pt idx="166">
                  <c:v>-30.9</c:v>
                </c:pt>
                <c:pt idx="167">
                  <c:v>-30.9</c:v>
                </c:pt>
                <c:pt idx="168">
                  <c:v>-30.9</c:v>
                </c:pt>
                <c:pt idx="169">
                  <c:v>-30.9</c:v>
                </c:pt>
                <c:pt idx="170">
                  <c:v>-30.9</c:v>
                </c:pt>
                <c:pt idx="171">
                  <c:v>-30.9</c:v>
                </c:pt>
                <c:pt idx="172">
                  <c:v>-30.9</c:v>
                </c:pt>
                <c:pt idx="173">
                  <c:v>12.1</c:v>
                </c:pt>
                <c:pt idx="174">
                  <c:v>12.1</c:v>
                </c:pt>
                <c:pt idx="175">
                  <c:v>12.1</c:v>
                </c:pt>
                <c:pt idx="176">
                  <c:v>12.1</c:v>
                </c:pt>
                <c:pt idx="177">
                  <c:v>12.1</c:v>
                </c:pt>
                <c:pt idx="178">
                  <c:v>12.1</c:v>
                </c:pt>
                <c:pt idx="179">
                  <c:v>12.1</c:v>
                </c:pt>
                <c:pt idx="180">
                  <c:v>12.1</c:v>
                </c:pt>
                <c:pt idx="181">
                  <c:v>12.1</c:v>
                </c:pt>
                <c:pt idx="182">
                  <c:v>12.1</c:v>
                </c:pt>
                <c:pt idx="183">
                  <c:v>12.1</c:v>
                </c:pt>
                <c:pt idx="184">
                  <c:v>12.1</c:v>
                </c:pt>
                <c:pt idx="185">
                  <c:v>12.1</c:v>
                </c:pt>
                <c:pt idx="186">
                  <c:v>12.1</c:v>
                </c:pt>
                <c:pt idx="187">
                  <c:v>12.1</c:v>
                </c:pt>
                <c:pt idx="188">
                  <c:v>12.1</c:v>
                </c:pt>
                <c:pt idx="189">
                  <c:v>12.1</c:v>
                </c:pt>
                <c:pt idx="190">
                  <c:v>12.1</c:v>
                </c:pt>
                <c:pt idx="191">
                  <c:v>-30.9</c:v>
                </c:pt>
                <c:pt idx="192">
                  <c:v>-30.9</c:v>
                </c:pt>
                <c:pt idx="193">
                  <c:v>-30.9</c:v>
                </c:pt>
                <c:pt idx="194">
                  <c:v>-30.9</c:v>
                </c:pt>
                <c:pt idx="195">
                  <c:v>-30.9</c:v>
                </c:pt>
                <c:pt idx="196">
                  <c:v>-30.9</c:v>
                </c:pt>
                <c:pt idx="197">
                  <c:v>-30.9</c:v>
                </c:pt>
                <c:pt idx="198">
                  <c:v>-30.9</c:v>
                </c:pt>
                <c:pt idx="199">
                  <c:v>-30.9</c:v>
                </c:pt>
                <c:pt idx="200">
                  <c:v>-30.9</c:v>
                </c:pt>
                <c:pt idx="201">
                  <c:v>-30.9</c:v>
                </c:pt>
                <c:pt idx="202">
                  <c:v>-30.9</c:v>
                </c:pt>
                <c:pt idx="203">
                  <c:v>-30.9</c:v>
                </c:pt>
                <c:pt idx="204">
                  <c:v>-30.9</c:v>
                </c:pt>
                <c:pt idx="205">
                  <c:v>-30.9</c:v>
                </c:pt>
                <c:pt idx="206">
                  <c:v>-30.9</c:v>
                </c:pt>
                <c:pt idx="207">
                  <c:v>-30.9</c:v>
                </c:pt>
                <c:pt idx="208">
                  <c:v>-30.9</c:v>
                </c:pt>
                <c:pt idx="209">
                  <c:v>-30.9</c:v>
                </c:pt>
                <c:pt idx="210">
                  <c:v>-30.9</c:v>
                </c:pt>
                <c:pt idx="211">
                  <c:v>-30.9</c:v>
                </c:pt>
                <c:pt idx="212">
                  <c:v>-30.9</c:v>
                </c:pt>
                <c:pt idx="213">
                  <c:v>-30.9</c:v>
                </c:pt>
                <c:pt idx="214">
                  <c:v>-30.9</c:v>
                </c:pt>
                <c:pt idx="215">
                  <c:v>-30.9</c:v>
                </c:pt>
                <c:pt idx="216">
                  <c:v>-30.9</c:v>
                </c:pt>
                <c:pt idx="217">
                  <c:v>-30.9</c:v>
                </c:pt>
                <c:pt idx="218">
                  <c:v>-30.9</c:v>
                </c:pt>
                <c:pt idx="219">
                  <c:v>-30.9</c:v>
                </c:pt>
                <c:pt idx="220">
                  <c:v>-30.9</c:v>
                </c:pt>
                <c:pt idx="221">
                  <c:v>-30.9</c:v>
                </c:pt>
                <c:pt idx="222">
                  <c:v>-30.9</c:v>
                </c:pt>
                <c:pt idx="223">
                  <c:v>-30.9</c:v>
                </c:pt>
                <c:pt idx="224">
                  <c:v>-30.9</c:v>
                </c:pt>
                <c:pt idx="225">
                  <c:v>-30.9</c:v>
                </c:pt>
                <c:pt idx="226">
                  <c:v>-30.9</c:v>
                </c:pt>
                <c:pt idx="227">
                  <c:v>-30.9</c:v>
                </c:pt>
                <c:pt idx="228">
                  <c:v>-30.9</c:v>
                </c:pt>
                <c:pt idx="229">
                  <c:v>-30.9</c:v>
                </c:pt>
                <c:pt idx="230">
                  <c:v>-30.9</c:v>
                </c:pt>
                <c:pt idx="231">
                  <c:v>-30.9</c:v>
                </c:pt>
                <c:pt idx="232">
                  <c:v>-30.9</c:v>
                </c:pt>
                <c:pt idx="233">
                  <c:v>-30.9</c:v>
                </c:pt>
                <c:pt idx="234">
                  <c:v>-30.9</c:v>
                </c:pt>
                <c:pt idx="235">
                  <c:v>-30.9</c:v>
                </c:pt>
                <c:pt idx="236">
                  <c:v>-30.9</c:v>
                </c:pt>
                <c:pt idx="237">
                  <c:v>-30.9</c:v>
                </c:pt>
                <c:pt idx="238">
                  <c:v>-30.9</c:v>
                </c:pt>
                <c:pt idx="239">
                  <c:v>-30.9</c:v>
                </c:pt>
                <c:pt idx="240">
                  <c:v>-30.9</c:v>
                </c:pt>
                <c:pt idx="241">
                  <c:v>-30.9</c:v>
                </c:pt>
                <c:pt idx="242">
                  <c:v>-30.9</c:v>
                </c:pt>
                <c:pt idx="243">
                  <c:v>-30.9</c:v>
                </c:pt>
                <c:pt idx="244">
                  <c:v>-30.9</c:v>
                </c:pt>
                <c:pt idx="245">
                  <c:v>-30.9</c:v>
                </c:pt>
                <c:pt idx="246">
                  <c:v>-30.9</c:v>
                </c:pt>
                <c:pt idx="247">
                  <c:v>-30.9</c:v>
                </c:pt>
                <c:pt idx="248">
                  <c:v>-30.9</c:v>
                </c:pt>
                <c:pt idx="249">
                  <c:v>-30.9</c:v>
                </c:pt>
                <c:pt idx="250">
                  <c:v>-30.9</c:v>
                </c:pt>
                <c:pt idx="251">
                  <c:v>-30.9</c:v>
                </c:pt>
                <c:pt idx="252">
                  <c:v>-30.9</c:v>
                </c:pt>
                <c:pt idx="253">
                  <c:v>-30.9</c:v>
                </c:pt>
                <c:pt idx="254">
                  <c:v>-30.9</c:v>
                </c:pt>
                <c:pt idx="255">
                  <c:v>-30.9</c:v>
                </c:pt>
                <c:pt idx="256">
                  <c:v>-30.9</c:v>
                </c:pt>
                <c:pt idx="257">
                  <c:v>-30.9</c:v>
                </c:pt>
                <c:pt idx="258">
                  <c:v>-30.9</c:v>
                </c:pt>
                <c:pt idx="259">
                  <c:v>-30.9</c:v>
                </c:pt>
                <c:pt idx="260">
                  <c:v>-30.9</c:v>
                </c:pt>
                <c:pt idx="261">
                  <c:v>-30.9</c:v>
                </c:pt>
                <c:pt idx="262">
                  <c:v>-30.9</c:v>
                </c:pt>
                <c:pt idx="263">
                  <c:v>-30.9</c:v>
                </c:pt>
                <c:pt idx="264">
                  <c:v>-30.9</c:v>
                </c:pt>
                <c:pt idx="265">
                  <c:v>-30.9</c:v>
                </c:pt>
                <c:pt idx="266">
                  <c:v>-30.9</c:v>
                </c:pt>
                <c:pt idx="267">
                  <c:v>-30.9</c:v>
                </c:pt>
                <c:pt idx="268">
                  <c:v>-30.9</c:v>
                </c:pt>
                <c:pt idx="269">
                  <c:v>-30.9</c:v>
                </c:pt>
                <c:pt idx="270">
                  <c:v>-30.9</c:v>
                </c:pt>
                <c:pt idx="271">
                  <c:v>-30.9</c:v>
                </c:pt>
                <c:pt idx="272">
                  <c:v>-30.9</c:v>
                </c:pt>
                <c:pt idx="273">
                  <c:v>-30.9</c:v>
                </c:pt>
                <c:pt idx="274">
                  <c:v>-30.9</c:v>
                </c:pt>
                <c:pt idx="275">
                  <c:v>-30.9</c:v>
                </c:pt>
                <c:pt idx="276">
                  <c:v>-30.9</c:v>
                </c:pt>
                <c:pt idx="277">
                  <c:v>-30.9</c:v>
                </c:pt>
                <c:pt idx="278">
                  <c:v>-30.9</c:v>
                </c:pt>
                <c:pt idx="279">
                  <c:v>-30.9</c:v>
                </c:pt>
                <c:pt idx="280">
                  <c:v>-30.9</c:v>
                </c:pt>
                <c:pt idx="281">
                  <c:v>-30.9</c:v>
                </c:pt>
                <c:pt idx="282">
                  <c:v>-30.9</c:v>
                </c:pt>
                <c:pt idx="283">
                  <c:v>-30.9</c:v>
                </c:pt>
                <c:pt idx="284">
                  <c:v>-30.9</c:v>
                </c:pt>
                <c:pt idx="285">
                  <c:v>-30.9</c:v>
                </c:pt>
                <c:pt idx="286">
                  <c:v>-30.9</c:v>
                </c:pt>
                <c:pt idx="287">
                  <c:v>-30.9</c:v>
                </c:pt>
                <c:pt idx="288">
                  <c:v>-30.9</c:v>
                </c:pt>
                <c:pt idx="289">
                  <c:v>-30.9</c:v>
                </c:pt>
                <c:pt idx="290">
                  <c:v>-30.9</c:v>
                </c:pt>
                <c:pt idx="291">
                  <c:v>-30.9</c:v>
                </c:pt>
                <c:pt idx="292">
                  <c:v>-30.9</c:v>
                </c:pt>
                <c:pt idx="293">
                  <c:v>-30.9</c:v>
                </c:pt>
                <c:pt idx="294">
                  <c:v>-30.9</c:v>
                </c:pt>
                <c:pt idx="295">
                  <c:v>-30.9</c:v>
                </c:pt>
                <c:pt idx="296">
                  <c:v>-30.9</c:v>
                </c:pt>
                <c:pt idx="297">
                  <c:v>-30.9</c:v>
                </c:pt>
                <c:pt idx="298">
                  <c:v>-30.9</c:v>
                </c:pt>
                <c:pt idx="299">
                  <c:v>-30.9</c:v>
                </c:pt>
                <c:pt idx="300">
                  <c:v>-30.9</c:v>
                </c:pt>
                <c:pt idx="301">
                  <c:v>-30.9</c:v>
                </c:pt>
                <c:pt idx="302">
                  <c:v>-30.9</c:v>
                </c:pt>
                <c:pt idx="303">
                  <c:v>-30.9</c:v>
                </c:pt>
                <c:pt idx="304">
                  <c:v>-30.9</c:v>
                </c:pt>
                <c:pt idx="305">
                  <c:v>-30.9</c:v>
                </c:pt>
                <c:pt idx="306">
                  <c:v>-30.9</c:v>
                </c:pt>
                <c:pt idx="307">
                  <c:v>-30.9</c:v>
                </c:pt>
                <c:pt idx="308">
                  <c:v>-30.9</c:v>
                </c:pt>
                <c:pt idx="309">
                  <c:v>-30.9</c:v>
                </c:pt>
                <c:pt idx="310">
                  <c:v>-30.9</c:v>
                </c:pt>
                <c:pt idx="311">
                  <c:v>-30.9</c:v>
                </c:pt>
                <c:pt idx="312">
                  <c:v>-30.9</c:v>
                </c:pt>
                <c:pt idx="313">
                  <c:v>-30.9</c:v>
                </c:pt>
                <c:pt idx="314">
                  <c:v>-30.9</c:v>
                </c:pt>
                <c:pt idx="315">
                  <c:v>-30.9</c:v>
                </c:pt>
                <c:pt idx="316">
                  <c:v>-30.9</c:v>
                </c:pt>
                <c:pt idx="317">
                  <c:v>-30.9</c:v>
                </c:pt>
                <c:pt idx="318">
                  <c:v>-30.9</c:v>
                </c:pt>
                <c:pt idx="319">
                  <c:v>-30.9</c:v>
                </c:pt>
                <c:pt idx="320">
                  <c:v>-30.9</c:v>
                </c:pt>
                <c:pt idx="321">
                  <c:v>-30.9</c:v>
                </c:pt>
                <c:pt idx="322">
                  <c:v>-30.9</c:v>
                </c:pt>
                <c:pt idx="323">
                  <c:v>-30.9</c:v>
                </c:pt>
                <c:pt idx="324">
                  <c:v>-30.9</c:v>
                </c:pt>
                <c:pt idx="325">
                  <c:v>-30.9</c:v>
                </c:pt>
                <c:pt idx="326">
                  <c:v>-30.9</c:v>
                </c:pt>
                <c:pt idx="327">
                  <c:v>-30.9</c:v>
                </c:pt>
                <c:pt idx="328">
                  <c:v>-30.9</c:v>
                </c:pt>
                <c:pt idx="329">
                  <c:v>-30.9</c:v>
                </c:pt>
                <c:pt idx="330">
                  <c:v>-30.9</c:v>
                </c:pt>
                <c:pt idx="331">
                  <c:v>-30.9</c:v>
                </c:pt>
                <c:pt idx="332">
                  <c:v>-30.9</c:v>
                </c:pt>
                <c:pt idx="333">
                  <c:v>-30.9</c:v>
                </c:pt>
                <c:pt idx="334">
                  <c:v>-30.9</c:v>
                </c:pt>
                <c:pt idx="335">
                  <c:v>-30.9</c:v>
                </c:pt>
                <c:pt idx="336">
                  <c:v>-30.9</c:v>
                </c:pt>
                <c:pt idx="337">
                  <c:v>-30.9</c:v>
                </c:pt>
                <c:pt idx="338">
                  <c:v>-30.9</c:v>
                </c:pt>
                <c:pt idx="339">
                  <c:v>-30.9</c:v>
                </c:pt>
                <c:pt idx="340">
                  <c:v>-30.9</c:v>
                </c:pt>
                <c:pt idx="341">
                  <c:v>-30.9</c:v>
                </c:pt>
                <c:pt idx="342">
                  <c:v>-30.9</c:v>
                </c:pt>
                <c:pt idx="343">
                  <c:v>-30.9</c:v>
                </c:pt>
                <c:pt idx="344">
                  <c:v>-30.9</c:v>
                </c:pt>
                <c:pt idx="345">
                  <c:v>-30.9</c:v>
                </c:pt>
                <c:pt idx="346">
                  <c:v>-30.9</c:v>
                </c:pt>
                <c:pt idx="347">
                  <c:v>-30.9</c:v>
                </c:pt>
                <c:pt idx="348">
                  <c:v>-30.9</c:v>
                </c:pt>
                <c:pt idx="349">
                  <c:v>-30.9</c:v>
                </c:pt>
                <c:pt idx="350">
                  <c:v>-30.9</c:v>
                </c:pt>
                <c:pt idx="351">
                  <c:v>-30.9</c:v>
                </c:pt>
                <c:pt idx="352">
                  <c:v>-30.9</c:v>
                </c:pt>
                <c:pt idx="353">
                  <c:v>-30.9</c:v>
                </c:pt>
                <c:pt idx="354">
                  <c:v>-30.9</c:v>
                </c:pt>
                <c:pt idx="355">
                  <c:v>-30.9</c:v>
                </c:pt>
                <c:pt idx="356">
                  <c:v>-30.9</c:v>
                </c:pt>
                <c:pt idx="357">
                  <c:v>-30.9</c:v>
                </c:pt>
                <c:pt idx="358">
                  <c:v>-30.9</c:v>
                </c:pt>
                <c:pt idx="359">
                  <c:v>-30.9</c:v>
                </c:pt>
                <c:pt idx="360">
                  <c:v>-30.9</c:v>
                </c:pt>
                <c:pt idx="361">
                  <c:v>-30.9</c:v>
                </c:pt>
                <c:pt idx="362">
                  <c:v>-30.9</c:v>
                </c:pt>
                <c:pt idx="363">
                  <c:v>-30.9</c:v>
                </c:pt>
                <c:pt idx="364">
                  <c:v>-30.9</c:v>
                </c:pt>
                <c:pt idx="365">
                  <c:v>-30.9</c:v>
                </c:pt>
                <c:pt idx="366">
                  <c:v>-30.9</c:v>
                </c:pt>
                <c:pt idx="367">
                  <c:v>-30.9</c:v>
                </c:pt>
                <c:pt idx="368">
                  <c:v>-30.9</c:v>
                </c:pt>
                <c:pt idx="369">
                  <c:v>-30.9</c:v>
                </c:pt>
                <c:pt idx="370">
                  <c:v>-30.9</c:v>
                </c:pt>
                <c:pt idx="371">
                  <c:v>-30.9</c:v>
                </c:pt>
                <c:pt idx="372">
                  <c:v>-30.9</c:v>
                </c:pt>
                <c:pt idx="373">
                  <c:v>-30.9</c:v>
                </c:pt>
                <c:pt idx="374">
                  <c:v>-30.9</c:v>
                </c:pt>
                <c:pt idx="375">
                  <c:v>-30.9</c:v>
                </c:pt>
                <c:pt idx="376">
                  <c:v>-30.9</c:v>
                </c:pt>
                <c:pt idx="377">
                  <c:v>-30.9</c:v>
                </c:pt>
                <c:pt idx="378">
                  <c:v>-30.9</c:v>
                </c:pt>
                <c:pt idx="379">
                  <c:v>-30.9</c:v>
                </c:pt>
                <c:pt idx="380">
                  <c:v>-30.9</c:v>
                </c:pt>
                <c:pt idx="381">
                  <c:v>-30.9</c:v>
                </c:pt>
                <c:pt idx="382">
                  <c:v>-30.9</c:v>
                </c:pt>
                <c:pt idx="383">
                  <c:v>-30.9</c:v>
                </c:pt>
                <c:pt idx="384">
                  <c:v>-30.9</c:v>
                </c:pt>
                <c:pt idx="385">
                  <c:v>-30.9</c:v>
                </c:pt>
                <c:pt idx="386">
                  <c:v>-30.9</c:v>
                </c:pt>
                <c:pt idx="387">
                  <c:v>-30.9</c:v>
                </c:pt>
                <c:pt idx="388">
                  <c:v>-30.9</c:v>
                </c:pt>
                <c:pt idx="389">
                  <c:v>-30.9</c:v>
                </c:pt>
                <c:pt idx="390">
                  <c:v>-30.9</c:v>
                </c:pt>
                <c:pt idx="391">
                  <c:v>-30.9</c:v>
                </c:pt>
                <c:pt idx="392">
                  <c:v>-30.9</c:v>
                </c:pt>
                <c:pt idx="393">
                  <c:v>-30.9</c:v>
                </c:pt>
                <c:pt idx="394">
                  <c:v>-30.9</c:v>
                </c:pt>
                <c:pt idx="395">
                  <c:v>-30.9</c:v>
                </c:pt>
                <c:pt idx="396">
                  <c:v>-30.9</c:v>
                </c:pt>
                <c:pt idx="397">
                  <c:v>-30.9</c:v>
                </c:pt>
                <c:pt idx="398">
                  <c:v>-30.9</c:v>
                </c:pt>
                <c:pt idx="399">
                  <c:v>-30.9</c:v>
                </c:pt>
                <c:pt idx="400">
                  <c:v>-30.9</c:v>
                </c:pt>
                <c:pt idx="401">
                  <c:v>-30.9</c:v>
                </c:pt>
                <c:pt idx="402">
                  <c:v>-30.9</c:v>
                </c:pt>
                <c:pt idx="403">
                  <c:v>-30.9</c:v>
                </c:pt>
                <c:pt idx="404">
                  <c:v>-30.9</c:v>
                </c:pt>
                <c:pt idx="405">
                  <c:v>-30.9</c:v>
                </c:pt>
                <c:pt idx="406">
                  <c:v>-30.9</c:v>
                </c:pt>
                <c:pt idx="407">
                  <c:v>-30.9</c:v>
                </c:pt>
                <c:pt idx="408">
                  <c:v>-30.9</c:v>
                </c:pt>
                <c:pt idx="409">
                  <c:v>-30.9</c:v>
                </c:pt>
                <c:pt idx="410">
                  <c:v>-30.9</c:v>
                </c:pt>
                <c:pt idx="411">
                  <c:v>-30.9</c:v>
                </c:pt>
                <c:pt idx="412">
                  <c:v>-30.9</c:v>
                </c:pt>
                <c:pt idx="413">
                  <c:v>-30.9</c:v>
                </c:pt>
                <c:pt idx="414">
                  <c:v>-30.9</c:v>
                </c:pt>
                <c:pt idx="415">
                  <c:v>-30.9</c:v>
                </c:pt>
                <c:pt idx="416">
                  <c:v>-30.9</c:v>
                </c:pt>
                <c:pt idx="417">
                  <c:v>-30.9</c:v>
                </c:pt>
                <c:pt idx="418">
                  <c:v>-30.9</c:v>
                </c:pt>
                <c:pt idx="419">
                  <c:v>-30.9</c:v>
                </c:pt>
                <c:pt idx="420">
                  <c:v>-30.9</c:v>
                </c:pt>
                <c:pt idx="421">
                  <c:v>-30.9</c:v>
                </c:pt>
                <c:pt idx="422">
                  <c:v>-30.9</c:v>
                </c:pt>
                <c:pt idx="423">
                  <c:v>-30.9</c:v>
                </c:pt>
                <c:pt idx="424">
                  <c:v>-30.9</c:v>
                </c:pt>
                <c:pt idx="425">
                  <c:v>-30.9</c:v>
                </c:pt>
                <c:pt idx="426">
                  <c:v>-30.9</c:v>
                </c:pt>
                <c:pt idx="427">
                  <c:v>-30.9</c:v>
                </c:pt>
                <c:pt idx="428">
                  <c:v>-30.9</c:v>
                </c:pt>
                <c:pt idx="429">
                  <c:v>-30.9</c:v>
                </c:pt>
                <c:pt idx="430">
                  <c:v>-30.9</c:v>
                </c:pt>
                <c:pt idx="431">
                  <c:v>-30.9</c:v>
                </c:pt>
                <c:pt idx="432">
                  <c:v>-30.9</c:v>
                </c:pt>
                <c:pt idx="433">
                  <c:v>-30.9</c:v>
                </c:pt>
                <c:pt idx="434">
                  <c:v>-30.9</c:v>
                </c:pt>
                <c:pt idx="435">
                  <c:v>-30.9</c:v>
                </c:pt>
                <c:pt idx="436">
                  <c:v>-30.9</c:v>
                </c:pt>
                <c:pt idx="437">
                  <c:v>-30.9</c:v>
                </c:pt>
                <c:pt idx="438">
                  <c:v>-30.9</c:v>
                </c:pt>
                <c:pt idx="439">
                  <c:v>-30.9</c:v>
                </c:pt>
                <c:pt idx="440">
                  <c:v>-30.9</c:v>
                </c:pt>
                <c:pt idx="441">
                  <c:v>-30.9</c:v>
                </c:pt>
                <c:pt idx="442">
                  <c:v>-30.9</c:v>
                </c:pt>
                <c:pt idx="443">
                  <c:v>-30.9</c:v>
                </c:pt>
                <c:pt idx="444">
                  <c:v>-30.9</c:v>
                </c:pt>
                <c:pt idx="445">
                  <c:v>-30.9</c:v>
                </c:pt>
                <c:pt idx="446">
                  <c:v>-30.9</c:v>
                </c:pt>
                <c:pt idx="447">
                  <c:v>-30.9</c:v>
                </c:pt>
                <c:pt idx="448">
                  <c:v>-30.9</c:v>
                </c:pt>
                <c:pt idx="449">
                  <c:v>-30.9</c:v>
                </c:pt>
                <c:pt idx="450">
                  <c:v>-30.9</c:v>
                </c:pt>
                <c:pt idx="451">
                  <c:v>-30.9</c:v>
                </c:pt>
                <c:pt idx="452">
                  <c:v>-30.9</c:v>
                </c:pt>
                <c:pt idx="453">
                  <c:v>-30.9</c:v>
                </c:pt>
                <c:pt idx="454">
                  <c:v>-30.9</c:v>
                </c:pt>
                <c:pt idx="455">
                  <c:v>-30.9</c:v>
                </c:pt>
                <c:pt idx="456">
                  <c:v>-30.9</c:v>
                </c:pt>
                <c:pt idx="457">
                  <c:v>-30.9</c:v>
                </c:pt>
                <c:pt idx="458">
                  <c:v>-30.9</c:v>
                </c:pt>
                <c:pt idx="459">
                  <c:v>-30.9</c:v>
                </c:pt>
                <c:pt idx="460">
                  <c:v>-30.9</c:v>
                </c:pt>
                <c:pt idx="461">
                  <c:v>-30.9</c:v>
                </c:pt>
                <c:pt idx="462">
                  <c:v>-30.9</c:v>
                </c:pt>
                <c:pt idx="463">
                  <c:v>-30.9</c:v>
                </c:pt>
                <c:pt idx="464">
                  <c:v>-30.9</c:v>
                </c:pt>
                <c:pt idx="465">
                  <c:v>-30.9</c:v>
                </c:pt>
                <c:pt idx="466">
                  <c:v>-30.9</c:v>
                </c:pt>
                <c:pt idx="467">
                  <c:v>-30.9</c:v>
                </c:pt>
                <c:pt idx="468">
                  <c:v>-30.9</c:v>
                </c:pt>
                <c:pt idx="469">
                  <c:v>-30.9</c:v>
                </c:pt>
                <c:pt idx="470">
                  <c:v>-30.9</c:v>
                </c:pt>
                <c:pt idx="471">
                  <c:v>-30.9</c:v>
                </c:pt>
                <c:pt idx="472">
                  <c:v>-30.9</c:v>
                </c:pt>
                <c:pt idx="473">
                  <c:v>-30.9</c:v>
                </c:pt>
                <c:pt idx="474">
                  <c:v>-30.9</c:v>
                </c:pt>
                <c:pt idx="475">
                  <c:v>-30.9</c:v>
                </c:pt>
                <c:pt idx="476">
                  <c:v>-30.9</c:v>
                </c:pt>
                <c:pt idx="477">
                  <c:v>-30.9</c:v>
                </c:pt>
                <c:pt idx="478">
                  <c:v>-30.9</c:v>
                </c:pt>
                <c:pt idx="479">
                  <c:v>-30.9</c:v>
                </c:pt>
                <c:pt idx="480">
                  <c:v>-30.9</c:v>
                </c:pt>
                <c:pt idx="481">
                  <c:v>-30.9</c:v>
                </c:pt>
                <c:pt idx="482">
                  <c:v>-30.9</c:v>
                </c:pt>
                <c:pt idx="483">
                  <c:v>-30.9</c:v>
                </c:pt>
                <c:pt idx="484">
                  <c:v>-30.9</c:v>
                </c:pt>
                <c:pt idx="485">
                  <c:v>-30.9</c:v>
                </c:pt>
                <c:pt idx="486">
                  <c:v>-30.9</c:v>
                </c:pt>
                <c:pt idx="487">
                  <c:v>-30.9</c:v>
                </c:pt>
                <c:pt idx="488">
                  <c:v>-30.9</c:v>
                </c:pt>
                <c:pt idx="489">
                  <c:v>-30.9</c:v>
                </c:pt>
                <c:pt idx="490">
                  <c:v>-30.9</c:v>
                </c:pt>
                <c:pt idx="491">
                  <c:v>-30.9</c:v>
                </c:pt>
                <c:pt idx="492">
                  <c:v>-30.9</c:v>
                </c:pt>
                <c:pt idx="493">
                  <c:v>-30.9</c:v>
                </c:pt>
                <c:pt idx="494">
                  <c:v>-30.9</c:v>
                </c:pt>
                <c:pt idx="495">
                  <c:v>-30.9</c:v>
                </c:pt>
                <c:pt idx="496">
                  <c:v>-30.9</c:v>
                </c:pt>
                <c:pt idx="497">
                  <c:v>-30.9</c:v>
                </c:pt>
                <c:pt idx="498">
                  <c:v>-30.9</c:v>
                </c:pt>
                <c:pt idx="499">
                  <c:v>-30.9</c:v>
                </c:pt>
                <c:pt idx="500">
                  <c:v>-30.9</c:v>
                </c:pt>
                <c:pt idx="501">
                  <c:v>-30.9</c:v>
                </c:pt>
                <c:pt idx="502">
                  <c:v>-30.9</c:v>
                </c:pt>
                <c:pt idx="503">
                  <c:v>-30.9</c:v>
                </c:pt>
                <c:pt idx="504">
                  <c:v>-30.9</c:v>
                </c:pt>
                <c:pt idx="505">
                  <c:v>-30.9</c:v>
                </c:pt>
                <c:pt idx="506">
                  <c:v>-30.9</c:v>
                </c:pt>
                <c:pt idx="507">
                  <c:v>-30.9</c:v>
                </c:pt>
                <c:pt idx="508">
                  <c:v>-30.9</c:v>
                </c:pt>
                <c:pt idx="509">
                  <c:v>-30.9</c:v>
                </c:pt>
                <c:pt idx="510">
                  <c:v>-30.9</c:v>
                </c:pt>
                <c:pt idx="511">
                  <c:v>-30.9</c:v>
                </c:pt>
                <c:pt idx="512">
                  <c:v>-30.9</c:v>
                </c:pt>
                <c:pt idx="513">
                  <c:v>-30.9</c:v>
                </c:pt>
                <c:pt idx="514">
                  <c:v>-30.9</c:v>
                </c:pt>
                <c:pt idx="515">
                  <c:v>-30.9</c:v>
                </c:pt>
                <c:pt idx="516">
                  <c:v>-30.9</c:v>
                </c:pt>
                <c:pt idx="517">
                  <c:v>-30.9</c:v>
                </c:pt>
                <c:pt idx="518">
                  <c:v>-30.9</c:v>
                </c:pt>
                <c:pt idx="519">
                  <c:v>-30.9</c:v>
                </c:pt>
                <c:pt idx="520">
                  <c:v>-30.9</c:v>
                </c:pt>
                <c:pt idx="521">
                  <c:v>-30.9</c:v>
                </c:pt>
                <c:pt idx="522">
                  <c:v>-30.9</c:v>
                </c:pt>
                <c:pt idx="523">
                  <c:v>-30.9</c:v>
                </c:pt>
                <c:pt idx="524">
                  <c:v>-30.9</c:v>
                </c:pt>
                <c:pt idx="525">
                  <c:v>-30.9</c:v>
                </c:pt>
                <c:pt idx="526">
                  <c:v>-30.9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4213247"/>
        <c:axId val="754302723"/>
      </c:lineChart>
      <c:catAx>
        <c:axId val="494213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302723"/>
        <c:crosses val="autoZero"/>
        <c:auto val="1"/>
        <c:lblAlgn val="ctr"/>
        <c:lblOffset val="100"/>
        <c:noMultiLvlLbl val="0"/>
      </c:catAx>
      <c:valAx>
        <c:axId val="754302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421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18:02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曲线向下运动为向制冷面运动，共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185420</xdr:colOff>
      <xdr:row>8</xdr:row>
      <xdr:rowOff>101600</xdr:rowOff>
    </xdr:from>
    <xdr:to>
      <xdr:col>33</xdr:col>
      <xdr:colOff>177800</xdr:colOff>
      <xdr:row>23</xdr:row>
      <xdr:rowOff>40640</xdr:rowOff>
    </xdr:to>
    <xdr:graphicFrame>
      <xdr:nvGraphicFramePr>
        <xdr:cNvPr id="4" name="图表 3"/>
        <xdr:cNvGraphicFramePr/>
      </xdr:nvGraphicFramePr>
      <xdr:xfrm>
        <a:off x="7548880" y="1564640"/>
        <a:ext cx="12793980" cy="268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18:02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曲线向下运动为向制冷面运动，共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185420</xdr:colOff>
      <xdr:row>8</xdr:row>
      <xdr:rowOff>101600</xdr:rowOff>
    </xdr:from>
    <xdr:to>
      <xdr:col>33</xdr:col>
      <xdr:colOff>177800</xdr:colOff>
      <xdr:row>23</xdr:row>
      <xdr:rowOff>40640</xdr:rowOff>
    </xdr:to>
    <xdr:graphicFrame>
      <xdr:nvGraphicFramePr>
        <xdr:cNvPr id="3" name="图表 2"/>
        <xdr:cNvGraphicFramePr/>
      </xdr:nvGraphicFramePr>
      <xdr:xfrm>
        <a:off x="7548880" y="1564640"/>
        <a:ext cx="12793980" cy="268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18:02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曲线向下运动为向制冷面运动，共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144780</xdr:colOff>
      <xdr:row>9</xdr:row>
      <xdr:rowOff>93980</xdr:rowOff>
    </xdr:from>
    <xdr:to>
      <xdr:col>26</xdr:col>
      <xdr:colOff>581660</xdr:colOff>
      <xdr:row>25</xdr:row>
      <xdr:rowOff>40005</xdr:rowOff>
    </xdr:to>
    <xdr:graphicFrame>
      <xdr:nvGraphicFramePr>
        <xdr:cNvPr id="4" name="图表 3"/>
        <xdr:cNvGraphicFramePr/>
      </xdr:nvGraphicFramePr>
      <xdr:xfrm>
        <a:off x="7508240" y="1739900"/>
        <a:ext cx="8971280" cy="2872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18:02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曲线向下运动为向制冷面运动，共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144780</xdr:colOff>
      <xdr:row>9</xdr:row>
      <xdr:rowOff>93980</xdr:rowOff>
    </xdr:from>
    <xdr:to>
      <xdr:col>26</xdr:col>
      <xdr:colOff>581660</xdr:colOff>
      <xdr:row>25</xdr:row>
      <xdr:rowOff>40005</xdr:rowOff>
    </xdr:to>
    <xdr:graphicFrame>
      <xdr:nvGraphicFramePr>
        <xdr:cNvPr id="3" name="图表 2"/>
        <xdr:cNvGraphicFramePr/>
      </xdr:nvGraphicFramePr>
      <xdr:xfrm>
        <a:off x="7508240" y="1739900"/>
        <a:ext cx="8971280" cy="2872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>
              <a:sym typeface="+mn-ea"/>
            </a:rPr>
            <a:t>实验时间：</a:t>
          </a:r>
          <a:r>
            <a:rPr lang="en-US" altLang="zh-CN" sz="900">
              <a:sym typeface="+mn-ea"/>
            </a:rPr>
            <a:t>2026-4-26 10:14   </a:t>
          </a:r>
          <a:r>
            <a:rPr lang="zh-CN" altLang="en-US" sz="900">
              <a:sym typeface="+mn-ea"/>
            </a:rPr>
            <a:t>温度：</a:t>
          </a:r>
          <a:r>
            <a:rPr lang="en-US" altLang="zh-CN" sz="900">
              <a:sym typeface="+mn-ea"/>
            </a:rPr>
            <a:t>23.0</a:t>
          </a:r>
          <a:r>
            <a:rPr lang="zh-CN" altLang="en-US" sz="900">
              <a:sym typeface="+mn-ea"/>
            </a:rPr>
            <a:t>℃</a:t>
          </a:r>
          <a:r>
            <a:rPr lang="en-US" altLang="zh-CN" sz="900">
              <a:sym typeface="+mn-ea"/>
            </a:rPr>
            <a:t>    </a:t>
          </a:r>
          <a:r>
            <a:rPr lang="zh-CN" altLang="en-US" sz="900">
              <a:sym typeface="+mn-ea"/>
            </a:rPr>
            <a:t>湿度：</a:t>
          </a:r>
          <a:r>
            <a:rPr lang="en-US" altLang="zh-CN" sz="900">
              <a:sym typeface="+mn-ea"/>
            </a:rPr>
            <a:t>72</a:t>
          </a:r>
          <a:r>
            <a:rPr lang="en-US" altLang="zh-CN" sz="900">
              <a:sym typeface="+mn-ea"/>
            </a:rPr>
            <a:t>%     </a:t>
          </a:r>
          <a:endParaRPr lang="en-US" altLang="zh-CN" sz="900"/>
        </a:p>
        <a:p>
          <a:pPr algn="l"/>
          <a:r>
            <a:rPr lang="zh-CN" altLang="en-US" sz="900">
              <a:sym typeface="+mn-ea"/>
            </a:rPr>
            <a:t>实验压力：</a:t>
          </a:r>
          <a:r>
            <a:rPr lang="en-US" altLang="zh-CN" sz="900">
              <a:sym typeface="+mn-ea"/>
            </a:rPr>
            <a:t>100pa</a:t>
          </a:r>
          <a:endParaRPr lang="zh-CN" altLang="en-US" sz="900"/>
        </a:p>
        <a:p>
          <a:pPr algn="l"/>
          <a:r>
            <a:rPr lang="zh-CN" altLang="en-US" sz="900">
              <a:sym typeface="+mn-ea"/>
            </a:rPr>
            <a:t>实验装置：</a:t>
          </a:r>
          <a:r>
            <a:rPr lang="en-US" altLang="zh-CN" sz="900">
              <a:sym typeface="+mn-ea"/>
            </a:rPr>
            <a:t>A</a:t>
          </a:r>
          <a:r>
            <a:rPr lang="zh-CN" altLang="en-US" sz="900">
              <a:sym typeface="+mn-ea"/>
            </a:rPr>
            <a:t>天平</a:t>
          </a:r>
          <a:r>
            <a:rPr lang="en-US" altLang="zh-CN" sz="900">
              <a:sym typeface="+mn-ea"/>
            </a:rPr>
            <a:t>   </a:t>
          </a:r>
          <a:r>
            <a:rPr lang="zh-CN" altLang="en-US" sz="900">
              <a:sym typeface="+mn-ea"/>
            </a:rPr>
            <a:t>帕尔贴芯片型号：</a:t>
          </a:r>
          <a:r>
            <a:rPr lang="en-US" altLang="zh-CN" sz="900">
              <a:sym typeface="+mn-ea"/>
            </a:rPr>
            <a:t>TEC1-19904 *2</a:t>
          </a:r>
          <a:r>
            <a:rPr lang="zh-CN" altLang="en-US" sz="900">
              <a:sym typeface="+mn-ea"/>
            </a:rPr>
            <a:t>个</a:t>
          </a:r>
          <a:r>
            <a:rPr lang="en-US" altLang="zh-CN" sz="900">
              <a:sym typeface="+mn-ea"/>
            </a:rPr>
            <a:t>    </a:t>
          </a:r>
          <a:r>
            <a:rPr lang="zh-CN" altLang="en-US" sz="900">
              <a:sym typeface="+mn-ea"/>
            </a:rPr>
            <a:t>尺寸：</a:t>
          </a:r>
          <a:r>
            <a:rPr lang="en-US" altLang="zh-CN" sz="900">
              <a:sym typeface="+mn-ea"/>
            </a:rPr>
            <a:t>  40*40*3.4MM</a:t>
          </a:r>
          <a:endParaRPr lang="en-US" altLang="zh-CN" sz="900"/>
        </a:p>
        <a:p>
          <a:pPr algn="l"/>
          <a:r>
            <a:rPr lang="en-US" altLang="zh-CN" sz="900">
              <a:sym typeface="+mn-ea"/>
            </a:rPr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68</a:t>
          </a:r>
          <a:r>
            <a:rPr lang="en-US" altLang="zh-CN">
              <a:sym typeface="+mn-ea"/>
            </a:rPr>
            <a:t>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136W</a:t>
          </a:r>
          <a:endParaRPr lang="en-US" altLang="zh-CN" sz="1100"/>
        </a:p>
        <a:p>
          <a:pPr algn="l"/>
          <a:r>
            <a:rPr lang="zh-CN" altLang="en-US" sz="1200">
              <a:sym typeface="+mn-ea"/>
            </a:rPr>
            <a:t>曲线向</a:t>
          </a:r>
          <a:r>
            <a:rPr lang="zh-CN" altLang="en-US" sz="1200">
              <a:sym typeface="+mn-ea"/>
            </a:rPr>
            <a:t>下</a:t>
          </a:r>
          <a:r>
            <a:rPr lang="zh-CN" altLang="en-US" sz="1200">
              <a:sym typeface="+mn-ea"/>
            </a:rPr>
            <a:t>运动为向制冷面运动，共</a:t>
          </a:r>
          <a:r>
            <a:rPr lang="en-US" altLang="zh-CN" sz="1200">
              <a:sym typeface="+mn-ea"/>
            </a:rPr>
            <a:t>3</a:t>
          </a:r>
          <a:r>
            <a:rPr lang="zh-CN" altLang="en-US" sz="1200">
              <a:sym typeface="+mn-ea"/>
            </a:rPr>
            <a:t>次供电周期</a:t>
          </a:r>
          <a:r>
            <a:rPr lang="en-US" altLang="zh-CN" sz="1200">
              <a:sym typeface="+mn-ea"/>
            </a:rPr>
            <a:t> :</a:t>
          </a:r>
          <a:endParaRPr lang="en-US" altLang="zh-CN" sz="1200"/>
        </a:p>
        <a:p>
          <a:pPr algn="l"/>
          <a:r>
            <a:rPr lang="zh-CN" altLang="en-US" sz="1200">
              <a:sym typeface="+mn-ea"/>
            </a:rPr>
            <a:t>供电</a:t>
          </a:r>
          <a:r>
            <a:rPr lang="en-US" sz="1200">
              <a:sym typeface="+mn-ea"/>
            </a:rPr>
            <a:t>0.4s </a:t>
          </a:r>
          <a:r>
            <a:rPr lang="zh-CN" altLang="en-US" sz="1200">
              <a:sym typeface="+mn-ea"/>
            </a:rPr>
            <a:t>断电</a:t>
          </a:r>
          <a:r>
            <a:rPr lang="en-US" altLang="zh-CN" sz="1200">
              <a:sym typeface="+mn-ea"/>
            </a:rPr>
            <a:t>0.4s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144780</xdr:colOff>
      <xdr:row>9</xdr:row>
      <xdr:rowOff>93980</xdr:rowOff>
    </xdr:from>
    <xdr:to>
      <xdr:col>26</xdr:col>
      <xdr:colOff>581660</xdr:colOff>
      <xdr:row>25</xdr:row>
      <xdr:rowOff>40005</xdr:rowOff>
    </xdr:to>
    <xdr:graphicFrame>
      <xdr:nvGraphicFramePr>
        <xdr:cNvPr id="3" name="图表 2"/>
        <xdr:cNvGraphicFramePr/>
      </xdr:nvGraphicFramePr>
      <xdr:xfrm>
        <a:off x="7508240" y="1739900"/>
        <a:ext cx="8971280" cy="2872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10:24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72</a:t>
          </a:r>
          <a:r>
            <a:rPr lang="en-US" altLang="zh-CN" sz="900"/>
            <a:t>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A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68</a:t>
          </a:r>
          <a:r>
            <a:rPr lang="en-US" altLang="zh-CN">
              <a:sym typeface="+mn-ea"/>
            </a:rPr>
            <a:t>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136W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3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0.4s </a:t>
          </a:r>
          <a:r>
            <a:rPr lang="zh-CN" altLang="en-US" sz="1200"/>
            <a:t>断电</a:t>
          </a:r>
          <a:r>
            <a:rPr lang="en-US" altLang="zh-CN" sz="1200"/>
            <a:t>0.4s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165100</xdr:colOff>
      <xdr:row>9</xdr:row>
      <xdr:rowOff>147320</xdr:rowOff>
    </xdr:from>
    <xdr:to>
      <xdr:col>26</xdr:col>
      <xdr:colOff>236855</xdr:colOff>
      <xdr:row>25</xdr:row>
      <xdr:rowOff>101600</xdr:rowOff>
    </xdr:to>
    <xdr:graphicFrame>
      <xdr:nvGraphicFramePr>
        <xdr:cNvPr id="4" name="图表 3"/>
        <xdr:cNvGraphicFramePr/>
      </xdr:nvGraphicFramePr>
      <xdr:xfrm>
        <a:off x="7528560" y="1793240"/>
        <a:ext cx="8606155" cy="288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10:24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72%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A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68W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136W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3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0.4s </a:t>
          </a:r>
          <a:r>
            <a:rPr lang="zh-CN" altLang="en-US" sz="1200"/>
            <a:t>断电</a:t>
          </a:r>
          <a:r>
            <a:rPr lang="en-US" altLang="zh-CN" sz="1200"/>
            <a:t>0.4s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165100</xdr:colOff>
      <xdr:row>9</xdr:row>
      <xdr:rowOff>147320</xdr:rowOff>
    </xdr:from>
    <xdr:to>
      <xdr:col>26</xdr:col>
      <xdr:colOff>236855</xdr:colOff>
      <xdr:row>25</xdr:row>
      <xdr:rowOff>101600</xdr:rowOff>
    </xdr:to>
    <xdr:graphicFrame>
      <xdr:nvGraphicFramePr>
        <xdr:cNvPr id="3" name="图表 2"/>
        <xdr:cNvGraphicFramePr/>
      </xdr:nvGraphicFramePr>
      <xdr:xfrm>
        <a:off x="7528560" y="1793240"/>
        <a:ext cx="8606155" cy="288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10:24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72%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A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68W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136W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3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0.4s </a:t>
          </a:r>
          <a:r>
            <a:rPr lang="zh-CN" altLang="en-US" sz="1200"/>
            <a:t>断电</a:t>
          </a:r>
          <a:r>
            <a:rPr lang="en-US" altLang="zh-CN" sz="1200"/>
            <a:t>0.4s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111760</xdr:colOff>
      <xdr:row>8</xdr:row>
      <xdr:rowOff>170180</xdr:rowOff>
    </xdr:from>
    <xdr:to>
      <xdr:col>23</xdr:col>
      <xdr:colOff>244475</xdr:colOff>
      <xdr:row>24</xdr:row>
      <xdr:rowOff>55880</xdr:rowOff>
    </xdr:to>
    <xdr:graphicFrame>
      <xdr:nvGraphicFramePr>
        <xdr:cNvPr id="4" name="图表 3"/>
        <xdr:cNvGraphicFramePr/>
      </xdr:nvGraphicFramePr>
      <xdr:xfrm>
        <a:off x="7475220" y="1633220"/>
        <a:ext cx="6838315" cy="2811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10:24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72%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20kpa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A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68W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136W</a:t>
          </a:r>
          <a:endParaRPr lang="en-US" altLang="zh-CN" sz="1100"/>
        </a:p>
        <a:p>
          <a:pPr algn="l"/>
          <a:r>
            <a:rPr lang="zh-CN" altLang="en-US" sz="1200"/>
            <a:t>曲线向下运动为向制冷面运动，共</a:t>
          </a:r>
          <a:r>
            <a:rPr lang="en-US" altLang="zh-CN" sz="1200"/>
            <a:t>3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0.4s </a:t>
          </a:r>
          <a:r>
            <a:rPr lang="zh-CN" altLang="en-US" sz="1200"/>
            <a:t>断电</a:t>
          </a:r>
          <a:r>
            <a:rPr lang="en-US" altLang="zh-CN" sz="1200"/>
            <a:t>0.4s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294640</xdr:colOff>
      <xdr:row>9</xdr:row>
      <xdr:rowOff>109220</xdr:rowOff>
    </xdr:from>
    <xdr:to>
      <xdr:col>24</xdr:col>
      <xdr:colOff>533400</xdr:colOff>
      <xdr:row>26</xdr:row>
      <xdr:rowOff>40640</xdr:rowOff>
    </xdr:to>
    <xdr:graphicFrame>
      <xdr:nvGraphicFramePr>
        <xdr:cNvPr id="4" name="图表 3"/>
        <xdr:cNvGraphicFramePr/>
      </xdr:nvGraphicFramePr>
      <xdr:xfrm>
        <a:off x="7658100" y="1755140"/>
        <a:ext cx="7553960" cy="3040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10:24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72%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20kpa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A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68W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136W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3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0.6s </a:t>
          </a:r>
          <a:r>
            <a:rPr lang="zh-CN" altLang="en-US" sz="1200"/>
            <a:t>断电</a:t>
          </a:r>
          <a:r>
            <a:rPr lang="en-US" altLang="zh-CN" sz="1200"/>
            <a:t>0.6s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254000</xdr:colOff>
      <xdr:row>9</xdr:row>
      <xdr:rowOff>162560</xdr:rowOff>
    </xdr:from>
    <xdr:to>
      <xdr:col>24</xdr:col>
      <xdr:colOff>560705</xdr:colOff>
      <xdr:row>26</xdr:row>
      <xdr:rowOff>2540</xdr:rowOff>
    </xdr:to>
    <xdr:graphicFrame>
      <xdr:nvGraphicFramePr>
        <xdr:cNvPr id="4" name="图表 3"/>
        <xdr:cNvGraphicFramePr/>
      </xdr:nvGraphicFramePr>
      <xdr:xfrm>
        <a:off x="7617460" y="1808480"/>
        <a:ext cx="7621905" cy="2948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201;&#24046;&#21147;&#30697;&#23454;&#39564;\26-4-26\&#21306;&#22495;&#20248;&#21270;&#20998;&#26512;_4-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IN_20260426_10_32_01_6.0S"/>
      <sheetName val="WIN_20260426_11_02_43_7"/>
      <sheetName val="26_12_42_04_7.6-7.8-20"/>
      <sheetName val="26_13_22_76-78-10"/>
      <sheetName val="26_14_00_76-78-10"/>
      <sheetName val="26_16_35_46_常压_10"/>
      <sheetName val="26_17_00_17_100_+"/>
      <sheetName val="26_17_14_34_100_负"/>
      <sheetName val="26_17_36_35_100_正"/>
      <sheetName val="26_18_02_48_100_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K3" t="str">
            <v>x</v>
          </cell>
          <cell r="L3" t="str">
            <v>luma</v>
          </cell>
        </row>
        <row r="4">
          <cell r="J4">
            <v>0.033</v>
          </cell>
          <cell r="K4">
            <v>0</v>
          </cell>
          <cell r="L4">
            <v>-20</v>
          </cell>
        </row>
        <row r="5">
          <cell r="J5">
            <v>0.067</v>
          </cell>
          <cell r="K5">
            <v>0</v>
          </cell>
          <cell r="L5">
            <v>-20</v>
          </cell>
        </row>
        <row r="6">
          <cell r="J6">
            <v>0.1</v>
          </cell>
          <cell r="K6">
            <v>0.100000000000031</v>
          </cell>
          <cell r="L6">
            <v>-20</v>
          </cell>
        </row>
        <row r="7">
          <cell r="J7">
            <v>0.134</v>
          </cell>
          <cell r="K7">
            <v>-0.0999999999999612</v>
          </cell>
          <cell r="L7">
            <v>-20</v>
          </cell>
        </row>
        <row r="8">
          <cell r="J8">
            <v>0.167</v>
          </cell>
          <cell r="K8">
            <v>0</v>
          </cell>
          <cell r="L8">
            <v>-20</v>
          </cell>
        </row>
        <row r="9">
          <cell r="J9">
            <v>0.201</v>
          </cell>
          <cell r="K9">
            <v>0</v>
          </cell>
          <cell r="L9">
            <v>-20</v>
          </cell>
        </row>
        <row r="10">
          <cell r="J10">
            <v>0.234</v>
          </cell>
          <cell r="K10">
            <v>0</v>
          </cell>
          <cell r="L10">
            <v>-20</v>
          </cell>
        </row>
        <row r="11">
          <cell r="J11">
            <v>0.267</v>
          </cell>
          <cell r="K11">
            <v>0</v>
          </cell>
          <cell r="L11">
            <v>-20</v>
          </cell>
        </row>
        <row r="12">
          <cell r="J12">
            <v>0.301</v>
          </cell>
          <cell r="K12">
            <v>0.100000000000031</v>
          </cell>
          <cell r="L12">
            <v>-20</v>
          </cell>
        </row>
        <row r="13">
          <cell r="J13">
            <v>0.334</v>
          </cell>
          <cell r="K13">
            <v>0</v>
          </cell>
          <cell r="L13">
            <v>-20</v>
          </cell>
        </row>
        <row r="14">
          <cell r="J14">
            <v>0.368</v>
          </cell>
          <cell r="K14">
            <v>0</v>
          </cell>
          <cell r="L14">
            <v>-20</v>
          </cell>
        </row>
        <row r="15">
          <cell r="J15">
            <v>0.401</v>
          </cell>
          <cell r="K15">
            <v>0</v>
          </cell>
          <cell r="L15">
            <v>-20</v>
          </cell>
        </row>
        <row r="16">
          <cell r="J16">
            <v>0.434</v>
          </cell>
          <cell r="K16">
            <v>0</v>
          </cell>
          <cell r="L16">
            <v>-20</v>
          </cell>
        </row>
        <row r="17">
          <cell r="J17">
            <v>0.468</v>
          </cell>
          <cell r="K17">
            <v>0</v>
          </cell>
          <cell r="L17">
            <v>-20</v>
          </cell>
        </row>
        <row r="18">
          <cell r="J18">
            <v>0.501</v>
          </cell>
          <cell r="K18">
            <v>0</v>
          </cell>
          <cell r="L18">
            <v>-20</v>
          </cell>
        </row>
        <row r="19">
          <cell r="J19">
            <v>0.535</v>
          </cell>
          <cell r="K19">
            <v>-0.199999999999992</v>
          </cell>
          <cell r="L19">
            <v>-20</v>
          </cell>
        </row>
        <row r="20">
          <cell r="J20">
            <v>0.568</v>
          </cell>
          <cell r="K20">
            <v>-0.0999999999999612</v>
          </cell>
          <cell r="L20">
            <v>-20</v>
          </cell>
        </row>
        <row r="21">
          <cell r="J21">
            <v>0.602</v>
          </cell>
          <cell r="K21">
            <v>-0.0999999999999612</v>
          </cell>
          <cell r="L21">
            <v>-20</v>
          </cell>
        </row>
        <row r="22">
          <cell r="J22">
            <v>0.635</v>
          </cell>
          <cell r="K22">
            <v>0</v>
          </cell>
          <cell r="L22">
            <v>-20</v>
          </cell>
        </row>
        <row r="23">
          <cell r="J23">
            <v>0.668</v>
          </cell>
          <cell r="K23">
            <v>0.100000000000031</v>
          </cell>
          <cell r="L23">
            <v>-20</v>
          </cell>
        </row>
        <row r="24">
          <cell r="J24">
            <v>0.702</v>
          </cell>
          <cell r="K24">
            <v>-0.0999999999999612</v>
          </cell>
          <cell r="L24">
            <v>-20</v>
          </cell>
        </row>
        <row r="25">
          <cell r="J25">
            <v>0.735</v>
          </cell>
          <cell r="K25">
            <v>0.100000000000031</v>
          </cell>
          <cell r="L25">
            <v>-20</v>
          </cell>
        </row>
        <row r="26">
          <cell r="J26">
            <v>0.769</v>
          </cell>
          <cell r="K26">
            <v>0.199999999999992</v>
          </cell>
          <cell r="L26">
            <v>-20</v>
          </cell>
        </row>
        <row r="27">
          <cell r="J27">
            <v>0.802</v>
          </cell>
          <cell r="K27">
            <v>-0.0999999999999612</v>
          </cell>
          <cell r="L27">
            <v>-20</v>
          </cell>
        </row>
        <row r="28">
          <cell r="J28">
            <v>0.836</v>
          </cell>
          <cell r="K28">
            <v>0.100000000000031</v>
          </cell>
          <cell r="L28">
            <v>-20</v>
          </cell>
        </row>
        <row r="29">
          <cell r="J29">
            <v>0.869</v>
          </cell>
          <cell r="K29">
            <v>0.100000000000031</v>
          </cell>
          <cell r="L29">
            <v>-20</v>
          </cell>
        </row>
        <row r="30">
          <cell r="J30">
            <v>0.902</v>
          </cell>
          <cell r="K30">
            <v>0</v>
          </cell>
          <cell r="L30">
            <v>-20</v>
          </cell>
        </row>
        <row r="31">
          <cell r="J31">
            <v>0.936</v>
          </cell>
          <cell r="K31">
            <v>-0.0999999999999612</v>
          </cell>
          <cell r="L31">
            <v>-20</v>
          </cell>
        </row>
        <row r="32">
          <cell r="J32">
            <v>0.969</v>
          </cell>
          <cell r="K32">
            <v>-0.0999999999999612</v>
          </cell>
          <cell r="L32">
            <v>-20</v>
          </cell>
        </row>
        <row r="33">
          <cell r="J33">
            <v>1.003</v>
          </cell>
          <cell r="K33">
            <v>0.100000000000031</v>
          </cell>
          <cell r="L33">
            <v>-20</v>
          </cell>
        </row>
        <row r="34">
          <cell r="J34">
            <v>1.036</v>
          </cell>
          <cell r="K34">
            <v>0.100000000000031</v>
          </cell>
          <cell r="L34">
            <v>-20</v>
          </cell>
        </row>
        <row r="35">
          <cell r="J35">
            <v>1.069</v>
          </cell>
          <cell r="K35">
            <v>0</v>
          </cell>
          <cell r="L35">
            <v>-20</v>
          </cell>
        </row>
        <row r="36">
          <cell r="J36">
            <v>1.103</v>
          </cell>
          <cell r="K36">
            <v>0</v>
          </cell>
          <cell r="L36">
            <v>-20</v>
          </cell>
        </row>
        <row r="37">
          <cell r="J37">
            <v>1.136</v>
          </cell>
          <cell r="K37">
            <v>0.100000000000031</v>
          </cell>
          <cell r="L37">
            <v>-20</v>
          </cell>
        </row>
        <row r="38">
          <cell r="J38">
            <v>1.17</v>
          </cell>
          <cell r="K38">
            <v>0.100000000000031</v>
          </cell>
          <cell r="L38">
            <v>-20</v>
          </cell>
        </row>
        <row r="39">
          <cell r="J39">
            <v>1.203</v>
          </cell>
          <cell r="K39">
            <v>0.100000000000031</v>
          </cell>
          <cell r="L39">
            <v>-20</v>
          </cell>
        </row>
        <row r="40">
          <cell r="J40">
            <v>1.237</v>
          </cell>
          <cell r="K40">
            <v>0</v>
          </cell>
          <cell r="L40">
            <v>-20</v>
          </cell>
        </row>
        <row r="41">
          <cell r="J41">
            <v>1.27</v>
          </cell>
          <cell r="K41">
            <v>0.100000000000031</v>
          </cell>
          <cell r="L41">
            <v>-20</v>
          </cell>
        </row>
        <row r="42">
          <cell r="J42">
            <v>1.303</v>
          </cell>
          <cell r="K42">
            <v>-0.0999999999999612</v>
          </cell>
          <cell r="L42">
            <v>-20</v>
          </cell>
        </row>
        <row r="43">
          <cell r="J43">
            <v>1.337</v>
          </cell>
          <cell r="K43">
            <v>0.100000000000031</v>
          </cell>
          <cell r="L43">
            <v>-20</v>
          </cell>
        </row>
        <row r="44">
          <cell r="J44">
            <v>1.37</v>
          </cell>
          <cell r="K44">
            <v>-0.0999999999999612</v>
          </cell>
          <cell r="L44">
            <v>-20</v>
          </cell>
        </row>
        <row r="45">
          <cell r="J45">
            <v>1.404</v>
          </cell>
          <cell r="K45">
            <v>0</v>
          </cell>
          <cell r="L45">
            <v>-20</v>
          </cell>
        </row>
        <row r="46">
          <cell r="J46">
            <v>1.437</v>
          </cell>
          <cell r="K46">
            <v>0</v>
          </cell>
          <cell r="L46">
            <v>-20</v>
          </cell>
        </row>
        <row r="47">
          <cell r="J47">
            <v>1.47</v>
          </cell>
          <cell r="K47">
            <v>0.100000000000031</v>
          </cell>
          <cell r="L47">
            <v>-20</v>
          </cell>
        </row>
        <row r="48">
          <cell r="J48">
            <v>1.504</v>
          </cell>
          <cell r="K48">
            <v>0</v>
          </cell>
          <cell r="L48">
            <v>-20</v>
          </cell>
        </row>
        <row r="49">
          <cell r="J49">
            <v>1.537</v>
          </cell>
          <cell r="K49">
            <v>0</v>
          </cell>
          <cell r="L49">
            <v>-20</v>
          </cell>
        </row>
        <row r="50">
          <cell r="J50">
            <v>1.571</v>
          </cell>
          <cell r="K50">
            <v>0</v>
          </cell>
          <cell r="L50">
            <v>-20</v>
          </cell>
        </row>
        <row r="51">
          <cell r="J51">
            <v>1.604</v>
          </cell>
          <cell r="K51">
            <v>0.100000000000031</v>
          </cell>
          <cell r="L51">
            <v>-20</v>
          </cell>
        </row>
        <row r="52">
          <cell r="J52">
            <v>1.638</v>
          </cell>
          <cell r="K52">
            <v>0</v>
          </cell>
          <cell r="L52">
            <v>-20</v>
          </cell>
        </row>
        <row r="53">
          <cell r="J53">
            <v>1.671</v>
          </cell>
          <cell r="K53">
            <v>0.100000000000031</v>
          </cell>
          <cell r="L53">
            <v>-20</v>
          </cell>
        </row>
        <row r="54">
          <cell r="J54">
            <v>1.704</v>
          </cell>
          <cell r="K54">
            <v>0.100000000000031</v>
          </cell>
          <cell r="L54">
            <v>-20</v>
          </cell>
        </row>
        <row r="55">
          <cell r="J55">
            <v>1.738</v>
          </cell>
          <cell r="K55">
            <v>0</v>
          </cell>
          <cell r="L55">
            <v>-20</v>
          </cell>
        </row>
        <row r="56">
          <cell r="J56">
            <v>1.771</v>
          </cell>
          <cell r="K56">
            <v>-0.0999999999999612</v>
          </cell>
          <cell r="L56">
            <v>-20</v>
          </cell>
        </row>
        <row r="57">
          <cell r="J57">
            <v>1.805</v>
          </cell>
          <cell r="K57">
            <v>0.100000000000031</v>
          </cell>
          <cell r="L57">
            <v>-20</v>
          </cell>
        </row>
        <row r="58">
          <cell r="J58">
            <v>1.838</v>
          </cell>
          <cell r="K58">
            <v>0.100000000000031</v>
          </cell>
          <cell r="L58">
            <v>-20</v>
          </cell>
        </row>
        <row r="59">
          <cell r="J59">
            <v>1.872</v>
          </cell>
          <cell r="K59">
            <v>0</v>
          </cell>
          <cell r="L59">
            <v>-20</v>
          </cell>
        </row>
        <row r="60">
          <cell r="J60">
            <v>1.905</v>
          </cell>
          <cell r="K60">
            <v>-0.0999999999999612</v>
          </cell>
          <cell r="L60">
            <v>-20</v>
          </cell>
        </row>
        <row r="61">
          <cell r="J61">
            <v>1.938</v>
          </cell>
          <cell r="K61">
            <v>0</v>
          </cell>
          <cell r="L61">
            <v>-20</v>
          </cell>
        </row>
        <row r="62">
          <cell r="J62">
            <v>1.972</v>
          </cell>
          <cell r="K62">
            <v>0.100000000000031</v>
          </cell>
          <cell r="L62">
            <v>-20</v>
          </cell>
        </row>
        <row r="63">
          <cell r="J63">
            <v>2.005</v>
          </cell>
          <cell r="K63">
            <v>-0.0999999999999612</v>
          </cell>
          <cell r="L63">
            <v>-20</v>
          </cell>
        </row>
        <row r="64">
          <cell r="J64">
            <v>2.039</v>
          </cell>
          <cell r="K64">
            <v>-0.0999999999999612</v>
          </cell>
          <cell r="L64">
            <v>-20</v>
          </cell>
        </row>
        <row r="65">
          <cell r="J65">
            <v>2.072</v>
          </cell>
          <cell r="K65">
            <v>0</v>
          </cell>
          <cell r="L65">
            <v>-20</v>
          </cell>
        </row>
        <row r="66">
          <cell r="J66">
            <v>2.105</v>
          </cell>
          <cell r="K66">
            <v>0</v>
          </cell>
          <cell r="L66">
            <v>-20</v>
          </cell>
        </row>
        <row r="67">
          <cell r="J67">
            <v>2.139</v>
          </cell>
          <cell r="K67">
            <v>-0.0999999999999612</v>
          </cell>
          <cell r="L67">
            <v>-20</v>
          </cell>
        </row>
        <row r="68">
          <cell r="J68">
            <v>2.172</v>
          </cell>
          <cell r="K68">
            <v>0</v>
          </cell>
          <cell r="L68">
            <v>-20</v>
          </cell>
        </row>
        <row r="69">
          <cell r="J69">
            <v>2.206</v>
          </cell>
          <cell r="K69">
            <v>0.100000000000031</v>
          </cell>
          <cell r="L69">
            <v>-20</v>
          </cell>
        </row>
        <row r="70">
          <cell r="J70">
            <v>2.239</v>
          </cell>
          <cell r="K70">
            <v>0</v>
          </cell>
          <cell r="L70">
            <v>-20</v>
          </cell>
        </row>
        <row r="71">
          <cell r="J71">
            <v>2.273</v>
          </cell>
          <cell r="K71">
            <v>0</v>
          </cell>
          <cell r="L71">
            <v>-20</v>
          </cell>
        </row>
        <row r="72">
          <cell r="J72">
            <v>2.306</v>
          </cell>
          <cell r="K72">
            <v>0</v>
          </cell>
          <cell r="L72">
            <v>-20</v>
          </cell>
        </row>
        <row r="73">
          <cell r="J73">
            <v>2.339</v>
          </cell>
          <cell r="K73">
            <v>0</v>
          </cell>
          <cell r="L73">
            <v>-20</v>
          </cell>
        </row>
        <row r="74">
          <cell r="J74">
            <v>2.373</v>
          </cell>
          <cell r="K74">
            <v>0.100000000000031</v>
          </cell>
          <cell r="L74">
            <v>-20</v>
          </cell>
        </row>
        <row r="75">
          <cell r="J75">
            <v>2.406</v>
          </cell>
          <cell r="K75">
            <v>0.100000000000031</v>
          </cell>
          <cell r="L75">
            <v>-20</v>
          </cell>
        </row>
        <row r="76">
          <cell r="J76">
            <v>2.44</v>
          </cell>
          <cell r="K76">
            <v>0.100000000000031</v>
          </cell>
          <cell r="L76">
            <v>-20</v>
          </cell>
        </row>
        <row r="77">
          <cell r="J77">
            <v>2.473</v>
          </cell>
          <cell r="K77">
            <v>0</v>
          </cell>
          <cell r="L77">
            <v>-20</v>
          </cell>
        </row>
        <row r="78">
          <cell r="J78">
            <v>2.507</v>
          </cell>
          <cell r="K78">
            <v>0</v>
          </cell>
          <cell r="L78">
            <v>-20</v>
          </cell>
        </row>
        <row r="79">
          <cell r="J79">
            <v>2.54</v>
          </cell>
          <cell r="K79">
            <v>-0.0999999999999612</v>
          </cell>
          <cell r="L79">
            <v>-20</v>
          </cell>
        </row>
        <row r="80">
          <cell r="J80">
            <v>2.573</v>
          </cell>
          <cell r="K80">
            <v>-0.0999999999999612</v>
          </cell>
          <cell r="L80">
            <v>-20</v>
          </cell>
        </row>
        <row r="81">
          <cell r="J81">
            <v>2.607</v>
          </cell>
          <cell r="K81">
            <v>-0.0999999999999612</v>
          </cell>
          <cell r="L81">
            <v>-20</v>
          </cell>
        </row>
        <row r="82">
          <cell r="J82">
            <v>2.64</v>
          </cell>
          <cell r="K82">
            <v>0.100000000000031</v>
          </cell>
          <cell r="L82">
            <v>-20</v>
          </cell>
        </row>
        <row r="83">
          <cell r="J83">
            <v>2.674</v>
          </cell>
          <cell r="K83">
            <v>0.100000000000031</v>
          </cell>
          <cell r="L83">
            <v>-20</v>
          </cell>
        </row>
        <row r="84">
          <cell r="J84">
            <v>2.707</v>
          </cell>
          <cell r="K84">
            <v>0</v>
          </cell>
          <cell r="L84">
            <v>-20</v>
          </cell>
        </row>
        <row r="85">
          <cell r="J85">
            <v>2.74</v>
          </cell>
          <cell r="K85">
            <v>0</v>
          </cell>
          <cell r="L85">
            <v>-20</v>
          </cell>
        </row>
        <row r="86">
          <cell r="J86">
            <v>2.774</v>
          </cell>
          <cell r="K86">
            <v>0</v>
          </cell>
          <cell r="L86">
            <v>-20</v>
          </cell>
        </row>
        <row r="87">
          <cell r="J87">
            <v>2.807</v>
          </cell>
          <cell r="K87">
            <v>0</v>
          </cell>
          <cell r="L87">
            <v>-20</v>
          </cell>
        </row>
        <row r="88">
          <cell r="J88">
            <v>2.841</v>
          </cell>
          <cell r="K88">
            <v>0.100000000000031</v>
          </cell>
          <cell r="L88">
            <v>-20</v>
          </cell>
        </row>
        <row r="89">
          <cell r="J89">
            <v>2.874</v>
          </cell>
          <cell r="K89">
            <v>0</v>
          </cell>
          <cell r="L89">
            <v>-20</v>
          </cell>
        </row>
        <row r="90">
          <cell r="J90">
            <v>2.908</v>
          </cell>
          <cell r="K90">
            <v>0</v>
          </cell>
          <cell r="L90">
            <v>-20</v>
          </cell>
        </row>
        <row r="91">
          <cell r="J91">
            <v>2.941</v>
          </cell>
          <cell r="K91">
            <v>-0.0999999999999612</v>
          </cell>
          <cell r="L91">
            <v>-20</v>
          </cell>
        </row>
        <row r="92">
          <cell r="J92">
            <v>2.974</v>
          </cell>
          <cell r="K92">
            <v>-0.0999999999999612</v>
          </cell>
          <cell r="L92">
            <v>-20</v>
          </cell>
        </row>
        <row r="93">
          <cell r="J93">
            <v>3.008</v>
          </cell>
          <cell r="K93">
            <v>0</v>
          </cell>
          <cell r="L93">
            <v>-20</v>
          </cell>
        </row>
        <row r="94">
          <cell r="J94">
            <v>3.041</v>
          </cell>
          <cell r="K94">
            <v>0</v>
          </cell>
          <cell r="L94">
            <v>-20</v>
          </cell>
        </row>
        <row r="95">
          <cell r="J95">
            <v>3.075</v>
          </cell>
          <cell r="K95">
            <v>0</v>
          </cell>
          <cell r="L95">
            <v>-20</v>
          </cell>
        </row>
        <row r="96">
          <cell r="J96">
            <v>3.108</v>
          </cell>
          <cell r="K96">
            <v>0.100000000000031</v>
          </cell>
          <cell r="L96">
            <v>-20</v>
          </cell>
        </row>
        <row r="97">
          <cell r="J97">
            <v>3.142</v>
          </cell>
          <cell r="K97">
            <v>0</v>
          </cell>
          <cell r="L97">
            <v>-20</v>
          </cell>
        </row>
        <row r="98">
          <cell r="J98">
            <v>3.175</v>
          </cell>
          <cell r="K98">
            <v>0.100000000000031</v>
          </cell>
          <cell r="L98">
            <v>-20</v>
          </cell>
        </row>
        <row r="99">
          <cell r="J99">
            <v>3.208</v>
          </cell>
          <cell r="K99">
            <v>0</v>
          </cell>
          <cell r="L99">
            <v>-20</v>
          </cell>
        </row>
        <row r="100">
          <cell r="J100">
            <v>3.242</v>
          </cell>
          <cell r="K100">
            <v>0.100000000000031</v>
          </cell>
          <cell r="L100">
            <v>-20</v>
          </cell>
        </row>
        <row r="101">
          <cell r="J101">
            <v>3.275</v>
          </cell>
          <cell r="K101">
            <v>0</v>
          </cell>
          <cell r="L101">
            <v>-20</v>
          </cell>
        </row>
        <row r="102">
          <cell r="J102">
            <v>3.309</v>
          </cell>
          <cell r="K102">
            <v>0.100000000000031</v>
          </cell>
          <cell r="L102">
            <v>-20</v>
          </cell>
        </row>
        <row r="103">
          <cell r="J103">
            <v>3.342</v>
          </cell>
          <cell r="K103">
            <v>0</v>
          </cell>
          <cell r="L103">
            <v>-20</v>
          </cell>
        </row>
        <row r="104">
          <cell r="J104">
            <v>3.375</v>
          </cell>
          <cell r="K104">
            <v>0.199999999999992</v>
          </cell>
          <cell r="L104">
            <v>-20</v>
          </cell>
        </row>
        <row r="105">
          <cell r="J105">
            <v>3.409</v>
          </cell>
          <cell r="K105">
            <v>0</v>
          </cell>
          <cell r="L105">
            <v>-20</v>
          </cell>
        </row>
        <row r="106">
          <cell r="J106">
            <v>3.442</v>
          </cell>
          <cell r="K106">
            <v>0</v>
          </cell>
          <cell r="L106">
            <v>-20</v>
          </cell>
        </row>
        <row r="107">
          <cell r="J107">
            <v>3.476</v>
          </cell>
          <cell r="K107">
            <v>0</v>
          </cell>
          <cell r="L107">
            <v>-20</v>
          </cell>
        </row>
        <row r="108">
          <cell r="J108">
            <v>3.509</v>
          </cell>
          <cell r="K108">
            <v>0</v>
          </cell>
          <cell r="L108">
            <v>-20</v>
          </cell>
        </row>
        <row r="109">
          <cell r="J109">
            <v>3.543</v>
          </cell>
          <cell r="K109">
            <v>0</v>
          </cell>
          <cell r="L109">
            <v>-20</v>
          </cell>
        </row>
        <row r="110">
          <cell r="J110">
            <v>3.576</v>
          </cell>
          <cell r="K110">
            <v>0</v>
          </cell>
          <cell r="L110">
            <v>-20</v>
          </cell>
        </row>
        <row r="111">
          <cell r="J111">
            <v>3.609</v>
          </cell>
          <cell r="K111">
            <v>0.100000000000031</v>
          </cell>
          <cell r="L111">
            <v>-20</v>
          </cell>
        </row>
        <row r="112">
          <cell r="J112">
            <v>3.643</v>
          </cell>
          <cell r="K112">
            <v>0</v>
          </cell>
          <cell r="L112">
            <v>-20</v>
          </cell>
        </row>
        <row r="113">
          <cell r="J113">
            <v>3.676</v>
          </cell>
          <cell r="K113">
            <v>0</v>
          </cell>
          <cell r="L113">
            <v>-20</v>
          </cell>
        </row>
        <row r="114">
          <cell r="J114">
            <v>3.71</v>
          </cell>
          <cell r="K114">
            <v>0.100000000000031</v>
          </cell>
          <cell r="L114">
            <v>-20</v>
          </cell>
        </row>
        <row r="115">
          <cell r="J115">
            <v>3.743</v>
          </cell>
          <cell r="K115">
            <v>0.100000000000031</v>
          </cell>
          <cell r="L115">
            <v>-20</v>
          </cell>
        </row>
        <row r="116">
          <cell r="J116">
            <v>3.776</v>
          </cell>
          <cell r="K116">
            <v>-0.0999999999999612</v>
          </cell>
          <cell r="L116">
            <v>-20</v>
          </cell>
        </row>
        <row r="117">
          <cell r="J117">
            <v>3.81</v>
          </cell>
          <cell r="K117">
            <v>-0.0999999999999612</v>
          </cell>
          <cell r="L117">
            <v>-20</v>
          </cell>
        </row>
        <row r="118">
          <cell r="J118">
            <v>3.843</v>
          </cell>
          <cell r="K118">
            <v>0</v>
          </cell>
          <cell r="L118">
            <v>-20</v>
          </cell>
        </row>
        <row r="119">
          <cell r="J119">
            <v>3.877</v>
          </cell>
          <cell r="K119">
            <v>0</v>
          </cell>
          <cell r="L119">
            <v>-20</v>
          </cell>
        </row>
        <row r="120">
          <cell r="J120">
            <v>3.91</v>
          </cell>
          <cell r="K120">
            <v>-0.0999999999999612</v>
          </cell>
          <cell r="L120">
            <v>-20</v>
          </cell>
        </row>
        <row r="121">
          <cell r="J121">
            <v>3.944</v>
          </cell>
          <cell r="K121">
            <v>-0.0999999999999612</v>
          </cell>
          <cell r="L121">
            <v>-20</v>
          </cell>
        </row>
        <row r="122">
          <cell r="J122">
            <v>3.977</v>
          </cell>
          <cell r="K122">
            <v>-0.0999999999999612</v>
          </cell>
          <cell r="L122">
            <v>-20</v>
          </cell>
        </row>
        <row r="123">
          <cell r="J123">
            <v>4.01</v>
          </cell>
          <cell r="K123">
            <v>0</v>
          </cell>
          <cell r="L123">
            <v>-20</v>
          </cell>
        </row>
        <row r="124">
          <cell r="J124">
            <v>4.044</v>
          </cell>
          <cell r="K124">
            <v>0</v>
          </cell>
          <cell r="L124">
            <v>-20</v>
          </cell>
        </row>
        <row r="125">
          <cell r="J125">
            <v>4.077</v>
          </cell>
          <cell r="K125">
            <v>0</v>
          </cell>
          <cell r="L125">
            <v>-20</v>
          </cell>
        </row>
        <row r="126">
          <cell r="J126">
            <v>4.111</v>
          </cell>
          <cell r="K126">
            <v>0</v>
          </cell>
          <cell r="L126">
            <v>-20</v>
          </cell>
        </row>
        <row r="127">
          <cell r="J127">
            <v>4.144</v>
          </cell>
          <cell r="K127">
            <v>0.100000000000031</v>
          </cell>
          <cell r="L127">
            <v>-20</v>
          </cell>
        </row>
        <row r="128">
          <cell r="J128">
            <v>4.178</v>
          </cell>
          <cell r="K128">
            <v>0</v>
          </cell>
          <cell r="L128">
            <v>23</v>
          </cell>
        </row>
        <row r="129">
          <cell r="J129">
            <v>4.211</v>
          </cell>
          <cell r="K129">
            <v>-0.199999999999992</v>
          </cell>
          <cell r="L129">
            <v>23</v>
          </cell>
        </row>
        <row r="130">
          <cell r="J130">
            <v>4.244</v>
          </cell>
          <cell r="K130">
            <v>-0.199999999999992</v>
          </cell>
          <cell r="L130">
            <v>23</v>
          </cell>
        </row>
        <row r="131">
          <cell r="J131">
            <v>4.278</v>
          </cell>
          <cell r="K131">
            <v>-0.399999999999984</v>
          </cell>
          <cell r="L131">
            <v>23</v>
          </cell>
        </row>
        <row r="132">
          <cell r="J132">
            <v>4.311</v>
          </cell>
          <cell r="K132">
            <v>-0.500000000000014</v>
          </cell>
          <cell r="L132">
            <v>23</v>
          </cell>
        </row>
        <row r="133">
          <cell r="J133">
            <v>4.345</v>
          </cell>
          <cell r="K133">
            <v>-0.700000000000006</v>
          </cell>
          <cell r="L133">
            <v>23</v>
          </cell>
        </row>
        <row r="134">
          <cell r="J134">
            <v>4.378</v>
          </cell>
          <cell r="K134">
            <v>-1.20000000000002</v>
          </cell>
          <cell r="L134">
            <v>23</v>
          </cell>
        </row>
        <row r="135">
          <cell r="J135">
            <v>4.411</v>
          </cell>
          <cell r="K135">
            <v>-1.49999999999997</v>
          </cell>
          <cell r="L135">
            <v>23</v>
          </cell>
        </row>
        <row r="136">
          <cell r="J136">
            <v>4.445</v>
          </cell>
          <cell r="K136">
            <v>-1.69999999999997</v>
          </cell>
          <cell r="L136">
            <v>23</v>
          </cell>
        </row>
        <row r="137">
          <cell r="J137">
            <v>4.478</v>
          </cell>
          <cell r="K137">
            <v>-3.09999999999998</v>
          </cell>
          <cell r="L137">
            <v>23</v>
          </cell>
        </row>
        <row r="138">
          <cell r="J138">
            <v>4.512</v>
          </cell>
          <cell r="K138">
            <v>-3.99999999999998</v>
          </cell>
          <cell r="L138">
            <v>23</v>
          </cell>
        </row>
        <row r="139">
          <cell r="J139">
            <v>4.545</v>
          </cell>
          <cell r="K139">
            <v>-5.09999999999997</v>
          </cell>
          <cell r="L139">
            <v>23</v>
          </cell>
        </row>
        <row r="140">
          <cell r="J140">
            <v>4.579</v>
          </cell>
          <cell r="K140">
            <v>-6.69999999999997</v>
          </cell>
          <cell r="L140">
            <v>23</v>
          </cell>
        </row>
        <row r="141">
          <cell r="J141">
            <v>4.612</v>
          </cell>
          <cell r="K141">
            <v>-7.89999999999999</v>
          </cell>
          <cell r="L141">
            <v>23</v>
          </cell>
        </row>
        <row r="142">
          <cell r="J142">
            <v>4.645</v>
          </cell>
          <cell r="K142">
            <v>-9.49999999999999</v>
          </cell>
          <cell r="L142">
            <v>23</v>
          </cell>
        </row>
        <row r="143">
          <cell r="J143">
            <v>4.679</v>
          </cell>
          <cell r="K143">
            <v>-10.5</v>
          </cell>
          <cell r="L143">
            <v>23</v>
          </cell>
        </row>
        <row r="144">
          <cell r="J144">
            <v>4.712</v>
          </cell>
          <cell r="K144">
            <v>-12.1</v>
          </cell>
          <cell r="L144">
            <v>23</v>
          </cell>
        </row>
        <row r="145">
          <cell r="J145">
            <v>4.746</v>
          </cell>
          <cell r="K145">
            <v>-13</v>
          </cell>
          <cell r="L145">
            <v>23</v>
          </cell>
        </row>
        <row r="146">
          <cell r="J146">
            <v>4.779</v>
          </cell>
          <cell r="K146">
            <v>-13.7</v>
          </cell>
          <cell r="L146">
            <v>23</v>
          </cell>
        </row>
        <row r="147">
          <cell r="J147">
            <v>4.813</v>
          </cell>
          <cell r="K147">
            <v>-15.1</v>
          </cell>
          <cell r="L147">
            <v>23</v>
          </cell>
        </row>
        <row r="148">
          <cell r="J148">
            <v>4.846</v>
          </cell>
          <cell r="K148">
            <v>-15.6</v>
          </cell>
          <cell r="L148">
            <v>23</v>
          </cell>
        </row>
        <row r="149">
          <cell r="J149">
            <v>4.879</v>
          </cell>
          <cell r="K149">
            <v>-15.8</v>
          </cell>
          <cell r="L149">
            <v>23</v>
          </cell>
        </row>
        <row r="150">
          <cell r="J150">
            <v>4.913</v>
          </cell>
          <cell r="K150">
            <v>-16.2</v>
          </cell>
          <cell r="L150">
            <v>23</v>
          </cell>
        </row>
        <row r="151">
          <cell r="J151">
            <v>4.946</v>
          </cell>
          <cell r="K151">
            <v>-16.1</v>
          </cell>
          <cell r="L151">
            <v>-20</v>
          </cell>
        </row>
        <row r="152">
          <cell r="J152">
            <v>4.98</v>
          </cell>
          <cell r="K152">
            <v>-16.1</v>
          </cell>
          <cell r="L152">
            <v>-20</v>
          </cell>
        </row>
        <row r="153">
          <cell r="J153">
            <v>5.013</v>
          </cell>
          <cell r="K153">
            <v>-15.8</v>
          </cell>
          <cell r="L153">
            <v>-20</v>
          </cell>
        </row>
        <row r="154">
          <cell r="J154">
            <v>5.046</v>
          </cell>
          <cell r="K154">
            <v>-15.3</v>
          </cell>
          <cell r="L154">
            <v>-20</v>
          </cell>
        </row>
        <row r="155">
          <cell r="J155">
            <v>5.08</v>
          </cell>
          <cell r="K155">
            <v>-14.8</v>
          </cell>
          <cell r="L155">
            <v>-20</v>
          </cell>
        </row>
        <row r="156">
          <cell r="J156">
            <v>5.113</v>
          </cell>
          <cell r="K156">
            <v>-14.4</v>
          </cell>
          <cell r="L156">
            <v>-20</v>
          </cell>
        </row>
        <row r="157">
          <cell r="J157">
            <v>5.147</v>
          </cell>
          <cell r="K157">
            <v>-13.7</v>
          </cell>
          <cell r="L157">
            <v>-20</v>
          </cell>
        </row>
        <row r="158">
          <cell r="J158">
            <v>5.18</v>
          </cell>
          <cell r="K158">
            <v>-12.2</v>
          </cell>
          <cell r="L158">
            <v>-20</v>
          </cell>
        </row>
        <row r="159">
          <cell r="J159">
            <v>5.214</v>
          </cell>
          <cell r="K159">
            <v>-10.7</v>
          </cell>
          <cell r="L159">
            <v>-20</v>
          </cell>
        </row>
        <row r="160">
          <cell r="J160">
            <v>5.247</v>
          </cell>
          <cell r="K160">
            <v>-9.39999999999996</v>
          </cell>
          <cell r="L160">
            <v>-20</v>
          </cell>
        </row>
        <row r="161">
          <cell r="J161">
            <v>5.28</v>
          </cell>
          <cell r="K161">
            <v>-7.30000000000001</v>
          </cell>
          <cell r="L161">
            <v>-20</v>
          </cell>
        </row>
        <row r="162">
          <cell r="J162">
            <v>5.314</v>
          </cell>
          <cell r="K162">
            <v>-4.89999999999997</v>
          </cell>
          <cell r="L162">
            <v>-20</v>
          </cell>
        </row>
        <row r="163">
          <cell r="J163">
            <v>5.347</v>
          </cell>
          <cell r="K163">
            <v>-3.09999999999998</v>
          </cell>
          <cell r="L163">
            <v>-20</v>
          </cell>
        </row>
        <row r="164">
          <cell r="J164">
            <v>5.381</v>
          </cell>
          <cell r="K164">
            <v>-1.09999999999999</v>
          </cell>
          <cell r="L164">
            <v>-20</v>
          </cell>
        </row>
        <row r="165">
          <cell r="J165">
            <v>5.414</v>
          </cell>
          <cell r="K165">
            <v>1.09999999999999</v>
          </cell>
          <cell r="L165">
            <v>-20</v>
          </cell>
        </row>
        <row r="166">
          <cell r="J166">
            <v>5.448</v>
          </cell>
          <cell r="K166">
            <v>2.69999999999999</v>
          </cell>
          <cell r="L166">
            <v>-20</v>
          </cell>
        </row>
        <row r="167">
          <cell r="J167">
            <v>5.481</v>
          </cell>
          <cell r="K167">
            <v>5.2</v>
          </cell>
          <cell r="L167">
            <v>-20</v>
          </cell>
        </row>
        <row r="168">
          <cell r="J168">
            <v>5.514</v>
          </cell>
          <cell r="K168">
            <v>7.60000000000004</v>
          </cell>
          <cell r="L168">
            <v>-20</v>
          </cell>
        </row>
        <row r="169">
          <cell r="J169">
            <v>5.548</v>
          </cell>
          <cell r="K169">
            <v>9.40000000000003</v>
          </cell>
          <cell r="L169">
            <v>-20</v>
          </cell>
        </row>
        <row r="170">
          <cell r="J170">
            <v>5.581</v>
          </cell>
          <cell r="K170">
            <v>11.1</v>
          </cell>
          <cell r="L170">
            <v>-20</v>
          </cell>
        </row>
        <row r="171">
          <cell r="J171">
            <v>5.615</v>
          </cell>
          <cell r="K171">
            <v>13.3</v>
          </cell>
          <cell r="L171">
            <v>-20</v>
          </cell>
        </row>
        <row r="172">
          <cell r="J172">
            <v>5.648</v>
          </cell>
          <cell r="K172">
            <v>14.4</v>
          </cell>
          <cell r="L172">
            <v>-20</v>
          </cell>
        </row>
        <row r="173">
          <cell r="J173">
            <v>5.681</v>
          </cell>
          <cell r="K173">
            <v>15.6</v>
          </cell>
          <cell r="L173">
            <v>-20</v>
          </cell>
        </row>
        <row r="174">
          <cell r="J174">
            <v>5.715</v>
          </cell>
          <cell r="K174">
            <v>16</v>
          </cell>
          <cell r="L174">
            <v>23</v>
          </cell>
        </row>
        <row r="175">
          <cell r="J175">
            <v>5.748</v>
          </cell>
          <cell r="K175">
            <v>16.4</v>
          </cell>
          <cell r="L175">
            <v>23</v>
          </cell>
        </row>
        <row r="176">
          <cell r="J176">
            <v>5.782</v>
          </cell>
          <cell r="K176">
            <v>16.4</v>
          </cell>
          <cell r="L176">
            <v>23</v>
          </cell>
        </row>
        <row r="177">
          <cell r="J177">
            <v>5.815</v>
          </cell>
          <cell r="K177">
            <v>16</v>
          </cell>
          <cell r="L177">
            <v>23</v>
          </cell>
        </row>
        <row r="178">
          <cell r="J178">
            <v>5.849</v>
          </cell>
          <cell r="K178">
            <v>15.5</v>
          </cell>
          <cell r="L178">
            <v>23</v>
          </cell>
        </row>
        <row r="179">
          <cell r="J179">
            <v>5.882</v>
          </cell>
          <cell r="K179">
            <v>15</v>
          </cell>
          <cell r="L179">
            <v>23</v>
          </cell>
        </row>
        <row r="180">
          <cell r="J180">
            <v>5.915</v>
          </cell>
          <cell r="K180">
            <v>14.6</v>
          </cell>
          <cell r="L180">
            <v>23</v>
          </cell>
        </row>
        <row r="181">
          <cell r="J181">
            <v>5.949</v>
          </cell>
          <cell r="K181">
            <v>14</v>
          </cell>
          <cell r="L181">
            <v>23</v>
          </cell>
        </row>
        <row r="182">
          <cell r="J182">
            <v>5.982</v>
          </cell>
          <cell r="K182">
            <v>12.5</v>
          </cell>
          <cell r="L182">
            <v>23</v>
          </cell>
        </row>
        <row r="183">
          <cell r="J183">
            <v>6.016</v>
          </cell>
          <cell r="K183">
            <v>10.3</v>
          </cell>
          <cell r="L183">
            <v>23</v>
          </cell>
        </row>
        <row r="184">
          <cell r="J184">
            <v>6.049</v>
          </cell>
          <cell r="K184">
            <v>8.20000000000001</v>
          </cell>
          <cell r="L184">
            <v>23</v>
          </cell>
        </row>
        <row r="185">
          <cell r="J185">
            <v>6.082</v>
          </cell>
          <cell r="K185">
            <v>6.40000000000002</v>
          </cell>
          <cell r="L185">
            <v>23</v>
          </cell>
        </row>
        <row r="186">
          <cell r="J186">
            <v>6.116</v>
          </cell>
          <cell r="K186">
            <v>3.79999999999998</v>
          </cell>
          <cell r="L186">
            <v>23</v>
          </cell>
        </row>
        <row r="187">
          <cell r="J187">
            <v>6.149</v>
          </cell>
          <cell r="K187">
            <v>1.00000000000003</v>
          </cell>
          <cell r="L187">
            <v>23</v>
          </cell>
        </row>
        <row r="188">
          <cell r="J188">
            <v>6.183</v>
          </cell>
          <cell r="K188">
            <v>-1.09999999999999</v>
          </cell>
          <cell r="L188">
            <v>23</v>
          </cell>
        </row>
        <row r="189">
          <cell r="J189">
            <v>6.216</v>
          </cell>
          <cell r="K189">
            <v>-3.00000000000002</v>
          </cell>
          <cell r="L189">
            <v>23</v>
          </cell>
        </row>
        <row r="190">
          <cell r="J190">
            <v>6.25</v>
          </cell>
          <cell r="K190">
            <v>-5.59999999999998</v>
          </cell>
          <cell r="L190">
            <v>23</v>
          </cell>
        </row>
        <row r="191">
          <cell r="J191">
            <v>6.283</v>
          </cell>
          <cell r="K191">
            <v>-8.90000000000002</v>
          </cell>
          <cell r="L191">
            <v>23</v>
          </cell>
        </row>
        <row r="192">
          <cell r="J192">
            <v>6.316</v>
          </cell>
          <cell r="K192">
            <v>-11.7</v>
          </cell>
          <cell r="L192">
            <v>23</v>
          </cell>
        </row>
        <row r="193">
          <cell r="J193">
            <v>6.35</v>
          </cell>
          <cell r="K193">
            <v>-14</v>
          </cell>
          <cell r="L193">
            <v>23</v>
          </cell>
        </row>
        <row r="194">
          <cell r="J194">
            <v>6.383</v>
          </cell>
          <cell r="K194">
            <v>-16.4</v>
          </cell>
          <cell r="L194">
            <v>23</v>
          </cell>
        </row>
        <row r="195">
          <cell r="J195">
            <v>6.417</v>
          </cell>
          <cell r="K195">
            <v>-17.8</v>
          </cell>
          <cell r="L195">
            <v>23</v>
          </cell>
        </row>
        <row r="196">
          <cell r="J196">
            <v>6.45</v>
          </cell>
          <cell r="K196">
            <v>-19.7</v>
          </cell>
          <cell r="L196">
            <v>23</v>
          </cell>
        </row>
        <row r="197">
          <cell r="J197">
            <v>6.484</v>
          </cell>
          <cell r="K197">
            <v>-21.3</v>
          </cell>
          <cell r="L197">
            <v>23</v>
          </cell>
        </row>
        <row r="198">
          <cell r="J198">
            <v>6.517</v>
          </cell>
          <cell r="K198">
            <v>-22</v>
          </cell>
          <cell r="L198">
            <v>-20</v>
          </cell>
        </row>
        <row r="199">
          <cell r="J199">
            <v>6.55</v>
          </cell>
          <cell r="K199">
            <v>-22.2</v>
          </cell>
          <cell r="L199">
            <v>-20</v>
          </cell>
        </row>
        <row r="200">
          <cell r="J200">
            <v>6.584</v>
          </cell>
          <cell r="K200">
            <v>-22.6</v>
          </cell>
          <cell r="L200">
            <v>-20</v>
          </cell>
        </row>
        <row r="201">
          <cell r="J201">
            <v>6.617</v>
          </cell>
          <cell r="K201">
            <v>-22.3</v>
          </cell>
          <cell r="L201">
            <v>-20</v>
          </cell>
        </row>
        <row r="202">
          <cell r="J202">
            <v>6.651</v>
          </cell>
          <cell r="K202">
            <v>-21.9</v>
          </cell>
          <cell r="L202">
            <v>-20</v>
          </cell>
        </row>
        <row r="203">
          <cell r="J203">
            <v>6.684</v>
          </cell>
          <cell r="K203">
            <v>-21.3</v>
          </cell>
          <cell r="L203">
            <v>-20</v>
          </cell>
        </row>
        <row r="204">
          <cell r="J204">
            <v>6.717</v>
          </cell>
          <cell r="K204">
            <v>-20.9</v>
          </cell>
          <cell r="L204">
            <v>-20</v>
          </cell>
        </row>
        <row r="205">
          <cell r="J205">
            <v>6.751</v>
          </cell>
          <cell r="K205">
            <v>-20.4</v>
          </cell>
          <cell r="L205">
            <v>-20</v>
          </cell>
        </row>
        <row r="206">
          <cell r="J206">
            <v>6.784</v>
          </cell>
          <cell r="K206">
            <v>-19.7</v>
          </cell>
          <cell r="L206">
            <v>-20</v>
          </cell>
        </row>
        <row r="207">
          <cell r="J207">
            <v>6.818</v>
          </cell>
          <cell r="K207">
            <v>-18.4</v>
          </cell>
          <cell r="L207">
            <v>-20</v>
          </cell>
        </row>
        <row r="208">
          <cell r="J208">
            <v>6.851</v>
          </cell>
          <cell r="K208">
            <v>-16.1</v>
          </cell>
          <cell r="L208">
            <v>-20</v>
          </cell>
        </row>
        <row r="209">
          <cell r="J209">
            <v>6.885</v>
          </cell>
          <cell r="K209">
            <v>-14</v>
          </cell>
          <cell r="L209">
            <v>-20</v>
          </cell>
        </row>
        <row r="210">
          <cell r="J210">
            <v>6.918</v>
          </cell>
          <cell r="K210">
            <v>-11.5</v>
          </cell>
          <cell r="L210">
            <v>-20</v>
          </cell>
        </row>
        <row r="211">
          <cell r="J211">
            <v>6.951</v>
          </cell>
          <cell r="K211">
            <v>-8.69999999999996</v>
          </cell>
          <cell r="L211">
            <v>-20</v>
          </cell>
        </row>
        <row r="212">
          <cell r="J212">
            <v>6.985</v>
          </cell>
          <cell r="K212">
            <v>-5.50000000000002</v>
          </cell>
          <cell r="L212">
            <v>-20</v>
          </cell>
        </row>
        <row r="213">
          <cell r="J213">
            <v>7.018</v>
          </cell>
          <cell r="K213">
            <v>-2.5</v>
          </cell>
          <cell r="L213">
            <v>-20</v>
          </cell>
        </row>
        <row r="214">
          <cell r="J214">
            <v>7.052</v>
          </cell>
          <cell r="K214">
            <v>0.300000000000022</v>
          </cell>
          <cell r="L214">
            <v>-20</v>
          </cell>
        </row>
        <row r="215">
          <cell r="J215">
            <v>7.085</v>
          </cell>
          <cell r="K215">
            <v>3.00000000000002</v>
          </cell>
          <cell r="L215">
            <v>-20</v>
          </cell>
        </row>
        <row r="216">
          <cell r="J216">
            <v>7.119</v>
          </cell>
          <cell r="K216">
            <v>6.40000000000002</v>
          </cell>
          <cell r="L216">
            <v>-20</v>
          </cell>
        </row>
        <row r="217">
          <cell r="J217">
            <v>7.152</v>
          </cell>
          <cell r="K217">
            <v>9.10000000000001</v>
          </cell>
          <cell r="L217">
            <v>-20</v>
          </cell>
        </row>
        <row r="218">
          <cell r="J218">
            <v>7.185</v>
          </cell>
          <cell r="K218">
            <v>12.4</v>
          </cell>
          <cell r="L218">
            <v>-20</v>
          </cell>
        </row>
        <row r="219">
          <cell r="J219">
            <v>7.219</v>
          </cell>
          <cell r="K219">
            <v>14.8</v>
          </cell>
          <cell r="L219">
            <v>-20</v>
          </cell>
        </row>
        <row r="220">
          <cell r="J220">
            <v>7.252</v>
          </cell>
          <cell r="K220">
            <v>17.6</v>
          </cell>
          <cell r="L220">
            <v>-20</v>
          </cell>
        </row>
        <row r="221">
          <cell r="J221">
            <v>7.286</v>
          </cell>
          <cell r="K221">
            <v>20.3</v>
          </cell>
          <cell r="L221">
            <v>23</v>
          </cell>
        </row>
        <row r="222">
          <cell r="J222">
            <v>7.319</v>
          </cell>
          <cell r="K222">
            <v>22.1</v>
          </cell>
          <cell r="L222">
            <v>23</v>
          </cell>
        </row>
        <row r="223">
          <cell r="J223">
            <v>7.352</v>
          </cell>
          <cell r="K223">
            <v>22.8</v>
          </cell>
          <cell r="L223">
            <v>23</v>
          </cell>
        </row>
        <row r="224">
          <cell r="J224">
            <v>7.386</v>
          </cell>
          <cell r="K224">
            <v>24.2</v>
          </cell>
          <cell r="L224">
            <v>23</v>
          </cell>
        </row>
        <row r="225">
          <cell r="J225">
            <v>7.419</v>
          </cell>
          <cell r="K225">
            <v>24.8</v>
          </cell>
          <cell r="L225">
            <v>23</v>
          </cell>
        </row>
        <row r="226">
          <cell r="J226">
            <v>7.453</v>
          </cell>
          <cell r="K226">
            <v>24.8</v>
          </cell>
          <cell r="L226">
            <v>23</v>
          </cell>
        </row>
        <row r="227">
          <cell r="J227">
            <v>7.486</v>
          </cell>
          <cell r="K227">
            <v>24.6</v>
          </cell>
          <cell r="L227">
            <v>23</v>
          </cell>
        </row>
        <row r="228">
          <cell r="J228">
            <v>7.52</v>
          </cell>
          <cell r="K228">
            <v>24.3</v>
          </cell>
          <cell r="L228">
            <v>23</v>
          </cell>
        </row>
        <row r="229">
          <cell r="J229">
            <v>7.553</v>
          </cell>
          <cell r="K229">
            <v>23.8</v>
          </cell>
          <cell r="L229">
            <v>23</v>
          </cell>
        </row>
        <row r="230">
          <cell r="J230">
            <v>7.586</v>
          </cell>
          <cell r="K230">
            <v>23.1</v>
          </cell>
          <cell r="L230">
            <v>23</v>
          </cell>
        </row>
        <row r="231">
          <cell r="J231">
            <v>7.62</v>
          </cell>
          <cell r="K231">
            <v>22.4</v>
          </cell>
          <cell r="L231">
            <v>23</v>
          </cell>
        </row>
        <row r="232">
          <cell r="J232">
            <v>7.653</v>
          </cell>
          <cell r="K232">
            <v>20.6</v>
          </cell>
          <cell r="L232">
            <v>23</v>
          </cell>
        </row>
        <row r="233">
          <cell r="J233">
            <v>7.687</v>
          </cell>
          <cell r="K233">
            <v>18</v>
          </cell>
          <cell r="L233">
            <v>23</v>
          </cell>
        </row>
        <row r="234">
          <cell r="J234">
            <v>7.72</v>
          </cell>
          <cell r="K234">
            <v>15.9</v>
          </cell>
          <cell r="L234">
            <v>23</v>
          </cell>
        </row>
        <row r="235">
          <cell r="J235">
            <v>7.753</v>
          </cell>
          <cell r="K235">
            <v>12.9</v>
          </cell>
          <cell r="L235">
            <v>23</v>
          </cell>
        </row>
        <row r="236">
          <cell r="J236">
            <v>7.787</v>
          </cell>
          <cell r="K236">
            <v>9.40000000000003</v>
          </cell>
          <cell r="L236">
            <v>23</v>
          </cell>
        </row>
        <row r="237">
          <cell r="J237">
            <v>7.82</v>
          </cell>
          <cell r="K237">
            <v>6.60000000000001</v>
          </cell>
          <cell r="L237">
            <v>23</v>
          </cell>
        </row>
        <row r="238">
          <cell r="J238">
            <v>7.854</v>
          </cell>
          <cell r="K238">
            <v>2.89999999999999</v>
          </cell>
          <cell r="L238">
            <v>23</v>
          </cell>
        </row>
        <row r="239">
          <cell r="J239">
            <v>7.887</v>
          </cell>
          <cell r="K239">
            <v>0.199999999999992</v>
          </cell>
          <cell r="L239">
            <v>23</v>
          </cell>
        </row>
        <row r="240">
          <cell r="J240">
            <v>7.921</v>
          </cell>
          <cell r="K240">
            <v>-3.20000000000001</v>
          </cell>
          <cell r="L240">
            <v>23</v>
          </cell>
        </row>
        <row r="241">
          <cell r="J241">
            <v>7.954</v>
          </cell>
          <cell r="K241">
            <v>-5.79999999999997</v>
          </cell>
          <cell r="L241">
            <v>23</v>
          </cell>
        </row>
        <row r="242">
          <cell r="J242">
            <v>7.987</v>
          </cell>
          <cell r="K242">
            <v>-9.39999999999996</v>
          </cell>
          <cell r="L242">
            <v>23</v>
          </cell>
        </row>
        <row r="243">
          <cell r="J243">
            <v>8.021</v>
          </cell>
          <cell r="K243">
            <v>-12.6</v>
          </cell>
          <cell r="L243">
            <v>23</v>
          </cell>
        </row>
        <row r="244">
          <cell r="J244">
            <v>8.054</v>
          </cell>
          <cell r="K244">
            <v>-15.4</v>
          </cell>
          <cell r="L244">
            <v>-20</v>
          </cell>
        </row>
        <row r="245">
          <cell r="J245">
            <v>8.088</v>
          </cell>
          <cell r="K245">
            <v>-17.5</v>
          </cell>
          <cell r="L245">
            <v>-20</v>
          </cell>
        </row>
        <row r="246">
          <cell r="J246">
            <v>8.121</v>
          </cell>
          <cell r="K246">
            <v>-19.4</v>
          </cell>
          <cell r="L246">
            <v>-20</v>
          </cell>
        </row>
        <row r="247">
          <cell r="J247">
            <v>8.155</v>
          </cell>
          <cell r="K247">
            <v>-20.4</v>
          </cell>
          <cell r="L247">
            <v>-20</v>
          </cell>
        </row>
        <row r="248">
          <cell r="J248">
            <v>8.188</v>
          </cell>
          <cell r="K248">
            <v>-21.7</v>
          </cell>
          <cell r="L248">
            <v>-20</v>
          </cell>
        </row>
        <row r="249">
          <cell r="J249">
            <v>8.221</v>
          </cell>
          <cell r="K249">
            <v>-22.4</v>
          </cell>
          <cell r="L249">
            <v>-20</v>
          </cell>
        </row>
        <row r="250">
          <cell r="J250">
            <v>8.255</v>
          </cell>
          <cell r="K250">
            <v>-22.5</v>
          </cell>
          <cell r="L250">
            <v>-20</v>
          </cell>
        </row>
        <row r="251">
          <cell r="J251">
            <v>8.288</v>
          </cell>
          <cell r="K251">
            <v>-22.4</v>
          </cell>
          <cell r="L251">
            <v>-20</v>
          </cell>
        </row>
        <row r="252">
          <cell r="J252">
            <v>8.322</v>
          </cell>
          <cell r="K252">
            <v>-22.2</v>
          </cell>
          <cell r="L252">
            <v>-20</v>
          </cell>
        </row>
        <row r="253">
          <cell r="J253">
            <v>8.355</v>
          </cell>
          <cell r="K253">
            <v>-21.7</v>
          </cell>
          <cell r="L253">
            <v>-20</v>
          </cell>
        </row>
        <row r="254">
          <cell r="J254">
            <v>8.388</v>
          </cell>
          <cell r="K254">
            <v>-20.9</v>
          </cell>
          <cell r="L254">
            <v>-20</v>
          </cell>
        </row>
        <row r="255">
          <cell r="J255">
            <v>8.422</v>
          </cell>
          <cell r="K255">
            <v>-20.5</v>
          </cell>
          <cell r="L255">
            <v>-20</v>
          </cell>
        </row>
        <row r="256">
          <cell r="J256">
            <v>8.455</v>
          </cell>
          <cell r="K256">
            <v>-19.5</v>
          </cell>
          <cell r="L256">
            <v>-20</v>
          </cell>
        </row>
        <row r="257">
          <cell r="J257">
            <v>8.489</v>
          </cell>
          <cell r="K257">
            <v>-17.6</v>
          </cell>
          <cell r="L257">
            <v>-20</v>
          </cell>
        </row>
        <row r="258">
          <cell r="J258">
            <v>8.522</v>
          </cell>
          <cell r="K258">
            <v>-16</v>
          </cell>
          <cell r="L258">
            <v>-20</v>
          </cell>
        </row>
        <row r="259">
          <cell r="J259">
            <v>8.556</v>
          </cell>
          <cell r="K259">
            <v>-13.7</v>
          </cell>
          <cell r="L259">
            <v>-20</v>
          </cell>
        </row>
        <row r="260">
          <cell r="J260">
            <v>8.589</v>
          </cell>
          <cell r="K260">
            <v>-11</v>
          </cell>
          <cell r="L260">
            <v>-20</v>
          </cell>
        </row>
        <row r="261">
          <cell r="J261">
            <v>8.622</v>
          </cell>
          <cell r="K261">
            <v>-8.00000000000002</v>
          </cell>
          <cell r="L261">
            <v>-20</v>
          </cell>
        </row>
        <row r="262">
          <cell r="J262">
            <v>8.656</v>
          </cell>
          <cell r="K262">
            <v>-4.80000000000001</v>
          </cell>
          <cell r="L262">
            <v>-20</v>
          </cell>
        </row>
        <row r="263">
          <cell r="J263">
            <v>8.689</v>
          </cell>
          <cell r="K263">
            <v>-1.99999999999999</v>
          </cell>
          <cell r="L263">
            <v>-20</v>
          </cell>
        </row>
        <row r="264">
          <cell r="J264">
            <v>8.723</v>
          </cell>
          <cell r="K264">
            <v>0.700000000000006</v>
          </cell>
          <cell r="L264">
            <v>-20</v>
          </cell>
        </row>
        <row r="265">
          <cell r="J265">
            <v>8.756</v>
          </cell>
          <cell r="K265">
            <v>4.10000000000001</v>
          </cell>
          <cell r="L265">
            <v>-20</v>
          </cell>
        </row>
        <row r="266">
          <cell r="J266">
            <v>8.79</v>
          </cell>
          <cell r="K266">
            <v>7.39999999999998</v>
          </cell>
          <cell r="L266">
            <v>-20</v>
          </cell>
        </row>
        <row r="267">
          <cell r="J267">
            <v>8.823</v>
          </cell>
          <cell r="K267">
            <v>10.5</v>
          </cell>
          <cell r="L267">
            <v>23</v>
          </cell>
        </row>
        <row r="268">
          <cell r="J268">
            <v>8.856</v>
          </cell>
          <cell r="K268">
            <v>13.6</v>
          </cell>
          <cell r="L268">
            <v>23</v>
          </cell>
        </row>
        <row r="269">
          <cell r="J269">
            <v>8.89</v>
          </cell>
          <cell r="K269">
            <v>16.6</v>
          </cell>
          <cell r="L269">
            <v>23</v>
          </cell>
        </row>
        <row r="270">
          <cell r="J270">
            <v>8.923</v>
          </cell>
          <cell r="K270">
            <v>19.5</v>
          </cell>
          <cell r="L270">
            <v>23</v>
          </cell>
        </row>
        <row r="271">
          <cell r="J271">
            <v>8.957</v>
          </cell>
          <cell r="K271">
            <v>21.2</v>
          </cell>
          <cell r="L271">
            <v>23</v>
          </cell>
        </row>
        <row r="272">
          <cell r="J272">
            <v>8.99</v>
          </cell>
          <cell r="K272">
            <v>22.6</v>
          </cell>
          <cell r="L272">
            <v>23</v>
          </cell>
        </row>
        <row r="273">
          <cell r="J273">
            <v>9.023</v>
          </cell>
          <cell r="K273">
            <v>24</v>
          </cell>
          <cell r="L273">
            <v>23</v>
          </cell>
        </row>
        <row r="274">
          <cell r="J274">
            <v>9.057</v>
          </cell>
          <cell r="K274">
            <v>25</v>
          </cell>
          <cell r="L274">
            <v>23</v>
          </cell>
        </row>
        <row r="275">
          <cell r="J275">
            <v>9.09</v>
          </cell>
          <cell r="K275">
            <v>25.3</v>
          </cell>
          <cell r="L275">
            <v>23</v>
          </cell>
        </row>
        <row r="276">
          <cell r="J276">
            <v>9.124</v>
          </cell>
          <cell r="K276">
            <v>25.3</v>
          </cell>
          <cell r="L276">
            <v>23</v>
          </cell>
        </row>
        <row r="277">
          <cell r="J277">
            <v>9.157</v>
          </cell>
          <cell r="K277">
            <v>25.2</v>
          </cell>
          <cell r="L277">
            <v>23</v>
          </cell>
        </row>
        <row r="278">
          <cell r="J278">
            <v>9.191</v>
          </cell>
          <cell r="K278">
            <v>24.6</v>
          </cell>
          <cell r="L278">
            <v>23</v>
          </cell>
        </row>
        <row r="279">
          <cell r="J279">
            <v>9.224</v>
          </cell>
          <cell r="K279">
            <v>24.1</v>
          </cell>
          <cell r="L279">
            <v>23</v>
          </cell>
        </row>
        <row r="280">
          <cell r="J280">
            <v>9.257</v>
          </cell>
          <cell r="K280">
            <v>23.6</v>
          </cell>
          <cell r="L280">
            <v>23</v>
          </cell>
        </row>
        <row r="281">
          <cell r="J281">
            <v>9.291</v>
          </cell>
          <cell r="K281">
            <v>22.7</v>
          </cell>
          <cell r="L281">
            <v>23</v>
          </cell>
        </row>
        <row r="282">
          <cell r="J282">
            <v>9.324</v>
          </cell>
          <cell r="K282">
            <v>21.6</v>
          </cell>
          <cell r="L282">
            <v>23</v>
          </cell>
        </row>
        <row r="283">
          <cell r="J283">
            <v>9.358</v>
          </cell>
          <cell r="K283">
            <v>20.1</v>
          </cell>
          <cell r="L283">
            <v>23</v>
          </cell>
        </row>
        <row r="284">
          <cell r="J284">
            <v>9.391</v>
          </cell>
          <cell r="K284">
            <v>17.7</v>
          </cell>
          <cell r="L284">
            <v>23</v>
          </cell>
        </row>
        <row r="285">
          <cell r="J285">
            <v>9.425</v>
          </cell>
          <cell r="K285">
            <v>15.3</v>
          </cell>
          <cell r="L285">
            <v>23</v>
          </cell>
        </row>
        <row r="286">
          <cell r="J286">
            <v>9.458</v>
          </cell>
          <cell r="K286">
            <v>12.3</v>
          </cell>
          <cell r="L286">
            <v>23</v>
          </cell>
        </row>
        <row r="287">
          <cell r="J287">
            <v>9.491</v>
          </cell>
          <cell r="K287">
            <v>8.79999999999999</v>
          </cell>
          <cell r="L287">
            <v>23</v>
          </cell>
        </row>
        <row r="288">
          <cell r="J288">
            <v>9.525</v>
          </cell>
          <cell r="K288">
            <v>5.80000000000004</v>
          </cell>
          <cell r="L288">
            <v>23</v>
          </cell>
        </row>
        <row r="289">
          <cell r="J289">
            <v>9.558</v>
          </cell>
          <cell r="K289">
            <v>2.30000000000001</v>
          </cell>
          <cell r="L289">
            <v>23</v>
          </cell>
        </row>
        <row r="290">
          <cell r="J290">
            <v>9.592</v>
          </cell>
          <cell r="K290">
            <v>-0.199999999999992</v>
          </cell>
          <cell r="L290">
            <v>-20</v>
          </cell>
        </row>
        <row r="291">
          <cell r="J291">
            <v>9.625</v>
          </cell>
          <cell r="K291">
            <v>-3.00000000000002</v>
          </cell>
          <cell r="L291">
            <v>-20</v>
          </cell>
        </row>
        <row r="292">
          <cell r="J292">
            <v>9.658</v>
          </cell>
          <cell r="K292">
            <v>-5.59999999999998</v>
          </cell>
          <cell r="L292">
            <v>-20</v>
          </cell>
        </row>
        <row r="293">
          <cell r="J293">
            <v>9.692</v>
          </cell>
          <cell r="K293">
            <v>-8.69999999999996</v>
          </cell>
          <cell r="L293">
            <v>-20</v>
          </cell>
        </row>
        <row r="294">
          <cell r="J294">
            <v>9.725</v>
          </cell>
          <cell r="K294">
            <v>-11.7</v>
          </cell>
          <cell r="L294">
            <v>-20</v>
          </cell>
        </row>
        <row r="295">
          <cell r="J295">
            <v>9.759</v>
          </cell>
          <cell r="K295">
            <v>-13.8</v>
          </cell>
          <cell r="L295">
            <v>-20</v>
          </cell>
        </row>
        <row r="296">
          <cell r="J296">
            <v>9.792</v>
          </cell>
          <cell r="K296">
            <v>-16.2</v>
          </cell>
          <cell r="L296">
            <v>-20</v>
          </cell>
        </row>
        <row r="297">
          <cell r="J297">
            <v>9.826</v>
          </cell>
          <cell r="K297">
            <v>-17.1</v>
          </cell>
          <cell r="L297">
            <v>-20</v>
          </cell>
        </row>
        <row r="298">
          <cell r="J298">
            <v>9.859</v>
          </cell>
          <cell r="K298">
            <v>-18.5</v>
          </cell>
          <cell r="L298">
            <v>-20</v>
          </cell>
        </row>
        <row r="299">
          <cell r="J299">
            <v>9.892</v>
          </cell>
          <cell r="K299">
            <v>-18.9</v>
          </cell>
          <cell r="L299">
            <v>-20</v>
          </cell>
        </row>
        <row r="300">
          <cell r="J300">
            <v>9.926</v>
          </cell>
          <cell r="K300">
            <v>-19.2</v>
          </cell>
          <cell r="L300">
            <v>-20</v>
          </cell>
        </row>
        <row r="301">
          <cell r="J301">
            <v>9.959</v>
          </cell>
          <cell r="K301">
            <v>-19</v>
          </cell>
          <cell r="L301">
            <v>-20</v>
          </cell>
        </row>
        <row r="302">
          <cell r="J302">
            <v>9.993</v>
          </cell>
          <cell r="K302">
            <v>-18.8</v>
          </cell>
          <cell r="L302">
            <v>-20</v>
          </cell>
        </row>
        <row r="303">
          <cell r="J303">
            <v>10.026</v>
          </cell>
          <cell r="K303">
            <v>-18.3</v>
          </cell>
          <cell r="L303">
            <v>-20</v>
          </cell>
        </row>
        <row r="304">
          <cell r="J304">
            <v>10.059</v>
          </cell>
          <cell r="K304">
            <v>-18</v>
          </cell>
          <cell r="L304">
            <v>-20</v>
          </cell>
        </row>
        <row r="305">
          <cell r="J305">
            <v>10.093</v>
          </cell>
          <cell r="K305">
            <v>-17.3</v>
          </cell>
          <cell r="L305">
            <v>-20</v>
          </cell>
        </row>
        <row r="306">
          <cell r="J306">
            <v>10.126</v>
          </cell>
          <cell r="K306">
            <v>-16.5</v>
          </cell>
          <cell r="L306">
            <v>-20</v>
          </cell>
        </row>
        <row r="307">
          <cell r="J307">
            <v>10.16</v>
          </cell>
          <cell r="K307">
            <v>-14.5</v>
          </cell>
          <cell r="L307">
            <v>-20</v>
          </cell>
        </row>
        <row r="308">
          <cell r="J308">
            <v>10.193</v>
          </cell>
          <cell r="K308">
            <v>-12.7</v>
          </cell>
          <cell r="L308">
            <v>-20</v>
          </cell>
        </row>
        <row r="309">
          <cell r="J309">
            <v>10.227</v>
          </cell>
          <cell r="K309">
            <v>-10.4</v>
          </cell>
          <cell r="L309">
            <v>-20</v>
          </cell>
        </row>
        <row r="310">
          <cell r="J310">
            <v>10.26</v>
          </cell>
          <cell r="K310">
            <v>-7.39999999999998</v>
          </cell>
          <cell r="L310">
            <v>-20</v>
          </cell>
        </row>
        <row r="311">
          <cell r="J311">
            <v>10.293</v>
          </cell>
          <cell r="K311">
            <v>-4.60000000000002</v>
          </cell>
          <cell r="L311">
            <v>-20</v>
          </cell>
        </row>
        <row r="312">
          <cell r="J312">
            <v>10.327</v>
          </cell>
          <cell r="K312">
            <v>-1.90000000000003</v>
          </cell>
          <cell r="L312">
            <v>-20</v>
          </cell>
        </row>
        <row r="313">
          <cell r="J313">
            <v>10.36</v>
          </cell>
          <cell r="K313">
            <v>0.500000000000014</v>
          </cell>
          <cell r="L313">
            <v>23</v>
          </cell>
        </row>
        <row r="314">
          <cell r="J314">
            <v>10.394</v>
          </cell>
          <cell r="K314">
            <v>3.00000000000002</v>
          </cell>
          <cell r="L314">
            <v>23</v>
          </cell>
        </row>
        <row r="315">
          <cell r="J315">
            <v>10.427</v>
          </cell>
          <cell r="K315">
            <v>6.49999999999998</v>
          </cell>
          <cell r="L315">
            <v>23</v>
          </cell>
        </row>
        <row r="316">
          <cell r="J316">
            <v>10.461</v>
          </cell>
          <cell r="K316">
            <v>8.79999999999999</v>
          </cell>
          <cell r="L316">
            <v>23</v>
          </cell>
        </row>
        <row r="317">
          <cell r="J317">
            <v>10.494</v>
          </cell>
          <cell r="K317">
            <v>11.4</v>
          </cell>
          <cell r="L317">
            <v>23</v>
          </cell>
        </row>
        <row r="318">
          <cell r="J318">
            <v>10.527</v>
          </cell>
          <cell r="K318">
            <v>14.3</v>
          </cell>
          <cell r="L318">
            <v>23</v>
          </cell>
        </row>
        <row r="319">
          <cell r="J319">
            <v>10.561</v>
          </cell>
          <cell r="K319">
            <v>16.9</v>
          </cell>
          <cell r="L319">
            <v>23</v>
          </cell>
        </row>
        <row r="320">
          <cell r="J320">
            <v>10.594</v>
          </cell>
          <cell r="K320">
            <v>19.3</v>
          </cell>
          <cell r="L320">
            <v>23</v>
          </cell>
        </row>
        <row r="321">
          <cell r="J321">
            <v>10.628</v>
          </cell>
          <cell r="K321">
            <v>20.7</v>
          </cell>
          <cell r="L321">
            <v>23</v>
          </cell>
        </row>
        <row r="322">
          <cell r="J322">
            <v>10.661</v>
          </cell>
          <cell r="K322">
            <v>21.9</v>
          </cell>
          <cell r="L322">
            <v>23</v>
          </cell>
        </row>
        <row r="323">
          <cell r="J323">
            <v>10.694</v>
          </cell>
          <cell r="K323">
            <v>22.4</v>
          </cell>
          <cell r="L323">
            <v>23</v>
          </cell>
        </row>
        <row r="324">
          <cell r="J324">
            <v>10.728</v>
          </cell>
          <cell r="K324">
            <v>22.7</v>
          </cell>
          <cell r="L324">
            <v>23</v>
          </cell>
        </row>
        <row r="325">
          <cell r="J325">
            <v>10.761</v>
          </cell>
          <cell r="K325">
            <v>23.8</v>
          </cell>
          <cell r="L325">
            <v>23</v>
          </cell>
        </row>
        <row r="326">
          <cell r="J326">
            <v>10.795</v>
          </cell>
          <cell r="K326">
            <v>23.9</v>
          </cell>
          <cell r="L326">
            <v>23</v>
          </cell>
        </row>
        <row r="327">
          <cell r="J327">
            <v>10.828</v>
          </cell>
          <cell r="K327">
            <v>24.1</v>
          </cell>
          <cell r="L327">
            <v>23</v>
          </cell>
        </row>
        <row r="328">
          <cell r="J328">
            <v>10.862</v>
          </cell>
          <cell r="K328">
            <v>23.8</v>
          </cell>
          <cell r="L328">
            <v>23</v>
          </cell>
        </row>
        <row r="329">
          <cell r="J329">
            <v>10.895</v>
          </cell>
          <cell r="K329">
            <v>23.5</v>
          </cell>
          <cell r="L329">
            <v>23</v>
          </cell>
        </row>
        <row r="330">
          <cell r="J330">
            <v>10.928</v>
          </cell>
          <cell r="K330">
            <v>23.1</v>
          </cell>
          <cell r="L330">
            <v>23</v>
          </cell>
        </row>
        <row r="331">
          <cell r="J331">
            <v>10.962</v>
          </cell>
          <cell r="K331">
            <v>22.7</v>
          </cell>
          <cell r="L331">
            <v>23</v>
          </cell>
        </row>
        <row r="332">
          <cell r="J332">
            <v>10.995</v>
          </cell>
          <cell r="K332">
            <v>21.7</v>
          </cell>
          <cell r="L332">
            <v>23</v>
          </cell>
        </row>
        <row r="333">
          <cell r="J333">
            <v>11.029</v>
          </cell>
          <cell r="K333">
            <v>19.4</v>
          </cell>
          <cell r="L333">
            <v>23</v>
          </cell>
        </row>
        <row r="334">
          <cell r="J334">
            <v>11.062</v>
          </cell>
          <cell r="K334">
            <v>17.2</v>
          </cell>
          <cell r="L334">
            <v>23</v>
          </cell>
        </row>
        <row r="335">
          <cell r="J335">
            <v>11.096</v>
          </cell>
          <cell r="K335">
            <v>15.5</v>
          </cell>
          <cell r="L335">
            <v>23</v>
          </cell>
        </row>
        <row r="336">
          <cell r="J336">
            <v>11.129</v>
          </cell>
          <cell r="K336">
            <v>12.5</v>
          </cell>
          <cell r="L336">
            <v>23</v>
          </cell>
        </row>
        <row r="337">
          <cell r="J337">
            <v>11.162</v>
          </cell>
          <cell r="K337">
            <v>9.89999999999998</v>
          </cell>
          <cell r="L337">
            <v>-20</v>
          </cell>
        </row>
        <row r="338">
          <cell r="J338">
            <v>11.196</v>
          </cell>
          <cell r="K338">
            <v>7.60000000000004</v>
          </cell>
          <cell r="L338">
            <v>-20</v>
          </cell>
        </row>
        <row r="339">
          <cell r="J339">
            <v>11.229</v>
          </cell>
          <cell r="K339">
            <v>5.30000000000003</v>
          </cell>
          <cell r="L339">
            <v>-20</v>
          </cell>
        </row>
        <row r="340">
          <cell r="J340">
            <v>11.263</v>
          </cell>
          <cell r="K340">
            <v>3.00000000000002</v>
          </cell>
          <cell r="L340">
            <v>-20</v>
          </cell>
        </row>
        <row r="341">
          <cell r="J341">
            <v>11.296</v>
          </cell>
          <cell r="K341">
            <v>0.700000000000006</v>
          </cell>
          <cell r="L341">
            <v>-20</v>
          </cell>
        </row>
        <row r="342">
          <cell r="J342">
            <v>11.329</v>
          </cell>
          <cell r="K342">
            <v>-0.899999999999998</v>
          </cell>
          <cell r="L342">
            <v>-20</v>
          </cell>
        </row>
        <row r="343">
          <cell r="J343">
            <v>11.363</v>
          </cell>
          <cell r="K343">
            <v>-2.5</v>
          </cell>
          <cell r="L343">
            <v>-20</v>
          </cell>
        </row>
        <row r="344">
          <cell r="J344">
            <v>11.396</v>
          </cell>
          <cell r="K344">
            <v>-4.60000000000002</v>
          </cell>
          <cell r="L344">
            <v>-20</v>
          </cell>
        </row>
        <row r="345">
          <cell r="J345">
            <v>11.43</v>
          </cell>
          <cell r="K345">
            <v>-6.40000000000002</v>
          </cell>
          <cell r="L345">
            <v>-20</v>
          </cell>
        </row>
        <row r="346">
          <cell r="J346">
            <v>11.463</v>
          </cell>
          <cell r="K346">
            <v>-7.59999999999997</v>
          </cell>
          <cell r="L346">
            <v>-20</v>
          </cell>
        </row>
        <row r="347">
          <cell r="J347">
            <v>11.497</v>
          </cell>
          <cell r="K347">
            <v>-9.49999999999999</v>
          </cell>
          <cell r="L347">
            <v>-20</v>
          </cell>
        </row>
        <row r="348">
          <cell r="J348">
            <v>11.53</v>
          </cell>
          <cell r="K348">
            <v>-10.8</v>
          </cell>
          <cell r="L348">
            <v>-20</v>
          </cell>
        </row>
        <row r="349">
          <cell r="J349">
            <v>11.563</v>
          </cell>
          <cell r="K349">
            <v>-12</v>
          </cell>
          <cell r="L349">
            <v>-20</v>
          </cell>
        </row>
        <row r="350">
          <cell r="J350">
            <v>11.597</v>
          </cell>
          <cell r="K350">
            <v>-12.6</v>
          </cell>
          <cell r="L350">
            <v>-20</v>
          </cell>
        </row>
        <row r="351">
          <cell r="J351">
            <v>11.63</v>
          </cell>
          <cell r="K351">
            <v>-12.9</v>
          </cell>
          <cell r="L351">
            <v>-20</v>
          </cell>
        </row>
        <row r="352">
          <cell r="J352">
            <v>11.664</v>
          </cell>
          <cell r="K352">
            <v>-13.1</v>
          </cell>
          <cell r="L352">
            <v>-20</v>
          </cell>
        </row>
        <row r="353">
          <cell r="J353">
            <v>11.697</v>
          </cell>
          <cell r="K353">
            <v>-12.7</v>
          </cell>
          <cell r="L353">
            <v>-20</v>
          </cell>
        </row>
        <row r="354">
          <cell r="J354">
            <v>11.731</v>
          </cell>
          <cell r="K354">
            <v>-12.4</v>
          </cell>
          <cell r="L354">
            <v>-20</v>
          </cell>
        </row>
        <row r="355">
          <cell r="J355">
            <v>11.764</v>
          </cell>
          <cell r="K355">
            <v>-11.8</v>
          </cell>
          <cell r="L355">
            <v>-20</v>
          </cell>
        </row>
        <row r="356">
          <cell r="J356">
            <v>11.797</v>
          </cell>
          <cell r="K356">
            <v>-11.3</v>
          </cell>
          <cell r="L356">
            <v>-20</v>
          </cell>
        </row>
        <row r="357">
          <cell r="J357">
            <v>11.831</v>
          </cell>
          <cell r="K357">
            <v>-10.6</v>
          </cell>
          <cell r="L357">
            <v>-20</v>
          </cell>
        </row>
        <row r="358">
          <cell r="J358">
            <v>11.864</v>
          </cell>
          <cell r="K358">
            <v>-9.49999999999999</v>
          </cell>
          <cell r="L358">
            <v>-20</v>
          </cell>
        </row>
        <row r="359">
          <cell r="J359">
            <v>11.898</v>
          </cell>
          <cell r="K359">
            <v>-7.7</v>
          </cell>
          <cell r="L359">
            <v>-20</v>
          </cell>
        </row>
        <row r="360">
          <cell r="J360">
            <v>11.931</v>
          </cell>
          <cell r="K360">
            <v>-6.49999999999998</v>
          </cell>
          <cell r="L360">
            <v>23</v>
          </cell>
        </row>
        <row r="361">
          <cell r="J361">
            <v>11.964</v>
          </cell>
          <cell r="K361">
            <v>-4.69999999999998</v>
          </cell>
          <cell r="L361">
            <v>23</v>
          </cell>
        </row>
        <row r="362">
          <cell r="J362">
            <v>11.998</v>
          </cell>
          <cell r="K362">
            <v>-3.70000000000002</v>
          </cell>
          <cell r="L362">
            <v>23</v>
          </cell>
        </row>
        <row r="363">
          <cell r="J363">
            <v>12.031</v>
          </cell>
          <cell r="K363">
            <v>-1.69999999999997</v>
          </cell>
          <cell r="L363">
            <v>23</v>
          </cell>
        </row>
        <row r="364">
          <cell r="J364">
            <v>12.065</v>
          </cell>
          <cell r="K364">
            <v>-0.199999999999992</v>
          </cell>
          <cell r="L364">
            <v>23</v>
          </cell>
        </row>
        <row r="365">
          <cell r="J365">
            <v>12.098</v>
          </cell>
          <cell r="K365">
            <v>1.40000000000001</v>
          </cell>
          <cell r="L365">
            <v>23</v>
          </cell>
        </row>
        <row r="366">
          <cell r="J366">
            <v>12.132</v>
          </cell>
          <cell r="K366">
            <v>2.30000000000001</v>
          </cell>
          <cell r="L366">
            <v>23</v>
          </cell>
        </row>
        <row r="367">
          <cell r="J367">
            <v>12.165</v>
          </cell>
          <cell r="K367">
            <v>3.99999999999998</v>
          </cell>
          <cell r="L367">
            <v>23</v>
          </cell>
        </row>
        <row r="368">
          <cell r="J368">
            <v>12.198</v>
          </cell>
          <cell r="K368">
            <v>5.2</v>
          </cell>
          <cell r="L368">
            <v>23</v>
          </cell>
        </row>
        <row r="369">
          <cell r="J369">
            <v>12.232</v>
          </cell>
          <cell r="K369">
            <v>6.60000000000001</v>
          </cell>
          <cell r="L369">
            <v>23</v>
          </cell>
        </row>
        <row r="370">
          <cell r="J370">
            <v>12.265</v>
          </cell>
          <cell r="K370">
            <v>7.50000000000001</v>
          </cell>
          <cell r="L370">
            <v>23</v>
          </cell>
        </row>
        <row r="371">
          <cell r="J371">
            <v>12.299</v>
          </cell>
          <cell r="K371">
            <v>8.20000000000001</v>
          </cell>
          <cell r="L371">
            <v>23</v>
          </cell>
        </row>
        <row r="372">
          <cell r="J372">
            <v>12.332</v>
          </cell>
          <cell r="K372">
            <v>9.40000000000003</v>
          </cell>
          <cell r="L372">
            <v>23</v>
          </cell>
        </row>
        <row r="373">
          <cell r="J373">
            <v>12.365</v>
          </cell>
          <cell r="K373">
            <v>10</v>
          </cell>
          <cell r="L373">
            <v>23</v>
          </cell>
        </row>
        <row r="374">
          <cell r="J374">
            <v>12.399</v>
          </cell>
          <cell r="K374">
            <v>10.9</v>
          </cell>
          <cell r="L374">
            <v>23</v>
          </cell>
        </row>
        <row r="375">
          <cell r="J375">
            <v>12.432</v>
          </cell>
          <cell r="K375">
            <v>12.1</v>
          </cell>
          <cell r="L375">
            <v>23</v>
          </cell>
        </row>
        <row r="376">
          <cell r="J376">
            <v>12.466</v>
          </cell>
          <cell r="K376">
            <v>12.7</v>
          </cell>
          <cell r="L376">
            <v>23</v>
          </cell>
        </row>
        <row r="377">
          <cell r="J377">
            <v>12.499</v>
          </cell>
          <cell r="K377">
            <v>13.2</v>
          </cell>
          <cell r="L377">
            <v>23</v>
          </cell>
        </row>
        <row r="378">
          <cell r="J378">
            <v>12.533</v>
          </cell>
          <cell r="K378">
            <v>13.2</v>
          </cell>
          <cell r="L378">
            <v>23</v>
          </cell>
        </row>
        <row r="379">
          <cell r="J379">
            <v>12.566</v>
          </cell>
          <cell r="K379">
            <v>13.1</v>
          </cell>
          <cell r="L379">
            <v>23</v>
          </cell>
        </row>
        <row r="380">
          <cell r="J380">
            <v>12.599</v>
          </cell>
          <cell r="K380">
            <v>12.6</v>
          </cell>
          <cell r="L380">
            <v>23</v>
          </cell>
        </row>
        <row r="381">
          <cell r="J381">
            <v>12.633</v>
          </cell>
          <cell r="K381">
            <v>12.1</v>
          </cell>
          <cell r="L381">
            <v>23</v>
          </cell>
        </row>
        <row r="382">
          <cell r="J382">
            <v>12.666</v>
          </cell>
          <cell r="K382">
            <v>11.5</v>
          </cell>
          <cell r="L382">
            <v>23</v>
          </cell>
        </row>
        <row r="383">
          <cell r="J383">
            <v>12.7</v>
          </cell>
          <cell r="K383">
            <v>10.5</v>
          </cell>
          <cell r="L383">
            <v>-20</v>
          </cell>
        </row>
        <row r="384">
          <cell r="J384">
            <v>12.733</v>
          </cell>
          <cell r="K384">
            <v>8.99999999999998</v>
          </cell>
          <cell r="L384">
            <v>-20</v>
          </cell>
        </row>
        <row r="385">
          <cell r="J385">
            <v>12.767</v>
          </cell>
          <cell r="K385">
            <v>8.00000000000002</v>
          </cell>
          <cell r="L385">
            <v>-20</v>
          </cell>
        </row>
        <row r="386">
          <cell r="J386">
            <v>12.8</v>
          </cell>
          <cell r="K386">
            <v>7.10000000000002</v>
          </cell>
          <cell r="L386">
            <v>-20</v>
          </cell>
        </row>
        <row r="387">
          <cell r="J387">
            <v>12.833</v>
          </cell>
          <cell r="K387">
            <v>6.00000000000003</v>
          </cell>
          <cell r="L387">
            <v>-20</v>
          </cell>
        </row>
        <row r="388">
          <cell r="J388">
            <v>12.867</v>
          </cell>
          <cell r="K388">
            <v>5</v>
          </cell>
          <cell r="L388">
            <v>-20</v>
          </cell>
        </row>
        <row r="389">
          <cell r="J389">
            <v>12.9</v>
          </cell>
          <cell r="K389">
            <v>3.99999999999998</v>
          </cell>
          <cell r="L389">
            <v>-20</v>
          </cell>
        </row>
        <row r="390">
          <cell r="J390">
            <v>12.934</v>
          </cell>
          <cell r="K390">
            <v>2.60000000000003</v>
          </cell>
          <cell r="L390">
            <v>-20</v>
          </cell>
        </row>
        <row r="391">
          <cell r="J391">
            <v>12.967</v>
          </cell>
          <cell r="K391">
            <v>1.8</v>
          </cell>
          <cell r="L391">
            <v>-20</v>
          </cell>
        </row>
        <row r="392">
          <cell r="J392">
            <v>13</v>
          </cell>
          <cell r="K392">
            <v>1.29999999999998</v>
          </cell>
          <cell r="L392">
            <v>-20</v>
          </cell>
        </row>
        <row r="393">
          <cell r="J393">
            <v>13.034</v>
          </cell>
          <cell r="K393">
            <v>0.399999999999984</v>
          </cell>
          <cell r="L393">
            <v>-20</v>
          </cell>
        </row>
        <row r="394">
          <cell r="J394">
            <v>13.067</v>
          </cell>
          <cell r="K394">
            <v>-0.199999999999992</v>
          </cell>
          <cell r="L394">
            <v>-20</v>
          </cell>
        </row>
        <row r="395">
          <cell r="J395">
            <v>13.101</v>
          </cell>
          <cell r="K395">
            <v>-0.399999999999984</v>
          </cell>
          <cell r="L395">
            <v>-20</v>
          </cell>
        </row>
        <row r="396">
          <cell r="J396">
            <v>13.134</v>
          </cell>
          <cell r="K396">
            <v>-0.700000000000006</v>
          </cell>
          <cell r="L396">
            <v>-20</v>
          </cell>
        </row>
        <row r="397">
          <cell r="J397">
            <v>13.168</v>
          </cell>
          <cell r="K397">
            <v>-0.799999999999967</v>
          </cell>
          <cell r="L397">
            <v>-20</v>
          </cell>
        </row>
        <row r="398">
          <cell r="J398">
            <v>13.201</v>
          </cell>
          <cell r="K398">
            <v>-0.599999999999976</v>
          </cell>
          <cell r="L398">
            <v>-20</v>
          </cell>
        </row>
        <row r="399">
          <cell r="J399">
            <v>13.234</v>
          </cell>
          <cell r="K399">
            <v>-0.599999999999976</v>
          </cell>
          <cell r="L399">
            <v>-20</v>
          </cell>
        </row>
        <row r="400">
          <cell r="J400">
            <v>13.268</v>
          </cell>
          <cell r="K400">
            <v>-0.300000000000022</v>
          </cell>
          <cell r="L400">
            <v>-20</v>
          </cell>
        </row>
        <row r="401">
          <cell r="J401">
            <v>13.301</v>
          </cell>
          <cell r="K401">
            <v>-0.199999999999992</v>
          </cell>
          <cell r="L401">
            <v>-20</v>
          </cell>
        </row>
        <row r="402">
          <cell r="J402">
            <v>13.335</v>
          </cell>
          <cell r="K402">
            <v>0</v>
          </cell>
          <cell r="L402">
            <v>-20</v>
          </cell>
        </row>
        <row r="403">
          <cell r="J403">
            <v>13.368</v>
          </cell>
          <cell r="K403">
            <v>0.199999999999992</v>
          </cell>
          <cell r="L403">
            <v>-20</v>
          </cell>
        </row>
        <row r="404">
          <cell r="J404">
            <v>13.402</v>
          </cell>
          <cell r="K404">
            <v>0.300000000000022</v>
          </cell>
          <cell r="L404">
            <v>-20</v>
          </cell>
        </row>
        <row r="405">
          <cell r="J405">
            <v>13.435</v>
          </cell>
          <cell r="K405">
            <v>0.599999999999976</v>
          </cell>
          <cell r="L405">
            <v>-20</v>
          </cell>
        </row>
        <row r="406">
          <cell r="J406">
            <v>13.468</v>
          </cell>
          <cell r="K406">
            <v>0.800000000000037</v>
          </cell>
          <cell r="L406">
            <v>23</v>
          </cell>
        </row>
        <row r="407">
          <cell r="J407">
            <v>13.502</v>
          </cell>
          <cell r="K407">
            <v>1.20000000000002</v>
          </cell>
          <cell r="L407">
            <v>23</v>
          </cell>
        </row>
        <row r="408">
          <cell r="J408">
            <v>13.535</v>
          </cell>
          <cell r="K408">
            <v>1.6</v>
          </cell>
          <cell r="L408">
            <v>23</v>
          </cell>
        </row>
        <row r="409">
          <cell r="J409">
            <v>13.569</v>
          </cell>
          <cell r="K409">
            <v>2.69999999999999</v>
          </cell>
          <cell r="L409">
            <v>23</v>
          </cell>
        </row>
        <row r="410">
          <cell r="J410">
            <v>13.602</v>
          </cell>
          <cell r="K410">
            <v>3.70000000000002</v>
          </cell>
          <cell r="L410">
            <v>23</v>
          </cell>
        </row>
        <row r="411">
          <cell r="J411">
            <v>13.635</v>
          </cell>
          <cell r="K411">
            <v>4.10000000000001</v>
          </cell>
          <cell r="L411">
            <v>23</v>
          </cell>
        </row>
        <row r="412">
          <cell r="J412">
            <v>13.669</v>
          </cell>
          <cell r="K412">
            <v>4.40000000000003</v>
          </cell>
          <cell r="L412">
            <v>23</v>
          </cell>
        </row>
        <row r="413">
          <cell r="J413">
            <v>13.702</v>
          </cell>
          <cell r="K413">
            <v>4.49999999999999</v>
          </cell>
          <cell r="L413">
            <v>23</v>
          </cell>
        </row>
        <row r="414">
          <cell r="J414">
            <v>13.736</v>
          </cell>
          <cell r="K414">
            <v>4.89999999999997</v>
          </cell>
          <cell r="L414">
            <v>23</v>
          </cell>
        </row>
        <row r="415">
          <cell r="J415">
            <v>13.769</v>
          </cell>
          <cell r="K415">
            <v>5.9</v>
          </cell>
          <cell r="L415">
            <v>23</v>
          </cell>
        </row>
        <row r="416">
          <cell r="J416">
            <v>13.803</v>
          </cell>
          <cell r="K416">
            <v>6.20000000000003</v>
          </cell>
          <cell r="L416">
            <v>23</v>
          </cell>
        </row>
        <row r="417">
          <cell r="J417">
            <v>13.836</v>
          </cell>
          <cell r="K417">
            <v>6.40000000000002</v>
          </cell>
          <cell r="L417">
            <v>23</v>
          </cell>
        </row>
        <row r="418">
          <cell r="J418">
            <v>13.869</v>
          </cell>
          <cell r="K418">
            <v>6.60000000000001</v>
          </cell>
          <cell r="L418">
            <v>23</v>
          </cell>
        </row>
        <row r="419">
          <cell r="J419">
            <v>13.903</v>
          </cell>
          <cell r="K419">
            <v>6.70000000000004</v>
          </cell>
          <cell r="L419">
            <v>23</v>
          </cell>
        </row>
        <row r="420">
          <cell r="J420">
            <v>13.936</v>
          </cell>
          <cell r="K420">
            <v>6.70000000000004</v>
          </cell>
          <cell r="L420">
            <v>23</v>
          </cell>
        </row>
        <row r="421">
          <cell r="J421">
            <v>13.97</v>
          </cell>
          <cell r="K421">
            <v>6.60000000000001</v>
          </cell>
          <cell r="L421">
            <v>23</v>
          </cell>
        </row>
        <row r="422">
          <cell r="J422">
            <v>14.003</v>
          </cell>
          <cell r="K422">
            <v>6.49999999999998</v>
          </cell>
          <cell r="L422">
            <v>23</v>
          </cell>
        </row>
        <row r="423">
          <cell r="J423">
            <v>14.037</v>
          </cell>
          <cell r="K423">
            <v>6.29999999999999</v>
          </cell>
          <cell r="L423">
            <v>23</v>
          </cell>
        </row>
        <row r="424">
          <cell r="J424">
            <v>14.07</v>
          </cell>
          <cell r="K424">
            <v>6.40000000000002</v>
          </cell>
          <cell r="L424">
            <v>23</v>
          </cell>
        </row>
        <row r="425">
          <cell r="J425">
            <v>14.103</v>
          </cell>
          <cell r="K425">
            <v>6.29999999999999</v>
          </cell>
          <cell r="L425">
            <v>23</v>
          </cell>
        </row>
        <row r="426">
          <cell r="J426">
            <v>14.137</v>
          </cell>
          <cell r="K426">
            <v>6.20000000000003</v>
          </cell>
          <cell r="L426">
            <v>23</v>
          </cell>
        </row>
        <row r="427">
          <cell r="J427">
            <v>14.17</v>
          </cell>
          <cell r="K427">
            <v>6.00000000000003</v>
          </cell>
          <cell r="L427">
            <v>23</v>
          </cell>
        </row>
        <row r="428">
          <cell r="J428">
            <v>14.204</v>
          </cell>
          <cell r="K428">
            <v>6.00000000000003</v>
          </cell>
          <cell r="L428">
            <v>23</v>
          </cell>
        </row>
        <row r="429">
          <cell r="J429">
            <v>14.237</v>
          </cell>
          <cell r="K429">
            <v>5.59999999999998</v>
          </cell>
          <cell r="L429">
            <v>-20</v>
          </cell>
        </row>
        <row r="430">
          <cell r="J430">
            <v>14.27</v>
          </cell>
          <cell r="K430">
            <v>5.70000000000001</v>
          </cell>
          <cell r="L430">
            <v>-20</v>
          </cell>
        </row>
        <row r="431">
          <cell r="J431">
            <v>14.304</v>
          </cell>
          <cell r="K431">
            <v>5.50000000000002</v>
          </cell>
          <cell r="L431">
            <v>-20</v>
          </cell>
        </row>
        <row r="432">
          <cell r="J432">
            <v>14.337</v>
          </cell>
          <cell r="K432">
            <v>5.50000000000002</v>
          </cell>
          <cell r="L432">
            <v>-20</v>
          </cell>
        </row>
        <row r="433">
          <cell r="J433">
            <v>14.371</v>
          </cell>
          <cell r="K433">
            <v>5.50000000000002</v>
          </cell>
          <cell r="L433">
            <v>-20</v>
          </cell>
        </row>
        <row r="434">
          <cell r="J434">
            <v>14.404</v>
          </cell>
          <cell r="K434">
            <v>5.59999999999998</v>
          </cell>
          <cell r="L434">
            <v>-20</v>
          </cell>
        </row>
        <row r="435">
          <cell r="J435">
            <v>14.438</v>
          </cell>
          <cell r="K435">
            <v>5.59999999999998</v>
          </cell>
          <cell r="L435">
            <v>-20</v>
          </cell>
        </row>
        <row r="436">
          <cell r="J436">
            <v>14.471</v>
          </cell>
          <cell r="K436">
            <v>5.70000000000001</v>
          </cell>
          <cell r="L436">
            <v>-20</v>
          </cell>
        </row>
        <row r="437">
          <cell r="J437">
            <v>14.504</v>
          </cell>
          <cell r="K437">
            <v>5.70000000000001</v>
          </cell>
          <cell r="L437">
            <v>-20</v>
          </cell>
        </row>
        <row r="438">
          <cell r="J438">
            <v>14.538</v>
          </cell>
          <cell r="K438">
            <v>5.80000000000004</v>
          </cell>
          <cell r="L438">
            <v>-20</v>
          </cell>
        </row>
        <row r="439">
          <cell r="J439">
            <v>14.571</v>
          </cell>
          <cell r="K439">
            <v>5.9</v>
          </cell>
          <cell r="L439">
            <v>-20</v>
          </cell>
        </row>
        <row r="440">
          <cell r="J440">
            <v>14.605</v>
          </cell>
          <cell r="K440">
            <v>6.20000000000003</v>
          </cell>
          <cell r="L440">
            <v>-20</v>
          </cell>
        </row>
        <row r="441">
          <cell r="J441">
            <v>14.638</v>
          </cell>
          <cell r="K441">
            <v>6.29999999999999</v>
          </cell>
          <cell r="L441">
            <v>-20</v>
          </cell>
        </row>
        <row r="442">
          <cell r="J442">
            <v>14.671</v>
          </cell>
          <cell r="K442">
            <v>6.40000000000002</v>
          </cell>
          <cell r="L442">
            <v>-20</v>
          </cell>
        </row>
        <row r="443">
          <cell r="J443">
            <v>14.705</v>
          </cell>
          <cell r="K443">
            <v>6.29999999999999</v>
          </cell>
          <cell r="L443">
            <v>-20</v>
          </cell>
        </row>
        <row r="444">
          <cell r="J444">
            <v>14.738</v>
          </cell>
          <cell r="K444">
            <v>6.49999999999998</v>
          </cell>
          <cell r="L444">
            <v>-20</v>
          </cell>
        </row>
        <row r="445">
          <cell r="J445">
            <v>14.772</v>
          </cell>
          <cell r="K445">
            <v>6.60000000000001</v>
          </cell>
          <cell r="L445">
            <v>-20</v>
          </cell>
        </row>
        <row r="446">
          <cell r="J446">
            <v>14.805</v>
          </cell>
          <cell r="K446">
            <v>6.8</v>
          </cell>
          <cell r="L446">
            <v>-20</v>
          </cell>
        </row>
        <row r="447">
          <cell r="J447">
            <v>14.839</v>
          </cell>
          <cell r="K447">
            <v>6.8</v>
          </cell>
          <cell r="L447">
            <v>-20</v>
          </cell>
        </row>
        <row r="448">
          <cell r="J448">
            <v>14.872</v>
          </cell>
          <cell r="K448">
            <v>6.99999999999999</v>
          </cell>
          <cell r="L448">
            <v>-20</v>
          </cell>
        </row>
        <row r="449">
          <cell r="J449">
            <v>14.905</v>
          </cell>
          <cell r="K449">
            <v>7.10000000000002</v>
          </cell>
          <cell r="L449">
            <v>-20</v>
          </cell>
        </row>
        <row r="450">
          <cell r="J450">
            <v>14.939</v>
          </cell>
          <cell r="K450">
            <v>7.10000000000002</v>
          </cell>
          <cell r="L450">
            <v>-20</v>
          </cell>
        </row>
        <row r="451">
          <cell r="J451">
            <v>14.972</v>
          </cell>
          <cell r="K451">
            <v>7.10000000000002</v>
          </cell>
          <cell r="L451">
            <v>-20</v>
          </cell>
        </row>
        <row r="452">
          <cell r="J452">
            <v>15.006</v>
          </cell>
          <cell r="K452">
            <v>7.19999999999998</v>
          </cell>
          <cell r="L452">
            <v>23</v>
          </cell>
        </row>
        <row r="453">
          <cell r="J453">
            <v>15.039</v>
          </cell>
          <cell r="K453">
            <v>7.19999999999998</v>
          </cell>
          <cell r="L453">
            <v>23</v>
          </cell>
        </row>
        <row r="454">
          <cell r="J454">
            <v>15.073</v>
          </cell>
          <cell r="K454">
            <v>7.10000000000002</v>
          </cell>
          <cell r="L454">
            <v>23</v>
          </cell>
        </row>
        <row r="455">
          <cell r="J455">
            <v>15.106</v>
          </cell>
          <cell r="K455">
            <v>6.90000000000003</v>
          </cell>
          <cell r="L455">
            <v>23</v>
          </cell>
        </row>
        <row r="456">
          <cell r="J456">
            <v>15.139</v>
          </cell>
          <cell r="K456">
            <v>6.8</v>
          </cell>
          <cell r="L456">
            <v>23</v>
          </cell>
        </row>
        <row r="457">
          <cell r="J457">
            <v>15.173</v>
          </cell>
          <cell r="K457">
            <v>6.60000000000001</v>
          </cell>
          <cell r="L457">
            <v>23</v>
          </cell>
        </row>
        <row r="458">
          <cell r="J458">
            <v>15.206</v>
          </cell>
          <cell r="K458">
            <v>6.49999999999998</v>
          </cell>
          <cell r="L458">
            <v>23</v>
          </cell>
        </row>
        <row r="459">
          <cell r="J459">
            <v>15.24</v>
          </cell>
          <cell r="K459">
            <v>6.29999999999999</v>
          </cell>
          <cell r="L459">
            <v>23</v>
          </cell>
        </row>
        <row r="460">
          <cell r="J460">
            <v>15.273</v>
          </cell>
          <cell r="K460">
            <v>6.00000000000003</v>
          </cell>
          <cell r="L460">
            <v>23</v>
          </cell>
        </row>
        <row r="461">
          <cell r="J461">
            <v>15.306</v>
          </cell>
          <cell r="K461">
            <v>5.9</v>
          </cell>
          <cell r="L461">
            <v>23</v>
          </cell>
        </row>
        <row r="462">
          <cell r="J462">
            <v>15.34</v>
          </cell>
          <cell r="K462">
            <v>5.70000000000001</v>
          </cell>
          <cell r="L462">
            <v>23</v>
          </cell>
        </row>
        <row r="463">
          <cell r="J463">
            <v>15.373</v>
          </cell>
          <cell r="K463">
            <v>5.39999999999999</v>
          </cell>
          <cell r="L463">
            <v>23</v>
          </cell>
        </row>
        <row r="464">
          <cell r="J464">
            <v>15.407</v>
          </cell>
          <cell r="K464">
            <v>5.30000000000003</v>
          </cell>
          <cell r="L464">
            <v>23</v>
          </cell>
        </row>
        <row r="465">
          <cell r="J465">
            <v>15.44</v>
          </cell>
          <cell r="K465">
            <v>4.89999999999997</v>
          </cell>
          <cell r="L465">
            <v>23</v>
          </cell>
        </row>
        <row r="466">
          <cell r="J466">
            <v>15.474</v>
          </cell>
          <cell r="K466">
            <v>4.60000000000002</v>
          </cell>
          <cell r="L466">
            <v>23</v>
          </cell>
        </row>
        <row r="467">
          <cell r="J467">
            <v>15.507</v>
          </cell>
          <cell r="K467">
            <v>4.20000000000004</v>
          </cell>
          <cell r="L467">
            <v>23</v>
          </cell>
        </row>
        <row r="468">
          <cell r="J468">
            <v>15.54</v>
          </cell>
          <cell r="K468">
            <v>2.80000000000002</v>
          </cell>
          <cell r="L468">
            <v>23</v>
          </cell>
        </row>
        <row r="469">
          <cell r="J469">
            <v>15.574</v>
          </cell>
          <cell r="K469">
            <v>2.10000000000002</v>
          </cell>
          <cell r="L469">
            <v>23</v>
          </cell>
        </row>
        <row r="470">
          <cell r="J470">
            <v>15.607</v>
          </cell>
          <cell r="K470">
            <v>1.90000000000003</v>
          </cell>
          <cell r="L470">
            <v>23</v>
          </cell>
        </row>
        <row r="471">
          <cell r="J471">
            <v>15.641</v>
          </cell>
          <cell r="K471">
            <v>1.6</v>
          </cell>
          <cell r="L471">
            <v>23</v>
          </cell>
        </row>
        <row r="472">
          <cell r="J472">
            <v>15.674</v>
          </cell>
          <cell r="K472">
            <v>1.49999999999997</v>
          </cell>
          <cell r="L472">
            <v>23</v>
          </cell>
        </row>
        <row r="473">
          <cell r="J473">
            <v>15.708</v>
          </cell>
          <cell r="K473">
            <v>1.29999999999998</v>
          </cell>
          <cell r="L473">
            <v>23</v>
          </cell>
        </row>
        <row r="474">
          <cell r="J474">
            <v>15.741</v>
          </cell>
          <cell r="K474">
            <v>0.599999999999976</v>
          </cell>
          <cell r="L474">
            <v>23</v>
          </cell>
        </row>
        <row r="475">
          <cell r="J475">
            <v>15.774</v>
          </cell>
          <cell r="K475">
            <v>0.100000000000031</v>
          </cell>
          <cell r="L475">
            <v>23</v>
          </cell>
        </row>
        <row r="476">
          <cell r="J476">
            <v>15.808</v>
          </cell>
          <cell r="K476">
            <v>0.100000000000031</v>
          </cell>
          <cell r="L476">
            <v>-20</v>
          </cell>
        </row>
        <row r="477">
          <cell r="J477">
            <v>15.841</v>
          </cell>
          <cell r="K477">
            <v>0</v>
          </cell>
          <cell r="L477">
            <v>-20</v>
          </cell>
        </row>
        <row r="478">
          <cell r="J478">
            <v>15.875</v>
          </cell>
          <cell r="K478">
            <v>-0.0999999999999612</v>
          </cell>
          <cell r="L478">
            <v>-20</v>
          </cell>
        </row>
        <row r="479">
          <cell r="J479">
            <v>15.908</v>
          </cell>
          <cell r="K479">
            <v>-0.0999999999999612</v>
          </cell>
          <cell r="L479">
            <v>-20</v>
          </cell>
        </row>
        <row r="480">
          <cell r="J480">
            <v>15.941</v>
          </cell>
          <cell r="K480">
            <v>0.100000000000031</v>
          </cell>
          <cell r="L480">
            <v>-20</v>
          </cell>
        </row>
        <row r="481">
          <cell r="J481">
            <v>15.975</v>
          </cell>
          <cell r="K481">
            <v>0.399999999999984</v>
          </cell>
          <cell r="L481">
            <v>-20</v>
          </cell>
        </row>
        <row r="482">
          <cell r="J482">
            <v>16.008</v>
          </cell>
          <cell r="K482">
            <v>0.700000000000006</v>
          </cell>
          <cell r="L482">
            <v>-20</v>
          </cell>
        </row>
        <row r="483">
          <cell r="J483">
            <v>16.042</v>
          </cell>
          <cell r="K483">
            <v>0.800000000000037</v>
          </cell>
          <cell r="L483">
            <v>-20</v>
          </cell>
        </row>
        <row r="484">
          <cell r="J484">
            <v>16.075</v>
          </cell>
          <cell r="K484">
            <v>1.00000000000003</v>
          </cell>
          <cell r="L484">
            <v>-20</v>
          </cell>
        </row>
        <row r="485">
          <cell r="J485">
            <v>16.109</v>
          </cell>
          <cell r="K485">
            <v>1.90000000000003</v>
          </cell>
          <cell r="L485">
            <v>-20</v>
          </cell>
        </row>
        <row r="486">
          <cell r="J486">
            <v>16.142</v>
          </cell>
          <cell r="K486">
            <v>3.50000000000003</v>
          </cell>
          <cell r="L486">
            <v>-20</v>
          </cell>
        </row>
        <row r="487">
          <cell r="J487">
            <v>16.175</v>
          </cell>
          <cell r="K487">
            <v>4.49999999999999</v>
          </cell>
          <cell r="L487">
            <v>-20</v>
          </cell>
        </row>
        <row r="488">
          <cell r="J488">
            <v>16.209</v>
          </cell>
          <cell r="K488">
            <v>5.39999999999999</v>
          </cell>
          <cell r="L488">
            <v>-20</v>
          </cell>
        </row>
        <row r="489">
          <cell r="J489">
            <v>16.242</v>
          </cell>
          <cell r="K489">
            <v>6.70000000000004</v>
          </cell>
          <cell r="L489">
            <v>-20</v>
          </cell>
        </row>
        <row r="490">
          <cell r="J490">
            <v>16.276</v>
          </cell>
          <cell r="K490">
            <v>7.39999999999998</v>
          </cell>
          <cell r="L490">
            <v>-20</v>
          </cell>
        </row>
        <row r="491">
          <cell r="J491">
            <v>16.309</v>
          </cell>
          <cell r="K491">
            <v>8.00000000000002</v>
          </cell>
          <cell r="L491">
            <v>-20</v>
          </cell>
        </row>
        <row r="492">
          <cell r="J492">
            <v>16.343</v>
          </cell>
          <cell r="K492">
            <v>9.60000000000002</v>
          </cell>
          <cell r="L492">
            <v>-20</v>
          </cell>
        </row>
        <row r="493">
          <cell r="J493">
            <v>16.376</v>
          </cell>
          <cell r="K493">
            <v>10.7</v>
          </cell>
          <cell r="L493">
            <v>-20</v>
          </cell>
        </row>
        <row r="494">
          <cell r="J494">
            <v>16.409</v>
          </cell>
          <cell r="K494">
            <v>12.5</v>
          </cell>
          <cell r="L494">
            <v>-20</v>
          </cell>
        </row>
        <row r="495">
          <cell r="J495">
            <v>16.443</v>
          </cell>
          <cell r="K495">
            <v>13.4</v>
          </cell>
          <cell r="L495">
            <v>-20</v>
          </cell>
        </row>
        <row r="496">
          <cell r="J496">
            <v>16.476</v>
          </cell>
          <cell r="K496">
            <v>13.9</v>
          </cell>
          <cell r="L496">
            <v>-20</v>
          </cell>
        </row>
        <row r="497">
          <cell r="J497">
            <v>16.51</v>
          </cell>
          <cell r="K497">
            <v>15</v>
          </cell>
          <cell r="L497">
            <v>-20</v>
          </cell>
        </row>
        <row r="498">
          <cell r="J498">
            <v>16.543</v>
          </cell>
          <cell r="K498">
            <v>15.6</v>
          </cell>
          <cell r="L498">
            <v>-20</v>
          </cell>
        </row>
        <row r="499">
          <cell r="J499">
            <v>16.576</v>
          </cell>
          <cell r="K499">
            <v>16</v>
          </cell>
          <cell r="L499">
            <v>23</v>
          </cell>
        </row>
        <row r="500">
          <cell r="J500">
            <v>16.61</v>
          </cell>
          <cell r="K500">
            <v>16.3</v>
          </cell>
          <cell r="L500">
            <v>23</v>
          </cell>
        </row>
        <row r="501">
          <cell r="J501">
            <v>16.643</v>
          </cell>
          <cell r="K501">
            <v>16.2</v>
          </cell>
          <cell r="L501">
            <v>23</v>
          </cell>
        </row>
        <row r="502">
          <cell r="J502">
            <v>16.677</v>
          </cell>
          <cell r="K502">
            <v>15.9</v>
          </cell>
          <cell r="L502">
            <v>23</v>
          </cell>
        </row>
        <row r="503">
          <cell r="J503">
            <v>16.71</v>
          </cell>
          <cell r="K503">
            <v>15.6</v>
          </cell>
          <cell r="L503">
            <v>23</v>
          </cell>
        </row>
        <row r="504">
          <cell r="J504">
            <v>16.744</v>
          </cell>
          <cell r="K504">
            <v>15.2</v>
          </cell>
          <cell r="L504">
            <v>23</v>
          </cell>
        </row>
        <row r="505">
          <cell r="J505">
            <v>16.777</v>
          </cell>
          <cell r="K505">
            <v>15</v>
          </cell>
          <cell r="L505">
            <v>23</v>
          </cell>
        </row>
        <row r="506">
          <cell r="J506">
            <v>16.81</v>
          </cell>
          <cell r="K506">
            <v>14.4</v>
          </cell>
          <cell r="L506">
            <v>23</v>
          </cell>
        </row>
        <row r="507">
          <cell r="J507">
            <v>16.844</v>
          </cell>
          <cell r="K507">
            <v>14</v>
          </cell>
          <cell r="L507">
            <v>23</v>
          </cell>
        </row>
        <row r="508">
          <cell r="J508">
            <v>16.877</v>
          </cell>
          <cell r="K508">
            <v>13.4</v>
          </cell>
          <cell r="L508">
            <v>23</v>
          </cell>
        </row>
        <row r="509">
          <cell r="J509">
            <v>16.911</v>
          </cell>
          <cell r="K509">
            <v>11.9</v>
          </cell>
          <cell r="L509">
            <v>23</v>
          </cell>
        </row>
        <row r="510">
          <cell r="J510">
            <v>16.944</v>
          </cell>
          <cell r="K510">
            <v>10.8</v>
          </cell>
          <cell r="L510">
            <v>23</v>
          </cell>
        </row>
        <row r="511">
          <cell r="J511">
            <v>16.977</v>
          </cell>
          <cell r="K511">
            <v>9.40000000000003</v>
          </cell>
          <cell r="L511">
            <v>23</v>
          </cell>
        </row>
        <row r="512">
          <cell r="J512">
            <v>17.011</v>
          </cell>
          <cell r="K512">
            <v>7.89999999999999</v>
          </cell>
          <cell r="L512">
            <v>23</v>
          </cell>
        </row>
        <row r="513">
          <cell r="J513">
            <v>17.044</v>
          </cell>
          <cell r="K513">
            <v>6.60000000000001</v>
          </cell>
          <cell r="L513">
            <v>23</v>
          </cell>
        </row>
        <row r="514">
          <cell r="J514">
            <v>17.078</v>
          </cell>
          <cell r="K514">
            <v>5.10000000000004</v>
          </cell>
          <cell r="L514">
            <v>23</v>
          </cell>
        </row>
        <row r="515">
          <cell r="J515">
            <v>17.111</v>
          </cell>
          <cell r="K515">
            <v>3.79999999999998</v>
          </cell>
          <cell r="L515">
            <v>23</v>
          </cell>
        </row>
        <row r="516">
          <cell r="J516">
            <v>17.145</v>
          </cell>
          <cell r="K516">
            <v>1.8</v>
          </cell>
          <cell r="L516">
            <v>23</v>
          </cell>
        </row>
        <row r="517">
          <cell r="J517">
            <v>17.178</v>
          </cell>
          <cell r="K517">
            <v>0.700000000000006</v>
          </cell>
          <cell r="L517">
            <v>23</v>
          </cell>
        </row>
        <row r="518">
          <cell r="J518">
            <v>17.211</v>
          </cell>
          <cell r="K518">
            <v>-0.300000000000022</v>
          </cell>
          <cell r="L518">
            <v>23</v>
          </cell>
        </row>
        <row r="519">
          <cell r="J519">
            <v>17.245</v>
          </cell>
          <cell r="K519">
            <v>-1.40000000000001</v>
          </cell>
          <cell r="L519">
            <v>23</v>
          </cell>
        </row>
        <row r="520">
          <cell r="J520">
            <v>17.278</v>
          </cell>
          <cell r="K520">
            <v>-2.39999999999997</v>
          </cell>
          <cell r="L520">
            <v>23</v>
          </cell>
        </row>
        <row r="521">
          <cell r="J521">
            <v>17.312</v>
          </cell>
          <cell r="K521">
            <v>-3.4</v>
          </cell>
          <cell r="L521">
            <v>23</v>
          </cell>
        </row>
        <row r="522">
          <cell r="J522">
            <v>17.345</v>
          </cell>
          <cell r="K522">
            <v>-4.19999999999997</v>
          </cell>
          <cell r="L522">
            <v>-20</v>
          </cell>
        </row>
        <row r="523">
          <cell r="J523">
            <v>17.379</v>
          </cell>
          <cell r="K523">
            <v>-4.39999999999996</v>
          </cell>
          <cell r="L523">
            <v>-20</v>
          </cell>
        </row>
        <row r="524">
          <cell r="J524">
            <v>17.412</v>
          </cell>
          <cell r="K524">
            <v>-4.39999999999996</v>
          </cell>
          <cell r="L524">
            <v>-20</v>
          </cell>
        </row>
        <row r="525">
          <cell r="J525">
            <v>17.445</v>
          </cell>
          <cell r="K525">
            <v>-4.39999999999996</v>
          </cell>
          <cell r="L525">
            <v>-20</v>
          </cell>
        </row>
        <row r="526">
          <cell r="J526">
            <v>17.479</v>
          </cell>
          <cell r="K526">
            <v>-3.99999999999998</v>
          </cell>
          <cell r="L526">
            <v>-20</v>
          </cell>
        </row>
        <row r="527">
          <cell r="J527">
            <v>17.512</v>
          </cell>
          <cell r="K527">
            <v>-3.70000000000002</v>
          </cell>
          <cell r="L527">
            <v>-20</v>
          </cell>
        </row>
        <row r="528">
          <cell r="J528">
            <v>17.546</v>
          </cell>
          <cell r="K528">
            <v>-3.4</v>
          </cell>
          <cell r="L528">
            <v>-20</v>
          </cell>
        </row>
        <row r="529">
          <cell r="J529">
            <v>17.579</v>
          </cell>
          <cell r="K529">
            <v>-2.89999999999999</v>
          </cell>
          <cell r="L529">
            <v>-20</v>
          </cell>
        </row>
        <row r="530">
          <cell r="J530">
            <v>17.612</v>
          </cell>
          <cell r="K530">
            <v>-2.5</v>
          </cell>
          <cell r="L530">
            <v>-20</v>
          </cell>
        </row>
        <row r="531">
          <cell r="J531">
            <v>17.646</v>
          </cell>
          <cell r="K531">
            <v>-2.10000000000002</v>
          </cell>
          <cell r="L531">
            <v>-20</v>
          </cell>
        </row>
        <row r="532">
          <cell r="J532">
            <v>17.679</v>
          </cell>
          <cell r="K532">
            <v>-1.20000000000002</v>
          </cell>
          <cell r="L532">
            <v>-20</v>
          </cell>
        </row>
        <row r="533">
          <cell r="J533">
            <v>17.713</v>
          </cell>
          <cell r="K533">
            <v>0.800000000000037</v>
          </cell>
          <cell r="L533">
            <v>-20</v>
          </cell>
        </row>
        <row r="534">
          <cell r="J534">
            <v>17.746</v>
          </cell>
          <cell r="K534">
            <v>1.40000000000001</v>
          </cell>
          <cell r="L534">
            <v>-20</v>
          </cell>
        </row>
        <row r="535">
          <cell r="J535">
            <v>17.78</v>
          </cell>
          <cell r="K535">
            <v>2.60000000000003</v>
          </cell>
          <cell r="L535">
            <v>-20</v>
          </cell>
        </row>
        <row r="536">
          <cell r="J536">
            <v>17.813</v>
          </cell>
          <cell r="K536">
            <v>5</v>
          </cell>
          <cell r="L536">
            <v>-20</v>
          </cell>
        </row>
        <row r="537">
          <cell r="J537">
            <v>17.846</v>
          </cell>
          <cell r="K537">
            <v>7.10000000000002</v>
          </cell>
          <cell r="L537">
            <v>-20</v>
          </cell>
        </row>
        <row r="538">
          <cell r="J538">
            <v>17.88</v>
          </cell>
          <cell r="K538">
            <v>8.50000000000004</v>
          </cell>
          <cell r="L538">
            <v>-20</v>
          </cell>
        </row>
        <row r="539">
          <cell r="J539">
            <v>17.913</v>
          </cell>
          <cell r="K539">
            <v>10.4</v>
          </cell>
          <cell r="L539">
            <v>-20</v>
          </cell>
        </row>
        <row r="540">
          <cell r="J540">
            <v>17.947</v>
          </cell>
          <cell r="K540">
            <v>12.1</v>
          </cell>
          <cell r="L540">
            <v>-20</v>
          </cell>
        </row>
        <row r="541">
          <cell r="J541">
            <v>17.98</v>
          </cell>
          <cell r="K541">
            <v>14.1</v>
          </cell>
          <cell r="L541">
            <v>-20</v>
          </cell>
        </row>
        <row r="542">
          <cell r="J542">
            <v>18.014</v>
          </cell>
          <cell r="K542">
            <v>16.3</v>
          </cell>
          <cell r="L542">
            <v>-20</v>
          </cell>
        </row>
        <row r="543">
          <cell r="J543">
            <v>18.047</v>
          </cell>
          <cell r="K543">
            <v>17.6</v>
          </cell>
          <cell r="L543">
            <v>-20</v>
          </cell>
        </row>
        <row r="544">
          <cell r="J544">
            <v>18.08</v>
          </cell>
          <cell r="K544">
            <v>19.2</v>
          </cell>
          <cell r="L544">
            <v>-20</v>
          </cell>
        </row>
        <row r="545">
          <cell r="J545">
            <v>18.114</v>
          </cell>
          <cell r="K545">
            <v>20</v>
          </cell>
          <cell r="L545">
            <v>23</v>
          </cell>
        </row>
        <row r="546">
          <cell r="J546">
            <v>18.147</v>
          </cell>
          <cell r="K546">
            <v>21.5</v>
          </cell>
          <cell r="L546">
            <v>23</v>
          </cell>
        </row>
        <row r="547">
          <cell r="J547">
            <v>18.181</v>
          </cell>
          <cell r="K547">
            <v>22.1</v>
          </cell>
          <cell r="L547">
            <v>23</v>
          </cell>
        </row>
        <row r="548">
          <cell r="J548">
            <v>18.214</v>
          </cell>
          <cell r="K548">
            <v>22.2</v>
          </cell>
          <cell r="L548">
            <v>23</v>
          </cell>
        </row>
        <row r="549">
          <cell r="J549">
            <v>18.247</v>
          </cell>
          <cell r="K549">
            <v>22.2</v>
          </cell>
          <cell r="L549">
            <v>23</v>
          </cell>
        </row>
        <row r="550">
          <cell r="J550">
            <v>18.281</v>
          </cell>
          <cell r="K550">
            <v>22.1</v>
          </cell>
          <cell r="L550">
            <v>23</v>
          </cell>
        </row>
        <row r="551">
          <cell r="J551">
            <v>18.314</v>
          </cell>
          <cell r="K551">
            <v>21.9</v>
          </cell>
          <cell r="L551">
            <v>23</v>
          </cell>
        </row>
        <row r="552">
          <cell r="J552">
            <v>18.348</v>
          </cell>
          <cell r="K552">
            <v>21.5</v>
          </cell>
          <cell r="L552">
            <v>23</v>
          </cell>
        </row>
        <row r="553">
          <cell r="J553">
            <v>18.381</v>
          </cell>
          <cell r="K553">
            <v>21.2</v>
          </cell>
          <cell r="L553">
            <v>23</v>
          </cell>
        </row>
        <row r="554">
          <cell r="J554">
            <v>18.415</v>
          </cell>
          <cell r="K554">
            <v>20.6</v>
          </cell>
          <cell r="L554">
            <v>23</v>
          </cell>
        </row>
        <row r="555">
          <cell r="J555">
            <v>18.448</v>
          </cell>
          <cell r="K555">
            <v>20.1</v>
          </cell>
          <cell r="L555">
            <v>23</v>
          </cell>
        </row>
        <row r="556">
          <cell r="J556">
            <v>18.481</v>
          </cell>
          <cell r="K556">
            <v>19.2</v>
          </cell>
          <cell r="L556">
            <v>23</v>
          </cell>
        </row>
        <row r="557">
          <cell r="J557">
            <v>18.515</v>
          </cell>
          <cell r="K557">
            <v>17.5</v>
          </cell>
          <cell r="L557">
            <v>23</v>
          </cell>
        </row>
        <row r="558">
          <cell r="J558">
            <v>18.548</v>
          </cell>
          <cell r="K558">
            <v>15.9</v>
          </cell>
          <cell r="L558">
            <v>23</v>
          </cell>
        </row>
        <row r="559">
          <cell r="J559">
            <v>18.582</v>
          </cell>
          <cell r="K559">
            <v>14</v>
          </cell>
          <cell r="L559">
            <v>23</v>
          </cell>
        </row>
        <row r="560">
          <cell r="J560">
            <v>18.615</v>
          </cell>
          <cell r="K560">
            <v>12.2</v>
          </cell>
          <cell r="L560">
            <v>23</v>
          </cell>
        </row>
        <row r="561">
          <cell r="J561">
            <v>18.648</v>
          </cell>
          <cell r="K561">
            <v>9.89999999999998</v>
          </cell>
          <cell r="L561">
            <v>23</v>
          </cell>
        </row>
        <row r="562">
          <cell r="J562">
            <v>18.682</v>
          </cell>
          <cell r="K562">
            <v>7.80000000000003</v>
          </cell>
          <cell r="L562">
            <v>23</v>
          </cell>
        </row>
        <row r="563">
          <cell r="J563">
            <v>18.715</v>
          </cell>
          <cell r="K563">
            <v>6.09999999999999</v>
          </cell>
          <cell r="L563">
            <v>23</v>
          </cell>
        </row>
        <row r="564">
          <cell r="J564">
            <v>18.749</v>
          </cell>
          <cell r="K564">
            <v>3.59999999999999</v>
          </cell>
          <cell r="L564">
            <v>23</v>
          </cell>
        </row>
        <row r="565">
          <cell r="J565">
            <v>18.782</v>
          </cell>
          <cell r="K565">
            <v>1.09999999999999</v>
          </cell>
          <cell r="L565">
            <v>23</v>
          </cell>
        </row>
        <row r="566">
          <cell r="J566">
            <v>18.816</v>
          </cell>
          <cell r="K566">
            <v>-0.700000000000006</v>
          </cell>
          <cell r="L566">
            <v>23</v>
          </cell>
        </row>
        <row r="567">
          <cell r="J567">
            <v>18.849</v>
          </cell>
          <cell r="K567">
            <v>-2.10000000000002</v>
          </cell>
          <cell r="L567">
            <v>23</v>
          </cell>
        </row>
        <row r="568">
          <cell r="J568">
            <v>18.882</v>
          </cell>
          <cell r="K568">
            <v>-4.19999999999997</v>
          </cell>
          <cell r="L568">
            <v>23</v>
          </cell>
        </row>
        <row r="569">
          <cell r="J569">
            <v>18.916</v>
          </cell>
          <cell r="K569">
            <v>-5.29999999999996</v>
          </cell>
          <cell r="L569">
            <v>-20</v>
          </cell>
        </row>
        <row r="570">
          <cell r="J570">
            <v>18.949</v>
          </cell>
          <cell r="K570">
            <v>-6.69999999999997</v>
          </cell>
          <cell r="L570">
            <v>-20</v>
          </cell>
        </row>
        <row r="571">
          <cell r="J571">
            <v>18.983</v>
          </cell>
          <cell r="K571">
            <v>-7.89999999999999</v>
          </cell>
          <cell r="L571">
            <v>-20</v>
          </cell>
        </row>
        <row r="572">
          <cell r="J572">
            <v>19.016</v>
          </cell>
          <cell r="K572">
            <v>-8.99999999999998</v>
          </cell>
          <cell r="L572">
            <v>-20</v>
          </cell>
        </row>
        <row r="573">
          <cell r="J573">
            <v>19.05</v>
          </cell>
          <cell r="K573">
            <v>-9.69999999999999</v>
          </cell>
          <cell r="L573">
            <v>-20</v>
          </cell>
        </row>
        <row r="574">
          <cell r="J574">
            <v>19.083</v>
          </cell>
          <cell r="K574">
            <v>-9.69999999999999</v>
          </cell>
          <cell r="L574">
            <v>-20</v>
          </cell>
        </row>
        <row r="575">
          <cell r="J575">
            <v>19.116</v>
          </cell>
          <cell r="K575">
            <v>-9.49999999999999</v>
          </cell>
          <cell r="L575">
            <v>-20</v>
          </cell>
        </row>
        <row r="576">
          <cell r="J576">
            <v>19.15</v>
          </cell>
          <cell r="K576">
            <v>-9.3</v>
          </cell>
          <cell r="L576">
            <v>-20</v>
          </cell>
        </row>
        <row r="577">
          <cell r="J577">
            <v>19.183</v>
          </cell>
          <cell r="K577">
            <v>-8.69999999999996</v>
          </cell>
          <cell r="L577">
            <v>-20</v>
          </cell>
        </row>
        <row r="578">
          <cell r="J578">
            <v>19.217</v>
          </cell>
          <cell r="K578">
            <v>-8.4</v>
          </cell>
          <cell r="L578">
            <v>-20</v>
          </cell>
        </row>
        <row r="579">
          <cell r="J579">
            <v>19.25</v>
          </cell>
          <cell r="K579">
            <v>-7.39999999999998</v>
          </cell>
          <cell r="L579">
            <v>-20</v>
          </cell>
        </row>
        <row r="580">
          <cell r="J580">
            <v>19.283</v>
          </cell>
          <cell r="K580">
            <v>-5.9</v>
          </cell>
          <cell r="L580">
            <v>-20</v>
          </cell>
        </row>
        <row r="581">
          <cell r="J581">
            <v>19.317</v>
          </cell>
          <cell r="K581">
            <v>-4.80000000000001</v>
          </cell>
          <cell r="L581">
            <v>-20</v>
          </cell>
        </row>
        <row r="582">
          <cell r="J582">
            <v>19.35</v>
          </cell>
          <cell r="K582">
            <v>-3.09999999999998</v>
          </cell>
          <cell r="L582">
            <v>-20</v>
          </cell>
        </row>
        <row r="583">
          <cell r="J583">
            <v>19.384</v>
          </cell>
          <cell r="K583">
            <v>-0.999999999999959</v>
          </cell>
          <cell r="L583">
            <v>-20</v>
          </cell>
        </row>
        <row r="584">
          <cell r="J584">
            <v>19.417</v>
          </cell>
          <cell r="K584">
            <v>0.599999999999976</v>
          </cell>
          <cell r="L584">
            <v>-20</v>
          </cell>
        </row>
        <row r="585">
          <cell r="J585">
            <v>19.451</v>
          </cell>
          <cell r="K585">
            <v>3.09999999999998</v>
          </cell>
          <cell r="L585">
            <v>-20</v>
          </cell>
        </row>
        <row r="586">
          <cell r="J586">
            <v>19.484</v>
          </cell>
          <cell r="K586">
            <v>5.59999999999998</v>
          </cell>
          <cell r="L586">
            <v>-20</v>
          </cell>
        </row>
        <row r="587">
          <cell r="J587">
            <v>19.517</v>
          </cell>
          <cell r="K587">
            <v>7.80000000000003</v>
          </cell>
          <cell r="L587">
            <v>-20</v>
          </cell>
        </row>
        <row r="588">
          <cell r="J588">
            <v>19.551</v>
          </cell>
          <cell r="K588">
            <v>10.5</v>
          </cell>
          <cell r="L588">
            <v>-20</v>
          </cell>
        </row>
        <row r="589">
          <cell r="J589">
            <v>19.584</v>
          </cell>
          <cell r="K589">
            <v>12.4</v>
          </cell>
          <cell r="L589">
            <v>-20</v>
          </cell>
        </row>
        <row r="590">
          <cell r="J590">
            <v>19.618</v>
          </cell>
          <cell r="K590">
            <v>14.6</v>
          </cell>
          <cell r="L590">
            <v>-20</v>
          </cell>
        </row>
        <row r="591">
          <cell r="J591">
            <v>19.651</v>
          </cell>
          <cell r="K591">
            <v>16.8</v>
          </cell>
          <cell r="L591">
            <v>-20</v>
          </cell>
        </row>
        <row r="592">
          <cell r="J592">
            <v>19.685</v>
          </cell>
          <cell r="K592">
            <v>19.3</v>
          </cell>
          <cell r="L592">
            <v>-20</v>
          </cell>
        </row>
        <row r="593">
          <cell r="J593">
            <v>19.718</v>
          </cell>
          <cell r="K593">
            <v>20.8</v>
          </cell>
          <cell r="L593">
            <v>-20</v>
          </cell>
        </row>
        <row r="594">
          <cell r="J594">
            <v>19.751</v>
          </cell>
          <cell r="K594">
            <v>22.2</v>
          </cell>
          <cell r="L594">
            <v>-20</v>
          </cell>
        </row>
        <row r="595">
          <cell r="J595">
            <v>19.785</v>
          </cell>
          <cell r="K595">
            <v>23.1</v>
          </cell>
          <cell r="L595">
            <v>-20</v>
          </cell>
        </row>
        <row r="596">
          <cell r="J596">
            <v>19.818</v>
          </cell>
          <cell r="K596">
            <v>24.8</v>
          </cell>
          <cell r="L596">
            <v>-20</v>
          </cell>
        </row>
        <row r="597">
          <cell r="J597">
            <v>19.852</v>
          </cell>
          <cell r="K597">
            <v>25.9</v>
          </cell>
          <cell r="L597">
            <v>-20</v>
          </cell>
        </row>
        <row r="598">
          <cell r="J598">
            <v>19.885</v>
          </cell>
          <cell r="K598">
            <v>26.9</v>
          </cell>
          <cell r="L598">
            <v>-20</v>
          </cell>
        </row>
        <row r="599">
          <cell r="J599">
            <v>19.918</v>
          </cell>
          <cell r="K599">
            <v>27.3</v>
          </cell>
          <cell r="L599">
            <v>-20</v>
          </cell>
        </row>
        <row r="600">
          <cell r="J600">
            <v>19.952</v>
          </cell>
          <cell r="K600">
            <v>27.4</v>
          </cell>
          <cell r="L600">
            <v>-20</v>
          </cell>
        </row>
        <row r="601">
          <cell r="J601">
            <v>19.985</v>
          </cell>
          <cell r="K601">
            <v>27.4</v>
          </cell>
          <cell r="L601">
            <v>-20</v>
          </cell>
        </row>
        <row r="602">
          <cell r="J602">
            <v>20.019</v>
          </cell>
          <cell r="K602">
            <v>27</v>
          </cell>
          <cell r="L602">
            <v>-20</v>
          </cell>
        </row>
        <row r="603">
          <cell r="J603">
            <v>20.052</v>
          </cell>
          <cell r="K603">
            <v>26.8</v>
          </cell>
          <cell r="L603">
            <v>-20</v>
          </cell>
        </row>
        <row r="604">
          <cell r="J604">
            <v>20.086</v>
          </cell>
          <cell r="K604">
            <v>26.3</v>
          </cell>
          <cell r="L604">
            <v>-20</v>
          </cell>
        </row>
        <row r="605">
          <cell r="J605">
            <v>20.119</v>
          </cell>
          <cell r="K605">
            <v>25.3</v>
          </cell>
          <cell r="L605">
            <v>-20</v>
          </cell>
        </row>
        <row r="606">
          <cell r="J606">
            <v>20.152</v>
          </cell>
          <cell r="K606">
            <v>24</v>
          </cell>
          <cell r="L606">
            <v>-20</v>
          </cell>
        </row>
        <row r="607">
          <cell r="J607">
            <v>20.186</v>
          </cell>
          <cell r="K607">
            <v>23.1</v>
          </cell>
          <cell r="L607">
            <v>-20</v>
          </cell>
        </row>
        <row r="608">
          <cell r="J608">
            <v>20.219</v>
          </cell>
          <cell r="K608">
            <v>21.9</v>
          </cell>
          <cell r="L608">
            <v>-20</v>
          </cell>
        </row>
        <row r="609">
          <cell r="J609">
            <v>20.253</v>
          </cell>
          <cell r="K609">
            <v>19.6</v>
          </cell>
          <cell r="L609">
            <v>-20</v>
          </cell>
        </row>
        <row r="610">
          <cell r="J610">
            <v>20.286</v>
          </cell>
          <cell r="K610">
            <v>18.2</v>
          </cell>
          <cell r="L610">
            <v>-20</v>
          </cell>
        </row>
        <row r="611">
          <cell r="J611">
            <v>20.32</v>
          </cell>
          <cell r="K611">
            <v>16</v>
          </cell>
          <cell r="L611">
            <v>-20</v>
          </cell>
        </row>
        <row r="612">
          <cell r="J612">
            <v>20.353</v>
          </cell>
          <cell r="K612">
            <v>12.7</v>
          </cell>
          <cell r="L612">
            <v>-20</v>
          </cell>
        </row>
        <row r="613">
          <cell r="J613">
            <v>20.386</v>
          </cell>
          <cell r="K613">
            <v>10.3</v>
          </cell>
          <cell r="L613">
            <v>-20</v>
          </cell>
        </row>
        <row r="614">
          <cell r="J614">
            <v>20.42</v>
          </cell>
          <cell r="K614">
            <v>7.80000000000003</v>
          </cell>
          <cell r="L614">
            <v>-20</v>
          </cell>
        </row>
        <row r="615">
          <cell r="J615">
            <v>20.453</v>
          </cell>
          <cell r="K615">
            <v>6.09999999999999</v>
          </cell>
          <cell r="L615">
            <v>-20</v>
          </cell>
        </row>
        <row r="616">
          <cell r="J616">
            <v>20.487</v>
          </cell>
          <cell r="K616">
            <v>3.09999999999998</v>
          </cell>
          <cell r="L616">
            <v>-20</v>
          </cell>
        </row>
        <row r="617">
          <cell r="J617">
            <v>20.52</v>
          </cell>
          <cell r="K617">
            <v>0.899999999999998</v>
          </cell>
          <cell r="L617">
            <v>-20</v>
          </cell>
        </row>
        <row r="618">
          <cell r="J618">
            <v>20.553</v>
          </cell>
          <cell r="K618">
            <v>-0.799999999999967</v>
          </cell>
          <cell r="L618">
            <v>-20</v>
          </cell>
        </row>
        <row r="619">
          <cell r="J619">
            <v>20.587</v>
          </cell>
          <cell r="K619">
            <v>-2.69999999999999</v>
          </cell>
          <cell r="L619">
            <v>-20</v>
          </cell>
        </row>
        <row r="620">
          <cell r="J620">
            <v>20.62</v>
          </cell>
          <cell r="K620">
            <v>-4.49999999999999</v>
          </cell>
          <cell r="L620">
            <v>-20</v>
          </cell>
        </row>
        <row r="621">
          <cell r="J621">
            <v>20.654</v>
          </cell>
          <cell r="K621">
            <v>-6.09999999999999</v>
          </cell>
          <cell r="L621">
            <v>-20</v>
          </cell>
        </row>
        <row r="622">
          <cell r="J622">
            <v>20.687</v>
          </cell>
          <cell r="K622">
            <v>-7.59999999999997</v>
          </cell>
          <cell r="L622">
            <v>-20</v>
          </cell>
        </row>
        <row r="623">
          <cell r="J623">
            <v>20.721</v>
          </cell>
          <cell r="K623">
            <v>-9.3</v>
          </cell>
          <cell r="L623">
            <v>-20</v>
          </cell>
        </row>
        <row r="624">
          <cell r="J624">
            <v>20.754</v>
          </cell>
          <cell r="K624">
            <v>-10</v>
          </cell>
          <cell r="L624">
            <v>-20</v>
          </cell>
        </row>
        <row r="625">
          <cell r="J625">
            <v>20.787</v>
          </cell>
          <cell r="K625">
            <v>-10.3</v>
          </cell>
          <cell r="L625">
            <v>-20</v>
          </cell>
        </row>
        <row r="626">
          <cell r="J626">
            <v>20.821</v>
          </cell>
          <cell r="K626">
            <v>-10.3</v>
          </cell>
          <cell r="L626">
            <v>-20</v>
          </cell>
        </row>
        <row r="627">
          <cell r="J627">
            <v>20.854</v>
          </cell>
          <cell r="K627">
            <v>-10</v>
          </cell>
          <cell r="L627">
            <v>-20</v>
          </cell>
        </row>
        <row r="628">
          <cell r="J628">
            <v>20.888</v>
          </cell>
          <cell r="K628">
            <v>-9.69999999999999</v>
          </cell>
          <cell r="L628">
            <v>-20</v>
          </cell>
        </row>
        <row r="629">
          <cell r="J629">
            <v>20.921</v>
          </cell>
          <cell r="K629">
            <v>-9.19999999999997</v>
          </cell>
          <cell r="L629">
            <v>-20</v>
          </cell>
        </row>
        <row r="630">
          <cell r="J630">
            <v>20.954</v>
          </cell>
          <cell r="K630">
            <v>-8.79999999999999</v>
          </cell>
          <cell r="L630">
            <v>-20</v>
          </cell>
        </row>
        <row r="631">
          <cell r="J631">
            <v>20.988</v>
          </cell>
          <cell r="K631">
            <v>-8.00000000000002</v>
          </cell>
          <cell r="L631">
            <v>-20</v>
          </cell>
        </row>
        <row r="632">
          <cell r="J632">
            <v>21.021</v>
          </cell>
          <cell r="K632">
            <v>-7.30000000000001</v>
          </cell>
          <cell r="L632">
            <v>-20</v>
          </cell>
        </row>
        <row r="633">
          <cell r="J633">
            <v>21.055</v>
          </cell>
          <cell r="K633">
            <v>-5.39999999999999</v>
          </cell>
          <cell r="L633">
            <v>-20</v>
          </cell>
        </row>
        <row r="634">
          <cell r="J634">
            <v>21.088</v>
          </cell>
          <cell r="K634">
            <v>-4.60000000000002</v>
          </cell>
          <cell r="L634">
            <v>-20</v>
          </cell>
        </row>
        <row r="635">
          <cell r="J635">
            <v>21.122</v>
          </cell>
          <cell r="K635">
            <v>-2.89999999999999</v>
          </cell>
          <cell r="L635">
            <v>-20</v>
          </cell>
        </row>
        <row r="636">
          <cell r="J636">
            <v>21.155</v>
          </cell>
          <cell r="K636">
            <v>-0.700000000000006</v>
          </cell>
          <cell r="L636">
            <v>-20</v>
          </cell>
        </row>
        <row r="637">
          <cell r="J637">
            <v>21.188</v>
          </cell>
          <cell r="K637">
            <v>0.800000000000037</v>
          </cell>
          <cell r="L637">
            <v>-20</v>
          </cell>
        </row>
        <row r="638">
          <cell r="J638">
            <v>21.222</v>
          </cell>
          <cell r="K638">
            <v>2.89999999999999</v>
          </cell>
          <cell r="L638">
            <v>-20</v>
          </cell>
        </row>
        <row r="639">
          <cell r="J639">
            <v>21.255</v>
          </cell>
          <cell r="K639">
            <v>5.50000000000002</v>
          </cell>
          <cell r="L639">
            <v>-20</v>
          </cell>
        </row>
        <row r="640">
          <cell r="J640">
            <v>21.289</v>
          </cell>
          <cell r="K640">
            <v>7.39999999999998</v>
          </cell>
          <cell r="L640">
            <v>-20</v>
          </cell>
        </row>
        <row r="641">
          <cell r="J641">
            <v>21.322</v>
          </cell>
          <cell r="K641">
            <v>8.99999999999998</v>
          </cell>
          <cell r="L641">
            <v>-20</v>
          </cell>
        </row>
        <row r="642">
          <cell r="J642">
            <v>21.356</v>
          </cell>
          <cell r="K642">
            <v>11.1</v>
          </cell>
          <cell r="L642">
            <v>-20</v>
          </cell>
        </row>
        <row r="643">
          <cell r="J643">
            <v>21.389</v>
          </cell>
          <cell r="K643">
            <v>13.9</v>
          </cell>
          <cell r="L643">
            <v>-20</v>
          </cell>
        </row>
        <row r="644">
          <cell r="J644">
            <v>21.422</v>
          </cell>
          <cell r="K644">
            <v>16.1</v>
          </cell>
          <cell r="L644">
            <v>-20</v>
          </cell>
        </row>
        <row r="645">
          <cell r="J645">
            <v>21.456</v>
          </cell>
          <cell r="K645">
            <v>17.5</v>
          </cell>
          <cell r="L645">
            <v>-20</v>
          </cell>
        </row>
        <row r="646">
          <cell r="J646">
            <v>21.489</v>
          </cell>
          <cell r="K646">
            <v>19.5</v>
          </cell>
          <cell r="L646">
            <v>-20</v>
          </cell>
        </row>
        <row r="647">
          <cell r="J647">
            <v>21.523</v>
          </cell>
          <cell r="K647">
            <v>20.6</v>
          </cell>
          <cell r="L647">
            <v>-20</v>
          </cell>
        </row>
        <row r="648">
          <cell r="J648">
            <v>21.556</v>
          </cell>
          <cell r="K648">
            <v>21.9</v>
          </cell>
          <cell r="L648">
            <v>-20</v>
          </cell>
        </row>
        <row r="649">
          <cell r="J649">
            <v>21.589</v>
          </cell>
          <cell r="K649">
            <v>22.5</v>
          </cell>
          <cell r="L649">
            <v>-20</v>
          </cell>
        </row>
        <row r="650">
          <cell r="J650">
            <v>21.623</v>
          </cell>
          <cell r="K650">
            <v>22.8</v>
          </cell>
          <cell r="L650">
            <v>-20</v>
          </cell>
        </row>
        <row r="651">
          <cell r="J651">
            <v>21.656</v>
          </cell>
          <cell r="K651">
            <v>23.9</v>
          </cell>
          <cell r="L651">
            <v>-20</v>
          </cell>
        </row>
        <row r="652">
          <cell r="J652">
            <v>21.69</v>
          </cell>
          <cell r="K652">
            <v>24.3</v>
          </cell>
          <cell r="L652">
            <v>-20</v>
          </cell>
        </row>
        <row r="653">
          <cell r="J653">
            <v>21.723</v>
          </cell>
          <cell r="K653">
            <v>24.5</v>
          </cell>
          <cell r="L653">
            <v>-20</v>
          </cell>
        </row>
        <row r="654">
          <cell r="J654">
            <v>21.757</v>
          </cell>
          <cell r="K654">
            <v>24.3</v>
          </cell>
          <cell r="L654">
            <v>-20</v>
          </cell>
        </row>
        <row r="655">
          <cell r="J655">
            <v>21.79</v>
          </cell>
          <cell r="K655">
            <v>23.9</v>
          </cell>
          <cell r="L655">
            <v>-20</v>
          </cell>
        </row>
        <row r="656">
          <cell r="J656">
            <v>21.823</v>
          </cell>
          <cell r="K656">
            <v>23.5</v>
          </cell>
          <cell r="L656">
            <v>-20</v>
          </cell>
        </row>
        <row r="657">
          <cell r="J657">
            <v>21.857</v>
          </cell>
          <cell r="K657">
            <v>23.2</v>
          </cell>
          <cell r="L657">
            <v>-20</v>
          </cell>
        </row>
        <row r="658">
          <cell r="J658">
            <v>21.89</v>
          </cell>
          <cell r="K658">
            <v>23</v>
          </cell>
          <cell r="L658">
            <v>-20</v>
          </cell>
        </row>
        <row r="659">
          <cell r="J659">
            <v>21.924</v>
          </cell>
          <cell r="K659">
            <v>22.2</v>
          </cell>
          <cell r="L659">
            <v>-20</v>
          </cell>
        </row>
        <row r="660">
          <cell r="J660">
            <v>21.957</v>
          </cell>
          <cell r="K660">
            <v>19.9</v>
          </cell>
          <cell r="L660">
            <v>-20</v>
          </cell>
        </row>
        <row r="661">
          <cell r="J661">
            <v>21.991</v>
          </cell>
          <cell r="K661">
            <v>18.9</v>
          </cell>
          <cell r="L661">
            <v>-20</v>
          </cell>
        </row>
        <row r="662">
          <cell r="J662">
            <v>22.024</v>
          </cell>
          <cell r="K662">
            <v>17</v>
          </cell>
          <cell r="L662">
            <v>-20</v>
          </cell>
        </row>
        <row r="663">
          <cell r="J663">
            <v>22.057</v>
          </cell>
          <cell r="K663">
            <v>14.7</v>
          </cell>
          <cell r="L663">
            <v>-20</v>
          </cell>
        </row>
        <row r="664">
          <cell r="J664">
            <v>22.091</v>
          </cell>
          <cell r="K664">
            <v>12.2</v>
          </cell>
          <cell r="L664">
            <v>-20</v>
          </cell>
        </row>
        <row r="665">
          <cell r="J665">
            <v>22.124</v>
          </cell>
          <cell r="K665">
            <v>10</v>
          </cell>
          <cell r="L665">
            <v>-20</v>
          </cell>
        </row>
        <row r="666">
          <cell r="J666">
            <v>22.158</v>
          </cell>
          <cell r="K666">
            <v>7.89999999999999</v>
          </cell>
          <cell r="L666">
            <v>-20</v>
          </cell>
        </row>
        <row r="667">
          <cell r="J667">
            <v>22.191</v>
          </cell>
          <cell r="K667">
            <v>6.09999999999999</v>
          </cell>
          <cell r="L667">
            <v>-20</v>
          </cell>
        </row>
        <row r="668">
          <cell r="J668">
            <v>22.224</v>
          </cell>
          <cell r="K668">
            <v>3.20000000000001</v>
          </cell>
          <cell r="L668">
            <v>-20</v>
          </cell>
        </row>
        <row r="669">
          <cell r="J669">
            <v>22.258</v>
          </cell>
          <cell r="K669">
            <v>1.00000000000003</v>
          </cell>
          <cell r="L669">
            <v>-20</v>
          </cell>
        </row>
        <row r="670">
          <cell r="J670">
            <v>22.291</v>
          </cell>
          <cell r="K670">
            <v>-0.599999999999976</v>
          </cell>
          <cell r="L670">
            <v>-20</v>
          </cell>
        </row>
        <row r="671">
          <cell r="J671">
            <v>22.325</v>
          </cell>
          <cell r="K671">
            <v>-2.30000000000001</v>
          </cell>
          <cell r="L671">
            <v>-20</v>
          </cell>
        </row>
        <row r="672">
          <cell r="J672">
            <v>22.358</v>
          </cell>
          <cell r="K672">
            <v>-4.3</v>
          </cell>
          <cell r="L672">
            <v>-20</v>
          </cell>
        </row>
        <row r="673">
          <cell r="J673">
            <v>22.392</v>
          </cell>
          <cell r="K673">
            <v>-5.09999999999997</v>
          </cell>
          <cell r="L673">
            <v>-20</v>
          </cell>
        </row>
        <row r="674">
          <cell r="J674">
            <v>22.425</v>
          </cell>
          <cell r="K674">
            <v>-6.8</v>
          </cell>
          <cell r="L674">
            <v>-20</v>
          </cell>
        </row>
        <row r="675">
          <cell r="J675">
            <v>22.458</v>
          </cell>
          <cell r="K675">
            <v>-7.89999999999999</v>
          </cell>
          <cell r="L675">
            <v>-20</v>
          </cell>
        </row>
        <row r="676">
          <cell r="J676">
            <v>22.492</v>
          </cell>
          <cell r="K676">
            <v>-9.39999999999996</v>
          </cell>
          <cell r="L676">
            <v>-20</v>
          </cell>
        </row>
        <row r="677">
          <cell r="J677">
            <v>22.525</v>
          </cell>
          <cell r="K677">
            <v>-9.89999999999998</v>
          </cell>
          <cell r="L677">
            <v>-20</v>
          </cell>
        </row>
        <row r="678">
          <cell r="J678">
            <v>22.559</v>
          </cell>
          <cell r="K678">
            <v>-10.1</v>
          </cell>
          <cell r="L678">
            <v>-20</v>
          </cell>
        </row>
        <row r="679">
          <cell r="J679">
            <v>22.592</v>
          </cell>
          <cell r="K679">
            <v>-9.89999999999998</v>
          </cell>
          <cell r="L679">
            <v>-20</v>
          </cell>
        </row>
        <row r="680">
          <cell r="J680">
            <v>22.626</v>
          </cell>
          <cell r="K680">
            <v>-9.60000000000002</v>
          </cell>
          <cell r="L680">
            <v>-20</v>
          </cell>
        </row>
        <row r="681">
          <cell r="J681">
            <v>22.659</v>
          </cell>
          <cell r="K681">
            <v>-9.49999999999999</v>
          </cell>
          <cell r="L681">
            <v>-20</v>
          </cell>
        </row>
        <row r="682">
          <cell r="J682">
            <v>22.692</v>
          </cell>
          <cell r="K682">
            <v>-8.90000000000002</v>
          </cell>
          <cell r="L682">
            <v>-20</v>
          </cell>
        </row>
        <row r="683">
          <cell r="J683">
            <v>22.726</v>
          </cell>
          <cell r="K683">
            <v>-8.4</v>
          </cell>
          <cell r="L683">
            <v>-20</v>
          </cell>
        </row>
        <row r="684">
          <cell r="J684">
            <v>22.759</v>
          </cell>
          <cell r="K684">
            <v>-7.79999999999996</v>
          </cell>
          <cell r="L684">
            <v>-20</v>
          </cell>
        </row>
        <row r="685">
          <cell r="J685">
            <v>22.793</v>
          </cell>
          <cell r="K685">
            <v>-6.89999999999996</v>
          </cell>
          <cell r="L685">
            <v>-20</v>
          </cell>
        </row>
        <row r="686">
          <cell r="J686">
            <v>22.826</v>
          </cell>
          <cell r="K686">
            <v>-5.29999999999996</v>
          </cell>
          <cell r="L686">
            <v>-20</v>
          </cell>
        </row>
        <row r="687">
          <cell r="J687">
            <v>22.859</v>
          </cell>
          <cell r="K687">
            <v>-4.3</v>
          </cell>
          <cell r="L687">
            <v>-20</v>
          </cell>
        </row>
        <row r="688">
          <cell r="J688">
            <v>22.893</v>
          </cell>
          <cell r="K688">
            <v>-1.99999999999999</v>
          </cell>
          <cell r="L688">
            <v>-20</v>
          </cell>
        </row>
        <row r="689">
          <cell r="J689">
            <v>22.926</v>
          </cell>
          <cell r="K689">
            <v>-0.300000000000022</v>
          </cell>
          <cell r="L689">
            <v>-20</v>
          </cell>
        </row>
        <row r="690">
          <cell r="J690">
            <v>22.96</v>
          </cell>
          <cell r="K690">
            <v>1.09999999999999</v>
          </cell>
          <cell r="L690">
            <v>-20</v>
          </cell>
        </row>
        <row r="691">
          <cell r="J691">
            <v>22.993</v>
          </cell>
          <cell r="K691">
            <v>2.80000000000002</v>
          </cell>
          <cell r="L691">
            <v>-20</v>
          </cell>
        </row>
        <row r="692">
          <cell r="J692">
            <v>23.027</v>
          </cell>
          <cell r="K692">
            <v>5.59999999999998</v>
          </cell>
          <cell r="L692">
            <v>-20</v>
          </cell>
        </row>
        <row r="693">
          <cell r="J693">
            <v>23.06</v>
          </cell>
          <cell r="K693">
            <v>7.60000000000004</v>
          </cell>
          <cell r="L693">
            <v>-20</v>
          </cell>
        </row>
        <row r="694">
          <cell r="J694">
            <v>23.093</v>
          </cell>
          <cell r="K694">
            <v>9.60000000000002</v>
          </cell>
          <cell r="L694">
            <v>-20</v>
          </cell>
        </row>
        <row r="695">
          <cell r="J695">
            <v>23.127</v>
          </cell>
          <cell r="K695">
            <v>11.1</v>
          </cell>
          <cell r="L695">
            <v>-20</v>
          </cell>
        </row>
        <row r="696">
          <cell r="J696">
            <v>23.16</v>
          </cell>
          <cell r="K696">
            <v>13.7</v>
          </cell>
          <cell r="L696">
            <v>-20</v>
          </cell>
        </row>
        <row r="697">
          <cell r="J697">
            <v>23.194</v>
          </cell>
          <cell r="K697">
            <v>16</v>
          </cell>
          <cell r="L697">
            <v>-20</v>
          </cell>
        </row>
        <row r="698">
          <cell r="J698">
            <v>23.227</v>
          </cell>
          <cell r="K698">
            <v>17.5</v>
          </cell>
          <cell r="L698">
            <v>-20</v>
          </cell>
        </row>
        <row r="699">
          <cell r="J699">
            <v>23.26</v>
          </cell>
          <cell r="K699">
            <v>18.7</v>
          </cell>
          <cell r="L699">
            <v>-20</v>
          </cell>
        </row>
        <row r="700">
          <cell r="J700">
            <v>23.294</v>
          </cell>
          <cell r="K700">
            <v>20.1</v>
          </cell>
          <cell r="L700">
            <v>-20</v>
          </cell>
        </row>
        <row r="701">
          <cell r="J701">
            <v>23.327</v>
          </cell>
          <cell r="K701">
            <v>21.5</v>
          </cell>
          <cell r="L701">
            <v>-20</v>
          </cell>
        </row>
        <row r="702">
          <cell r="J702">
            <v>23.361</v>
          </cell>
          <cell r="K702">
            <v>22.2</v>
          </cell>
          <cell r="L702">
            <v>-20</v>
          </cell>
        </row>
        <row r="703">
          <cell r="J703">
            <v>23.394</v>
          </cell>
          <cell r="K703">
            <v>22.2</v>
          </cell>
          <cell r="L703">
            <v>-20</v>
          </cell>
        </row>
        <row r="704">
          <cell r="J704">
            <v>23.428</v>
          </cell>
          <cell r="K704">
            <v>22.2</v>
          </cell>
          <cell r="L704">
            <v>-20</v>
          </cell>
        </row>
        <row r="705">
          <cell r="J705">
            <v>23.461</v>
          </cell>
          <cell r="K705">
            <v>22.2</v>
          </cell>
          <cell r="L705">
            <v>-20</v>
          </cell>
        </row>
        <row r="706">
          <cell r="J706">
            <v>23.494</v>
          </cell>
          <cell r="K706">
            <v>22</v>
          </cell>
          <cell r="L706">
            <v>-20</v>
          </cell>
        </row>
        <row r="707">
          <cell r="J707">
            <v>23.528</v>
          </cell>
          <cell r="K707">
            <v>21.7</v>
          </cell>
          <cell r="L707">
            <v>-20</v>
          </cell>
        </row>
        <row r="708">
          <cell r="J708">
            <v>23.561</v>
          </cell>
          <cell r="K708">
            <v>21.3</v>
          </cell>
          <cell r="L708">
            <v>-20</v>
          </cell>
        </row>
        <row r="709">
          <cell r="J709">
            <v>23.595</v>
          </cell>
          <cell r="K709">
            <v>21.1</v>
          </cell>
          <cell r="L709">
            <v>-20</v>
          </cell>
        </row>
        <row r="710">
          <cell r="J710">
            <v>23.628</v>
          </cell>
          <cell r="K710">
            <v>20.6</v>
          </cell>
          <cell r="L710">
            <v>-20</v>
          </cell>
        </row>
        <row r="711">
          <cell r="J711">
            <v>23.662</v>
          </cell>
          <cell r="K711">
            <v>19.9</v>
          </cell>
          <cell r="L711">
            <v>-20</v>
          </cell>
        </row>
        <row r="712">
          <cell r="J712">
            <v>23.695</v>
          </cell>
          <cell r="K712">
            <v>18.9</v>
          </cell>
          <cell r="L712">
            <v>-20</v>
          </cell>
        </row>
        <row r="713">
          <cell r="J713">
            <v>23.728</v>
          </cell>
          <cell r="K713">
            <v>17.2</v>
          </cell>
          <cell r="L713">
            <v>-20</v>
          </cell>
        </row>
        <row r="714">
          <cell r="J714">
            <v>23.762</v>
          </cell>
          <cell r="K714">
            <v>15.6</v>
          </cell>
          <cell r="L714">
            <v>-20</v>
          </cell>
        </row>
        <row r="715">
          <cell r="J715">
            <v>23.795</v>
          </cell>
          <cell r="K715">
            <v>13.9</v>
          </cell>
          <cell r="L715">
            <v>-20</v>
          </cell>
        </row>
        <row r="716">
          <cell r="J716">
            <v>23.829</v>
          </cell>
          <cell r="K716">
            <v>11.8</v>
          </cell>
          <cell r="L716">
            <v>-20</v>
          </cell>
        </row>
        <row r="717">
          <cell r="J717">
            <v>23.862</v>
          </cell>
          <cell r="K717">
            <v>9.69999999999999</v>
          </cell>
          <cell r="L717">
            <v>-20</v>
          </cell>
        </row>
        <row r="718">
          <cell r="J718">
            <v>23.895</v>
          </cell>
          <cell r="K718">
            <v>8.00000000000002</v>
          </cell>
          <cell r="L718">
            <v>-20</v>
          </cell>
        </row>
        <row r="719">
          <cell r="J719">
            <v>23.929</v>
          </cell>
          <cell r="K719">
            <v>6.60000000000001</v>
          </cell>
          <cell r="L719">
            <v>-20</v>
          </cell>
        </row>
        <row r="720">
          <cell r="J720">
            <v>23.962</v>
          </cell>
          <cell r="K720">
            <v>4.10000000000001</v>
          </cell>
          <cell r="L720">
            <v>-20</v>
          </cell>
        </row>
        <row r="721">
          <cell r="J721">
            <v>23.996</v>
          </cell>
          <cell r="K721">
            <v>1.29999999999998</v>
          </cell>
          <cell r="L721">
            <v>-20</v>
          </cell>
        </row>
        <row r="722">
          <cell r="J722">
            <v>24.029</v>
          </cell>
          <cell r="K722">
            <v>-0.500000000000014</v>
          </cell>
          <cell r="L722">
            <v>-20</v>
          </cell>
        </row>
        <row r="723">
          <cell r="J723">
            <v>24.063</v>
          </cell>
          <cell r="K723">
            <v>-1.90000000000003</v>
          </cell>
          <cell r="L723">
            <v>-20</v>
          </cell>
        </row>
        <row r="724">
          <cell r="J724">
            <v>24.096</v>
          </cell>
          <cell r="K724">
            <v>-4.10000000000001</v>
          </cell>
          <cell r="L724">
            <v>-20</v>
          </cell>
        </row>
        <row r="725">
          <cell r="J725">
            <v>24.129</v>
          </cell>
          <cell r="K725">
            <v>-4.89999999999997</v>
          </cell>
          <cell r="L725">
            <v>-20</v>
          </cell>
        </row>
        <row r="726">
          <cell r="J726">
            <v>24.163</v>
          </cell>
          <cell r="K726">
            <v>-6.49999999999998</v>
          </cell>
          <cell r="L726">
            <v>-20</v>
          </cell>
        </row>
        <row r="727">
          <cell r="J727">
            <v>24.196</v>
          </cell>
          <cell r="K727">
            <v>-7.7</v>
          </cell>
          <cell r="L727">
            <v>-20</v>
          </cell>
        </row>
        <row r="728">
          <cell r="J728">
            <v>24.23</v>
          </cell>
          <cell r="K728">
            <v>-9.19999999999997</v>
          </cell>
          <cell r="L728">
            <v>-20</v>
          </cell>
        </row>
        <row r="729">
          <cell r="J729">
            <v>24.263</v>
          </cell>
          <cell r="K729">
            <v>-9.80000000000002</v>
          </cell>
          <cell r="L729">
            <v>-20</v>
          </cell>
        </row>
        <row r="730">
          <cell r="J730">
            <v>24.297</v>
          </cell>
          <cell r="K730">
            <v>-10.2</v>
          </cell>
          <cell r="L730">
            <v>-20</v>
          </cell>
        </row>
        <row r="731">
          <cell r="J731">
            <v>24.33</v>
          </cell>
          <cell r="K731">
            <v>-10.3</v>
          </cell>
          <cell r="L731">
            <v>-20</v>
          </cell>
        </row>
        <row r="732">
          <cell r="J732">
            <v>24.363</v>
          </cell>
          <cell r="K732">
            <v>-10</v>
          </cell>
          <cell r="L732">
            <v>-20</v>
          </cell>
        </row>
        <row r="733">
          <cell r="J733">
            <v>24.397</v>
          </cell>
          <cell r="K733">
            <v>-9.69999999999999</v>
          </cell>
          <cell r="L733">
            <v>-20</v>
          </cell>
        </row>
        <row r="734">
          <cell r="J734">
            <v>24.43</v>
          </cell>
          <cell r="K734">
            <v>-9.49999999999999</v>
          </cell>
          <cell r="L734">
            <v>-20</v>
          </cell>
        </row>
        <row r="735">
          <cell r="J735">
            <v>24.464</v>
          </cell>
          <cell r="K735">
            <v>-8.90000000000002</v>
          </cell>
          <cell r="L735">
            <v>-20</v>
          </cell>
        </row>
        <row r="736">
          <cell r="J736">
            <v>24.497</v>
          </cell>
          <cell r="K736">
            <v>-8.49999999999997</v>
          </cell>
          <cell r="L736">
            <v>-20</v>
          </cell>
        </row>
        <row r="737">
          <cell r="J737">
            <v>24.53</v>
          </cell>
          <cell r="K737">
            <v>-7.79999999999996</v>
          </cell>
          <cell r="L737">
            <v>-20</v>
          </cell>
        </row>
        <row r="738">
          <cell r="J738">
            <v>24.564</v>
          </cell>
          <cell r="K738">
            <v>-7.10000000000002</v>
          </cell>
          <cell r="L738">
            <v>-20</v>
          </cell>
        </row>
        <row r="739">
          <cell r="J739">
            <v>24.597</v>
          </cell>
          <cell r="K739">
            <v>-5.59999999999998</v>
          </cell>
          <cell r="L739">
            <v>-20</v>
          </cell>
        </row>
        <row r="740">
          <cell r="J740">
            <v>24.631</v>
          </cell>
          <cell r="K740">
            <v>-4.49999999999999</v>
          </cell>
          <cell r="L740">
            <v>-20</v>
          </cell>
        </row>
        <row r="741">
          <cell r="J741">
            <v>24.664</v>
          </cell>
          <cell r="K741">
            <v>-2.89999999999999</v>
          </cell>
          <cell r="L741">
            <v>-20</v>
          </cell>
        </row>
        <row r="742">
          <cell r="J742">
            <v>24.698</v>
          </cell>
          <cell r="K742">
            <v>-0.899999999999998</v>
          </cell>
          <cell r="L742">
            <v>-20</v>
          </cell>
        </row>
        <row r="743">
          <cell r="J743">
            <v>24.731</v>
          </cell>
          <cell r="K743">
            <v>0.700000000000006</v>
          </cell>
          <cell r="L743">
            <v>-20</v>
          </cell>
        </row>
        <row r="744">
          <cell r="J744">
            <v>24.764</v>
          </cell>
          <cell r="K744">
            <v>2.10000000000002</v>
          </cell>
          <cell r="L744">
            <v>-20</v>
          </cell>
        </row>
        <row r="745">
          <cell r="J745">
            <v>24.798</v>
          </cell>
          <cell r="K745">
            <v>5</v>
          </cell>
          <cell r="L745">
            <v>-20</v>
          </cell>
        </row>
        <row r="746">
          <cell r="J746">
            <v>24.831</v>
          </cell>
          <cell r="K746">
            <v>7.10000000000002</v>
          </cell>
          <cell r="L746">
            <v>-20</v>
          </cell>
        </row>
        <row r="747">
          <cell r="J747">
            <v>24.865</v>
          </cell>
          <cell r="K747">
            <v>8.6</v>
          </cell>
          <cell r="L747">
            <v>-20</v>
          </cell>
        </row>
        <row r="748">
          <cell r="J748">
            <v>24.898</v>
          </cell>
          <cell r="K748">
            <v>10.4</v>
          </cell>
          <cell r="L748">
            <v>-20</v>
          </cell>
        </row>
        <row r="749">
          <cell r="J749">
            <v>24.932</v>
          </cell>
          <cell r="K749">
            <v>11.7</v>
          </cell>
          <cell r="L749">
            <v>-20</v>
          </cell>
        </row>
        <row r="750">
          <cell r="J750">
            <v>24.965</v>
          </cell>
          <cell r="K750">
            <v>13.6</v>
          </cell>
          <cell r="L750">
            <v>-20</v>
          </cell>
        </row>
        <row r="751">
          <cell r="J751">
            <v>24.998</v>
          </cell>
          <cell r="K751">
            <v>15.7</v>
          </cell>
          <cell r="L751">
            <v>-20</v>
          </cell>
        </row>
        <row r="752">
          <cell r="J752">
            <v>25.032</v>
          </cell>
          <cell r="K752">
            <v>16.9</v>
          </cell>
          <cell r="L752">
            <v>-20</v>
          </cell>
        </row>
        <row r="753">
          <cell r="J753">
            <v>25.065</v>
          </cell>
          <cell r="K753">
            <v>18.5</v>
          </cell>
          <cell r="L753">
            <v>-20</v>
          </cell>
        </row>
        <row r="754">
          <cell r="J754">
            <v>25.099</v>
          </cell>
          <cell r="K754">
            <v>19.4</v>
          </cell>
          <cell r="L754">
            <v>-20</v>
          </cell>
        </row>
        <row r="755">
          <cell r="J755">
            <v>25.132</v>
          </cell>
          <cell r="K755">
            <v>20.1</v>
          </cell>
          <cell r="L755">
            <v>-20</v>
          </cell>
        </row>
        <row r="756">
          <cell r="J756">
            <v>25.165</v>
          </cell>
          <cell r="K756">
            <v>21</v>
          </cell>
          <cell r="L756">
            <v>-20</v>
          </cell>
        </row>
        <row r="757">
          <cell r="J757">
            <v>25.199</v>
          </cell>
          <cell r="K757">
            <v>21.4</v>
          </cell>
          <cell r="L757">
            <v>-20</v>
          </cell>
        </row>
        <row r="758">
          <cell r="J758">
            <v>25.232</v>
          </cell>
          <cell r="K758">
            <v>21.6</v>
          </cell>
          <cell r="L758">
            <v>-20</v>
          </cell>
        </row>
        <row r="759">
          <cell r="J759">
            <v>25.266</v>
          </cell>
          <cell r="K759">
            <v>21.5</v>
          </cell>
          <cell r="L759">
            <v>-20</v>
          </cell>
        </row>
        <row r="760">
          <cell r="J760">
            <v>25.299</v>
          </cell>
          <cell r="K760">
            <v>21.3</v>
          </cell>
          <cell r="L760">
            <v>-20</v>
          </cell>
        </row>
        <row r="761">
          <cell r="J761">
            <v>25.333</v>
          </cell>
          <cell r="K761">
            <v>21.1</v>
          </cell>
          <cell r="L761">
            <v>-20</v>
          </cell>
        </row>
        <row r="762">
          <cell r="J762">
            <v>25.366</v>
          </cell>
          <cell r="K762">
            <v>20.7</v>
          </cell>
          <cell r="L762">
            <v>-20</v>
          </cell>
        </row>
        <row r="763">
          <cell r="J763">
            <v>25.399</v>
          </cell>
          <cell r="K763">
            <v>20.2</v>
          </cell>
          <cell r="L763">
            <v>-20</v>
          </cell>
        </row>
        <row r="764">
          <cell r="J764">
            <v>25.433</v>
          </cell>
          <cell r="K764">
            <v>19.3</v>
          </cell>
          <cell r="L764">
            <v>-20</v>
          </cell>
        </row>
        <row r="765">
          <cell r="J765">
            <v>25.466</v>
          </cell>
          <cell r="K765">
            <v>17.6</v>
          </cell>
          <cell r="L765">
            <v>-20</v>
          </cell>
        </row>
        <row r="766">
          <cell r="J766">
            <v>25.5</v>
          </cell>
          <cell r="K766">
            <v>16.6</v>
          </cell>
          <cell r="L766">
            <v>-20</v>
          </cell>
        </row>
        <row r="767">
          <cell r="J767">
            <v>25.533</v>
          </cell>
          <cell r="K767">
            <v>14.9</v>
          </cell>
          <cell r="L767">
            <v>-20</v>
          </cell>
        </row>
        <row r="768">
          <cell r="J768">
            <v>25.566</v>
          </cell>
          <cell r="K768">
            <v>13.4</v>
          </cell>
          <cell r="L768">
            <v>-20</v>
          </cell>
        </row>
        <row r="769">
          <cell r="J769">
            <v>25.6</v>
          </cell>
          <cell r="K769">
            <v>11</v>
          </cell>
          <cell r="L769">
            <v>-20</v>
          </cell>
        </row>
        <row r="770">
          <cell r="J770">
            <v>25.633</v>
          </cell>
          <cell r="K770">
            <v>9.49999999999999</v>
          </cell>
          <cell r="L770">
            <v>-20</v>
          </cell>
        </row>
        <row r="771">
          <cell r="J771">
            <v>25.667</v>
          </cell>
          <cell r="K771">
            <v>7.60000000000004</v>
          </cell>
          <cell r="L771">
            <v>-20</v>
          </cell>
        </row>
        <row r="772">
          <cell r="J772">
            <v>25.7</v>
          </cell>
          <cell r="K772">
            <v>6.20000000000003</v>
          </cell>
          <cell r="L772">
            <v>-20</v>
          </cell>
        </row>
        <row r="773">
          <cell r="J773">
            <v>25.734</v>
          </cell>
          <cell r="K773">
            <v>4.20000000000004</v>
          </cell>
          <cell r="L773">
            <v>-20</v>
          </cell>
        </row>
        <row r="774">
          <cell r="J774">
            <v>25.767</v>
          </cell>
          <cell r="K774">
            <v>1.70000000000003</v>
          </cell>
          <cell r="L774">
            <v>-20</v>
          </cell>
        </row>
        <row r="775">
          <cell r="J775">
            <v>25.8</v>
          </cell>
          <cell r="K775">
            <v>0.700000000000006</v>
          </cell>
          <cell r="L775">
            <v>-20</v>
          </cell>
        </row>
        <row r="776">
          <cell r="J776">
            <v>25.834</v>
          </cell>
          <cell r="K776">
            <v>-1.49999999999997</v>
          </cell>
          <cell r="L776">
            <v>-20</v>
          </cell>
        </row>
        <row r="777">
          <cell r="J777">
            <v>25.867</v>
          </cell>
          <cell r="K777">
            <v>-3.20000000000001</v>
          </cell>
          <cell r="L777">
            <v>-20</v>
          </cell>
        </row>
        <row r="778">
          <cell r="J778">
            <v>25.901</v>
          </cell>
          <cell r="K778">
            <v>-4.60000000000002</v>
          </cell>
          <cell r="L778">
            <v>-20</v>
          </cell>
        </row>
        <row r="779">
          <cell r="J779">
            <v>25.934</v>
          </cell>
          <cell r="K779">
            <v>-6.09999999999999</v>
          </cell>
          <cell r="L779">
            <v>-20</v>
          </cell>
        </row>
        <row r="780">
          <cell r="J780">
            <v>25.968</v>
          </cell>
          <cell r="K780">
            <v>-7.30000000000001</v>
          </cell>
          <cell r="L780">
            <v>-20</v>
          </cell>
        </row>
        <row r="781">
          <cell r="J781">
            <v>26.001</v>
          </cell>
          <cell r="K781">
            <v>-7.89999999999999</v>
          </cell>
          <cell r="L781">
            <v>-20</v>
          </cell>
        </row>
        <row r="782">
          <cell r="J782">
            <v>26.034</v>
          </cell>
          <cell r="K782">
            <v>-8.90000000000002</v>
          </cell>
          <cell r="L782">
            <v>-20</v>
          </cell>
        </row>
        <row r="783">
          <cell r="J783">
            <v>26.068</v>
          </cell>
          <cell r="K783">
            <v>-9.60000000000002</v>
          </cell>
          <cell r="L783">
            <v>-20</v>
          </cell>
        </row>
        <row r="784">
          <cell r="J784">
            <v>26.101</v>
          </cell>
          <cell r="K784">
            <v>-9.60000000000002</v>
          </cell>
          <cell r="L784">
            <v>-20</v>
          </cell>
        </row>
        <row r="785">
          <cell r="J785">
            <v>26.135</v>
          </cell>
          <cell r="K785">
            <v>-9.69999999999999</v>
          </cell>
          <cell r="L785">
            <v>-20</v>
          </cell>
        </row>
        <row r="786">
          <cell r="J786">
            <v>26.168</v>
          </cell>
          <cell r="K786">
            <v>-9.49999999999999</v>
          </cell>
          <cell r="L786">
            <v>-20</v>
          </cell>
        </row>
        <row r="787">
          <cell r="J787">
            <v>26.201</v>
          </cell>
          <cell r="K787">
            <v>-9.10000000000001</v>
          </cell>
          <cell r="L787">
            <v>-20</v>
          </cell>
        </row>
        <row r="788">
          <cell r="J788">
            <v>26.235</v>
          </cell>
          <cell r="K788">
            <v>-8.79999999999999</v>
          </cell>
          <cell r="L788">
            <v>-20</v>
          </cell>
        </row>
        <row r="789">
          <cell r="J789">
            <v>26.268</v>
          </cell>
          <cell r="K789">
            <v>-8.4</v>
          </cell>
          <cell r="L789">
            <v>-20</v>
          </cell>
        </row>
        <row r="790">
          <cell r="J790">
            <v>26.302</v>
          </cell>
          <cell r="K790">
            <v>-7.89999999999999</v>
          </cell>
          <cell r="L790">
            <v>-20</v>
          </cell>
        </row>
        <row r="791">
          <cell r="J791">
            <v>26.335</v>
          </cell>
          <cell r="K791">
            <v>-6.99999999999999</v>
          </cell>
          <cell r="L791">
            <v>-20</v>
          </cell>
        </row>
        <row r="792">
          <cell r="J792">
            <v>26.369</v>
          </cell>
          <cell r="K792">
            <v>-5.79999999999997</v>
          </cell>
          <cell r="L792">
            <v>-20</v>
          </cell>
        </row>
        <row r="793">
          <cell r="J793">
            <v>26.402</v>
          </cell>
          <cell r="K793">
            <v>-4.39999999999996</v>
          </cell>
          <cell r="L793">
            <v>-20</v>
          </cell>
        </row>
        <row r="794">
          <cell r="J794">
            <v>26.435</v>
          </cell>
          <cell r="K794">
            <v>-2.39999999999997</v>
          </cell>
          <cell r="L794">
            <v>-20</v>
          </cell>
        </row>
        <row r="795">
          <cell r="J795">
            <v>26.469</v>
          </cell>
          <cell r="K795">
            <v>-0.700000000000006</v>
          </cell>
          <cell r="L795">
            <v>-20</v>
          </cell>
        </row>
        <row r="796">
          <cell r="J796">
            <v>26.502</v>
          </cell>
          <cell r="K796">
            <v>0.700000000000006</v>
          </cell>
          <cell r="L796">
            <v>-20</v>
          </cell>
        </row>
        <row r="797">
          <cell r="J797">
            <v>26.536</v>
          </cell>
          <cell r="K797">
            <v>2.19999999999998</v>
          </cell>
          <cell r="L797">
            <v>-20</v>
          </cell>
        </row>
        <row r="798">
          <cell r="J798">
            <v>26.569</v>
          </cell>
          <cell r="K798">
            <v>4.80000000000001</v>
          </cell>
          <cell r="L798">
            <v>-20</v>
          </cell>
        </row>
        <row r="799">
          <cell r="J799">
            <v>26.603</v>
          </cell>
          <cell r="K799">
            <v>6.90000000000003</v>
          </cell>
          <cell r="L799">
            <v>-20</v>
          </cell>
        </row>
        <row r="800">
          <cell r="J800">
            <v>26.636</v>
          </cell>
          <cell r="K800">
            <v>8.00000000000002</v>
          </cell>
          <cell r="L800">
            <v>-20</v>
          </cell>
        </row>
        <row r="801">
          <cell r="J801">
            <v>26.669</v>
          </cell>
          <cell r="K801">
            <v>9.69999999999999</v>
          </cell>
          <cell r="L801">
            <v>-20</v>
          </cell>
        </row>
        <row r="802">
          <cell r="J802">
            <v>26.703</v>
          </cell>
          <cell r="K802">
            <v>11.2</v>
          </cell>
          <cell r="L802">
            <v>-20</v>
          </cell>
        </row>
        <row r="803">
          <cell r="J803">
            <v>26.736</v>
          </cell>
          <cell r="K803">
            <v>13.1</v>
          </cell>
          <cell r="L803">
            <v>-20</v>
          </cell>
        </row>
        <row r="804">
          <cell r="J804">
            <v>26.77</v>
          </cell>
          <cell r="K804">
            <v>14.6</v>
          </cell>
          <cell r="L804">
            <v>-20</v>
          </cell>
        </row>
        <row r="805">
          <cell r="J805">
            <v>26.803</v>
          </cell>
          <cell r="K805">
            <v>16.1</v>
          </cell>
          <cell r="L805">
            <v>-20</v>
          </cell>
        </row>
        <row r="806">
          <cell r="J806">
            <v>26.836</v>
          </cell>
          <cell r="K806">
            <v>17.1</v>
          </cell>
          <cell r="L806">
            <v>-20</v>
          </cell>
        </row>
        <row r="807">
          <cell r="J807">
            <v>26.87</v>
          </cell>
          <cell r="K807">
            <v>18.6</v>
          </cell>
          <cell r="L807">
            <v>-20</v>
          </cell>
        </row>
        <row r="808">
          <cell r="J808">
            <v>26.903</v>
          </cell>
          <cell r="K808">
            <v>19.1</v>
          </cell>
          <cell r="L808">
            <v>-20</v>
          </cell>
        </row>
        <row r="809">
          <cell r="J809">
            <v>26.937</v>
          </cell>
          <cell r="K809">
            <v>19.5</v>
          </cell>
          <cell r="L809">
            <v>-20</v>
          </cell>
        </row>
        <row r="810">
          <cell r="J810">
            <v>26.97</v>
          </cell>
          <cell r="K810">
            <v>19.4</v>
          </cell>
          <cell r="L810">
            <v>-20</v>
          </cell>
        </row>
        <row r="811">
          <cell r="J811">
            <v>27.004</v>
          </cell>
          <cell r="K811">
            <v>19.4</v>
          </cell>
          <cell r="L811">
            <v>-20</v>
          </cell>
        </row>
        <row r="812">
          <cell r="J812">
            <v>27.037</v>
          </cell>
          <cell r="K812">
            <v>19.1</v>
          </cell>
          <cell r="L812">
            <v>-20</v>
          </cell>
        </row>
        <row r="813">
          <cell r="J813">
            <v>27.07</v>
          </cell>
          <cell r="K813">
            <v>18.6</v>
          </cell>
          <cell r="L813">
            <v>-20</v>
          </cell>
        </row>
        <row r="814">
          <cell r="J814">
            <v>27.104</v>
          </cell>
          <cell r="K814">
            <v>18.3</v>
          </cell>
          <cell r="L814">
            <v>-20</v>
          </cell>
        </row>
        <row r="815">
          <cell r="J815">
            <v>27.137</v>
          </cell>
          <cell r="K815">
            <v>17.9</v>
          </cell>
          <cell r="L815">
            <v>-20</v>
          </cell>
        </row>
        <row r="816">
          <cell r="J816">
            <v>27.171</v>
          </cell>
          <cell r="K816">
            <v>17.3</v>
          </cell>
          <cell r="L816">
            <v>-20</v>
          </cell>
        </row>
        <row r="817">
          <cell r="J817">
            <v>27.204</v>
          </cell>
          <cell r="K817">
            <v>16.6</v>
          </cell>
          <cell r="L817">
            <v>-20</v>
          </cell>
        </row>
        <row r="818">
          <cell r="J818">
            <v>27.238</v>
          </cell>
          <cell r="K818">
            <v>15.7</v>
          </cell>
          <cell r="L818">
            <v>-20</v>
          </cell>
        </row>
        <row r="819">
          <cell r="J819">
            <v>27.271</v>
          </cell>
          <cell r="K819">
            <v>14.1</v>
          </cell>
          <cell r="L819">
            <v>-20</v>
          </cell>
        </row>
        <row r="820">
          <cell r="J820">
            <v>27.304</v>
          </cell>
          <cell r="K820">
            <v>13</v>
          </cell>
          <cell r="L820">
            <v>-20</v>
          </cell>
        </row>
        <row r="821">
          <cell r="J821">
            <v>27.338</v>
          </cell>
          <cell r="K821">
            <v>11.1</v>
          </cell>
          <cell r="L821">
            <v>-20</v>
          </cell>
        </row>
        <row r="822">
          <cell r="J822">
            <v>27.371</v>
          </cell>
          <cell r="K822">
            <v>9.49999999999999</v>
          </cell>
          <cell r="L822">
            <v>-20</v>
          </cell>
        </row>
        <row r="823">
          <cell r="J823">
            <v>27.405</v>
          </cell>
          <cell r="K823">
            <v>7.80000000000003</v>
          </cell>
          <cell r="L823">
            <v>-20</v>
          </cell>
        </row>
        <row r="824">
          <cell r="J824">
            <v>27.438</v>
          </cell>
          <cell r="K824">
            <v>6.70000000000004</v>
          </cell>
          <cell r="L824">
            <v>-20</v>
          </cell>
        </row>
        <row r="825">
          <cell r="J825">
            <v>27.471</v>
          </cell>
          <cell r="K825">
            <v>4.80000000000001</v>
          </cell>
          <cell r="L825">
            <v>-20</v>
          </cell>
        </row>
        <row r="826">
          <cell r="J826">
            <v>27.505</v>
          </cell>
          <cell r="K826">
            <v>3.30000000000004</v>
          </cell>
          <cell r="L826">
            <v>-20</v>
          </cell>
        </row>
        <row r="827">
          <cell r="J827">
            <v>27.538</v>
          </cell>
          <cell r="K827">
            <v>1.00000000000003</v>
          </cell>
          <cell r="L827">
            <v>-20</v>
          </cell>
        </row>
        <row r="828">
          <cell r="J828">
            <v>27.572</v>
          </cell>
          <cell r="K828">
            <v>-0.599999999999976</v>
          </cell>
          <cell r="L828">
            <v>-20</v>
          </cell>
        </row>
        <row r="829">
          <cell r="J829">
            <v>27.605</v>
          </cell>
          <cell r="K829">
            <v>-1.40000000000001</v>
          </cell>
          <cell r="L829">
            <v>-20</v>
          </cell>
        </row>
        <row r="830">
          <cell r="J830">
            <v>27.639</v>
          </cell>
          <cell r="K830">
            <v>-2.69999999999999</v>
          </cell>
          <cell r="L830">
            <v>-20</v>
          </cell>
        </row>
        <row r="831">
          <cell r="J831">
            <v>27.672</v>
          </cell>
          <cell r="K831">
            <v>-4.3</v>
          </cell>
          <cell r="L831">
            <v>-20</v>
          </cell>
        </row>
        <row r="832">
          <cell r="J832">
            <v>27.705</v>
          </cell>
          <cell r="K832">
            <v>-4.80000000000001</v>
          </cell>
          <cell r="L832">
            <v>-20</v>
          </cell>
        </row>
        <row r="833">
          <cell r="J833">
            <v>27.739</v>
          </cell>
          <cell r="K833">
            <v>-6.40000000000002</v>
          </cell>
          <cell r="L833">
            <v>-20</v>
          </cell>
        </row>
        <row r="834">
          <cell r="J834">
            <v>27.772</v>
          </cell>
          <cell r="K834">
            <v>-7.10000000000002</v>
          </cell>
          <cell r="L834">
            <v>-20</v>
          </cell>
        </row>
        <row r="835">
          <cell r="J835">
            <v>27.806</v>
          </cell>
          <cell r="K835">
            <v>-7.39999999999998</v>
          </cell>
          <cell r="L835">
            <v>-20</v>
          </cell>
        </row>
        <row r="836">
          <cell r="J836">
            <v>27.839</v>
          </cell>
          <cell r="K836">
            <v>-7.39999999999998</v>
          </cell>
          <cell r="L836">
            <v>-20</v>
          </cell>
        </row>
        <row r="837">
          <cell r="J837">
            <v>27.872</v>
          </cell>
          <cell r="K837">
            <v>-7.50000000000001</v>
          </cell>
          <cell r="L837">
            <v>-20</v>
          </cell>
        </row>
        <row r="838">
          <cell r="J838">
            <v>27.906</v>
          </cell>
          <cell r="K838">
            <v>-7.10000000000002</v>
          </cell>
          <cell r="L838">
            <v>-20</v>
          </cell>
        </row>
        <row r="839">
          <cell r="J839">
            <v>27.939</v>
          </cell>
          <cell r="K839">
            <v>-6.99999999999999</v>
          </cell>
          <cell r="L839">
            <v>-20</v>
          </cell>
        </row>
        <row r="840">
          <cell r="J840">
            <v>27.973</v>
          </cell>
          <cell r="K840">
            <v>-6.69999999999997</v>
          </cell>
          <cell r="L840">
            <v>-20</v>
          </cell>
        </row>
        <row r="841">
          <cell r="J841">
            <v>28.006</v>
          </cell>
          <cell r="K841">
            <v>-6.20000000000003</v>
          </cell>
          <cell r="L841">
            <v>-20</v>
          </cell>
        </row>
        <row r="842">
          <cell r="J842">
            <v>28.04</v>
          </cell>
          <cell r="K842">
            <v>-5.70000000000001</v>
          </cell>
          <cell r="L842">
            <v>-20</v>
          </cell>
        </row>
        <row r="843">
          <cell r="J843">
            <v>28.073</v>
          </cell>
          <cell r="K843">
            <v>-5.39999999999999</v>
          </cell>
          <cell r="L843">
            <v>-20</v>
          </cell>
        </row>
        <row r="844">
          <cell r="J844">
            <v>28.106</v>
          </cell>
          <cell r="K844">
            <v>-4.89999999999997</v>
          </cell>
          <cell r="L844">
            <v>-20</v>
          </cell>
        </row>
        <row r="845">
          <cell r="J845">
            <v>28.14</v>
          </cell>
          <cell r="K845">
            <v>-4.10000000000001</v>
          </cell>
          <cell r="L845">
            <v>-20</v>
          </cell>
        </row>
        <row r="846">
          <cell r="J846">
            <v>28.173</v>
          </cell>
          <cell r="K846">
            <v>-2.30000000000001</v>
          </cell>
          <cell r="L846">
            <v>-20</v>
          </cell>
        </row>
        <row r="847">
          <cell r="J847">
            <v>28.207</v>
          </cell>
          <cell r="K847">
            <v>-0.899999999999998</v>
          </cell>
          <cell r="L847">
            <v>-20</v>
          </cell>
        </row>
        <row r="848">
          <cell r="J848">
            <v>28.24</v>
          </cell>
          <cell r="K848">
            <v>0.700000000000006</v>
          </cell>
          <cell r="L848">
            <v>-20</v>
          </cell>
        </row>
        <row r="849">
          <cell r="J849">
            <v>28.274</v>
          </cell>
          <cell r="K849">
            <v>1.40000000000001</v>
          </cell>
          <cell r="L849">
            <v>-20</v>
          </cell>
        </row>
        <row r="850">
          <cell r="J850">
            <v>28.307</v>
          </cell>
          <cell r="K850">
            <v>2.60000000000003</v>
          </cell>
          <cell r="L850">
            <v>-20</v>
          </cell>
        </row>
        <row r="851">
          <cell r="J851">
            <v>28.34</v>
          </cell>
          <cell r="K851">
            <v>5</v>
          </cell>
          <cell r="L851">
            <v>-20</v>
          </cell>
        </row>
        <row r="852">
          <cell r="J852">
            <v>28.374</v>
          </cell>
          <cell r="K852">
            <v>6.8</v>
          </cell>
          <cell r="L852">
            <v>-20</v>
          </cell>
        </row>
        <row r="853">
          <cell r="J853">
            <v>28.407</v>
          </cell>
          <cell r="K853">
            <v>7.89999999999999</v>
          </cell>
          <cell r="L853">
            <v>-20</v>
          </cell>
        </row>
        <row r="854">
          <cell r="J854">
            <v>28.441</v>
          </cell>
          <cell r="K854">
            <v>9.89999999999998</v>
          </cell>
          <cell r="L854">
            <v>-20</v>
          </cell>
        </row>
        <row r="855">
          <cell r="J855">
            <v>28.474</v>
          </cell>
          <cell r="K855">
            <v>11.5</v>
          </cell>
          <cell r="L855">
            <v>-20</v>
          </cell>
        </row>
        <row r="856">
          <cell r="J856">
            <v>28.507</v>
          </cell>
          <cell r="K856">
            <v>13.1</v>
          </cell>
          <cell r="L856">
            <v>-20</v>
          </cell>
        </row>
        <row r="857">
          <cell r="J857">
            <v>28.541</v>
          </cell>
          <cell r="K857">
            <v>14.3</v>
          </cell>
          <cell r="L857">
            <v>-20</v>
          </cell>
        </row>
        <row r="858">
          <cell r="J858">
            <v>28.574</v>
          </cell>
          <cell r="K858">
            <v>15.9</v>
          </cell>
          <cell r="L858">
            <v>-20</v>
          </cell>
        </row>
        <row r="859">
          <cell r="J859">
            <v>28.608</v>
          </cell>
          <cell r="K859">
            <v>17</v>
          </cell>
          <cell r="L859">
            <v>-20</v>
          </cell>
        </row>
        <row r="860">
          <cell r="J860">
            <v>28.641</v>
          </cell>
          <cell r="K860">
            <v>18.2</v>
          </cell>
          <cell r="L860">
            <v>-20</v>
          </cell>
        </row>
        <row r="861">
          <cell r="J861">
            <v>28.675</v>
          </cell>
          <cell r="K861">
            <v>18.8</v>
          </cell>
          <cell r="L861">
            <v>-20</v>
          </cell>
        </row>
        <row r="862">
          <cell r="J862">
            <v>28.708</v>
          </cell>
          <cell r="K862">
            <v>19</v>
          </cell>
          <cell r="L862">
            <v>-20</v>
          </cell>
        </row>
        <row r="863">
          <cell r="J863">
            <v>28.741</v>
          </cell>
          <cell r="K863">
            <v>19.2</v>
          </cell>
          <cell r="L863">
            <v>-20</v>
          </cell>
        </row>
        <row r="864">
          <cell r="J864">
            <v>28.775</v>
          </cell>
          <cell r="K864">
            <v>19</v>
          </cell>
          <cell r="L864">
            <v>-20</v>
          </cell>
        </row>
        <row r="865">
          <cell r="J865">
            <v>28.808</v>
          </cell>
          <cell r="K865">
            <v>19.1</v>
          </cell>
          <cell r="L865">
            <v>-20</v>
          </cell>
        </row>
        <row r="866">
          <cell r="J866">
            <v>28.842</v>
          </cell>
          <cell r="K866">
            <v>18.6</v>
          </cell>
          <cell r="L866">
            <v>-20</v>
          </cell>
        </row>
        <row r="867">
          <cell r="J867">
            <v>28.875</v>
          </cell>
          <cell r="K867">
            <v>18.2</v>
          </cell>
          <cell r="L867">
            <v>-20</v>
          </cell>
        </row>
        <row r="868">
          <cell r="J868">
            <v>28.909</v>
          </cell>
          <cell r="K868">
            <v>17.8</v>
          </cell>
          <cell r="L868">
            <v>-20</v>
          </cell>
        </row>
        <row r="869">
          <cell r="J869">
            <v>28.942</v>
          </cell>
          <cell r="K869">
            <v>17.4</v>
          </cell>
          <cell r="L869">
            <v>-20</v>
          </cell>
        </row>
        <row r="870">
          <cell r="J870">
            <v>28.975</v>
          </cell>
          <cell r="K870">
            <v>17</v>
          </cell>
          <cell r="L870">
            <v>-20</v>
          </cell>
        </row>
        <row r="871">
          <cell r="J871">
            <v>29.009</v>
          </cell>
          <cell r="K871">
            <v>16.3</v>
          </cell>
          <cell r="L871">
            <v>-20</v>
          </cell>
        </row>
        <row r="872">
          <cell r="J872">
            <v>29.042</v>
          </cell>
          <cell r="K872">
            <v>14.6</v>
          </cell>
          <cell r="L872">
            <v>-20</v>
          </cell>
        </row>
        <row r="873">
          <cell r="J873">
            <v>29.076</v>
          </cell>
          <cell r="K873">
            <v>13.1</v>
          </cell>
          <cell r="L873">
            <v>-20</v>
          </cell>
        </row>
        <row r="874">
          <cell r="J874">
            <v>29.109</v>
          </cell>
          <cell r="K874">
            <v>11.2</v>
          </cell>
          <cell r="L874">
            <v>-20</v>
          </cell>
        </row>
        <row r="875">
          <cell r="J875">
            <v>29.142</v>
          </cell>
          <cell r="K875">
            <v>9.80000000000002</v>
          </cell>
          <cell r="L875">
            <v>-20</v>
          </cell>
        </row>
        <row r="876">
          <cell r="J876">
            <v>29.176</v>
          </cell>
          <cell r="K876">
            <v>8.00000000000002</v>
          </cell>
          <cell r="L876">
            <v>-20</v>
          </cell>
        </row>
        <row r="877">
          <cell r="J877">
            <v>29.209</v>
          </cell>
          <cell r="K877">
            <v>6.8</v>
          </cell>
          <cell r="L877">
            <v>-20</v>
          </cell>
        </row>
        <row r="878">
          <cell r="J878">
            <v>29.243</v>
          </cell>
          <cell r="K878">
            <v>5</v>
          </cell>
          <cell r="L878">
            <v>-20</v>
          </cell>
        </row>
        <row r="879">
          <cell r="J879">
            <v>29.276</v>
          </cell>
          <cell r="K879">
            <v>3.20000000000001</v>
          </cell>
          <cell r="L879">
            <v>-20</v>
          </cell>
        </row>
        <row r="880">
          <cell r="J880">
            <v>29.31</v>
          </cell>
          <cell r="K880">
            <v>1.09999999999999</v>
          </cell>
          <cell r="L880">
            <v>-20</v>
          </cell>
        </row>
        <row r="881">
          <cell r="J881">
            <v>29.343</v>
          </cell>
          <cell r="K881">
            <v>-0.0999999999999612</v>
          </cell>
          <cell r="L881">
            <v>-20</v>
          </cell>
        </row>
        <row r="882">
          <cell r="J882">
            <v>29.376</v>
          </cell>
          <cell r="K882">
            <v>-1.20000000000002</v>
          </cell>
          <cell r="L882">
            <v>-20</v>
          </cell>
        </row>
        <row r="883">
          <cell r="J883">
            <v>29.41</v>
          </cell>
          <cell r="K883">
            <v>-2.59999999999996</v>
          </cell>
          <cell r="L883">
            <v>-20</v>
          </cell>
        </row>
        <row r="884">
          <cell r="J884">
            <v>29.443</v>
          </cell>
          <cell r="K884">
            <v>-4.39999999999996</v>
          </cell>
          <cell r="L884">
            <v>-20</v>
          </cell>
        </row>
        <row r="885">
          <cell r="J885">
            <v>29.477</v>
          </cell>
          <cell r="K885">
            <v>-4.80000000000001</v>
          </cell>
          <cell r="L885">
            <v>-20</v>
          </cell>
        </row>
        <row r="886">
          <cell r="J886">
            <v>29.51</v>
          </cell>
          <cell r="K886">
            <v>-6.29999999999999</v>
          </cell>
          <cell r="L886">
            <v>-20</v>
          </cell>
        </row>
        <row r="887">
          <cell r="J887">
            <v>29.544</v>
          </cell>
          <cell r="K887">
            <v>-7.30000000000001</v>
          </cell>
          <cell r="L887">
            <v>-20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ExternalData_2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1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12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2" connectionId="3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1" connectionId="13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2" connectionId="4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1" connectionId="14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2" connectionId="5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1" connectionId="15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xternalData_2" connectionId="6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ExternalData_1" connectionId="16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ExternalData_2" connectionId="7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ExternalData_1" connectionId="17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ExternalData_2" connectionId="8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ExternalData_1" connectionId="18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ExternalData_2" connectionId="9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ExternalData_1" connectionId="19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ExternalData_2" connectionId="10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ExternalData_1" connectionId="20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0.xml"/><Relationship Id="rId2" Type="http://schemas.openxmlformats.org/officeDocument/2006/relationships/queryTable" Target="../queryTables/query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2.xml"/><Relationship Id="rId2" Type="http://schemas.openxmlformats.org/officeDocument/2006/relationships/queryTable" Target="../queryTables/queryTable1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4.xml"/><Relationship Id="rId2" Type="http://schemas.openxmlformats.org/officeDocument/2006/relationships/queryTable" Target="../queryTables/queryTable1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6.xml"/><Relationship Id="rId2" Type="http://schemas.openxmlformats.org/officeDocument/2006/relationships/queryTable" Target="../queryTables/queryTable1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8.xml"/><Relationship Id="rId2" Type="http://schemas.openxmlformats.org/officeDocument/2006/relationships/queryTable" Target="../queryTables/queryTable1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0.xml"/><Relationship Id="rId2" Type="http://schemas.openxmlformats.org/officeDocument/2006/relationships/queryTable" Target="../queryTables/queryTable19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8"/>
  <sheetViews>
    <sheetView topLeftCell="A4" workbookViewId="0">
      <selection activeCell="L4" sqref="L4:L934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4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0.033</v>
      </c>
      <c r="B3" s="10" t="s">
        <v>9</v>
      </c>
      <c r="C3" s="4">
        <v>0</v>
      </c>
      <c r="D3" s="5">
        <v>47.7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0.067</v>
      </c>
      <c r="B4" s="10" t="s">
        <v>10</v>
      </c>
      <c r="C4" s="4">
        <v>0.033</v>
      </c>
      <c r="D4" s="5">
        <v>47.1</v>
      </c>
      <c r="E4" s="4"/>
      <c r="F4" s="4"/>
      <c r="G4" s="2">
        <f t="shared" ref="G4:G67" si="0">A3</f>
        <v>0.033</v>
      </c>
      <c r="H4" s="11" t="str">
        <f t="shared" ref="H4:H67" si="1">B3</f>
        <v>3.433E-2</v>
      </c>
      <c r="I4" s="2">
        <f t="shared" ref="I4:I67" si="2">D3</f>
        <v>47.7</v>
      </c>
      <c r="J4" s="4">
        <f t="shared" ref="J4:J67" si="3">G4</f>
        <v>0.033</v>
      </c>
      <c r="K4" s="9">
        <f t="shared" ref="K4:K67" si="4">(H4-$H$4)*10000</f>
        <v>0</v>
      </c>
      <c r="L4" s="1">
        <f>IF(I4&lt;230,-5,23)</f>
        <v>-5</v>
      </c>
    </row>
    <row r="5" s="1" customFormat="1" spans="1:12">
      <c r="A5" s="2">
        <v>0.1</v>
      </c>
      <c r="B5" s="10" t="s">
        <v>10</v>
      </c>
      <c r="C5" s="4">
        <v>0.067</v>
      </c>
      <c r="D5" s="5">
        <v>47.1</v>
      </c>
      <c r="E5" s="4"/>
      <c r="F5" s="4"/>
      <c r="G5" s="2">
        <f t="shared" si="0"/>
        <v>0.067</v>
      </c>
      <c r="H5" s="11" t="str">
        <f t="shared" si="1"/>
        <v>3.434E-2</v>
      </c>
      <c r="I5" s="2">
        <f t="shared" si="2"/>
        <v>47.1</v>
      </c>
      <c r="J5" s="4">
        <f t="shared" si="3"/>
        <v>0.067</v>
      </c>
      <c r="K5" s="9">
        <f t="shared" si="4"/>
        <v>0.100000000000031</v>
      </c>
      <c r="L5" s="1">
        <f t="shared" ref="L5:L68" si="5">IF(I5&lt;230,-5,23)</f>
        <v>-5</v>
      </c>
    </row>
    <row r="6" s="1" customFormat="1" spans="1:12">
      <c r="A6" s="2">
        <v>0.134</v>
      </c>
      <c r="B6" s="10" t="s">
        <v>9</v>
      </c>
      <c r="C6" s="4">
        <v>0.1</v>
      </c>
      <c r="D6" s="5">
        <v>47.8</v>
      </c>
      <c r="E6" s="4"/>
      <c r="F6" s="4"/>
      <c r="G6" s="2">
        <f t="shared" si="0"/>
        <v>0.1</v>
      </c>
      <c r="H6" s="11" t="str">
        <f t="shared" si="1"/>
        <v>3.434E-2</v>
      </c>
      <c r="I6" s="2">
        <f t="shared" si="2"/>
        <v>47.1</v>
      </c>
      <c r="J6" s="4">
        <f t="shared" si="3"/>
        <v>0.1</v>
      </c>
      <c r="K6" s="9">
        <f t="shared" si="4"/>
        <v>0.100000000000031</v>
      </c>
      <c r="L6" s="1">
        <f t="shared" si="5"/>
        <v>-5</v>
      </c>
    </row>
    <row r="7" s="1" customFormat="1" spans="1:12">
      <c r="A7" s="2">
        <v>0.167</v>
      </c>
      <c r="B7" s="10" t="s">
        <v>9</v>
      </c>
      <c r="C7" s="4">
        <v>0.134</v>
      </c>
      <c r="D7" s="5">
        <v>47.6</v>
      </c>
      <c r="E7" s="4"/>
      <c r="F7" s="4"/>
      <c r="G7" s="2">
        <f t="shared" si="0"/>
        <v>0.134</v>
      </c>
      <c r="H7" s="11" t="str">
        <f t="shared" si="1"/>
        <v>3.433E-2</v>
      </c>
      <c r="I7" s="2">
        <f t="shared" si="2"/>
        <v>47.8</v>
      </c>
      <c r="J7" s="4">
        <f t="shared" si="3"/>
        <v>0.134</v>
      </c>
      <c r="K7" s="9">
        <f t="shared" si="4"/>
        <v>0</v>
      </c>
      <c r="L7" s="1">
        <f t="shared" si="5"/>
        <v>-5</v>
      </c>
    </row>
    <row r="8" s="1" customFormat="1" spans="1:12">
      <c r="A8" s="2">
        <v>0.201</v>
      </c>
      <c r="B8" s="10" t="s">
        <v>9</v>
      </c>
      <c r="C8" s="4">
        <v>0.167</v>
      </c>
      <c r="D8" s="5">
        <v>47.3</v>
      </c>
      <c r="E8" s="4"/>
      <c r="F8" s="4"/>
      <c r="G8" s="2">
        <f t="shared" si="0"/>
        <v>0.167</v>
      </c>
      <c r="H8" s="11" t="str">
        <f t="shared" si="1"/>
        <v>3.433E-2</v>
      </c>
      <c r="I8" s="2">
        <f t="shared" si="2"/>
        <v>47.6</v>
      </c>
      <c r="J8" s="4">
        <f t="shared" si="3"/>
        <v>0.167</v>
      </c>
      <c r="K8" s="9">
        <f t="shared" si="4"/>
        <v>0</v>
      </c>
      <c r="L8" s="1">
        <f t="shared" si="5"/>
        <v>-5</v>
      </c>
    </row>
    <row r="9" s="1" customFormat="1" spans="1:12">
      <c r="A9" s="2">
        <v>0.234</v>
      </c>
      <c r="B9" s="10" t="s">
        <v>9</v>
      </c>
      <c r="C9" s="4">
        <v>0.201</v>
      </c>
      <c r="D9" s="5">
        <v>47.6</v>
      </c>
      <c r="E9" s="4"/>
      <c r="F9" s="4"/>
      <c r="G9" s="2">
        <f t="shared" si="0"/>
        <v>0.201</v>
      </c>
      <c r="H9" s="11" t="str">
        <f t="shared" si="1"/>
        <v>3.433E-2</v>
      </c>
      <c r="I9" s="2">
        <f t="shared" si="2"/>
        <v>47.3</v>
      </c>
      <c r="J9" s="4">
        <f t="shared" si="3"/>
        <v>0.201</v>
      </c>
      <c r="K9" s="9">
        <f t="shared" si="4"/>
        <v>0</v>
      </c>
      <c r="L9" s="1">
        <f t="shared" si="5"/>
        <v>-5</v>
      </c>
    </row>
    <row r="10" s="1" customFormat="1" spans="1:12">
      <c r="A10" s="2">
        <v>0.267</v>
      </c>
      <c r="B10" s="10" t="s">
        <v>9</v>
      </c>
      <c r="C10" s="4">
        <v>0.234</v>
      </c>
      <c r="D10" s="5">
        <v>47.5</v>
      </c>
      <c r="E10" s="4"/>
      <c r="F10" s="4"/>
      <c r="G10" s="2">
        <f t="shared" si="0"/>
        <v>0.234</v>
      </c>
      <c r="H10" s="11" t="str">
        <f t="shared" si="1"/>
        <v>3.433E-2</v>
      </c>
      <c r="I10" s="2">
        <f t="shared" si="2"/>
        <v>47.6</v>
      </c>
      <c r="J10" s="4">
        <f t="shared" si="3"/>
        <v>0.234</v>
      </c>
      <c r="K10" s="9">
        <f t="shared" si="4"/>
        <v>0</v>
      </c>
      <c r="L10" s="1">
        <f t="shared" si="5"/>
        <v>-5</v>
      </c>
    </row>
    <row r="11" s="1" customFormat="1" spans="1:12">
      <c r="A11" s="2">
        <v>0.301</v>
      </c>
      <c r="B11" s="10" t="s">
        <v>11</v>
      </c>
      <c r="C11" s="4">
        <v>0.267</v>
      </c>
      <c r="D11" s="5">
        <v>47.1</v>
      </c>
      <c r="E11" s="4"/>
      <c r="F11" s="4"/>
      <c r="G11" s="2">
        <f t="shared" si="0"/>
        <v>0.267</v>
      </c>
      <c r="H11" s="11" t="str">
        <f t="shared" si="1"/>
        <v>3.433E-2</v>
      </c>
      <c r="I11" s="2">
        <f t="shared" si="2"/>
        <v>47.5</v>
      </c>
      <c r="J11" s="4">
        <f t="shared" si="3"/>
        <v>0.267</v>
      </c>
      <c r="K11" s="9">
        <f t="shared" si="4"/>
        <v>0</v>
      </c>
      <c r="L11" s="1">
        <f t="shared" si="5"/>
        <v>-5</v>
      </c>
    </row>
    <row r="12" s="1" customFormat="1" spans="1:12">
      <c r="A12" s="2">
        <v>0.334</v>
      </c>
      <c r="B12" s="10" t="s">
        <v>11</v>
      </c>
      <c r="C12" s="4">
        <v>0.301</v>
      </c>
      <c r="D12" s="5">
        <v>47.2</v>
      </c>
      <c r="E12" s="4"/>
      <c r="F12" s="4"/>
      <c r="G12" s="2">
        <f t="shared" si="0"/>
        <v>0.301</v>
      </c>
      <c r="H12" s="11" t="str">
        <f t="shared" si="1"/>
        <v>3.432E-2</v>
      </c>
      <c r="I12" s="2">
        <f t="shared" si="2"/>
        <v>47.1</v>
      </c>
      <c r="J12" s="4">
        <f t="shared" si="3"/>
        <v>0.301</v>
      </c>
      <c r="K12" s="9">
        <f t="shared" si="4"/>
        <v>-0.0999999999999612</v>
      </c>
      <c r="L12" s="1">
        <f t="shared" si="5"/>
        <v>-5</v>
      </c>
    </row>
    <row r="13" s="1" customFormat="1" spans="1:12">
      <c r="A13" s="2">
        <v>0.368</v>
      </c>
      <c r="B13" s="10" t="s">
        <v>11</v>
      </c>
      <c r="C13" s="4">
        <v>0.334</v>
      </c>
      <c r="D13" s="5">
        <v>47.9</v>
      </c>
      <c r="E13" s="4"/>
      <c r="F13" s="4"/>
      <c r="G13" s="2">
        <f t="shared" si="0"/>
        <v>0.334</v>
      </c>
      <c r="H13" s="11" t="str">
        <f t="shared" si="1"/>
        <v>3.432E-2</v>
      </c>
      <c r="I13" s="2">
        <f t="shared" si="2"/>
        <v>47.2</v>
      </c>
      <c r="J13" s="4">
        <f t="shared" si="3"/>
        <v>0.334</v>
      </c>
      <c r="K13" s="9">
        <f t="shared" si="4"/>
        <v>-0.0999999999999612</v>
      </c>
      <c r="L13" s="1">
        <f t="shared" si="5"/>
        <v>-5</v>
      </c>
    </row>
    <row r="14" s="1" customFormat="1" spans="1:12">
      <c r="A14" s="2">
        <v>0.401</v>
      </c>
      <c r="B14" s="10" t="s">
        <v>11</v>
      </c>
      <c r="C14" s="4">
        <v>0.368</v>
      </c>
      <c r="D14" s="5">
        <v>48.1</v>
      </c>
      <c r="E14" s="4"/>
      <c r="F14" s="4"/>
      <c r="G14" s="2">
        <f t="shared" si="0"/>
        <v>0.368</v>
      </c>
      <c r="H14" s="11" t="str">
        <f t="shared" si="1"/>
        <v>3.432E-2</v>
      </c>
      <c r="I14" s="2">
        <f t="shared" si="2"/>
        <v>47.9</v>
      </c>
      <c r="J14" s="4">
        <f t="shared" si="3"/>
        <v>0.368</v>
      </c>
      <c r="K14" s="9">
        <f t="shared" si="4"/>
        <v>-0.0999999999999612</v>
      </c>
      <c r="L14" s="1">
        <f t="shared" si="5"/>
        <v>-5</v>
      </c>
    </row>
    <row r="15" s="1" customFormat="1" spans="1:12">
      <c r="A15" s="2">
        <v>0.435</v>
      </c>
      <c r="B15" s="10" t="s">
        <v>9</v>
      </c>
      <c r="C15" s="4">
        <v>0.401</v>
      </c>
      <c r="D15" s="5">
        <v>47.4</v>
      </c>
      <c r="E15" s="4"/>
      <c r="F15" s="4"/>
      <c r="G15" s="2">
        <f t="shared" si="0"/>
        <v>0.401</v>
      </c>
      <c r="H15" s="11" t="str">
        <f t="shared" si="1"/>
        <v>3.432E-2</v>
      </c>
      <c r="I15" s="2">
        <f t="shared" si="2"/>
        <v>48.1</v>
      </c>
      <c r="J15" s="4">
        <f t="shared" si="3"/>
        <v>0.401</v>
      </c>
      <c r="K15" s="9">
        <f t="shared" si="4"/>
        <v>-0.0999999999999612</v>
      </c>
      <c r="L15" s="1">
        <f t="shared" si="5"/>
        <v>-5</v>
      </c>
    </row>
    <row r="16" s="1" customFormat="1" spans="1:12">
      <c r="A16" s="2">
        <v>0.468</v>
      </c>
      <c r="B16" s="10" t="s">
        <v>11</v>
      </c>
      <c r="C16" s="4">
        <v>0.435</v>
      </c>
      <c r="D16" s="5">
        <v>47.1</v>
      </c>
      <c r="E16" s="4"/>
      <c r="F16" s="4"/>
      <c r="G16" s="2">
        <f t="shared" si="0"/>
        <v>0.435</v>
      </c>
      <c r="H16" s="11" t="str">
        <f t="shared" si="1"/>
        <v>3.433E-2</v>
      </c>
      <c r="I16" s="2">
        <f t="shared" si="2"/>
        <v>47.4</v>
      </c>
      <c r="J16" s="4">
        <f t="shared" si="3"/>
        <v>0.435</v>
      </c>
      <c r="K16" s="9">
        <f t="shared" si="4"/>
        <v>0</v>
      </c>
      <c r="L16" s="1">
        <f t="shared" si="5"/>
        <v>-5</v>
      </c>
    </row>
    <row r="17" s="1" customFormat="1" spans="1:12">
      <c r="A17" s="2">
        <v>0.501</v>
      </c>
      <c r="B17" s="10" t="s">
        <v>11</v>
      </c>
      <c r="C17" s="4">
        <v>0.468</v>
      </c>
      <c r="D17" s="5">
        <v>47.6</v>
      </c>
      <c r="E17" s="4"/>
      <c r="F17" s="4"/>
      <c r="G17" s="2">
        <f t="shared" si="0"/>
        <v>0.468</v>
      </c>
      <c r="H17" s="11" t="str">
        <f t="shared" si="1"/>
        <v>3.432E-2</v>
      </c>
      <c r="I17" s="2">
        <f t="shared" si="2"/>
        <v>47.1</v>
      </c>
      <c r="J17" s="4">
        <f t="shared" si="3"/>
        <v>0.468</v>
      </c>
      <c r="K17" s="9">
        <f t="shared" si="4"/>
        <v>-0.0999999999999612</v>
      </c>
      <c r="L17" s="1">
        <f t="shared" si="5"/>
        <v>-5</v>
      </c>
    </row>
    <row r="18" s="1" customFormat="1" spans="1:12">
      <c r="A18" s="2">
        <v>0.535</v>
      </c>
      <c r="B18" s="10" t="s">
        <v>9</v>
      </c>
      <c r="C18" s="4">
        <v>0.501</v>
      </c>
      <c r="D18" s="5">
        <v>47.3</v>
      </c>
      <c r="E18" s="4"/>
      <c r="F18" s="4"/>
      <c r="G18" s="2">
        <f t="shared" si="0"/>
        <v>0.501</v>
      </c>
      <c r="H18" s="11" t="str">
        <f t="shared" si="1"/>
        <v>3.432E-2</v>
      </c>
      <c r="I18" s="2">
        <f t="shared" si="2"/>
        <v>47.6</v>
      </c>
      <c r="J18" s="4">
        <f t="shared" si="3"/>
        <v>0.501</v>
      </c>
      <c r="K18" s="9">
        <f t="shared" si="4"/>
        <v>-0.0999999999999612</v>
      </c>
      <c r="L18" s="1">
        <f t="shared" si="5"/>
        <v>-5</v>
      </c>
    </row>
    <row r="19" s="1" customFormat="1" spans="1:12">
      <c r="A19" s="2">
        <v>0.568</v>
      </c>
      <c r="B19" s="10" t="s">
        <v>11</v>
      </c>
      <c r="C19" s="4">
        <v>0.535</v>
      </c>
      <c r="D19" s="5">
        <v>47.8</v>
      </c>
      <c r="E19" s="4"/>
      <c r="F19" s="4"/>
      <c r="G19" s="2">
        <f t="shared" si="0"/>
        <v>0.535</v>
      </c>
      <c r="H19" s="11" t="str">
        <f t="shared" si="1"/>
        <v>3.433E-2</v>
      </c>
      <c r="I19" s="2">
        <f t="shared" si="2"/>
        <v>47.3</v>
      </c>
      <c r="J19" s="4">
        <f t="shared" si="3"/>
        <v>0.535</v>
      </c>
      <c r="K19" s="9">
        <f t="shared" si="4"/>
        <v>0</v>
      </c>
      <c r="L19" s="1">
        <f t="shared" si="5"/>
        <v>-5</v>
      </c>
    </row>
    <row r="20" s="1" customFormat="1" spans="1:12">
      <c r="A20" s="2">
        <v>0.602</v>
      </c>
      <c r="B20" s="10" t="s">
        <v>11</v>
      </c>
      <c r="C20" s="4">
        <v>0.568</v>
      </c>
      <c r="D20" s="5">
        <v>47.1</v>
      </c>
      <c r="E20" s="4"/>
      <c r="F20" s="4"/>
      <c r="G20" s="2">
        <f t="shared" si="0"/>
        <v>0.568</v>
      </c>
      <c r="H20" s="11" t="str">
        <f t="shared" si="1"/>
        <v>3.432E-2</v>
      </c>
      <c r="I20" s="2">
        <f t="shared" si="2"/>
        <v>47.8</v>
      </c>
      <c r="J20" s="4">
        <f t="shared" si="3"/>
        <v>0.568</v>
      </c>
      <c r="K20" s="9">
        <f t="shared" si="4"/>
        <v>-0.0999999999999612</v>
      </c>
      <c r="L20" s="1">
        <f t="shared" si="5"/>
        <v>-5</v>
      </c>
    </row>
    <row r="21" s="1" customFormat="1" spans="1:12">
      <c r="A21" s="2">
        <v>0.635</v>
      </c>
      <c r="B21" s="10" t="s">
        <v>9</v>
      </c>
      <c r="C21" s="4">
        <v>0.602</v>
      </c>
      <c r="D21" s="5">
        <v>47.2</v>
      </c>
      <c r="E21" s="4"/>
      <c r="F21" s="4"/>
      <c r="G21" s="2">
        <f t="shared" si="0"/>
        <v>0.602</v>
      </c>
      <c r="H21" s="11" t="str">
        <f t="shared" si="1"/>
        <v>3.432E-2</v>
      </c>
      <c r="I21" s="2">
        <f t="shared" si="2"/>
        <v>47.1</v>
      </c>
      <c r="J21" s="4">
        <f t="shared" si="3"/>
        <v>0.602</v>
      </c>
      <c r="K21" s="9">
        <f t="shared" si="4"/>
        <v>-0.0999999999999612</v>
      </c>
      <c r="L21" s="1">
        <f t="shared" si="5"/>
        <v>-5</v>
      </c>
    </row>
    <row r="22" s="1" customFormat="1" spans="1:12">
      <c r="A22" s="2">
        <v>0.669</v>
      </c>
      <c r="B22" s="10" t="s">
        <v>9</v>
      </c>
      <c r="C22" s="4">
        <v>0.635</v>
      </c>
      <c r="D22" s="5">
        <v>46.9</v>
      </c>
      <c r="E22" s="4"/>
      <c r="F22" s="4"/>
      <c r="G22" s="2">
        <f t="shared" si="0"/>
        <v>0.635</v>
      </c>
      <c r="H22" s="11" t="str">
        <f t="shared" si="1"/>
        <v>3.433E-2</v>
      </c>
      <c r="I22" s="2">
        <f t="shared" si="2"/>
        <v>47.2</v>
      </c>
      <c r="J22" s="4">
        <f t="shared" si="3"/>
        <v>0.635</v>
      </c>
      <c r="K22" s="9">
        <f t="shared" si="4"/>
        <v>0</v>
      </c>
      <c r="L22" s="1">
        <f t="shared" si="5"/>
        <v>-5</v>
      </c>
    </row>
    <row r="23" s="1" customFormat="1" spans="1:12">
      <c r="A23" s="2">
        <v>0.702</v>
      </c>
      <c r="B23" s="10" t="s">
        <v>9</v>
      </c>
      <c r="C23" s="4">
        <v>0.669</v>
      </c>
      <c r="D23" s="5">
        <v>48</v>
      </c>
      <c r="E23" s="4"/>
      <c r="F23" s="4"/>
      <c r="G23" s="2">
        <f t="shared" si="0"/>
        <v>0.669</v>
      </c>
      <c r="H23" s="11" t="str">
        <f t="shared" si="1"/>
        <v>3.433E-2</v>
      </c>
      <c r="I23" s="2">
        <f t="shared" si="2"/>
        <v>46.9</v>
      </c>
      <c r="J23" s="4">
        <f t="shared" si="3"/>
        <v>0.669</v>
      </c>
      <c r="K23" s="9">
        <f t="shared" si="4"/>
        <v>0</v>
      </c>
      <c r="L23" s="1">
        <f t="shared" si="5"/>
        <v>-5</v>
      </c>
    </row>
    <row r="24" s="1" customFormat="1" spans="1:12">
      <c r="A24" s="2">
        <v>0.735</v>
      </c>
      <c r="B24" s="10" t="s">
        <v>10</v>
      </c>
      <c r="C24" s="4">
        <v>0.702</v>
      </c>
      <c r="D24" s="5">
        <v>48</v>
      </c>
      <c r="E24" s="4"/>
      <c r="F24" s="4"/>
      <c r="G24" s="2">
        <f t="shared" si="0"/>
        <v>0.702</v>
      </c>
      <c r="H24" s="11" t="str">
        <f t="shared" si="1"/>
        <v>3.433E-2</v>
      </c>
      <c r="I24" s="2">
        <f t="shared" si="2"/>
        <v>48</v>
      </c>
      <c r="J24" s="4">
        <f t="shared" si="3"/>
        <v>0.702</v>
      </c>
      <c r="K24" s="9">
        <f t="shared" si="4"/>
        <v>0</v>
      </c>
      <c r="L24" s="1">
        <f t="shared" si="5"/>
        <v>-5</v>
      </c>
    </row>
    <row r="25" s="1" customFormat="1" spans="1:12">
      <c r="A25" s="2">
        <v>0.769</v>
      </c>
      <c r="B25" s="10" t="s">
        <v>9</v>
      </c>
      <c r="C25" s="4">
        <v>0.735</v>
      </c>
      <c r="D25" s="5">
        <v>47.5</v>
      </c>
      <c r="E25" s="4"/>
      <c r="F25" s="4"/>
      <c r="G25" s="2">
        <f t="shared" si="0"/>
        <v>0.735</v>
      </c>
      <c r="H25" s="11" t="str">
        <f t="shared" si="1"/>
        <v>3.434E-2</v>
      </c>
      <c r="I25" s="2">
        <f t="shared" si="2"/>
        <v>48</v>
      </c>
      <c r="J25" s="4">
        <f t="shared" si="3"/>
        <v>0.735</v>
      </c>
      <c r="K25" s="9">
        <f t="shared" si="4"/>
        <v>0.100000000000031</v>
      </c>
      <c r="L25" s="1">
        <f t="shared" si="5"/>
        <v>-5</v>
      </c>
    </row>
    <row r="26" s="1" customFormat="1" spans="1:12">
      <c r="A26" s="2">
        <v>0.802</v>
      </c>
      <c r="B26" s="10" t="s">
        <v>9</v>
      </c>
      <c r="C26" s="4">
        <v>0.769</v>
      </c>
      <c r="D26" s="5">
        <v>48</v>
      </c>
      <c r="E26" s="4"/>
      <c r="F26" s="4"/>
      <c r="G26" s="2">
        <f t="shared" si="0"/>
        <v>0.769</v>
      </c>
      <c r="H26" s="11" t="str">
        <f t="shared" si="1"/>
        <v>3.433E-2</v>
      </c>
      <c r="I26" s="2">
        <f t="shared" si="2"/>
        <v>47.5</v>
      </c>
      <c r="J26" s="4">
        <f t="shared" si="3"/>
        <v>0.769</v>
      </c>
      <c r="K26" s="9">
        <f t="shared" si="4"/>
        <v>0</v>
      </c>
      <c r="L26" s="1">
        <f t="shared" si="5"/>
        <v>-5</v>
      </c>
    </row>
    <row r="27" s="1" customFormat="1" spans="1:12">
      <c r="A27" s="2">
        <v>0.836</v>
      </c>
      <c r="B27" s="10" t="s">
        <v>10</v>
      </c>
      <c r="C27" s="4">
        <v>0.802</v>
      </c>
      <c r="D27" s="5">
        <v>47.7</v>
      </c>
      <c r="E27" s="4"/>
      <c r="F27" s="4"/>
      <c r="G27" s="2">
        <f t="shared" si="0"/>
        <v>0.802</v>
      </c>
      <c r="H27" s="11" t="str">
        <f t="shared" si="1"/>
        <v>3.433E-2</v>
      </c>
      <c r="I27" s="2">
        <f t="shared" si="2"/>
        <v>48</v>
      </c>
      <c r="J27" s="4">
        <f t="shared" si="3"/>
        <v>0.802</v>
      </c>
      <c r="K27" s="9">
        <f t="shared" si="4"/>
        <v>0</v>
      </c>
      <c r="L27" s="1">
        <f t="shared" si="5"/>
        <v>-5</v>
      </c>
    </row>
    <row r="28" s="1" customFormat="1" spans="1:12">
      <c r="A28" s="2">
        <v>0.869</v>
      </c>
      <c r="B28" s="10" t="s">
        <v>10</v>
      </c>
      <c r="C28" s="4">
        <v>0.836</v>
      </c>
      <c r="D28" s="5">
        <v>47.7</v>
      </c>
      <c r="E28" s="4"/>
      <c r="F28" s="4"/>
      <c r="G28" s="2">
        <f t="shared" si="0"/>
        <v>0.836</v>
      </c>
      <c r="H28" s="11" t="str">
        <f t="shared" si="1"/>
        <v>3.434E-2</v>
      </c>
      <c r="I28" s="2">
        <f t="shared" si="2"/>
        <v>47.7</v>
      </c>
      <c r="J28" s="4">
        <f t="shared" si="3"/>
        <v>0.836</v>
      </c>
      <c r="K28" s="9">
        <f t="shared" si="4"/>
        <v>0.100000000000031</v>
      </c>
      <c r="L28" s="1">
        <f t="shared" si="5"/>
        <v>-5</v>
      </c>
    </row>
    <row r="29" s="1" customFormat="1" spans="1:12">
      <c r="A29" s="2">
        <v>0.903</v>
      </c>
      <c r="B29" s="10" t="s">
        <v>9</v>
      </c>
      <c r="C29" s="4">
        <v>0.869</v>
      </c>
      <c r="D29" s="5">
        <v>47.1</v>
      </c>
      <c r="E29" s="4"/>
      <c r="F29" s="4"/>
      <c r="G29" s="2">
        <f t="shared" si="0"/>
        <v>0.869</v>
      </c>
      <c r="H29" s="11" t="str">
        <f t="shared" si="1"/>
        <v>3.434E-2</v>
      </c>
      <c r="I29" s="2">
        <f t="shared" si="2"/>
        <v>47.7</v>
      </c>
      <c r="J29" s="4">
        <f t="shared" si="3"/>
        <v>0.869</v>
      </c>
      <c r="K29" s="9">
        <f t="shared" si="4"/>
        <v>0.100000000000031</v>
      </c>
      <c r="L29" s="1">
        <f t="shared" si="5"/>
        <v>-5</v>
      </c>
    </row>
    <row r="30" s="1" customFormat="1" spans="1:12">
      <c r="A30" s="2">
        <v>0.936</v>
      </c>
      <c r="B30" s="10" t="s">
        <v>10</v>
      </c>
      <c r="C30" s="4">
        <v>0.903</v>
      </c>
      <c r="D30" s="5">
        <v>47.4</v>
      </c>
      <c r="E30" s="4"/>
      <c r="F30" s="4"/>
      <c r="G30" s="2">
        <f t="shared" si="0"/>
        <v>0.903</v>
      </c>
      <c r="H30" s="11" t="str">
        <f t="shared" si="1"/>
        <v>3.433E-2</v>
      </c>
      <c r="I30" s="2">
        <f t="shared" si="2"/>
        <v>47.1</v>
      </c>
      <c r="J30" s="4">
        <f t="shared" si="3"/>
        <v>0.903</v>
      </c>
      <c r="K30" s="9">
        <f t="shared" si="4"/>
        <v>0</v>
      </c>
      <c r="L30" s="1">
        <f t="shared" si="5"/>
        <v>-5</v>
      </c>
    </row>
    <row r="31" s="1" customFormat="1" spans="1:12">
      <c r="A31" s="2">
        <v>0.969</v>
      </c>
      <c r="B31" s="10" t="s">
        <v>10</v>
      </c>
      <c r="C31" s="4">
        <v>0.936</v>
      </c>
      <c r="D31" s="5">
        <v>47.4</v>
      </c>
      <c r="E31" s="4"/>
      <c r="F31" s="4"/>
      <c r="G31" s="2">
        <f t="shared" si="0"/>
        <v>0.936</v>
      </c>
      <c r="H31" s="11" t="str">
        <f t="shared" si="1"/>
        <v>3.434E-2</v>
      </c>
      <c r="I31" s="2">
        <f t="shared" si="2"/>
        <v>47.4</v>
      </c>
      <c r="J31" s="4">
        <f t="shared" si="3"/>
        <v>0.936</v>
      </c>
      <c r="K31" s="9">
        <f t="shared" si="4"/>
        <v>0.100000000000031</v>
      </c>
      <c r="L31" s="1">
        <f t="shared" si="5"/>
        <v>-5</v>
      </c>
    </row>
    <row r="32" s="1" customFormat="1" spans="1:12">
      <c r="A32" s="2">
        <v>1.003</v>
      </c>
      <c r="B32" s="10" t="s">
        <v>9</v>
      </c>
      <c r="C32" s="4">
        <v>0.969</v>
      </c>
      <c r="D32" s="5">
        <v>47.6</v>
      </c>
      <c r="E32" s="4"/>
      <c r="F32" s="4"/>
      <c r="G32" s="2">
        <f t="shared" si="0"/>
        <v>0.969</v>
      </c>
      <c r="H32" s="11" t="str">
        <f t="shared" si="1"/>
        <v>3.434E-2</v>
      </c>
      <c r="I32" s="2">
        <f t="shared" si="2"/>
        <v>47.4</v>
      </c>
      <c r="J32" s="4">
        <f t="shared" si="3"/>
        <v>0.969</v>
      </c>
      <c r="K32" s="9">
        <f t="shared" si="4"/>
        <v>0.100000000000031</v>
      </c>
      <c r="L32" s="1">
        <f t="shared" si="5"/>
        <v>-5</v>
      </c>
    </row>
    <row r="33" s="1" customFormat="1" spans="1:12">
      <c r="A33" s="2">
        <v>1.036</v>
      </c>
      <c r="B33" s="10" t="s">
        <v>10</v>
      </c>
      <c r="C33" s="4">
        <v>1.003</v>
      </c>
      <c r="D33" s="5">
        <v>48</v>
      </c>
      <c r="E33" s="4"/>
      <c r="F33" s="4"/>
      <c r="G33" s="2">
        <f t="shared" si="0"/>
        <v>1.003</v>
      </c>
      <c r="H33" s="11" t="str">
        <f t="shared" si="1"/>
        <v>3.433E-2</v>
      </c>
      <c r="I33" s="2">
        <f t="shared" si="2"/>
        <v>47.6</v>
      </c>
      <c r="J33" s="4">
        <f t="shared" si="3"/>
        <v>1.003</v>
      </c>
      <c r="K33" s="9">
        <f t="shared" si="4"/>
        <v>0</v>
      </c>
      <c r="L33" s="1">
        <f t="shared" si="5"/>
        <v>-5</v>
      </c>
    </row>
    <row r="34" s="1" customFormat="1" spans="1:12">
      <c r="A34" s="2">
        <v>1.07</v>
      </c>
      <c r="B34" s="10" t="s">
        <v>9</v>
      </c>
      <c r="C34" s="4">
        <v>1.036</v>
      </c>
      <c r="D34" s="5">
        <v>47.9</v>
      </c>
      <c r="E34" s="4"/>
      <c r="F34" s="4"/>
      <c r="G34" s="2">
        <f t="shared" si="0"/>
        <v>1.036</v>
      </c>
      <c r="H34" s="11" t="str">
        <f t="shared" si="1"/>
        <v>3.434E-2</v>
      </c>
      <c r="I34" s="2">
        <f t="shared" si="2"/>
        <v>48</v>
      </c>
      <c r="J34" s="4">
        <f t="shared" si="3"/>
        <v>1.036</v>
      </c>
      <c r="K34" s="9">
        <f t="shared" si="4"/>
        <v>0.100000000000031</v>
      </c>
      <c r="L34" s="1">
        <f t="shared" si="5"/>
        <v>-5</v>
      </c>
    </row>
    <row r="35" s="1" customFormat="1" spans="1:12">
      <c r="A35" s="2">
        <v>1.103</v>
      </c>
      <c r="B35" s="10" t="s">
        <v>12</v>
      </c>
      <c r="C35" s="4">
        <v>1.07</v>
      </c>
      <c r="D35" s="5">
        <v>47.6</v>
      </c>
      <c r="E35" s="4"/>
      <c r="F35" s="4"/>
      <c r="G35" s="2">
        <f t="shared" si="0"/>
        <v>1.07</v>
      </c>
      <c r="H35" s="11" t="str">
        <f t="shared" si="1"/>
        <v>3.433E-2</v>
      </c>
      <c r="I35" s="2">
        <f t="shared" si="2"/>
        <v>47.9</v>
      </c>
      <c r="J35" s="4">
        <f t="shared" si="3"/>
        <v>1.07</v>
      </c>
      <c r="K35" s="9">
        <f t="shared" si="4"/>
        <v>0</v>
      </c>
      <c r="L35" s="1">
        <f t="shared" si="5"/>
        <v>-5</v>
      </c>
    </row>
    <row r="36" s="1" customFormat="1" spans="1:12">
      <c r="A36" s="2">
        <v>1.137</v>
      </c>
      <c r="B36" s="10" t="s">
        <v>9</v>
      </c>
      <c r="C36" s="4">
        <v>1.103</v>
      </c>
      <c r="D36" s="5">
        <v>47.5</v>
      </c>
      <c r="E36" s="4"/>
      <c r="F36" s="4"/>
      <c r="G36" s="2">
        <f t="shared" si="0"/>
        <v>1.103</v>
      </c>
      <c r="H36" s="11" t="str">
        <f t="shared" si="1"/>
        <v>3.435E-2</v>
      </c>
      <c r="I36" s="2">
        <f t="shared" si="2"/>
        <v>47.6</v>
      </c>
      <c r="J36" s="4">
        <f t="shared" si="3"/>
        <v>1.103</v>
      </c>
      <c r="K36" s="9">
        <f t="shared" si="4"/>
        <v>0.199999999999992</v>
      </c>
      <c r="L36" s="1">
        <f t="shared" si="5"/>
        <v>-5</v>
      </c>
    </row>
    <row r="37" s="1" customFormat="1" spans="1:12">
      <c r="A37" s="2">
        <v>1.17</v>
      </c>
      <c r="B37" s="10" t="s">
        <v>10</v>
      </c>
      <c r="C37" s="4">
        <v>1.137</v>
      </c>
      <c r="D37" s="5">
        <v>47.5</v>
      </c>
      <c r="E37" s="4"/>
      <c r="F37" s="4"/>
      <c r="G37" s="2">
        <f t="shared" si="0"/>
        <v>1.137</v>
      </c>
      <c r="H37" s="11" t="str">
        <f t="shared" si="1"/>
        <v>3.433E-2</v>
      </c>
      <c r="I37" s="2">
        <f t="shared" si="2"/>
        <v>47.5</v>
      </c>
      <c r="J37" s="4">
        <f t="shared" si="3"/>
        <v>1.137</v>
      </c>
      <c r="K37" s="9">
        <f t="shared" si="4"/>
        <v>0</v>
      </c>
      <c r="L37" s="1">
        <f t="shared" si="5"/>
        <v>-5</v>
      </c>
    </row>
    <row r="38" s="1" customFormat="1" spans="1:12">
      <c r="A38" s="2">
        <v>1.203</v>
      </c>
      <c r="B38" s="10" t="s">
        <v>10</v>
      </c>
      <c r="C38" s="4">
        <v>1.17</v>
      </c>
      <c r="D38" s="5">
        <v>47.4</v>
      </c>
      <c r="E38" s="4"/>
      <c r="F38" s="4"/>
      <c r="G38" s="2">
        <f t="shared" si="0"/>
        <v>1.17</v>
      </c>
      <c r="H38" s="11" t="str">
        <f t="shared" si="1"/>
        <v>3.434E-2</v>
      </c>
      <c r="I38" s="2">
        <f t="shared" si="2"/>
        <v>47.5</v>
      </c>
      <c r="J38" s="4">
        <f t="shared" si="3"/>
        <v>1.17</v>
      </c>
      <c r="K38" s="9">
        <f t="shared" si="4"/>
        <v>0.100000000000031</v>
      </c>
      <c r="L38" s="1">
        <f t="shared" si="5"/>
        <v>-5</v>
      </c>
    </row>
    <row r="39" s="1" customFormat="1" spans="1:12">
      <c r="A39" s="2">
        <v>1.237</v>
      </c>
      <c r="B39" s="10" t="s">
        <v>10</v>
      </c>
      <c r="C39" s="4">
        <v>1.203</v>
      </c>
      <c r="D39" s="5">
        <v>47.8</v>
      </c>
      <c r="E39" s="4"/>
      <c r="F39" s="4"/>
      <c r="G39" s="2">
        <f t="shared" si="0"/>
        <v>1.203</v>
      </c>
      <c r="H39" s="11" t="str">
        <f t="shared" si="1"/>
        <v>3.434E-2</v>
      </c>
      <c r="I39" s="2">
        <f t="shared" si="2"/>
        <v>47.4</v>
      </c>
      <c r="J39" s="4">
        <f t="shared" si="3"/>
        <v>1.203</v>
      </c>
      <c r="K39" s="9">
        <f t="shared" si="4"/>
        <v>0.100000000000031</v>
      </c>
      <c r="L39" s="1">
        <f t="shared" si="5"/>
        <v>-5</v>
      </c>
    </row>
    <row r="40" s="1" customFormat="1" spans="1:12">
      <c r="A40" s="2">
        <v>1.27</v>
      </c>
      <c r="B40" s="10" t="s">
        <v>10</v>
      </c>
      <c r="C40" s="4">
        <v>1.237</v>
      </c>
      <c r="D40" s="5">
        <v>47.2</v>
      </c>
      <c r="E40" s="4"/>
      <c r="F40" s="4"/>
      <c r="G40" s="2">
        <f t="shared" si="0"/>
        <v>1.237</v>
      </c>
      <c r="H40" s="11" t="str">
        <f t="shared" si="1"/>
        <v>3.434E-2</v>
      </c>
      <c r="I40" s="2">
        <f t="shared" si="2"/>
        <v>47.8</v>
      </c>
      <c r="J40" s="4">
        <f t="shared" si="3"/>
        <v>1.237</v>
      </c>
      <c r="K40" s="9">
        <f t="shared" si="4"/>
        <v>0.100000000000031</v>
      </c>
      <c r="L40" s="1">
        <f t="shared" si="5"/>
        <v>-5</v>
      </c>
    </row>
    <row r="41" s="1" customFormat="1" spans="1:12">
      <c r="A41" s="2">
        <v>1.304</v>
      </c>
      <c r="B41" s="10" t="s">
        <v>10</v>
      </c>
      <c r="C41" s="4">
        <v>1.27</v>
      </c>
      <c r="D41" s="5">
        <v>47.7</v>
      </c>
      <c r="E41" s="4"/>
      <c r="F41" s="4"/>
      <c r="G41" s="2">
        <f t="shared" si="0"/>
        <v>1.27</v>
      </c>
      <c r="H41" s="11" t="str">
        <f t="shared" si="1"/>
        <v>3.434E-2</v>
      </c>
      <c r="I41" s="2">
        <f t="shared" si="2"/>
        <v>47.2</v>
      </c>
      <c r="J41" s="4">
        <f t="shared" si="3"/>
        <v>1.27</v>
      </c>
      <c r="K41" s="9">
        <f t="shared" si="4"/>
        <v>0.100000000000031</v>
      </c>
      <c r="L41" s="1">
        <f t="shared" si="5"/>
        <v>-5</v>
      </c>
    </row>
    <row r="42" s="1" customFormat="1" spans="1:12">
      <c r="A42" s="2">
        <v>1.337</v>
      </c>
      <c r="B42" s="10" t="s">
        <v>9</v>
      </c>
      <c r="C42" s="4">
        <v>1.304</v>
      </c>
      <c r="D42" s="5">
        <v>48</v>
      </c>
      <c r="E42" s="4"/>
      <c r="F42" s="4"/>
      <c r="G42" s="2">
        <f t="shared" si="0"/>
        <v>1.304</v>
      </c>
      <c r="H42" s="11" t="str">
        <f t="shared" si="1"/>
        <v>3.434E-2</v>
      </c>
      <c r="I42" s="2">
        <f t="shared" si="2"/>
        <v>47.7</v>
      </c>
      <c r="J42" s="4">
        <f t="shared" si="3"/>
        <v>1.304</v>
      </c>
      <c r="K42" s="9">
        <f t="shared" si="4"/>
        <v>0.100000000000031</v>
      </c>
      <c r="L42" s="1">
        <f t="shared" si="5"/>
        <v>-5</v>
      </c>
    </row>
    <row r="43" s="1" customFormat="1" spans="1:12">
      <c r="A43" s="2">
        <v>1.37</v>
      </c>
      <c r="B43" s="10" t="s">
        <v>9</v>
      </c>
      <c r="C43" s="4">
        <v>1.337</v>
      </c>
      <c r="D43" s="5">
        <v>47.7</v>
      </c>
      <c r="E43" s="4"/>
      <c r="F43" s="4"/>
      <c r="G43" s="2">
        <f t="shared" si="0"/>
        <v>1.337</v>
      </c>
      <c r="H43" s="11" t="str">
        <f t="shared" si="1"/>
        <v>3.433E-2</v>
      </c>
      <c r="I43" s="2">
        <f t="shared" si="2"/>
        <v>48</v>
      </c>
      <c r="J43" s="4">
        <f t="shared" si="3"/>
        <v>1.337</v>
      </c>
      <c r="K43" s="9">
        <f t="shared" si="4"/>
        <v>0</v>
      </c>
      <c r="L43" s="1">
        <f t="shared" si="5"/>
        <v>-5</v>
      </c>
    </row>
    <row r="44" s="1" customFormat="1" spans="1:12">
      <c r="A44" s="2">
        <v>1.404</v>
      </c>
      <c r="B44" s="10" t="s">
        <v>9</v>
      </c>
      <c r="C44" s="4">
        <v>1.37</v>
      </c>
      <c r="D44" s="5">
        <v>47.4</v>
      </c>
      <c r="E44" s="4"/>
      <c r="F44" s="4"/>
      <c r="G44" s="2">
        <f t="shared" si="0"/>
        <v>1.37</v>
      </c>
      <c r="H44" s="11" t="str">
        <f t="shared" si="1"/>
        <v>3.433E-2</v>
      </c>
      <c r="I44" s="2">
        <f t="shared" si="2"/>
        <v>47.7</v>
      </c>
      <c r="J44" s="4">
        <f t="shared" si="3"/>
        <v>1.37</v>
      </c>
      <c r="K44" s="9">
        <f t="shared" si="4"/>
        <v>0</v>
      </c>
      <c r="L44" s="1">
        <f t="shared" si="5"/>
        <v>-5</v>
      </c>
    </row>
    <row r="45" s="1" customFormat="1" spans="1:12">
      <c r="A45" s="2">
        <v>1.437</v>
      </c>
      <c r="B45" s="10" t="s">
        <v>9</v>
      </c>
      <c r="C45" s="4">
        <v>1.404</v>
      </c>
      <c r="D45" s="5">
        <v>47.7</v>
      </c>
      <c r="E45" s="4"/>
      <c r="F45" s="4"/>
      <c r="G45" s="2">
        <f t="shared" si="0"/>
        <v>1.404</v>
      </c>
      <c r="H45" s="11" t="str">
        <f t="shared" si="1"/>
        <v>3.433E-2</v>
      </c>
      <c r="I45" s="2">
        <f t="shared" si="2"/>
        <v>47.4</v>
      </c>
      <c r="J45" s="4">
        <f t="shared" si="3"/>
        <v>1.404</v>
      </c>
      <c r="K45" s="9">
        <f t="shared" si="4"/>
        <v>0</v>
      </c>
      <c r="L45" s="1">
        <f t="shared" si="5"/>
        <v>-5</v>
      </c>
    </row>
    <row r="46" s="1" customFormat="1" spans="1:12">
      <c r="A46" s="2">
        <v>1.471</v>
      </c>
      <c r="B46" s="10" t="s">
        <v>9</v>
      </c>
      <c r="C46" s="4">
        <v>1.437</v>
      </c>
      <c r="D46" s="5">
        <v>47.4</v>
      </c>
      <c r="E46" s="4"/>
      <c r="F46" s="4"/>
      <c r="G46" s="2">
        <f t="shared" si="0"/>
        <v>1.437</v>
      </c>
      <c r="H46" s="11" t="str">
        <f t="shared" si="1"/>
        <v>3.433E-2</v>
      </c>
      <c r="I46" s="2">
        <f t="shared" si="2"/>
        <v>47.7</v>
      </c>
      <c r="J46" s="4">
        <f t="shared" si="3"/>
        <v>1.437</v>
      </c>
      <c r="K46" s="9">
        <f t="shared" si="4"/>
        <v>0</v>
      </c>
      <c r="L46" s="1">
        <f t="shared" si="5"/>
        <v>-5</v>
      </c>
    </row>
    <row r="47" s="1" customFormat="1" spans="1:12">
      <c r="A47" s="2">
        <v>1.504</v>
      </c>
      <c r="B47" s="10" t="s">
        <v>9</v>
      </c>
      <c r="C47" s="4">
        <v>1.471</v>
      </c>
      <c r="D47" s="5">
        <v>47.6</v>
      </c>
      <c r="E47" s="4"/>
      <c r="F47" s="4"/>
      <c r="G47" s="2">
        <f t="shared" si="0"/>
        <v>1.471</v>
      </c>
      <c r="H47" s="11" t="str">
        <f t="shared" si="1"/>
        <v>3.433E-2</v>
      </c>
      <c r="I47" s="2">
        <f t="shared" si="2"/>
        <v>47.4</v>
      </c>
      <c r="J47" s="4">
        <f t="shared" si="3"/>
        <v>1.471</v>
      </c>
      <c r="K47" s="9">
        <f t="shared" si="4"/>
        <v>0</v>
      </c>
      <c r="L47" s="1">
        <f t="shared" si="5"/>
        <v>-5</v>
      </c>
    </row>
    <row r="48" s="1" customFormat="1" spans="1:12">
      <c r="A48" s="2">
        <v>1.538</v>
      </c>
      <c r="B48" s="10" t="s">
        <v>11</v>
      </c>
      <c r="C48" s="4">
        <v>1.504</v>
      </c>
      <c r="D48" s="5">
        <v>47.3</v>
      </c>
      <c r="E48" s="4"/>
      <c r="F48" s="4"/>
      <c r="G48" s="2">
        <f t="shared" si="0"/>
        <v>1.504</v>
      </c>
      <c r="H48" s="11" t="str">
        <f t="shared" si="1"/>
        <v>3.433E-2</v>
      </c>
      <c r="I48" s="2">
        <f t="shared" si="2"/>
        <v>47.6</v>
      </c>
      <c r="J48" s="4">
        <f t="shared" si="3"/>
        <v>1.504</v>
      </c>
      <c r="K48" s="9">
        <f t="shared" si="4"/>
        <v>0</v>
      </c>
      <c r="L48" s="1">
        <f t="shared" si="5"/>
        <v>-5</v>
      </c>
    </row>
    <row r="49" s="1" customFormat="1" spans="1:12">
      <c r="A49" s="2">
        <v>1.571</v>
      </c>
      <c r="B49" s="10" t="s">
        <v>11</v>
      </c>
      <c r="C49" s="4">
        <v>1.538</v>
      </c>
      <c r="D49" s="5">
        <v>47.5</v>
      </c>
      <c r="E49" s="4"/>
      <c r="F49" s="4"/>
      <c r="G49" s="2">
        <f t="shared" si="0"/>
        <v>1.538</v>
      </c>
      <c r="H49" s="11" t="str">
        <f t="shared" si="1"/>
        <v>3.432E-2</v>
      </c>
      <c r="I49" s="2">
        <f t="shared" si="2"/>
        <v>47.3</v>
      </c>
      <c r="J49" s="4">
        <f t="shared" si="3"/>
        <v>1.538</v>
      </c>
      <c r="K49" s="9">
        <f t="shared" si="4"/>
        <v>-0.0999999999999612</v>
      </c>
      <c r="L49" s="1">
        <f t="shared" si="5"/>
        <v>-5</v>
      </c>
    </row>
    <row r="50" s="1" customFormat="1" spans="1:12">
      <c r="A50" s="2">
        <v>1.604</v>
      </c>
      <c r="B50" s="10" t="s">
        <v>11</v>
      </c>
      <c r="C50" s="4">
        <v>1.571</v>
      </c>
      <c r="D50" s="5">
        <v>47.3</v>
      </c>
      <c r="E50" s="4"/>
      <c r="F50" s="4"/>
      <c r="G50" s="2">
        <f t="shared" si="0"/>
        <v>1.571</v>
      </c>
      <c r="H50" s="11" t="str">
        <f t="shared" si="1"/>
        <v>3.432E-2</v>
      </c>
      <c r="I50" s="2">
        <f t="shared" si="2"/>
        <v>47.5</v>
      </c>
      <c r="J50" s="4">
        <f t="shared" si="3"/>
        <v>1.571</v>
      </c>
      <c r="K50" s="9">
        <f t="shared" si="4"/>
        <v>-0.0999999999999612</v>
      </c>
      <c r="L50" s="1">
        <f t="shared" si="5"/>
        <v>-5</v>
      </c>
    </row>
    <row r="51" s="1" customFormat="1" spans="1:12">
      <c r="A51" s="2">
        <v>1.638</v>
      </c>
      <c r="B51" s="10" t="s">
        <v>11</v>
      </c>
      <c r="C51" s="4">
        <v>1.604</v>
      </c>
      <c r="D51" s="5">
        <v>48</v>
      </c>
      <c r="E51" s="4"/>
      <c r="F51" s="4"/>
      <c r="G51" s="2">
        <f t="shared" si="0"/>
        <v>1.604</v>
      </c>
      <c r="H51" s="11" t="str">
        <f t="shared" si="1"/>
        <v>3.432E-2</v>
      </c>
      <c r="I51" s="2">
        <f t="shared" si="2"/>
        <v>47.3</v>
      </c>
      <c r="J51" s="4">
        <f t="shared" si="3"/>
        <v>1.604</v>
      </c>
      <c r="K51" s="9">
        <f t="shared" si="4"/>
        <v>-0.0999999999999612</v>
      </c>
      <c r="L51" s="1">
        <f t="shared" si="5"/>
        <v>-5</v>
      </c>
    </row>
    <row r="52" s="1" customFormat="1" spans="1:12">
      <c r="A52" s="2">
        <v>1.671</v>
      </c>
      <c r="B52" s="10" t="s">
        <v>11</v>
      </c>
      <c r="C52" s="4">
        <v>1.638</v>
      </c>
      <c r="D52" s="5">
        <v>47.6</v>
      </c>
      <c r="E52" s="4"/>
      <c r="F52" s="4"/>
      <c r="G52" s="2">
        <f t="shared" si="0"/>
        <v>1.638</v>
      </c>
      <c r="H52" s="11" t="str">
        <f t="shared" si="1"/>
        <v>3.432E-2</v>
      </c>
      <c r="I52" s="2">
        <f t="shared" si="2"/>
        <v>48</v>
      </c>
      <c r="J52" s="4">
        <f t="shared" si="3"/>
        <v>1.638</v>
      </c>
      <c r="K52" s="9">
        <f t="shared" si="4"/>
        <v>-0.0999999999999612</v>
      </c>
      <c r="L52" s="1">
        <f t="shared" si="5"/>
        <v>-5</v>
      </c>
    </row>
    <row r="53" s="1" customFormat="1" spans="1:12">
      <c r="A53" s="2">
        <v>1.705</v>
      </c>
      <c r="B53" s="10" t="s">
        <v>11</v>
      </c>
      <c r="C53" s="4">
        <v>1.671</v>
      </c>
      <c r="D53" s="5">
        <v>47.6</v>
      </c>
      <c r="E53" s="4"/>
      <c r="F53" s="4"/>
      <c r="G53" s="2">
        <f t="shared" si="0"/>
        <v>1.671</v>
      </c>
      <c r="H53" s="11" t="str">
        <f t="shared" si="1"/>
        <v>3.432E-2</v>
      </c>
      <c r="I53" s="2">
        <f t="shared" si="2"/>
        <v>47.6</v>
      </c>
      <c r="J53" s="4">
        <f t="shared" si="3"/>
        <v>1.671</v>
      </c>
      <c r="K53" s="9">
        <f t="shared" si="4"/>
        <v>-0.0999999999999612</v>
      </c>
      <c r="L53" s="1">
        <f t="shared" si="5"/>
        <v>-5</v>
      </c>
    </row>
    <row r="54" s="1" customFormat="1" spans="1:12">
      <c r="A54" s="2">
        <v>1.738</v>
      </c>
      <c r="B54" s="10" t="s">
        <v>11</v>
      </c>
      <c r="C54" s="4">
        <v>1.705</v>
      </c>
      <c r="D54" s="5">
        <v>47.3</v>
      </c>
      <c r="E54" s="4"/>
      <c r="F54" s="4"/>
      <c r="G54" s="2">
        <f t="shared" si="0"/>
        <v>1.705</v>
      </c>
      <c r="H54" s="11" t="str">
        <f t="shared" si="1"/>
        <v>3.432E-2</v>
      </c>
      <c r="I54" s="2">
        <f t="shared" si="2"/>
        <v>47.6</v>
      </c>
      <c r="J54" s="4">
        <f t="shared" si="3"/>
        <v>1.705</v>
      </c>
      <c r="K54" s="9">
        <f t="shared" si="4"/>
        <v>-0.0999999999999612</v>
      </c>
      <c r="L54" s="1">
        <f t="shared" si="5"/>
        <v>-5</v>
      </c>
    </row>
    <row r="55" s="1" customFormat="1" spans="1:12">
      <c r="A55" s="2">
        <v>1.772</v>
      </c>
      <c r="B55" s="10" t="s">
        <v>11</v>
      </c>
      <c r="C55" s="4">
        <v>1.738</v>
      </c>
      <c r="D55" s="5">
        <v>47.3</v>
      </c>
      <c r="E55" s="4"/>
      <c r="F55" s="4"/>
      <c r="G55" s="2">
        <f t="shared" si="0"/>
        <v>1.738</v>
      </c>
      <c r="H55" s="11" t="str">
        <f t="shared" si="1"/>
        <v>3.432E-2</v>
      </c>
      <c r="I55" s="2">
        <f t="shared" si="2"/>
        <v>47.3</v>
      </c>
      <c r="J55" s="4">
        <f t="shared" si="3"/>
        <v>1.738</v>
      </c>
      <c r="K55" s="9">
        <f t="shared" si="4"/>
        <v>-0.0999999999999612</v>
      </c>
      <c r="L55" s="1">
        <f t="shared" si="5"/>
        <v>-5</v>
      </c>
    </row>
    <row r="56" s="1" customFormat="1" spans="1:12">
      <c r="A56" s="2">
        <v>1.805</v>
      </c>
      <c r="B56" s="10" t="s">
        <v>11</v>
      </c>
      <c r="C56" s="4">
        <v>1.772</v>
      </c>
      <c r="D56" s="5">
        <v>47.2</v>
      </c>
      <c r="E56" s="4"/>
      <c r="F56" s="4"/>
      <c r="G56" s="2">
        <f t="shared" si="0"/>
        <v>1.772</v>
      </c>
      <c r="H56" s="11" t="str">
        <f t="shared" si="1"/>
        <v>3.432E-2</v>
      </c>
      <c r="I56" s="2">
        <f t="shared" si="2"/>
        <v>47.3</v>
      </c>
      <c r="J56" s="4">
        <f t="shared" si="3"/>
        <v>1.772</v>
      </c>
      <c r="K56" s="9">
        <f t="shared" si="4"/>
        <v>-0.0999999999999612</v>
      </c>
      <c r="L56" s="1">
        <f t="shared" si="5"/>
        <v>-5</v>
      </c>
    </row>
    <row r="57" s="1" customFormat="1" spans="1:12">
      <c r="A57" s="2">
        <v>1.838</v>
      </c>
      <c r="B57" s="10" t="s">
        <v>13</v>
      </c>
      <c r="C57" s="4">
        <v>1.805</v>
      </c>
      <c r="D57" s="5">
        <v>47.9</v>
      </c>
      <c r="E57" s="4"/>
      <c r="F57" s="4"/>
      <c r="G57" s="2">
        <f t="shared" si="0"/>
        <v>1.805</v>
      </c>
      <c r="H57" s="11" t="str">
        <f t="shared" si="1"/>
        <v>3.432E-2</v>
      </c>
      <c r="I57" s="2">
        <f t="shared" si="2"/>
        <v>47.2</v>
      </c>
      <c r="J57" s="4">
        <f t="shared" si="3"/>
        <v>1.805</v>
      </c>
      <c r="K57" s="9">
        <f t="shared" si="4"/>
        <v>-0.0999999999999612</v>
      </c>
      <c r="L57" s="1">
        <f t="shared" si="5"/>
        <v>-5</v>
      </c>
    </row>
    <row r="58" s="1" customFormat="1" spans="1:12">
      <c r="A58" s="2">
        <v>1.872</v>
      </c>
      <c r="B58" s="10" t="s">
        <v>9</v>
      </c>
      <c r="C58" s="4">
        <v>1.838</v>
      </c>
      <c r="D58" s="5">
        <v>47.2</v>
      </c>
      <c r="E58" s="4"/>
      <c r="F58" s="4"/>
      <c r="G58" s="2">
        <f t="shared" si="0"/>
        <v>1.838</v>
      </c>
      <c r="H58" s="11" t="str">
        <f t="shared" si="1"/>
        <v>3.431E-2</v>
      </c>
      <c r="I58" s="2">
        <f t="shared" si="2"/>
        <v>47.9</v>
      </c>
      <c r="J58" s="4">
        <f t="shared" si="3"/>
        <v>1.838</v>
      </c>
      <c r="K58" s="9">
        <f t="shared" si="4"/>
        <v>-0.199999999999992</v>
      </c>
      <c r="L58" s="1">
        <f t="shared" si="5"/>
        <v>-5</v>
      </c>
    </row>
    <row r="59" s="1" customFormat="1" spans="1:12">
      <c r="A59" s="2">
        <v>1.905</v>
      </c>
      <c r="B59" s="10" t="s">
        <v>9</v>
      </c>
      <c r="C59" s="4">
        <v>1.872</v>
      </c>
      <c r="D59" s="5">
        <v>47.4</v>
      </c>
      <c r="E59" s="4"/>
      <c r="F59" s="4"/>
      <c r="G59" s="2">
        <f t="shared" si="0"/>
        <v>1.872</v>
      </c>
      <c r="H59" s="11" t="str">
        <f t="shared" si="1"/>
        <v>3.433E-2</v>
      </c>
      <c r="I59" s="2">
        <f t="shared" si="2"/>
        <v>47.2</v>
      </c>
      <c r="J59" s="4">
        <f t="shared" si="3"/>
        <v>1.872</v>
      </c>
      <c r="K59" s="9">
        <f t="shared" si="4"/>
        <v>0</v>
      </c>
      <c r="L59" s="1">
        <f t="shared" si="5"/>
        <v>-5</v>
      </c>
    </row>
    <row r="60" s="1" customFormat="1" spans="1:12">
      <c r="A60" s="2">
        <v>1.939</v>
      </c>
      <c r="B60" s="10" t="s">
        <v>9</v>
      </c>
      <c r="C60" s="4">
        <v>1.905</v>
      </c>
      <c r="D60" s="5">
        <v>47.8</v>
      </c>
      <c r="E60" s="4"/>
      <c r="F60" s="4"/>
      <c r="G60" s="2">
        <f t="shared" si="0"/>
        <v>1.905</v>
      </c>
      <c r="H60" s="11" t="str">
        <f t="shared" si="1"/>
        <v>3.433E-2</v>
      </c>
      <c r="I60" s="2">
        <f t="shared" si="2"/>
        <v>47.4</v>
      </c>
      <c r="J60" s="4">
        <f t="shared" si="3"/>
        <v>1.905</v>
      </c>
      <c r="K60" s="9">
        <f t="shared" si="4"/>
        <v>0</v>
      </c>
      <c r="L60" s="1">
        <f t="shared" si="5"/>
        <v>-5</v>
      </c>
    </row>
    <row r="61" s="1" customFormat="1" spans="1:12">
      <c r="A61" s="2">
        <v>1.972</v>
      </c>
      <c r="B61" s="10" t="s">
        <v>9</v>
      </c>
      <c r="C61" s="4">
        <v>1.939</v>
      </c>
      <c r="D61" s="5">
        <v>47.4</v>
      </c>
      <c r="E61" s="4"/>
      <c r="F61" s="4"/>
      <c r="G61" s="2">
        <f t="shared" si="0"/>
        <v>1.939</v>
      </c>
      <c r="H61" s="11" t="str">
        <f t="shared" si="1"/>
        <v>3.433E-2</v>
      </c>
      <c r="I61" s="2">
        <f t="shared" si="2"/>
        <v>47.8</v>
      </c>
      <c r="J61" s="4">
        <f t="shared" si="3"/>
        <v>1.939</v>
      </c>
      <c r="K61" s="9">
        <f t="shared" si="4"/>
        <v>0</v>
      </c>
      <c r="L61" s="1">
        <f t="shared" si="5"/>
        <v>-5</v>
      </c>
    </row>
    <row r="62" s="1" customFormat="1" spans="1:12">
      <c r="A62" s="2">
        <v>2.006</v>
      </c>
      <c r="B62" s="10" t="s">
        <v>9</v>
      </c>
      <c r="C62" s="4">
        <v>1.972</v>
      </c>
      <c r="D62" s="5">
        <v>47.4</v>
      </c>
      <c r="E62" s="4"/>
      <c r="F62" s="4"/>
      <c r="G62" s="2">
        <f t="shared" si="0"/>
        <v>1.972</v>
      </c>
      <c r="H62" s="11" t="str">
        <f t="shared" si="1"/>
        <v>3.433E-2</v>
      </c>
      <c r="I62" s="2">
        <f t="shared" si="2"/>
        <v>47.4</v>
      </c>
      <c r="J62" s="4">
        <f t="shared" si="3"/>
        <v>1.972</v>
      </c>
      <c r="K62" s="9">
        <f t="shared" si="4"/>
        <v>0</v>
      </c>
      <c r="L62" s="1">
        <f t="shared" si="5"/>
        <v>-5</v>
      </c>
    </row>
    <row r="63" s="1" customFormat="1" spans="1:12">
      <c r="A63" s="2">
        <v>2.039</v>
      </c>
      <c r="B63" s="10" t="s">
        <v>10</v>
      </c>
      <c r="C63" s="4">
        <v>2.006</v>
      </c>
      <c r="D63" s="5">
        <v>47.4</v>
      </c>
      <c r="E63" s="4"/>
      <c r="F63" s="4"/>
      <c r="G63" s="2">
        <f t="shared" si="0"/>
        <v>2.006</v>
      </c>
      <c r="H63" s="11" t="str">
        <f t="shared" si="1"/>
        <v>3.433E-2</v>
      </c>
      <c r="I63" s="2">
        <f t="shared" si="2"/>
        <v>47.4</v>
      </c>
      <c r="J63" s="4">
        <f t="shared" si="3"/>
        <v>2.006</v>
      </c>
      <c r="K63" s="9">
        <f t="shared" si="4"/>
        <v>0</v>
      </c>
      <c r="L63" s="1">
        <f t="shared" si="5"/>
        <v>-5</v>
      </c>
    </row>
    <row r="64" s="1" customFormat="1" spans="1:12">
      <c r="A64" s="2">
        <v>2.072</v>
      </c>
      <c r="B64" s="10" t="s">
        <v>9</v>
      </c>
      <c r="C64" s="4">
        <v>2.039</v>
      </c>
      <c r="D64" s="5">
        <v>47.7</v>
      </c>
      <c r="E64" s="4"/>
      <c r="F64" s="4"/>
      <c r="G64" s="2">
        <f t="shared" si="0"/>
        <v>2.039</v>
      </c>
      <c r="H64" s="11" t="str">
        <f t="shared" si="1"/>
        <v>3.434E-2</v>
      </c>
      <c r="I64" s="2">
        <f t="shared" si="2"/>
        <v>47.4</v>
      </c>
      <c r="J64" s="4">
        <f t="shared" si="3"/>
        <v>2.039</v>
      </c>
      <c r="K64" s="9">
        <f t="shared" si="4"/>
        <v>0.100000000000031</v>
      </c>
      <c r="L64" s="1">
        <f t="shared" si="5"/>
        <v>-5</v>
      </c>
    </row>
    <row r="65" s="1" customFormat="1" spans="1:12">
      <c r="A65" s="2">
        <v>2.106</v>
      </c>
      <c r="B65" s="10" t="s">
        <v>9</v>
      </c>
      <c r="C65" s="4">
        <v>2.072</v>
      </c>
      <c r="D65" s="5">
        <v>47.5</v>
      </c>
      <c r="E65" s="4"/>
      <c r="F65" s="4"/>
      <c r="G65" s="2">
        <f t="shared" si="0"/>
        <v>2.072</v>
      </c>
      <c r="H65" s="11" t="str">
        <f t="shared" si="1"/>
        <v>3.433E-2</v>
      </c>
      <c r="I65" s="2">
        <f t="shared" si="2"/>
        <v>47.7</v>
      </c>
      <c r="J65" s="4">
        <f t="shared" si="3"/>
        <v>2.072</v>
      </c>
      <c r="K65" s="9">
        <f t="shared" si="4"/>
        <v>0</v>
      </c>
      <c r="L65" s="1">
        <f t="shared" si="5"/>
        <v>-5</v>
      </c>
    </row>
    <row r="66" s="1" customFormat="1" spans="1:12">
      <c r="A66" s="2">
        <v>2.139</v>
      </c>
      <c r="B66" s="10" t="s">
        <v>10</v>
      </c>
      <c r="C66" s="4">
        <v>2.106</v>
      </c>
      <c r="D66" s="5">
        <v>47.3</v>
      </c>
      <c r="E66" s="4"/>
      <c r="F66" s="4"/>
      <c r="G66" s="2">
        <f t="shared" si="0"/>
        <v>2.106</v>
      </c>
      <c r="H66" s="11" t="str">
        <f t="shared" si="1"/>
        <v>3.433E-2</v>
      </c>
      <c r="I66" s="2">
        <f t="shared" si="2"/>
        <v>47.5</v>
      </c>
      <c r="J66" s="4">
        <f t="shared" si="3"/>
        <v>2.106</v>
      </c>
      <c r="K66" s="9">
        <f t="shared" si="4"/>
        <v>0</v>
      </c>
      <c r="L66" s="1">
        <f t="shared" si="5"/>
        <v>-5</v>
      </c>
    </row>
    <row r="67" s="1" customFormat="1" spans="1:12">
      <c r="A67" s="2">
        <v>2.173</v>
      </c>
      <c r="B67" s="10" t="s">
        <v>9</v>
      </c>
      <c r="C67" s="4">
        <v>2.139</v>
      </c>
      <c r="D67" s="5">
        <v>47.9</v>
      </c>
      <c r="E67" s="4"/>
      <c r="F67" s="4"/>
      <c r="G67" s="2">
        <f t="shared" si="0"/>
        <v>2.139</v>
      </c>
      <c r="H67" s="11" t="str">
        <f t="shared" si="1"/>
        <v>3.434E-2</v>
      </c>
      <c r="I67" s="2">
        <f t="shared" si="2"/>
        <v>47.3</v>
      </c>
      <c r="J67" s="4">
        <f t="shared" si="3"/>
        <v>2.139</v>
      </c>
      <c r="K67" s="9">
        <f t="shared" si="4"/>
        <v>0.100000000000031</v>
      </c>
      <c r="L67" s="1">
        <f t="shared" si="5"/>
        <v>-5</v>
      </c>
    </row>
    <row r="68" s="1" customFormat="1" spans="1:12">
      <c r="A68" s="2">
        <v>2.206</v>
      </c>
      <c r="B68" s="10" t="s">
        <v>10</v>
      </c>
      <c r="C68" s="4">
        <v>2.173</v>
      </c>
      <c r="D68" s="5">
        <v>47.6</v>
      </c>
      <c r="E68" s="4"/>
      <c r="F68" s="4"/>
      <c r="G68" s="2">
        <f t="shared" ref="G68:G131" si="6">A67</f>
        <v>2.173</v>
      </c>
      <c r="H68" s="11" t="str">
        <f t="shared" ref="H68:H131" si="7">B67</f>
        <v>3.433E-2</v>
      </c>
      <c r="I68" s="2">
        <f t="shared" ref="I68:I131" si="8">D67</f>
        <v>47.9</v>
      </c>
      <c r="J68" s="4">
        <f t="shared" ref="J68:J131" si="9">G68</f>
        <v>2.173</v>
      </c>
      <c r="K68" s="9">
        <f t="shared" ref="K68:K131" si="10">(H68-$H$4)*10000</f>
        <v>0</v>
      </c>
      <c r="L68" s="1">
        <f t="shared" si="5"/>
        <v>-5</v>
      </c>
    </row>
    <row r="69" s="1" customFormat="1" spans="1:12">
      <c r="A69" s="2">
        <v>2.24</v>
      </c>
      <c r="B69" s="10" t="s">
        <v>10</v>
      </c>
      <c r="C69" s="4">
        <v>2.206</v>
      </c>
      <c r="D69" s="5">
        <v>47.9</v>
      </c>
      <c r="E69" s="4"/>
      <c r="F69" s="4"/>
      <c r="G69" s="2">
        <f t="shared" si="6"/>
        <v>2.206</v>
      </c>
      <c r="H69" s="11" t="str">
        <f t="shared" si="7"/>
        <v>3.434E-2</v>
      </c>
      <c r="I69" s="2">
        <f t="shared" si="8"/>
        <v>47.6</v>
      </c>
      <c r="J69" s="4">
        <f t="shared" si="9"/>
        <v>2.206</v>
      </c>
      <c r="K69" s="9">
        <f t="shared" si="10"/>
        <v>0.100000000000031</v>
      </c>
      <c r="L69" s="1">
        <f t="shared" ref="L69:L132" si="11">IF(I69&lt;230,-5,23)</f>
        <v>-5</v>
      </c>
    </row>
    <row r="70" s="1" customFormat="1" spans="1:12">
      <c r="A70" s="2">
        <v>2.273</v>
      </c>
      <c r="B70" s="10" t="s">
        <v>10</v>
      </c>
      <c r="C70" s="4">
        <v>2.24</v>
      </c>
      <c r="D70" s="5">
        <v>47.4</v>
      </c>
      <c r="E70" s="4"/>
      <c r="F70" s="4"/>
      <c r="G70" s="2">
        <f t="shared" si="6"/>
        <v>2.24</v>
      </c>
      <c r="H70" s="11" t="str">
        <f t="shared" si="7"/>
        <v>3.434E-2</v>
      </c>
      <c r="I70" s="2">
        <f t="shared" si="8"/>
        <v>47.9</v>
      </c>
      <c r="J70" s="4">
        <f t="shared" si="9"/>
        <v>2.24</v>
      </c>
      <c r="K70" s="9">
        <f t="shared" si="10"/>
        <v>0.100000000000031</v>
      </c>
      <c r="L70" s="1">
        <f t="shared" si="11"/>
        <v>-5</v>
      </c>
    </row>
    <row r="71" s="1" customFormat="1" spans="1:12">
      <c r="A71" s="2">
        <v>2.306</v>
      </c>
      <c r="B71" s="10" t="s">
        <v>10</v>
      </c>
      <c r="C71" s="4">
        <v>2.273</v>
      </c>
      <c r="D71" s="5">
        <v>47.6</v>
      </c>
      <c r="E71" s="4"/>
      <c r="F71" s="4"/>
      <c r="G71" s="2">
        <f t="shared" si="6"/>
        <v>2.273</v>
      </c>
      <c r="H71" s="11" t="str">
        <f t="shared" si="7"/>
        <v>3.434E-2</v>
      </c>
      <c r="I71" s="2">
        <f t="shared" si="8"/>
        <v>47.4</v>
      </c>
      <c r="J71" s="4">
        <f t="shared" si="9"/>
        <v>2.273</v>
      </c>
      <c r="K71" s="9">
        <f t="shared" si="10"/>
        <v>0.100000000000031</v>
      </c>
      <c r="L71" s="1">
        <f t="shared" si="11"/>
        <v>-5</v>
      </c>
    </row>
    <row r="72" s="1" customFormat="1" spans="1:12">
      <c r="A72" s="2">
        <v>2.34</v>
      </c>
      <c r="B72" s="10" t="s">
        <v>10</v>
      </c>
      <c r="C72" s="4">
        <v>2.306</v>
      </c>
      <c r="D72" s="5">
        <v>47.5</v>
      </c>
      <c r="E72" s="4"/>
      <c r="F72" s="4"/>
      <c r="G72" s="2">
        <f t="shared" si="6"/>
        <v>2.306</v>
      </c>
      <c r="H72" s="11" t="str">
        <f t="shared" si="7"/>
        <v>3.434E-2</v>
      </c>
      <c r="I72" s="2">
        <f t="shared" si="8"/>
        <v>47.6</v>
      </c>
      <c r="J72" s="4">
        <f t="shared" si="9"/>
        <v>2.306</v>
      </c>
      <c r="K72" s="9">
        <f t="shared" si="10"/>
        <v>0.100000000000031</v>
      </c>
      <c r="L72" s="1">
        <f t="shared" si="11"/>
        <v>-5</v>
      </c>
    </row>
    <row r="73" s="1" customFormat="1" spans="1:12">
      <c r="A73" s="2">
        <v>2.373</v>
      </c>
      <c r="B73" s="10" t="s">
        <v>12</v>
      </c>
      <c r="C73" s="4">
        <v>2.34</v>
      </c>
      <c r="D73" s="5">
        <v>47.3</v>
      </c>
      <c r="E73" s="4"/>
      <c r="F73" s="4"/>
      <c r="G73" s="2">
        <f t="shared" si="6"/>
        <v>2.34</v>
      </c>
      <c r="H73" s="11" t="str">
        <f t="shared" si="7"/>
        <v>3.434E-2</v>
      </c>
      <c r="I73" s="2">
        <f t="shared" si="8"/>
        <v>47.5</v>
      </c>
      <c r="J73" s="4">
        <f t="shared" si="9"/>
        <v>2.34</v>
      </c>
      <c r="K73" s="9">
        <f t="shared" si="10"/>
        <v>0.100000000000031</v>
      </c>
      <c r="L73" s="1">
        <f t="shared" si="11"/>
        <v>-5</v>
      </c>
    </row>
    <row r="74" s="1" customFormat="1" spans="1:12">
      <c r="A74" s="2">
        <v>2.407</v>
      </c>
      <c r="B74" s="10" t="s">
        <v>10</v>
      </c>
      <c r="C74" s="4">
        <v>2.373</v>
      </c>
      <c r="D74" s="5">
        <v>47.7</v>
      </c>
      <c r="E74" s="4"/>
      <c r="F74" s="4"/>
      <c r="G74" s="2">
        <f t="shared" si="6"/>
        <v>2.373</v>
      </c>
      <c r="H74" s="11" t="str">
        <f t="shared" si="7"/>
        <v>3.435E-2</v>
      </c>
      <c r="I74" s="2">
        <f t="shared" si="8"/>
        <v>47.3</v>
      </c>
      <c r="J74" s="4">
        <f t="shared" si="9"/>
        <v>2.373</v>
      </c>
      <c r="K74" s="9">
        <f t="shared" si="10"/>
        <v>0.199999999999992</v>
      </c>
      <c r="L74" s="1">
        <f t="shared" si="11"/>
        <v>-5</v>
      </c>
    </row>
    <row r="75" s="1" customFormat="1" spans="1:12">
      <c r="A75" s="2">
        <v>2.44</v>
      </c>
      <c r="B75" s="10" t="s">
        <v>10</v>
      </c>
      <c r="C75" s="4">
        <v>2.407</v>
      </c>
      <c r="D75" s="5">
        <v>48.6</v>
      </c>
      <c r="E75" s="4"/>
      <c r="F75" s="4"/>
      <c r="G75" s="2">
        <f t="shared" si="6"/>
        <v>2.407</v>
      </c>
      <c r="H75" s="11" t="str">
        <f t="shared" si="7"/>
        <v>3.434E-2</v>
      </c>
      <c r="I75" s="2">
        <f t="shared" si="8"/>
        <v>47.7</v>
      </c>
      <c r="J75" s="4">
        <f t="shared" si="9"/>
        <v>2.407</v>
      </c>
      <c r="K75" s="9">
        <f t="shared" si="10"/>
        <v>0.100000000000031</v>
      </c>
      <c r="L75" s="1">
        <f t="shared" si="11"/>
        <v>-5</v>
      </c>
    </row>
    <row r="76" s="1" customFormat="1" spans="1:12">
      <c r="A76" s="2">
        <v>2.474</v>
      </c>
      <c r="B76" s="10" t="s">
        <v>10</v>
      </c>
      <c r="C76" s="4">
        <v>2.44</v>
      </c>
      <c r="D76" s="5">
        <v>47.5</v>
      </c>
      <c r="E76" s="4"/>
      <c r="F76" s="4"/>
      <c r="G76" s="2">
        <f t="shared" si="6"/>
        <v>2.44</v>
      </c>
      <c r="H76" s="11" t="str">
        <f t="shared" si="7"/>
        <v>3.434E-2</v>
      </c>
      <c r="I76" s="2">
        <f t="shared" si="8"/>
        <v>48.6</v>
      </c>
      <c r="J76" s="4">
        <f t="shared" si="9"/>
        <v>2.44</v>
      </c>
      <c r="K76" s="9">
        <f t="shared" si="10"/>
        <v>0.100000000000031</v>
      </c>
      <c r="L76" s="1">
        <f t="shared" si="11"/>
        <v>-5</v>
      </c>
    </row>
    <row r="77" s="1" customFormat="1" spans="1:12">
      <c r="A77" s="2">
        <v>2.507</v>
      </c>
      <c r="B77" s="10" t="s">
        <v>10</v>
      </c>
      <c r="C77" s="4">
        <v>2.474</v>
      </c>
      <c r="D77" s="5">
        <v>47.4</v>
      </c>
      <c r="E77" s="4"/>
      <c r="F77" s="4"/>
      <c r="G77" s="2">
        <f t="shared" si="6"/>
        <v>2.474</v>
      </c>
      <c r="H77" s="11" t="str">
        <f t="shared" si="7"/>
        <v>3.434E-2</v>
      </c>
      <c r="I77" s="2">
        <f t="shared" si="8"/>
        <v>47.5</v>
      </c>
      <c r="J77" s="4">
        <f t="shared" si="9"/>
        <v>2.474</v>
      </c>
      <c r="K77" s="9">
        <f t="shared" si="10"/>
        <v>0.100000000000031</v>
      </c>
      <c r="L77" s="1">
        <f t="shared" si="11"/>
        <v>-5</v>
      </c>
    </row>
    <row r="78" s="1" customFormat="1" spans="1:12">
      <c r="A78" s="2">
        <v>2.54</v>
      </c>
      <c r="B78" s="10" t="s">
        <v>10</v>
      </c>
      <c r="C78" s="4">
        <v>2.507</v>
      </c>
      <c r="D78" s="5">
        <v>47.8</v>
      </c>
      <c r="E78" s="4"/>
      <c r="F78" s="4"/>
      <c r="G78" s="2">
        <f t="shared" si="6"/>
        <v>2.507</v>
      </c>
      <c r="H78" s="11" t="str">
        <f t="shared" si="7"/>
        <v>3.434E-2</v>
      </c>
      <c r="I78" s="2">
        <f t="shared" si="8"/>
        <v>47.4</v>
      </c>
      <c r="J78" s="4">
        <f t="shared" si="9"/>
        <v>2.507</v>
      </c>
      <c r="K78" s="9">
        <f t="shared" si="10"/>
        <v>0.100000000000031</v>
      </c>
      <c r="L78" s="1">
        <f t="shared" si="11"/>
        <v>-5</v>
      </c>
    </row>
    <row r="79" s="1" customFormat="1" spans="1:12">
      <c r="A79" s="2">
        <v>2.574</v>
      </c>
      <c r="B79" s="10" t="s">
        <v>9</v>
      </c>
      <c r="C79" s="4">
        <v>2.54</v>
      </c>
      <c r="D79" s="5">
        <v>47.2</v>
      </c>
      <c r="E79" s="4"/>
      <c r="F79" s="4"/>
      <c r="G79" s="2">
        <f t="shared" si="6"/>
        <v>2.54</v>
      </c>
      <c r="H79" s="11" t="str">
        <f t="shared" si="7"/>
        <v>3.434E-2</v>
      </c>
      <c r="I79" s="2">
        <f t="shared" si="8"/>
        <v>47.8</v>
      </c>
      <c r="J79" s="4">
        <f t="shared" si="9"/>
        <v>2.54</v>
      </c>
      <c r="K79" s="9">
        <f t="shared" si="10"/>
        <v>0.100000000000031</v>
      </c>
      <c r="L79" s="1">
        <f t="shared" si="11"/>
        <v>-5</v>
      </c>
    </row>
    <row r="80" s="1" customFormat="1" spans="1:12">
      <c r="A80" s="2">
        <v>2.607</v>
      </c>
      <c r="B80" s="10" t="s">
        <v>10</v>
      </c>
      <c r="C80" s="4">
        <v>2.574</v>
      </c>
      <c r="D80" s="5">
        <v>47.2</v>
      </c>
      <c r="E80" s="4"/>
      <c r="F80" s="4"/>
      <c r="G80" s="2">
        <f t="shared" si="6"/>
        <v>2.574</v>
      </c>
      <c r="H80" s="11" t="str">
        <f t="shared" si="7"/>
        <v>3.433E-2</v>
      </c>
      <c r="I80" s="2">
        <f t="shared" si="8"/>
        <v>47.2</v>
      </c>
      <c r="J80" s="4">
        <f t="shared" si="9"/>
        <v>2.574</v>
      </c>
      <c r="K80" s="9">
        <f t="shared" si="10"/>
        <v>0</v>
      </c>
      <c r="L80" s="1">
        <f t="shared" si="11"/>
        <v>-5</v>
      </c>
    </row>
    <row r="81" s="1" customFormat="1" spans="1:12">
      <c r="A81" s="2">
        <v>2.641</v>
      </c>
      <c r="B81" s="10" t="s">
        <v>9</v>
      </c>
      <c r="C81" s="4">
        <v>2.607</v>
      </c>
      <c r="D81" s="5">
        <v>47.8</v>
      </c>
      <c r="E81" s="4"/>
      <c r="F81" s="4"/>
      <c r="G81" s="2">
        <f t="shared" si="6"/>
        <v>2.607</v>
      </c>
      <c r="H81" s="11" t="str">
        <f t="shared" si="7"/>
        <v>3.434E-2</v>
      </c>
      <c r="I81" s="2">
        <f t="shared" si="8"/>
        <v>47.2</v>
      </c>
      <c r="J81" s="4">
        <f t="shared" si="9"/>
        <v>2.607</v>
      </c>
      <c r="K81" s="9">
        <f t="shared" si="10"/>
        <v>0.100000000000031</v>
      </c>
      <c r="L81" s="1">
        <f t="shared" si="11"/>
        <v>-5</v>
      </c>
    </row>
    <row r="82" s="1" customFormat="1" spans="1:12">
      <c r="A82" s="2">
        <v>2.674</v>
      </c>
      <c r="B82" s="10" t="s">
        <v>9</v>
      </c>
      <c r="C82" s="4">
        <v>2.641</v>
      </c>
      <c r="D82" s="5">
        <v>47.6</v>
      </c>
      <c r="E82" s="4"/>
      <c r="F82" s="4"/>
      <c r="G82" s="2">
        <f t="shared" si="6"/>
        <v>2.641</v>
      </c>
      <c r="H82" s="11" t="str">
        <f t="shared" si="7"/>
        <v>3.433E-2</v>
      </c>
      <c r="I82" s="2">
        <f t="shared" si="8"/>
        <v>47.8</v>
      </c>
      <c r="J82" s="4">
        <f t="shared" si="9"/>
        <v>2.641</v>
      </c>
      <c r="K82" s="9">
        <f t="shared" si="10"/>
        <v>0</v>
      </c>
      <c r="L82" s="1">
        <f t="shared" si="11"/>
        <v>-5</v>
      </c>
    </row>
    <row r="83" s="1" customFormat="1" spans="1:12">
      <c r="A83" s="2">
        <v>2.708</v>
      </c>
      <c r="B83" s="10" t="s">
        <v>9</v>
      </c>
      <c r="C83" s="4">
        <v>2.674</v>
      </c>
      <c r="D83" s="5">
        <v>47.7</v>
      </c>
      <c r="E83" s="4"/>
      <c r="F83" s="4"/>
      <c r="G83" s="2">
        <f t="shared" si="6"/>
        <v>2.674</v>
      </c>
      <c r="H83" s="11" t="str">
        <f t="shared" si="7"/>
        <v>3.433E-2</v>
      </c>
      <c r="I83" s="2">
        <f t="shared" si="8"/>
        <v>47.6</v>
      </c>
      <c r="J83" s="4">
        <f t="shared" si="9"/>
        <v>2.674</v>
      </c>
      <c r="K83" s="9">
        <f t="shared" si="10"/>
        <v>0</v>
      </c>
      <c r="L83" s="1">
        <f t="shared" si="11"/>
        <v>-5</v>
      </c>
    </row>
    <row r="84" s="1" customFormat="1" spans="1:12">
      <c r="A84" s="2">
        <v>2.741</v>
      </c>
      <c r="B84" s="10" t="s">
        <v>9</v>
      </c>
      <c r="C84" s="4">
        <v>2.708</v>
      </c>
      <c r="D84" s="5">
        <v>47.7</v>
      </c>
      <c r="E84" s="4"/>
      <c r="F84" s="4"/>
      <c r="G84" s="2">
        <f t="shared" si="6"/>
        <v>2.708</v>
      </c>
      <c r="H84" s="11" t="str">
        <f t="shared" si="7"/>
        <v>3.433E-2</v>
      </c>
      <c r="I84" s="2">
        <f t="shared" si="8"/>
        <v>47.7</v>
      </c>
      <c r="J84" s="4">
        <f t="shared" si="9"/>
        <v>2.708</v>
      </c>
      <c r="K84" s="9">
        <f t="shared" si="10"/>
        <v>0</v>
      </c>
      <c r="L84" s="1">
        <f t="shared" si="11"/>
        <v>-5</v>
      </c>
    </row>
    <row r="85" s="1" customFormat="1" spans="1:12">
      <c r="A85" s="2">
        <v>2.774</v>
      </c>
      <c r="B85" s="10" t="s">
        <v>11</v>
      </c>
      <c r="C85" s="4">
        <v>2.741</v>
      </c>
      <c r="D85" s="5">
        <v>47.4</v>
      </c>
      <c r="E85" s="4"/>
      <c r="F85" s="4"/>
      <c r="G85" s="2">
        <f t="shared" si="6"/>
        <v>2.741</v>
      </c>
      <c r="H85" s="11" t="str">
        <f t="shared" si="7"/>
        <v>3.433E-2</v>
      </c>
      <c r="I85" s="2">
        <f t="shared" si="8"/>
        <v>47.7</v>
      </c>
      <c r="J85" s="4">
        <f t="shared" si="9"/>
        <v>2.741</v>
      </c>
      <c r="K85" s="9">
        <f t="shared" si="10"/>
        <v>0</v>
      </c>
      <c r="L85" s="1">
        <f t="shared" si="11"/>
        <v>-5</v>
      </c>
    </row>
    <row r="86" s="1" customFormat="1" spans="1:12">
      <c r="A86" s="2">
        <v>2.808</v>
      </c>
      <c r="B86" s="10" t="s">
        <v>9</v>
      </c>
      <c r="C86" s="4">
        <v>2.774</v>
      </c>
      <c r="D86" s="5">
        <v>47.8</v>
      </c>
      <c r="E86" s="4"/>
      <c r="F86" s="4"/>
      <c r="G86" s="2">
        <f t="shared" si="6"/>
        <v>2.774</v>
      </c>
      <c r="H86" s="11" t="str">
        <f t="shared" si="7"/>
        <v>3.432E-2</v>
      </c>
      <c r="I86" s="2">
        <f t="shared" si="8"/>
        <v>47.4</v>
      </c>
      <c r="J86" s="4">
        <f t="shared" si="9"/>
        <v>2.774</v>
      </c>
      <c r="K86" s="9">
        <f t="shared" si="10"/>
        <v>-0.0999999999999612</v>
      </c>
      <c r="L86" s="1">
        <f t="shared" si="11"/>
        <v>-5</v>
      </c>
    </row>
    <row r="87" s="1" customFormat="1" spans="1:12">
      <c r="A87" s="2">
        <v>2.841</v>
      </c>
      <c r="B87" s="10" t="s">
        <v>9</v>
      </c>
      <c r="C87" s="4">
        <v>2.808</v>
      </c>
      <c r="D87" s="5">
        <v>47.1</v>
      </c>
      <c r="E87" s="4"/>
      <c r="F87" s="4"/>
      <c r="G87" s="2">
        <f t="shared" si="6"/>
        <v>2.808</v>
      </c>
      <c r="H87" s="11" t="str">
        <f t="shared" si="7"/>
        <v>3.433E-2</v>
      </c>
      <c r="I87" s="2">
        <f t="shared" si="8"/>
        <v>47.8</v>
      </c>
      <c r="J87" s="4">
        <f t="shared" si="9"/>
        <v>2.808</v>
      </c>
      <c r="K87" s="9">
        <f t="shared" si="10"/>
        <v>0</v>
      </c>
      <c r="L87" s="1">
        <f t="shared" si="11"/>
        <v>-5</v>
      </c>
    </row>
    <row r="88" s="1" customFormat="1" spans="1:12">
      <c r="A88" s="2">
        <v>2.875</v>
      </c>
      <c r="B88" s="10" t="s">
        <v>11</v>
      </c>
      <c r="C88" s="4">
        <v>2.841</v>
      </c>
      <c r="D88" s="5">
        <v>47.2</v>
      </c>
      <c r="E88" s="4"/>
      <c r="F88" s="4"/>
      <c r="G88" s="2">
        <f t="shared" si="6"/>
        <v>2.841</v>
      </c>
      <c r="H88" s="11" t="str">
        <f t="shared" si="7"/>
        <v>3.433E-2</v>
      </c>
      <c r="I88" s="2">
        <f t="shared" si="8"/>
        <v>47.1</v>
      </c>
      <c r="J88" s="4">
        <f t="shared" si="9"/>
        <v>2.841</v>
      </c>
      <c r="K88" s="9">
        <f t="shared" si="10"/>
        <v>0</v>
      </c>
      <c r="L88" s="1">
        <f t="shared" si="11"/>
        <v>-5</v>
      </c>
    </row>
    <row r="89" s="1" customFormat="1" spans="1:12">
      <c r="A89" s="2">
        <v>2.908</v>
      </c>
      <c r="B89" s="10" t="s">
        <v>11</v>
      </c>
      <c r="C89" s="4">
        <v>2.875</v>
      </c>
      <c r="D89" s="5">
        <v>47.9</v>
      </c>
      <c r="E89" s="4"/>
      <c r="F89" s="4"/>
      <c r="G89" s="2">
        <f t="shared" si="6"/>
        <v>2.875</v>
      </c>
      <c r="H89" s="11" t="str">
        <f t="shared" si="7"/>
        <v>3.432E-2</v>
      </c>
      <c r="I89" s="2">
        <f t="shared" si="8"/>
        <v>47.2</v>
      </c>
      <c r="J89" s="4">
        <f t="shared" si="9"/>
        <v>2.875</v>
      </c>
      <c r="K89" s="9">
        <f t="shared" si="10"/>
        <v>-0.0999999999999612</v>
      </c>
      <c r="L89" s="1">
        <f t="shared" si="11"/>
        <v>-5</v>
      </c>
    </row>
    <row r="90" s="1" customFormat="1" spans="1:12">
      <c r="A90" s="2">
        <v>2.942</v>
      </c>
      <c r="B90" s="10" t="s">
        <v>11</v>
      </c>
      <c r="C90" s="4">
        <v>2.908</v>
      </c>
      <c r="D90" s="5">
        <v>48</v>
      </c>
      <c r="E90" s="4"/>
      <c r="F90" s="4"/>
      <c r="G90" s="2">
        <f t="shared" si="6"/>
        <v>2.908</v>
      </c>
      <c r="H90" s="11" t="str">
        <f t="shared" si="7"/>
        <v>3.432E-2</v>
      </c>
      <c r="I90" s="2">
        <f t="shared" si="8"/>
        <v>47.9</v>
      </c>
      <c r="J90" s="4">
        <f t="shared" si="9"/>
        <v>2.908</v>
      </c>
      <c r="K90" s="9">
        <f t="shared" si="10"/>
        <v>-0.0999999999999612</v>
      </c>
      <c r="L90" s="1">
        <f t="shared" si="11"/>
        <v>-5</v>
      </c>
    </row>
    <row r="91" s="1" customFormat="1" spans="1:12">
      <c r="A91" s="2">
        <v>2.975</v>
      </c>
      <c r="B91" s="10" t="s">
        <v>11</v>
      </c>
      <c r="C91" s="4">
        <v>2.942</v>
      </c>
      <c r="D91" s="5">
        <v>47.4</v>
      </c>
      <c r="E91" s="4"/>
      <c r="F91" s="4"/>
      <c r="G91" s="2">
        <f t="shared" si="6"/>
        <v>2.942</v>
      </c>
      <c r="H91" s="11" t="str">
        <f t="shared" si="7"/>
        <v>3.432E-2</v>
      </c>
      <c r="I91" s="2">
        <f t="shared" si="8"/>
        <v>48</v>
      </c>
      <c r="J91" s="4">
        <f t="shared" si="9"/>
        <v>2.942</v>
      </c>
      <c r="K91" s="9">
        <f t="shared" si="10"/>
        <v>-0.0999999999999612</v>
      </c>
      <c r="L91" s="1">
        <f t="shared" si="11"/>
        <v>-5</v>
      </c>
    </row>
    <row r="92" s="1" customFormat="1" spans="1:12">
      <c r="A92" s="2">
        <v>3.008</v>
      </c>
      <c r="B92" s="10" t="s">
        <v>11</v>
      </c>
      <c r="C92" s="4">
        <v>2.975</v>
      </c>
      <c r="D92" s="5">
        <v>47.9</v>
      </c>
      <c r="E92" s="4"/>
      <c r="F92" s="4"/>
      <c r="G92" s="2">
        <f t="shared" si="6"/>
        <v>2.975</v>
      </c>
      <c r="H92" s="11" t="str">
        <f t="shared" si="7"/>
        <v>3.432E-2</v>
      </c>
      <c r="I92" s="2">
        <f t="shared" si="8"/>
        <v>47.4</v>
      </c>
      <c r="J92" s="4">
        <f t="shared" si="9"/>
        <v>2.975</v>
      </c>
      <c r="K92" s="9">
        <f t="shared" si="10"/>
        <v>-0.0999999999999612</v>
      </c>
      <c r="L92" s="1">
        <f t="shared" si="11"/>
        <v>-5</v>
      </c>
    </row>
    <row r="93" s="1" customFormat="1" spans="1:12">
      <c r="A93" s="2">
        <v>3.042</v>
      </c>
      <c r="B93" s="10" t="s">
        <v>11</v>
      </c>
      <c r="C93" s="4">
        <v>3.008</v>
      </c>
      <c r="D93" s="5">
        <v>47.4</v>
      </c>
      <c r="E93" s="4"/>
      <c r="F93" s="4"/>
      <c r="G93" s="2">
        <f t="shared" si="6"/>
        <v>3.008</v>
      </c>
      <c r="H93" s="11" t="str">
        <f t="shared" si="7"/>
        <v>3.432E-2</v>
      </c>
      <c r="I93" s="2">
        <f t="shared" si="8"/>
        <v>47.9</v>
      </c>
      <c r="J93" s="4">
        <f t="shared" si="9"/>
        <v>3.008</v>
      </c>
      <c r="K93" s="9">
        <f t="shared" si="10"/>
        <v>-0.0999999999999612</v>
      </c>
      <c r="L93" s="1">
        <f t="shared" si="11"/>
        <v>-5</v>
      </c>
    </row>
    <row r="94" s="1" customFormat="1" spans="1:12">
      <c r="A94" s="2">
        <v>3.075</v>
      </c>
      <c r="B94" s="10" t="s">
        <v>11</v>
      </c>
      <c r="C94" s="4">
        <v>3.042</v>
      </c>
      <c r="D94" s="5">
        <v>48.1</v>
      </c>
      <c r="E94" s="4"/>
      <c r="F94" s="4"/>
      <c r="G94" s="2">
        <f t="shared" si="6"/>
        <v>3.042</v>
      </c>
      <c r="H94" s="11" t="str">
        <f t="shared" si="7"/>
        <v>3.432E-2</v>
      </c>
      <c r="I94" s="2">
        <f t="shared" si="8"/>
        <v>47.4</v>
      </c>
      <c r="J94" s="4">
        <f t="shared" si="9"/>
        <v>3.042</v>
      </c>
      <c r="K94" s="9">
        <f t="shared" si="10"/>
        <v>-0.0999999999999612</v>
      </c>
      <c r="L94" s="1">
        <f t="shared" si="11"/>
        <v>-5</v>
      </c>
    </row>
    <row r="95" s="1" customFormat="1" spans="1:12">
      <c r="A95" s="2">
        <v>3.109</v>
      </c>
      <c r="B95" s="10" t="s">
        <v>11</v>
      </c>
      <c r="C95" s="4">
        <v>3.075</v>
      </c>
      <c r="D95" s="5">
        <v>47.8</v>
      </c>
      <c r="E95" s="4"/>
      <c r="F95" s="4"/>
      <c r="G95" s="2">
        <f t="shared" si="6"/>
        <v>3.075</v>
      </c>
      <c r="H95" s="11" t="str">
        <f t="shared" si="7"/>
        <v>3.432E-2</v>
      </c>
      <c r="I95" s="2">
        <f t="shared" si="8"/>
        <v>48.1</v>
      </c>
      <c r="J95" s="4">
        <f t="shared" si="9"/>
        <v>3.075</v>
      </c>
      <c r="K95" s="9">
        <f t="shared" si="10"/>
        <v>-0.0999999999999612</v>
      </c>
      <c r="L95" s="1">
        <f t="shared" si="11"/>
        <v>-5</v>
      </c>
    </row>
    <row r="96" s="1" customFormat="1" spans="1:12">
      <c r="A96" s="2">
        <v>3.142</v>
      </c>
      <c r="B96" s="10" t="s">
        <v>10</v>
      </c>
      <c r="C96" s="4">
        <v>3.109</v>
      </c>
      <c r="D96" s="5">
        <v>47.7</v>
      </c>
      <c r="E96" s="4"/>
      <c r="F96" s="4"/>
      <c r="G96" s="2">
        <f t="shared" si="6"/>
        <v>3.109</v>
      </c>
      <c r="H96" s="11" t="str">
        <f t="shared" si="7"/>
        <v>3.432E-2</v>
      </c>
      <c r="I96" s="2">
        <f t="shared" si="8"/>
        <v>47.8</v>
      </c>
      <c r="J96" s="4">
        <f t="shared" si="9"/>
        <v>3.109</v>
      </c>
      <c r="K96" s="9">
        <f t="shared" si="10"/>
        <v>-0.0999999999999612</v>
      </c>
      <c r="L96" s="1">
        <f t="shared" si="11"/>
        <v>-5</v>
      </c>
    </row>
    <row r="97" s="1" customFormat="1" spans="1:12">
      <c r="A97" s="2">
        <v>3.176</v>
      </c>
      <c r="B97" s="10" t="s">
        <v>11</v>
      </c>
      <c r="C97" s="4">
        <v>3.142</v>
      </c>
      <c r="D97" s="5">
        <v>47.8</v>
      </c>
      <c r="E97" s="4"/>
      <c r="F97" s="4"/>
      <c r="G97" s="2">
        <f t="shared" si="6"/>
        <v>3.142</v>
      </c>
      <c r="H97" s="11" t="str">
        <f t="shared" si="7"/>
        <v>3.434E-2</v>
      </c>
      <c r="I97" s="2">
        <f t="shared" si="8"/>
        <v>47.7</v>
      </c>
      <c r="J97" s="4">
        <f t="shared" si="9"/>
        <v>3.142</v>
      </c>
      <c r="K97" s="9">
        <f t="shared" si="10"/>
        <v>0.100000000000031</v>
      </c>
      <c r="L97" s="1">
        <f t="shared" si="11"/>
        <v>-5</v>
      </c>
    </row>
    <row r="98" s="1" customFormat="1" spans="1:12">
      <c r="A98" s="2">
        <v>3.209</v>
      </c>
      <c r="B98" s="10" t="s">
        <v>13</v>
      </c>
      <c r="C98" s="4">
        <v>3.176</v>
      </c>
      <c r="D98" s="5">
        <v>47.3</v>
      </c>
      <c r="E98" s="4"/>
      <c r="F98" s="4"/>
      <c r="G98" s="2">
        <f t="shared" si="6"/>
        <v>3.176</v>
      </c>
      <c r="H98" s="11" t="str">
        <f t="shared" si="7"/>
        <v>3.432E-2</v>
      </c>
      <c r="I98" s="2">
        <f t="shared" si="8"/>
        <v>47.8</v>
      </c>
      <c r="J98" s="4">
        <f t="shared" si="9"/>
        <v>3.176</v>
      </c>
      <c r="K98" s="9">
        <f t="shared" si="10"/>
        <v>-0.0999999999999612</v>
      </c>
      <c r="L98" s="1">
        <f t="shared" si="11"/>
        <v>-5</v>
      </c>
    </row>
    <row r="99" s="1" customFormat="1" spans="1:12">
      <c r="A99" s="2">
        <v>3.242</v>
      </c>
      <c r="B99" s="10" t="s">
        <v>11</v>
      </c>
      <c r="C99" s="4">
        <v>3.209</v>
      </c>
      <c r="D99" s="5">
        <v>47.2</v>
      </c>
      <c r="E99" s="4"/>
      <c r="F99" s="4"/>
      <c r="G99" s="2">
        <f t="shared" si="6"/>
        <v>3.209</v>
      </c>
      <c r="H99" s="11" t="str">
        <f t="shared" si="7"/>
        <v>3.431E-2</v>
      </c>
      <c r="I99" s="2">
        <f t="shared" si="8"/>
        <v>47.3</v>
      </c>
      <c r="J99" s="4">
        <f t="shared" si="9"/>
        <v>3.209</v>
      </c>
      <c r="K99" s="9">
        <f t="shared" si="10"/>
        <v>-0.199999999999992</v>
      </c>
      <c r="L99" s="1">
        <f t="shared" si="11"/>
        <v>-5</v>
      </c>
    </row>
    <row r="100" s="1" customFormat="1" spans="1:12">
      <c r="A100" s="2">
        <v>3.276</v>
      </c>
      <c r="B100" s="10" t="s">
        <v>11</v>
      </c>
      <c r="C100" s="4">
        <v>3.242</v>
      </c>
      <c r="D100" s="5">
        <v>47.4</v>
      </c>
      <c r="E100" s="4"/>
      <c r="F100" s="4"/>
      <c r="G100" s="2">
        <f t="shared" si="6"/>
        <v>3.242</v>
      </c>
      <c r="H100" s="11" t="str">
        <f t="shared" si="7"/>
        <v>3.432E-2</v>
      </c>
      <c r="I100" s="2">
        <f t="shared" si="8"/>
        <v>47.2</v>
      </c>
      <c r="J100" s="4">
        <f t="shared" si="9"/>
        <v>3.242</v>
      </c>
      <c r="K100" s="9">
        <f t="shared" si="10"/>
        <v>-0.0999999999999612</v>
      </c>
      <c r="L100" s="1">
        <f t="shared" si="11"/>
        <v>-5</v>
      </c>
    </row>
    <row r="101" s="1" customFormat="1" spans="1:12">
      <c r="A101" s="2">
        <v>3.309</v>
      </c>
      <c r="B101" s="10" t="s">
        <v>11</v>
      </c>
      <c r="C101" s="4">
        <v>3.276</v>
      </c>
      <c r="D101" s="5">
        <v>47.8</v>
      </c>
      <c r="E101" s="4"/>
      <c r="F101" s="4"/>
      <c r="G101" s="2">
        <f t="shared" si="6"/>
        <v>3.276</v>
      </c>
      <c r="H101" s="11" t="str">
        <f t="shared" si="7"/>
        <v>3.432E-2</v>
      </c>
      <c r="I101" s="2">
        <f t="shared" si="8"/>
        <v>47.4</v>
      </c>
      <c r="J101" s="4">
        <f t="shared" si="9"/>
        <v>3.276</v>
      </c>
      <c r="K101" s="9">
        <f t="shared" si="10"/>
        <v>-0.0999999999999612</v>
      </c>
      <c r="L101" s="1">
        <f t="shared" si="11"/>
        <v>-5</v>
      </c>
    </row>
    <row r="102" s="1" customFormat="1" spans="1:12">
      <c r="A102" s="2">
        <v>3.343</v>
      </c>
      <c r="B102" s="10" t="s">
        <v>9</v>
      </c>
      <c r="C102" s="4">
        <v>3.309</v>
      </c>
      <c r="D102" s="5">
        <v>47.8</v>
      </c>
      <c r="E102" s="4"/>
      <c r="F102" s="4"/>
      <c r="G102" s="2">
        <f t="shared" si="6"/>
        <v>3.309</v>
      </c>
      <c r="H102" s="11" t="str">
        <f t="shared" si="7"/>
        <v>3.432E-2</v>
      </c>
      <c r="I102" s="2">
        <f t="shared" si="8"/>
        <v>47.8</v>
      </c>
      <c r="J102" s="4">
        <f t="shared" si="9"/>
        <v>3.309</v>
      </c>
      <c r="K102" s="9">
        <f t="shared" si="10"/>
        <v>-0.0999999999999612</v>
      </c>
      <c r="L102" s="1">
        <f t="shared" si="11"/>
        <v>-5</v>
      </c>
    </row>
    <row r="103" s="1" customFormat="1" spans="1:12">
      <c r="A103" s="2">
        <v>3.376</v>
      </c>
      <c r="B103" s="10" t="s">
        <v>10</v>
      </c>
      <c r="C103" s="4">
        <v>3.343</v>
      </c>
      <c r="D103" s="5">
        <v>47.7</v>
      </c>
      <c r="E103" s="4"/>
      <c r="F103" s="4"/>
      <c r="G103" s="2">
        <f t="shared" si="6"/>
        <v>3.343</v>
      </c>
      <c r="H103" s="11" t="str">
        <f t="shared" si="7"/>
        <v>3.433E-2</v>
      </c>
      <c r="I103" s="2">
        <f t="shared" si="8"/>
        <v>47.8</v>
      </c>
      <c r="J103" s="4">
        <f t="shared" si="9"/>
        <v>3.343</v>
      </c>
      <c r="K103" s="9">
        <f t="shared" si="10"/>
        <v>0</v>
      </c>
      <c r="L103" s="1">
        <f t="shared" si="11"/>
        <v>-5</v>
      </c>
    </row>
    <row r="104" s="1" customFormat="1" spans="1:12">
      <c r="A104" s="2">
        <v>3.41</v>
      </c>
      <c r="B104" s="10" t="s">
        <v>9</v>
      </c>
      <c r="C104" s="4">
        <v>3.376</v>
      </c>
      <c r="D104" s="5">
        <v>47.4</v>
      </c>
      <c r="E104" s="4"/>
      <c r="F104" s="4"/>
      <c r="G104" s="2">
        <f t="shared" si="6"/>
        <v>3.376</v>
      </c>
      <c r="H104" s="11" t="str">
        <f t="shared" si="7"/>
        <v>3.434E-2</v>
      </c>
      <c r="I104" s="2">
        <f t="shared" si="8"/>
        <v>47.7</v>
      </c>
      <c r="J104" s="4">
        <f t="shared" si="9"/>
        <v>3.376</v>
      </c>
      <c r="K104" s="9">
        <f t="shared" si="10"/>
        <v>0.100000000000031</v>
      </c>
      <c r="L104" s="1">
        <f t="shared" si="11"/>
        <v>-5</v>
      </c>
    </row>
    <row r="105" s="1" customFormat="1" spans="1:12">
      <c r="A105" s="2">
        <v>3.443</v>
      </c>
      <c r="B105" s="10" t="s">
        <v>10</v>
      </c>
      <c r="C105" s="4">
        <v>3.41</v>
      </c>
      <c r="D105" s="5">
        <v>47.5</v>
      </c>
      <c r="E105" s="4"/>
      <c r="F105" s="4"/>
      <c r="G105" s="2">
        <f t="shared" si="6"/>
        <v>3.41</v>
      </c>
      <c r="H105" s="11" t="str">
        <f t="shared" si="7"/>
        <v>3.433E-2</v>
      </c>
      <c r="I105" s="2">
        <f t="shared" si="8"/>
        <v>47.4</v>
      </c>
      <c r="J105" s="4">
        <f t="shared" si="9"/>
        <v>3.41</v>
      </c>
      <c r="K105" s="9">
        <f t="shared" si="10"/>
        <v>0</v>
      </c>
      <c r="L105" s="1">
        <f t="shared" si="11"/>
        <v>-5</v>
      </c>
    </row>
    <row r="106" s="1" customFormat="1" spans="1:12">
      <c r="A106" s="2">
        <v>3.476</v>
      </c>
      <c r="B106" s="10" t="s">
        <v>9</v>
      </c>
      <c r="C106" s="4">
        <v>3.443</v>
      </c>
      <c r="D106" s="5">
        <v>48</v>
      </c>
      <c r="E106" s="4"/>
      <c r="F106" s="4"/>
      <c r="G106" s="2">
        <f t="shared" si="6"/>
        <v>3.443</v>
      </c>
      <c r="H106" s="11" t="str">
        <f t="shared" si="7"/>
        <v>3.434E-2</v>
      </c>
      <c r="I106" s="2">
        <f t="shared" si="8"/>
        <v>47.5</v>
      </c>
      <c r="J106" s="4">
        <f t="shared" si="9"/>
        <v>3.443</v>
      </c>
      <c r="K106" s="9">
        <f t="shared" si="10"/>
        <v>0.100000000000031</v>
      </c>
      <c r="L106" s="1">
        <f t="shared" si="11"/>
        <v>-5</v>
      </c>
    </row>
    <row r="107" s="1" customFormat="1" spans="1:12">
      <c r="A107" s="2">
        <v>3.51</v>
      </c>
      <c r="B107" s="10" t="s">
        <v>10</v>
      </c>
      <c r="C107" s="4">
        <v>3.476</v>
      </c>
      <c r="D107" s="5">
        <v>47.4</v>
      </c>
      <c r="E107" s="4"/>
      <c r="F107" s="4"/>
      <c r="G107" s="2">
        <f t="shared" si="6"/>
        <v>3.476</v>
      </c>
      <c r="H107" s="11" t="str">
        <f t="shared" si="7"/>
        <v>3.433E-2</v>
      </c>
      <c r="I107" s="2">
        <f t="shared" si="8"/>
        <v>48</v>
      </c>
      <c r="J107" s="4">
        <f t="shared" si="9"/>
        <v>3.476</v>
      </c>
      <c r="K107" s="9">
        <f t="shared" si="10"/>
        <v>0</v>
      </c>
      <c r="L107" s="1">
        <f t="shared" si="11"/>
        <v>-5</v>
      </c>
    </row>
    <row r="108" s="1" customFormat="1" spans="1:12">
      <c r="A108" s="2">
        <v>3.543</v>
      </c>
      <c r="B108" s="10" t="s">
        <v>9</v>
      </c>
      <c r="C108" s="4">
        <v>3.51</v>
      </c>
      <c r="D108" s="5">
        <v>47.3</v>
      </c>
      <c r="E108" s="4"/>
      <c r="F108" s="4"/>
      <c r="G108" s="2">
        <f t="shared" si="6"/>
        <v>3.51</v>
      </c>
      <c r="H108" s="11" t="str">
        <f t="shared" si="7"/>
        <v>3.434E-2</v>
      </c>
      <c r="I108" s="2">
        <f t="shared" si="8"/>
        <v>47.4</v>
      </c>
      <c r="J108" s="4">
        <f t="shared" si="9"/>
        <v>3.51</v>
      </c>
      <c r="K108" s="9">
        <f t="shared" si="10"/>
        <v>0.100000000000031</v>
      </c>
      <c r="L108" s="1">
        <f t="shared" si="11"/>
        <v>-5</v>
      </c>
    </row>
    <row r="109" s="1" customFormat="1" spans="1:12">
      <c r="A109" s="2">
        <v>3.577</v>
      </c>
      <c r="B109" s="10" t="s">
        <v>10</v>
      </c>
      <c r="C109" s="4">
        <v>3.543</v>
      </c>
      <c r="D109" s="5">
        <v>47.5</v>
      </c>
      <c r="E109" s="4"/>
      <c r="F109" s="4"/>
      <c r="G109" s="2">
        <f t="shared" si="6"/>
        <v>3.543</v>
      </c>
      <c r="H109" s="11" t="str">
        <f t="shared" si="7"/>
        <v>3.433E-2</v>
      </c>
      <c r="I109" s="2">
        <f t="shared" si="8"/>
        <v>47.3</v>
      </c>
      <c r="J109" s="4">
        <f t="shared" si="9"/>
        <v>3.543</v>
      </c>
      <c r="K109" s="9">
        <f t="shared" si="10"/>
        <v>0</v>
      </c>
      <c r="L109" s="1">
        <f t="shared" si="11"/>
        <v>-5</v>
      </c>
    </row>
    <row r="110" s="1" customFormat="1" spans="1:12">
      <c r="A110" s="2">
        <v>3.61</v>
      </c>
      <c r="B110" s="10" t="s">
        <v>10</v>
      </c>
      <c r="C110" s="4">
        <v>3.577</v>
      </c>
      <c r="D110" s="5">
        <v>47.9</v>
      </c>
      <c r="E110" s="4"/>
      <c r="F110" s="4"/>
      <c r="G110" s="2">
        <f t="shared" si="6"/>
        <v>3.577</v>
      </c>
      <c r="H110" s="11" t="str">
        <f t="shared" si="7"/>
        <v>3.434E-2</v>
      </c>
      <c r="I110" s="2">
        <f t="shared" si="8"/>
        <v>47.5</v>
      </c>
      <c r="J110" s="4">
        <f t="shared" si="9"/>
        <v>3.577</v>
      </c>
      <c r="K110" s="9">
        <f t="shared" si="10"/>
        <v>0.100000000000031</v>
      </c>
      <c r="L110" s="1">
        <f t="shared" si="11"/>
        <v>-5</v>
      </c>
    </row>
    <row r="111" s="1" customFormat="1" spans="1:12">
      <c r="A111" s="2">
        <v>3.643</v>
      </c>
      <c r="B111" s="10" t="s">
        <v>9</v>
      </c>
      <c r="C111" s="4">
        <v>3.61</v>
      </c>
      <c r="D111" s="5">
        <v>47.8</v>
      </c>
      <c r="E111" s="4"/>
      <c r="F111" s="4"/>
      <c r="G111" s="2">
        <f t="shared" si="6"/>
        <v>3.61</v>
      </c>
      <c r="H111" s="11" t="str">
        <f t="shared" si="7"/>
        <v>3.434E-2</v>
      </c>
      <c r="I111" s="2">
        <f t="shared" si="8"/>
        <v>47.9</v>
      </c>
      <c r="J111" s="4">
        <f t="shared" si="9"/>
        <v>3.61</v>
      </c>
      <c r="K111" s="9">
        <f t="shared" si="10"/>
        <v>0.100000000000031</v>
      </c>
      <c r="L111" s="1">
        <f t="shared" si="11"/>
        <v>-5</v>
      </c>
    </row>
    <row r="112" s="1" customFormat="1" spans="1:12">
      <c r="A112" s="2">
        <v>3.677</v>
      </c>
      <c r="B112" s="10" t="s">
        <v>12</v>
      </c>
      <c r="C112" s="4">
        <v>3.643</v>
      </c>
      <c r="D112" s="5">
        <v>47.6</v>
      </c>
      <c r="E112" s="4"/>
      <c r="F112" s="4"/>
      <c r="G112" s="2">
        <f t="shared" si="6"/>
        <v>3.643</v>
      </c>
      <c r="H112" s="11" t="str">
        <f t="shared" si="7"/>
        <v>3.433E-2</v>
      </c>
      <c r="I112" s="2">
        <f t="shared" si="8"/>
        <v>47.8</v>
      </c>
      <c r="J112" s="4">
        <f t="shared" si="9"/>
        <v>3.643</v>
      </c>
      <c r="K112" s="9">
        <f t="shared" si="10"/>
        <v>0</v>
      </c>
      <c r="L112" s="1">
        <f t="shared" si="11"/>
        <v>-5</v>
      </c>
    </row>
    <row r="113" s="1" customFormat="1" spans="1:12">
      <c r="A113" s="2">
        <v>3.71</v>
      </c>
      <c r="B113" s="10" t="s">
        <v>10</v>
      </c>
      <c r="C113" s="4">
        <v>3.677</v>
      </c>
      <c r="D113" s="5">
        <v>47.8</v>
      </c>
      <c r="E113" s="4"/>
      <c r="F113" s="4"/>
      <c r="G113" s="2">
        <f t="shared" si="6"/>
        <v>3.677</v>
      </c>
      <c r="H113" s="11" t="str">
        <f t="shared" si="7"/>
        <v>3.435E-2</v>
      </c>
      <c r="I113" s="2">
        <f t="shared" si="8"/>
        <v>47.6</v>
      </c>
      <c r="J113" s="4">
        <f t="shared" si="9"/>
        <v>3.677</v>
      </c>
      <c r="K113" s="9">
        <f t="shared" si="10"/>
        <v>0.199999999999992</v>
      </c>
      <c r="L113" s="1">
        <f t="shared" si="11"/>
        <v>-5</v>
      </c>
    </row>
    <row r="114" s="1" customFormat="1" spans="1:12">
      <c r="A114" s="2">
        <v>3.744</v>
      </c>
      <c r="B114" s="10" t="s">
        <v>10</v>
      </c>
      <c r="C114" s="4">
        <v>3.71</v>
      </c>
      <c r="D114" s="5">
        <v>47.7</v>
      </c>
      <c r="E114" s="4"/>
      <c r="F114" s="4"/>
      <c r="G114" s="2">
        <f t="shared" si="6"/>
        <v>3.71</v>
      </c>
      <c r="H114" s="11" t="str">
        <f t="shared" si="7"/>
        <v>3.434E-2</v>
      </c>
      <c r="I114" s="2">
        <f t="shared" si="8"/>
        <v>47.8</v>
      </c>
      <c r="J114" s="4">
        <f t="shared" si="9"/>
        <v>3.71</v>
      </c>
      <c r="K114" s="9">
        <f t="shared" si="10"/>
        <v>0.100000000000031</v>
      </c>
      <c r="L114" s="1">
        <f t="shared" si="11"/>
        <v>-5</v>
      </c>
    </row>
    <row r="115" s="1" customFormat="1" spans="1:12">
      <c r="A115" s="2">
        <v>3.777</v>
      </c>
      <c r="B115" s="10" t="s">
        <v>10</v>
      </c>
      <c r="C115" s="4">
        <v>3.744</v>
      </c>
      <c r="D115" s="5">
        <v>47.8</v>
      </c>
      <c r="E115" s="4"/>
      <c r="F115" s="4"/>
      <c r="G115" s="2">
        <f t="shared" si="6"/>
        <v>3.744</v>
      </c>
      <c r="H115" s="11" t="str">
        <f t="shared" si="7"/>
        <v>3.434E-2</v>
      </c>
      <c r="I115" s="2">
        <f t="shared" si="8"/>
        <v>47.7</v>
      </c>
      <c r="J115" s="4">
        <f t="shared" si="9"/>
        <v>3.744</v>
      </c>
      <c r="K115" s="9">
        <f t="shared" si="10"/>
        <v>0.100000000000031</v>
      </c>
      <c r="L115" s="1">
        <f t="shared" si="11"/>
        <v>-5</v>
      </c>
    </row>
    <row r="116" s="1" customFormat="1" spans="1:12">
      <c r="A116" s="2">
        <v>3.811</v>
      </c>
      <c r="B116" s="10" t="s">
        <v>10</v>
      </c>
      <c r="C116" s="4">
        <v>3.777</v>
      </c>
      <c r="D116" s="5">
        <v>47.7</v>
      </c>
      <c r="E116" s="4"/>
      <c r="F116" s="4"/>
      <c r="G116" s="2">
        <f t="shared" si="6"/>
        <v>3.777</v>
      </c>
      <c r="H116" s="11" t="str">
        <f t="shared" si="7"/>
        <v>3.434E-2</v>
      </c>
      <c r="I116" s="2">
        <f t="shared" si="8"/>
        <v>47.8</v>
      </c>
      <c r="J116" s="4">
        <f t="shared" si="9"/>
        <v>3.777</v>
      </c>
      <c r="K116" s="9">
        <f t="shared" si="10"/>
        <v>0.100000000000031</v>
      </c>
      <c r="L116" s="1">
        <f t="shared" si="11"/>
        <v>-5</v>
      </c>
    </row>
    <row r="117" s="1" customFormat="1" spans="1:12">
      <c r="A117" s="2">
        <v>3.844</v>
      </c>
      <c r="B117" s="10" t="s">
        <v>10</v>
      </c>
      <c r="C117" s="4">
        <v>3.811</v>
      </c>
      <c r="D117" s="5">
        <v>48</v>
      </c>
      <c r="E117" s="4"/>
      <c r="F117" s="4"/>
      <c r="G117" s="2">
        <f t="shared" si="6"/>
        <v>3.811</v>
      </c>
      <c r="H117" s="11" t="str">
        <f t="shared" si="7"/>
        <v>3.434E-2</v>
      </c>
      <c r="I117" s="2">
        <f t="shared" si="8"/>
        <v>47.7</v>
      </c>
      <c r="J117" s="4">
        <f t="shared" si="9"/>
        <v>3.811</v>
      </c>
      <c r="K117" s="9">
        <f t="shared" si="10"/>
        <v>0.100000000000031</v>
      </c>
      <c r="L117" s="1">
        <f t="shared" si="11"/>
        <v>-5</v>
      </c>
    </row>
    <row r="118" s="1" customFormat="1" spans="1:12">
      <c r="A118" s="2">
        <v>3.877</v>
      </c>
      <c r="B118" s="10" t="s">
        <v>10</v>
      </c>
      <c r="C118" s="4">
        <v>3.844</v>
      </c>
      <c r="D118" s="5">
        <v>48.1</v>
      </c>
      <c r="E118" s="4"/>
      <c r="F118" s="4"/>
      <c r="G118" s="2">
        <f t="shared" si="6"/>
        <v>3.844</v>
      </c>
      <c r="H118" s="11" t="str">
        <f t="shared" si="7"/>
        <v>3.434E-2</v>
      </c>
      <c r="I118" s="2">
        <f t="shared" si="8"/>
        <v>48</v>
      </c>
      <c r="J118" s="4">
        <f t="shared" si="9"/>
        <v>3.844</v>
      </c>
      <c r="K118" s="9">
        <f t="shared" si="10"/>
        <v>0.100000000000031</v>
      </c>
      <c r="L118" s="1">
        <f t="shared" si="11"/>
        <v>-5</v>
      </c>
    </row>
    <row r="119" s="1" customFormat="1" spans="1:12">
      <c r="A119" s="2">
        <v>3.911</v>
      </c>
      <c r="B119" s="10" t="s">
        <v>9</v>
      </c>
      <c r="C119" s="4">
        <v>3.877</v>
      </c>
      <c r="D119" s="5">
        <v>48.2</v>
      </c>
      <c r="E119" s="4"/>
      <c r="F119" s="4"/>
      <c r="G119" s="2">
        <f t="shared" si="6"/>
        <v>3.877</v>
      </c>
      <c r="H119" s="11" t="str">
        <f t="shared" si="7"/>
        <v>3.434E-2</v>
      </c>
      <c r="I119" s="2">
        <f t="shared" si="8"/>
        <v>48.1</v>
      </c>
      <c r="J119" s="4">
        <f t="shared" si="9"/>
        <v>3.877</v>
      </c>
      <c r="K119" s="9">
        <f t="shared" si="10"/>
        <v>0.100000000000031</v>
      </c>
      <c r="L119" s="1">
        <f t="shared" si="11"/>
        <v>-5</v>
      </c>
    </row>
    <row r="120" s="1" customFormat="1" spans="1:12">
      <c r="A120" s="2">
        <v>3.944</v>
      </c>
      <c r="B120" s="10" t="s">
        <v>9</v>
      </c>
      <c r="C120" s="4">
        <v>3.911</v>
      </c>
      <c r="D120" s="5">
        <v>47.8</v>
      </c>
      <c r="E120" s="4"/>
      <c r="F120" s="4"/>
      <c r="G120" s="2">
        <f t="shared" si="6"/>
        <v>3.911</v>
      </c>
      <c r="H120" s="11" t="str">
        <f t="shared" si="7"/>
        <v>3.433E-2</v>
      </c>
      <c r="I120" s="2">
        <f t="shared" si="8"/>
        <v>48.2</v>
      </c>
      <c r="J120" s="4">
        <f t="shared" si="9"/>
        <v>3.911</v>
      </c>
      <c r="K120" s="9">
        <f t="shared" si="10"/>
        <v>0</v>
      </c>
      <c r="L120" s="1">
        <f t="shared" si="11"/>
        <v>-5</v>
      </c>
    </row>
    <row r="121" s="1" customFormat="1" spans="1:12">
      <c r="A121" s="2">
        <v>3.978</v>
      </c>
      <c r="B121" s="10" t="s">
        <v>9</v>
      </c>
      <c r="C121" s="4">
        <v>3.944</v>
      </c>
      <c r="D121" s="5">
        <v>46.9</v>
      </c>
      <c r="E121" s="4"/>
      <c r="F121" s="4"/>
      <c r="G121" s="2">
        <f t="shared" si="6"/>
        <v>3.944</v>
      </c>
      <c r="H121" s="11" t="str">
        <f t="shared" si="7"/>
        <v>3.433E-2</v>
      </c>
      <c r="I121" s="2">
        <f t="shared" si="8"/>
        <v>47.8</v>
      </c>
      <c r="J121" s="4">
        <f t="shared" si="9"/>
        <v>3.944</v>
      </c>
      <c r="K121" s="9">
        <f t="shared" si="10"/>
        <v>0</v>
      </c>
      <c r="L121" s="1">
        <f t="shared" si="11"/>
        <v>-5</v>
      </c>
    </row>
    <row r="122" s="1" customFormat="1" spans="1:12">
      <c r="A122" s="2">
        <v>4.011</v>
      </c>
      <c r="B122" s="10" t="s">
        <v>9</v>
      </c>
      <c r="C122" s="4">
        <v>3.978</v>
      </c>
      <c r="D122" s="5">
        <v>48.1</v>
      </c>
      <c r="E122" s="4"/>
      <c r="F122" s="4"/>
      <c r="G122" s="2">
        <f t="shared" si="6"/>
        <v>3.978</v>
      </c>
      <c r="H122" s="11" t="str">
        <f t="shared" si="7"/>
        <v>3.433E-2</v>
      </c>
      <c r="I122" s="2">
        <f t="shared" si="8"/>
        <v>46.9</v>
      </c>
      <c r="J122" s="4">
        <f t="shared" si="9"/>
        <v>3.978</v>
      </c>
      <c r="K122" s="9">
        <f t="shared" si="10"/>
        <v>0</v>
      </c>
      <c r="L122" s="1">
        <f t="shared" si="11"/>
        <v>-5</v>
      </c>
    </row>
    <row r="123" s="1" customFormat="1" spans="1:12">
      <c r="A123" s="2">
        <v>4.045</v>
      </c>
      <c r="B123" s="10" t="s">
        <v>9</v>
      </c>
      <c r="C123" s="4">
        <v>4.011</v>
      </c>
      <c r="D123" s="5">
        <v>47.1</v>
      </c>
      <c r="E123" s="4"/>
      <c r="F123" s="4"/>
      <c r="G123" s="2">
        <f t="shared" si="6"/>
        <v>4.011</v>
      </c>
      <c r="H123" s="11" t="str">
        <f t="shared" si="7"/>
        <v>3.433E-2</v>
      </c>
      <c r="I123" s="2">
        <f t="shared" si="8"/>
        <v>48.1</v>
      </c>
      <c r="J123" s="4">
        <f t="shared" si="9"/>
        <v>4.011</v>
      </c>
      <c r="K123" s="9">
        <f t="shared" si="10"/>
        <v>0</v>
      </c>
      <c r="L123" s="1">
        <f t="shared" si="11"/>
        <v>-5</v>
      </c>
    </row>
    <row r="124" s="1" customFormat="1" spans="1:12">
      <c r="A124" s="2">
        <v>4.078</v>
      </c>
      <c r="B124" s="10" t="s">
        <v>11</v>
      </c>
      <c r="C124" s="4">
        <v>4.045</v>
      </c>
      <c r="D124" s="5">
        <v>47.7</v>
      </c>
      <c r="E124" s="4"/>
      <c r="F124" s="4"/>
      <c r="G124" s="2">
        <f t="shared" si="6"/>
        <v>4.045</v>
      </c>
      <c r="H124" s="11" t="str">
        <f t="shared" si="7"/>
        <v>3.433E-2</v>
      </c>
      <c r="I124" s="2">
        <f t="shared" si="8"/>
        <v>47.1</v>
      </c>
      <c r="J124" s="4">
        <f t="shared" si="9"/>
        <v>4.045</v>
      </c>
      <c r="K124" s="9">
        <f t="shared" si="10"/>
        <v>0</v>
      </c>
      <c r="L124" s="1">
        <f t="shared" si="11"/>
        <v>-5</v>
      </c>
    </row>
    <row r="125" s="1" customFormat="1" spans="1:12">
      <c r="A125" s="2">
        <v>4.111</v>
      </c>
      <c r="B125" s="10" t="s">
        <v>11</v>
      </c>
      <c r="C125" s="4">
        <v>4.078</v>
      </c>
      <c r="D125" s="5">
        <v>74.8</v>
      </c>
      <c r="E125" s="4"/>
      <c r="F125" s="4"/>
      <c r="G125" s="2">
        <f t="shared" si="6"/>
        <v>4.078</v>
      </c>
      <c r="H125" s="11" t="str">
        <f t="shared" si="7"/>
        <v>3.432E-2</v>
      </c>
      <c r="I125" s="2">
        <f t="shared" si="8"/>
        <v>47.7</v>
      </c>
      <c r="J125" s="4">
        <f t="shared" si="9"/>
        <v>4.078</v>
      </c>
      <c r="K125" s="9">
        <f t="shared" si="10"/>
        <v>-0.0999999999999612</v>
      </c>
      <c r="L125" s="1">
        <f t="shared" si="11"/>
        <v>-5</v>
      </c>
    </row>
    <row r="126" s="1" customFormat="1" spans="1:12">
      <c r="A126" s="2">
        <v>4.145</v>
      </c>
      <c r="B126" s="10" t="s">
        <v>11</v>
      </c>
      <c r="C126" s="4">
        <v>4.111</v>
      </c>
      <c r="D126" s="5">
        <v>253.8</v>
      </c>
      <c r="E126" s="4"/>
      <c r="F126" s="4"/>
      <c r="G126" s="2">
        <f t="shared" si="6"/>
        <v>4.111</v>
      </c>
      <c r="H126" s="11" t="str">
        <f t="shared" si="7"/>
        <v>3.432E-2</v>
      </c>
      <c r="I126" s="2">
        <f t="shared" si="8"/>
        <v>74.8</v>
      </c>
      <c r="J126" s="4">
        <f t="shared" si="9"/>
        <v>4.111</v>
      </c>
      <c r="K126" s="9">
        <f t="shared" si="10"/>
        <v>-0.0999999999999612</v>
      </c>
      <c r="L126" s="1">
        <f t="shared" si="11"/>
        <v>-5</v>
      </c>
    </row>
    <row r="127" s="1" customFormat="1" spans="1:12">
      <c r="A127" s="2">
        <v>4.178</v>
      </c>
      <c r="B127" s="10" t="s">
        <v>13</v>
      </c>
      <c r="C127" s="4">
        <v>4.145</v>
      </c>
      <c r="D127" s="5">
        <v>253.8</v>
      </c>
      <c r="E127" s="4"/>
      <c r="F127" s="4"/>
      <c r="G127" s="2">
        <f t="shared" si="6"/>
        <v>4.145</v>
      </c>
      <c r="H127" s="11" t="str">
        <f t="shared" si="7"/>
        <v>3.432E-2</v>
      </c>
      <c r="I127" s="2">
        <f t="shared" si="8"/>
        <v>253.8</v>
      </c>
      <c r="J127" s="4">
        <f t="shared" si="9"/>
        <v>4.145</v>
      </c>
      <c r="K127" s="9">
        <f t="shared" si="10"/>
        <v>-0.0999999999999612</v>
      </c>
      <c r="L127" s="1">
        <f t="shared" si="11"/>
        <v>23</v>
      </c>
    </row>
    <row r="128" s="1" customFormat="1" spans="1:12">
      <c r="A128" s="2">
        <v>4.212</v>
      </c>
      <c r="B128" s="10" t="s">
        <v>14</v>
      </c>
      <c r="C128" s="4">
        <v>4.178</v>
      </c>
      <c r="D128" s="5">
        <v>253.8</v>
      </c>
      <c r="E128" s="4"/>
      <c r="F128" s="4"/>
      <c r="G128" s="2">
        <f t="shared" si="6"/>
        <v>4.178</v>
      </c>
      <c r="H128" s="11" t="str">
        <f t="shared" si="7"/>
        <v>3.431E-2</v>
      </c>
      <c r="I128" s="2">
        <f t="shared" si="8"/>
        <v>253.8</v>
      </c>
      <c r="J128" s="4">
        <f t="shared" si="9"/>
        <v>4.178</v>
      </c>
      <c r="K128" s="9">
        <f t="shared" si="10"/>
        <v>-0.199999999999992</v>
      </c>
      <c r="L128" s="1">
        <f t="shared" si="11"/>
        <v>23</v>
      </c>
    </row>
    <row r="129" s="1" customFormat="1" spans="1:12">
      <c r="A129" s="2">
        <v>4.245</v>
      </c>
      <c r="B129" s="10" t="s">
        <v>14</v>
      </c>
      <c r="C129" s="4">
        <v>4.212</v>
      </c>
      <c r="D129" s="5">
        <v>253.8</v>
      </c>
      <c r="E129" s="4"/>
      <c r="F129" s="4"/>
      <c r="G129" s="2">
        <f t="shared" si="6"/>
        <v>4.212</v>
      </c>
      <c r="H129" s="11" t="str">
        <f t="shared" si="7"/>
        <v>3.429E-2</v>
      </c>
      <c r="I129" s="2">
        <f t="shared" si="8"/>
        <v>253.8</v>
      </c>
      <c r="J129" s="4">
        <f t="shared" si="9"/>
        <v>4.212</v>
      </c>
      <c r="K129" s="9">
        <f t="shared" si="10"/>
        <v>-0.399999999999984</v>
      </c>
      <c r="L129" s="1">
        <f t="shared" si="11"/>
        <v>23</v>
      </c>
    </row>
    <row r="130" s="1" customFormat="1" spans="1:12">
      <c r="A130" s="2">
        <v>4.279</v>
      </c>
      <c r="B130" s="10" t="s">
        <v>15</v>
      </c>
      <c r="C130" s="4">
        <v>4.245</v>
      </c>
      <c r="D130" s="5">
        <v>253.8</v>
      </c>
      <c r="E130" s="4"/>
      <c r="F130" s="4"/>
      <c r="G130" s="2">
        <f t="shared" si="6"/>
        <v>4.245</v>
      </c>
      <c r="H130" s="11" t="str">
        <f t="shared" si="7"/>
        <v>3.429E-2</v>
      </c>
      <c r="I130" s="2">
        <f t="shared" si="8"/>
        <v>253.8</v>
      </c>
      <c r="J130" s="4">
        <f t="shared" si="9"/>
        <v>4.245</v>
      </c>
      <c r="K130" s="9">
        <f t="shared" si="10"/>
        <v>-0.399999999999984</v>
      </c>
      <c r="L130" s="1">
        <f t="shared" si="11"/>
        <v>23</v>
      </c>
    </row>
    <row r="131" s="1" customFormat="1" spans="1:12">
      <c r="A131" s="2">
        <v>4.312</v>
      </c>
      <c r="B131" s="10" t="s">
        <v>16</v>
      </c>
      <c r="C131" s="4">
        <v>4.279</v>
      </c>
      <c r="D131" s="5">
        <v>253.8</v>
      </c>
      <c r="E131" s="4"/>
      <c r="F131" s="4"/>
      <c r="G131" s="2">
        <f t="shared" si="6"/>
        <v>4.279</v>
      </c>
      <c r="H131" s="11" t="str">
        <f t="shared" si="7"/>
        <v>3.427E-2</v>
      </c>
      <c r="I131" s="2">
        <f t="shared" si="8"/>
        <v>253.8</v>
      </c>
      <c r="J131" s="4">
        <f t="shared" si="9"/>
        <v>4.279</v>
      </c>
      <c r="K131" s="9">
        <f t="shared" si="10"/>
        <v>-0.599999999999976</v>
      </c>
      <c r="L131" s="1">
        <f t="shared" si="11"/>
        <v>23</v>
      </c>
    </row>
    <row r="132" s="1" customFormat="1" spans="1:12">
      <c r="A132" s="2">
        <v>4.345</v>
      </c>
      <c r="B132" s="10" t="s">
        <v>16</v>
      </c>
      <c r="C132" s="4">
        <v>4.312</v>
      </c>
      <c r="D132" s="5">
        <v>253.8</v>
      </c>
      <c r="E132" s="4"/>
      <c r="F132" s="4"/>
      <c r="G132" s="2">
        <f t="shared" ref="G132:G195" si="12">A131</f>
        <v>4.312</v>
      </c>
      <c r="H132" s="11" t="str">
        <f t="shared" ref="H132:H195" si="13">B131</f>
        <v>3.426E-2</v>
      </c>
      <c r="I132" s="2">
        <f t="shared" ref="I132:I195" si="14">D131</f>
        <v>253.8</v>
      </c>
      <c r="J132" s="4">
        <f t="shared" ref="J132:J195" si="15">G132</f>
        <v>4.312</v>
      </c>
      <c r="K132" s="9">
        <f t="shared" ref="K132:K195" si="16">(H132-$H$4)*10000</f>
        <v>-0.700000000000006</v>
      </c>
      <c r="L132" s="1">
        <f t="shared" si="11"/>
        <v>23</v>
      </c>
    </row>
    <row r="133" s="1" customFormat="1" spans="1:12">
      <c r="A133" s="2">
        <v>4.379</v>
      </c>
      <c r="B133" s="10" t="s">
        <v>17</v>
      </c>
      <c r="C133" s="4">
        <v>4.345</v>
      </c>
      <c r="D133" s="5">
        <v>253.8</v>
      </c>
      <c r="E133" s="4"/>
      <c r="F133" s="4"/>
      <c r="G133" s="2">
        <f t="shared" si="12"/>
        <v>4.345</v>
      </c>
      <c r="H133" s="11" t="str">
        <f t="shared" si="13"/>
        <v>3.426E-2</v>
      </c>
      <c r="I133" s="2">
        <f t="shared" si="14"/>
        <v>253.8</v>
      </c>
      <c r="J133" s="4">
        <f t="shared" si="15"/>
        <v>4.345</v>
      </c>
      <c r="K133" s="9">
        <f t="shared" si="16"/>
        <v>-0.700000000000006</v>
      </c>
      <c r="L133" s="1">
        <f t="shared" ref="L133:L196" si="17">IF(I133&lt;230,-5,23)</f>
        <v>23</v>
      </c>
    </row>
    <row r="134" s="1" customFormat="1" spans="1:12">
      <c r="A134" s="2">
        <v>4.412</v>
      </c>
      <c r="B134" s="10" t="s">
        <v>17</v>
      </c>
      <c r="C134" s="4">
        <v>4.379</v>
      </c>
      <c r="D134" s="5">
        <v>253.8</v>
      </c>
      <c r="E134" s="4"/>
      <c r="F134" s="4"/>
      <c r="G134" s="2">
        <f t="shared" si="12"/>
        <v>4.379</v>
      </c>
      <c r="H134" s="11" t="str">
        <f t="shared" si="13"/>
        <v>3.423E-2</v>
      </c>
      <c r="I134" s="2">
        <f t="shared" si="14"/>
        <v>253.8</v>
      </c>
      <c r="J134" s="4">
        <f t="shared" si="15"/>
        <v>4.379</v>
      </c>
      <c r="K134" s="9">
        <f t="shared" si="16"/>
        <v>-1.00000000000003</v>
      </c>
      <c r="L134" s="1">
        <f t="shared" si="17"/>
        <v>23</v>
      </c>
    </row>
    <row r="135" s="1" customFormat="1" spans="1:12">
      <c r="A135" s="2">
        <v>4.446</v>
      </c>
      <c r="B135" s="10" t="s">
        <v>18</v>
      </c>
      <c r="C135" s="4">
        <v>4.412</v>
      </c>
      <c r="D135" s="5">
        <v>253.8</v>
      </c>
      <c r="E135" s="4"/>
      <c r="F135" s="4"/>
      <c r="G135" s="2">
        <f t="shared" si="12"/>
        <v>4.412</v>
      </c>
      <c r="H135" s="11" t="str">
        <f t="shared" si="13"/>
        <v>3.423E-2</v>
      </c>
      <c r="I135" s="2">
        <f t="shared" si="14"/>
        <v>253.8</v>
      </c>
      <c r="J135" s="4">
        <f t="shared" si="15"/>
        <v>4.412</v>
      </c>
      <c r="K135" s="9">
        <f t="shared" si="16"/>
        <v>-1.00000000000003</v>
      </c>
      <c r="L135" s="1">
        <f t="shared" si="17"/>
        <v>23</v>
      </c>
    </row>
    <row r="136" s="1" customFormat="1" spans="1:12">
      <c r="A136" s="2">
        <v>4.479</v>
      </c>
      <c r="B136" s="10" t="s">
        <v>18</v>
      </c>
      <c r="C136" s="4">
        <v>4.446</v>
      </c>
      <c r="D136" s="5">
        <v>253.8</v>
      </c>
      <c r="E136" s="4"/>
      <c r="F136" s="4"/>
      <c r="G136" s="2">
        <f t="shared" si="12"/>
        <v>4.446</v>
      </c>
      <c r="H136" s="11" t="str">
        <f t="shared" si="13"/>
        <v>3.424E-2</v>
      </c>
      <c r="I136" s="2">
        <f t="shared" si="14"/>
        <v>253.8</v>
      </c>
      <c r="J136" s="4">
        <f t="shared" si="15"/>
        <v>4.446</v>
      </c>
      <c r="K136" s="9">
        <f t="shared" si="16"/>
        <v>-0.899999999999998</v>
      </c>
      <c r="L136" s="1">
        <f t="shared" si="17"/>
        <v>23</v>
      </c>
    </row>
    <row r="137" s="1" customFormat="1" spans="1:12">
      <c r="A137" s="2">
        <v>4.513</v>
      </c>
      <c r="B137" s="10" t="s">
        <v>16</v>
      </c>
      <c r="C137" s="4">
        <v>4.479</v>
      </c>
      <c r="D137" s="5">
        <v>253.8</v>
      </c>
      <c r="E137" s="4"/>
      <c r="F137" s="4"/>
      <c r="G137" s="2">
        <f t="shared" si="12"/>
        <v>4.479</v>
      </c>
      <c r="H137" s="11" t="str">
        <f t="shared" si="13"/>
        <v>3.424E-2</v>
      </c>
      <c r="I137" s="2">
        <f t="shared" si="14"/>
        <v>253.8</v>
      </c>
      <c r="J137" s="4">
        <f t="shared" si="15"/>
        <v>4.479</v>
      </c>
      <c r="K137" s="9">
        <f t="shared" si="16"/>
        <v>-0.899999999999998</v>
      </c>
      <c r="L137" s="1">
        <f t="shared" si="17"/>
        <v>23</v>
      </c>
    </row>
    <row r="138" s="1" customFormat="1" spans="1:12">
      <c r="A138" s="2">
        <v>4.546</v>
      </c>
      <c r="B138" s="10" t="s">
        <v>15</v>
      </c>
      <c r="C138" s="4">
        <v>4.513</v>
      </c>
      <c r="D138" s="5">
        <v>253.8</v>
      </c>
      <c r="E138" s="4"/>
      <c r="F138" s="4"/>
      <c r="G138" s="2">
        <f t="shared" si="12"/>
        <v>4.513</v>
      </c>
      <c r="H138" s="11" t="str">
        <f t="shared" si="13"/>
        <v>3.426E-2</v>
      </c>
      <c r="I138" s="2">
        <f t="shared" si="14"/>
        <v>253.8</v>
      </c>
      <c r="J138" s="4">
        <f t="shared" si="15"/>
        <v>4.513</v>
      </c>
      <c r="K138" s="9">
        <f t="shared" si="16"/>
        <v>-0.700000000000006</v>
      </c>
      <c r="L138" s="1">
        <f t="shared" si="17"/>
        <v>23</v>
      </c>
    </row>
    <row r="139" s="1" customFormat="1" spans="1:12">
      <c r="A139" s="2">
        <v>4.579</v>
      </c>
      <c r="B139" s="10" t="s">
        <v>19</v>
      </c>
      <c r="C139" s="4">
        <v>4.546</v>
      </c>
      <c r="D139" s="5">
        <v>253.8</v>
      </c>
      <c r="E139" s="4"/>
      <c r="F139" s="4"/>
      <c r="G139" s="2">
        <f t="shared" si="12"/>
        <v>4.546</v>
      </c>
      <c r="H139" s="11" t="str">
        <f t="shared" si="13"/>
        <v>3.427E-2</v>
      </c>
      <c r="I139" s="2">
        <f t="shared" si="14"/>
        <v>253.8</v>
      </c>
      <c r="J139" s="4">
        <f t="shared" si="15"/>
        <v>4.546</v>
      </c>
      <c r="K139" s="9">
        <f t="shared" si="16"/>
        <v>-0.599999999999976</v>
      </c>
      <c r="L139" s="1">
        <f t="shared" si="17"/>
        <v>23</v>
      </c>
    </row>
    <row r="140" s="1" customFormat="1" spans="1:12">
      <c r="A140" s="2">
        <v>4.613</v>
      </c>
      <c r="B140" s="10" t="s">
        <v>20</v>
      </c>
      <c r="C140" s="4">
        <v>4.579</v>
      </c>
      <c r="D140" s="5">
        <v>253.8</v>
      </c>
      <c r="E140" s="4"/>
      <c r="F140" s="4"/>
      <c r="G140" s="2">
        <f t="shared" si="12"/>
        <v>4.579</v>
      </c>
      <c r="H140" s="11" t="str">
        <f t="shared" si="13"/>
        <v>3.428E-2</v>
      </c>
      <c r="I140" s="2">
        <f t="shared" si="14"/>
        <v>253.8</v>
      </c>
      <c r="J140" s="4">
        <f t="shared" si="15"/>
        <v>4.579</v>
      </c>
      <c r="K140" s="9">
        <f t="shared" si="16"/>
        <v>-0.500000000000014</v>
      </c>
      <c r="L140" s="1">
        <f t="shared" si="17"/>
        <v>23</v>
      </c>
    </row>
    <row r="141" s="1" customFormat="1" spans="1:12">
      <c r="A141" s="2">
        <v>4.646</v>
      </c>
      <c r="B141" s="10" t="s">
        <v>9</v>
      </c>
      <c r="C141" s="4">
        <v>4.613</v>
      </c>
      <c r="D141" s="5">
        <v>253.8</v>
      </c>
      <c r="E141" s="4"/>
      <c r="F141" s="4"/>
      <c r="G141" s="2">
        <f t="shared" si="12"/>
        <v>4.613</v>
      </c>
      <c r="H141" s="11" t="str">
        <f t="shared" si="13"/>
        <v>3.430E-2</v>
      </c>
      <c r="I141" s="2">
        <f t="shared" si="14"/>
        <v>253.8</v>
      </c>
      <c r="J141" s="4">
        <f t="shared" si="15"/>
        <v>4.613</v>
      </c>
      <c r="K141" s="9">
        <f t="shared" si="16"/>
        <v>-0.300000000000022</v>
      </c>
      <c r="L141" s="1">
        <f t="shared" si="17"/>
        <v>23</v>
      </c>
    </row>
    <row r="142" s="1" customFormat="1" spans="1:12">
      <c r="A142" s="2">
        <v>4.68</v>
      </c>
      <c r="B142" s="10" t="s">
        <v>10</v>
      </c>
      <c r="C142" s="4">
        <v>4.646</v>
      </c>
      <c r="D142" s="5">
        <v>253.8</v>
      </c>
      <c r="E142" s="4"/>
      <c r="F142" s="4"/>
      <c r="G142" s="2">
        <f t="shared" si="12"/>
        <v>4.646</v>
      </c>
      <c r="H142" s="11" t="str">
        <f t="shared" si="13"/>
        <v>3.433E-2</v>
      </c>
      <c r="I142" s="2">
        <f t="shared" si="14"/>
        <v>253.8</v>
      </c>
      <c r="J142" s="4">
        <f t="shared" si="15"/>
        <v>4.646</v>
      </c>
      <c r="K142" s="9">
        <f t="shared" si="16"/>
        <v>0</v>
      </c>
      <c r="L142" s="1">
        <f t="shared" si="17"/>
        <v>23</v>
      </c>
    </row>
    <row r="143" s="1" customFormat="1" spans="1:12">
      <c r="A143" s="2">
        <v>4.713</v>
      </c>
      <c r="B143" s="10" t="s">
        <v>21</v>
      </c>
      <c r="C143" s="4">
        <v>4.68</v>
      </c>
      <c r="D143" s="5">
        <v>253.8</v>
      </c>
      <c r="E143" s="4"/>
      <c r="F143" s="4"/>
      <c r="G143" s="2">
        <f t="shared" si="12"/>
        <v>4.68</v>
      </c>
      <c r="H143" s="11" t="str">
        <f t="shared" si="13"/>
        <v>3.434E-2</v>
      </c>
      <c r="I143" s="2">
        <f t="shared" si="14"/>
        <v>253.8</v>
      </c>
      <c r="J143" s="4">
        <f t="shared" si="15"/>
        <v>4.68</v>
      </c>
      <c r="K143" s="9">
        <f t="shared" si="16"/>
        <v>0.100000000000031</v>
      </c>
      <c r="L143" s="1">
        <f t="shared" si="17"/>
        <v>23</v>
      </c>
    </row>
    <row r="144" s="1" customFormat="1" spans="1:12">
      <c r="A144" s="2">
        <v>4.747</v>
      </c>
      <c r="B144" s="10" t="s">
        <v>22</v>
      </c>
      <c r="C144" s="4">
        <v>4.713</v>
      </c>
      <c r="D144" s="5">
        <v>253.8</v>
      </c>
      <c r="E144" s="4"/>
      <c r="F144" s="4"/>
      <c r="G144" s="2">
        <f t="shared" si="12"/>
        <v>4.713</v>
      </c>
      <c r="H144" s="11" t="str">
        <f t="shared" si="13"/>
        <v>3.437E-2</v>
      </c>
      <c r="I144" s="2">
        <f t="shared" si="14"/>
        <v>253.8</v>
      </c>
      <c r="J144" s="4">
        <f t="shared" si="15"/>
        <v>4.713</v>
      </c>
      <c r="K144" s="9">
        <f t="shared" si="16"/>
        <v>0.399999999999984</v>
      </c>
      <c r="L144" s="1">
        <f t="shared" si="17"/>
        <v>23</v>
      </c>
    </row>
    <row r="145" s="1" customFormat="1" spans="1:12">
      <c r="A145" s="2">
        <v>4.78</v>
      </c>
      <c r="B145" s="10" t="s">
        <v>23</v>
      </c>
      <c r="C145" s="4">
        <v>4.747</v>
      </c>
      <c r="D145" s="5">
        <v>253.8</v>
      </c>
      <c r="E145" s="4"/>
      <c r="F145" s="4"/>
      <c r="G145" s="2">
        <f t="shared" si="12"/>
        <v>4.747</v>
      </c>
      <c r="H145" s="11" t="str">
        <f t="shared" si="13"/>
        <v>3.439E-2</v>
      </c>
      <c r="I145" s="2">
        <f t="shared" si="14"/>
        <v>253.8</v>
      </c>
      <c r="J145" s="4">
        <f t="shared" si="15"/>
        <v>4.747</v>
      </c>
      <c r="K145" s="9">
        <f t="shared" si="16"/>
        <v>0.599999999999976</v>
      </c>
      <c r="L145" s="1">
        <f t="shared" si="17"/>
        <v>23</v>
      </c>
    </row>
    <row r="146" s="1" customFormat="1" spans="1:12">
      <c r="A146" s="2">
        <v>4.813</v>
      </c>
      <c r="B146" s="10" t="s">
        <v>24</v>
      </c>
      <c r="C146" s="4">
        <v>4.78</v>
      </c>
      <c r="D146" s="5">
        <v>253.8</v>
      </c>
      <c r="E146" s="4"/>
      <c r="F146" s="4"/>
      <c r="G146" s="2">
        <f t="shared" si="12"/>
        <v>4.78</v>
      </c>
      <c r="H146" s="11" t="str">
        <f t="shared" si="13"/>
        <v>3.442E-2</v>
      </c>
      <c r="I146" s="2">
        <f t="shared" si="14"/>
        <v>253.8</v>
      </c>
      <c r="J146" s="4">
        <f t="shared" si="15"/>
        <v>4.78</v>
      </c>
      <c r="K146" s="9">
        <f t="shared" si="16"/>
        <v>0.899999999999998</v>
      </c>
      <c r="L146" s="1">
        <f t="shared" si="17"/>
        <v>23</v>
      </c>
    </row>
    <row r="147" s="1" customFormat="1" spans="1:12">
      <c r="A147" s="2">
        <v>4.847</v>
      </c>
      <c r="B147" s="10" t="s">
        <v>25</v>
      </c>
      <c r="C147" s="4">
        <v>4.813</v>
      </c>
      <c r="D147" s="5">
        <v>253.8</v>
      </c>
      <c r="E147" s="4"/>
      <c r="F147" s="4"/>
      <c r="G147" s="2">
        <f t="shared" si="12"/>
        <v>4.813</v>
      </c>
      <c r="H147" s="11" t="str">
        <f t="shared" si="13"/>
        <v>3.445E-2</v>
      </c>
      <c r="I147" s="2">
        <f t="shared" si="14"/>
        <v>253.8</v>
      </c>
      <c r="J147" s="4">
        <f t="shared" si="15"/>
        <v>4.813</v>
      </c>
      <c r="K147" s="9">
        <f t="shared" si="16"/>
        <v>1.20000000000002</v>
      </c>
      <c r="L147" s="1">
        <f t="shared" si="17"/>
        <v>23</v>
      </c>
    </row>
    <row r="148" s="1" customFormat="1" spans="1:12">
      <c r="A148" s="2">
        <v>4.88</v>
      </c>
      <c r="B148" s="10" t="s">
        <v>26</v>
      </c>
      <c r="C148" s="4">
        <v>4.847</v>
      </c>
      <c r="D148" s="5">
        <v>253.8</v>
      </c>
      <c r="E148" s="4"/>
      <c r="F148" s="4"/>
      <c r="G148" s="2">
        <f t="shared" si="12"/>
        <v>4.847</v>
      </c>
      <c r="H148" s="11" t="str">
        <f t="shared" si="13"/>
        <v>3.447E-2</v>
      </c>
      <c r="I148" s="2">
        <f t="shared" si="14"/>
        <v>253.8</v>
      </c>
      <c r="J148" s="4">
        <f t="shared" si="15"/>
        <v>4.847</v>
      </c>
      <c r="K148" s="9">
        <f t="shared" si="16"/>
        <v>1.40000000000001</v>
      </c>
      <c r="L148" s="1">
        <f t="shared" si="17"/>
        <v>23</v>
      </c>
    </row>
    <row r="149" s="1" customFormat="1" spans="1:12">
      <c r="A149" s="2">
        <v>4.914</v>
      </c>
      <c r="B149" s="10" t="s">
        <v>27</v>
      </c>
      <c r="C149" s="4">
        <v>4.88</v>
      </c>
      <c r="D149" s="5">
        <v>48.7</v>
      </c>
      <c r="E149" s="4"/>
      <c r="F149" s="4"/>
      <c r="G149" s="2">
        <f t="shared" si="12"/>
        <v>4.88</v>
      </c>
      <c r="H149" s="11" t="str">
        <f t="shared" si="13"/>
        <v>3.451E-2</v>
      </c>
      <c r="I149" s="2">
        <f t="shared" si="14"/>
        <v>253.8</v>
      </c>
      <c r="J149" s="4">
        <f t="shared" si="15"/>
        <v>4.88</v>
      </c>
      <c r="K149" s="9">
        <f t="shared" si="16"/>
        <v>1.8</v>
      </c>
      <c r="L149" s="1">
        <f t="shared" si="17"/>
        <v>23</v>
      </c>
    </row>
    <row r="150" s="1" customFormat="1" spans="1:12">
      <c r="A150" s="2">
        <v>4.947</v>
      </c>
      <c r="B150" s="10" t="s">
        <v>28</v>
      </c>
      <c r="C150" s="4">
        <v>4.914</v>
      </c>
      <c r="D150" s="5">
        <v>47.2</v>
      </c>
      <c r="E150" s="4"/>
      <c r="F150" s="4"/>
      <c r="G150" s="2">
        <f t="shared" si="12"/>
        <v>4.914</v>
      </c>
      <c r="H150" s="11" t="str">
        <f t="shared" si="13"/>
        <v>3.463E-2</v>
      </c>
      <c r="I150" s="2">
        <f t="shared" si="14"/>
        <v>48.7</v>
      </c>
      <c r="J150" s="4">
        <f t="shared" si="15"/>
        <v>4.914</v>
      </c>
      <c r="K150" s="9">
        <f t="shared" si="16"/>
        <v>3.00000000000002</v>
      </c>
      <c r="L150" s="1">
        <f t="shared" si="17"/>
        <v>-5</v>
      </c>
    </row>
    <row r="151" s="1" customFormat="1" spans="1:12">
      <c r="A151" s="2">
        <v>4.981</v>
      </c>
      <c r="B151" s="10" t="s">
        <v>29</v>
      </c>
      <c r="C151" s="4">
        <v>4.947</v>
      </c>
      <c r="D151" s="5">
        <v>47.6</v>
      </c>
      <c r="E151" s="4"/>
      <c r="F151" s="4"/>
      <c r="G151" s="2">
        <f t="shared" si="12"/>
        <v>4.947</v>
      </c>
      <c r="H151" s="11" t="str">
        <f t="shared" si="13"/>
        <v>3.470E-2</v>
      </c>
      <c r="I151" s="2">
        <f t="shared" si="14"/>
        <v>47.2</v>
      </c>
      <c r="J151" s="4">
        <f t="shared" si="15"/>
        <v>4.947</v>
      </c>
      <c r="K151" s="9">
        <f t="shared" si="16"/>
        <v>3.70000000000002</v>
      </c>
      <c r="L151" s="1">
        <f t="shared" si="17"/>
        <v>-5</v>
      </c>
    </row>
    <row r="152" s="1" customFormat="1" spans="1:12">
      <c r="A152" s="2">
        <v>5.014</v>
      </c>
      <c r="B152" s="10" t="s">
        <v>30</v>
      </c>
      <c r="C152" s="4">
        <v>4.981</v>
      </c>
      <c r="D152" s="5">
        <v>47.7</v>
      </c>
      <c r="E152" s="4"/>
      <c r="F152" s="4"/>
      <c r="G152" s="2">
        <f t="shared" si="12"/>
        <v>4.981</v>
      </c>
      <c r="H152" s="11" t="str">
        <f t="shared" si="13"/>
        <v>3.478E-2</v>
      </c>
      <c r="I152" s="2">
        <f t="shared" si="14"/>
        <v>47.6</v>
      </c>
      <c r="J152" s="4">
        <f t="shared" si="15"/>
        <v>4.981</v>
      </c>
      <c r="K152" s="9">
        <f t="shared" si="16"/>
        <v>4.49999999999999</v>
      </c>
      <c r="L152" s="1">
        <f t="shared" si="17"/>
        <v>-5</v>
      </c>
    </row>
    <row r="153" s="1" customFormat="1" spans="1:12">
      <c r="A153" s="2">
        <v>5.047</v>
      </c>
      <c r="B153" s="10" t="s">
        <v>31</v>
      </c>
      <c r="C153" s="4">
        <v>5.014</v>
      </c>
      <c r="D153" s="5">
        <v>48.1</v>
      </c>
      <c r="E153" s="4"/>
      <c r="F153" s="4"/>
      <c r="G153" s="2">
        <f t="shared" si="12"/>
        <v>5.014</v>
      </c>
      <c r="H153" s="11" t="str">
        <f t="shared" si="13"/>
        <v>3.484E-2</v>
      </c>
      <c r="I153" s="2">
        <f t="shared" si="14"/>
        <v>47.7</v>
      </c>
      <c r="J153" s="4">
        <f t="shared" si="15"/>
        <v>5.014</v>
      </c>
      <c r="K153" s="9">
        <f t="shared" si="16"/>
        <v>5.10000000000004</v>
      </c>
      <c r="L153" s="1">
        <f t="shared" si="17"/>
        <v>-5</v>
      </c>
    </row>
    <row r="154" s="1" customFormat="1" spans="1:12">
      <c r="A154" s="2">
        <v>5.081</v>
      </c>
      <c r="B154" s="10" t="s">
        <v>32</v>
      </c>
      <c r="C154" s="4">
        <v>5.047</v>
      </c>
      <c r="D154" s="5">
        <v>47.3</v>
      </c>
      <c r="E154" s="4"/>
      <c r="F154" s="4"/>
      <c r="G154" s="2">
        <f t="shared" si="12"/>
        <v>5.047</v>
      </c>
      <c r="H154" s="11" t="str">
        <f t="shared" si="13"/>
        <v>3.494E-2</v>
      </c>
      <c r="I154" s="2">
        <f t="shared" si="14"/>
        <v>48.1</v>
      </c>
      <c r="J154" s="4">
        <f t="shared" si="15"/>
        <v>5.047</v>
      </c>
      <c r="K154" s="9">
        <f t="shared" si="16"/>
        <v>6.09999999999999</v>
      </c>
      <c r="L154" s="1">
        <f t="shared" si="17"/>
        <v>-5</v>
      </c>
    </row>
    <row r="155" s="1" customFormat="1" spans="1:12">
      <c r="A155" s="2">
        <v>5.114</v>
      </c>
      <c r="B155" s="10" t="s">
        <v>33</v>
      </c>
      <c r="C155" s="4">
        <v>5.081</v>
      </c>
      <c r="D155" s="5">
        <v>47.3</v>
      </c>
      <c r="E155" s="4"/>
      <c r="F155" s="4"/>
      <c r="G155" s="2">
        <f t="shared" si="12"/>
        <v>5.081</v>
      </c>
      <c r="H155" s="11" t="str">
        <f t="shared" si="13"/>
        <v>3.501E-2</v>
      </c>
      <c r="I155" s="2">
        <f t="shared" si="14"/>
        <v>47.3</v>
      </c>
      <c r="J155" s="4">
        <f t="shared" si="15"/>
        <v>5.081</v>
      </c>
      <c r="K155" s="9">
        <f t="shared" si="16"/>
        <v>6.8</v>
      </c>
      <c r="L155" s="1">
        <f t="shared" si="17"/>
        <v>-5</v>
      </c>
    </row>
    <row r="156" s="1" customFormat="1" spans="1:12">
      <c r="A156" s="2">
        <v>5.148</v>
      </c>
      <c r="B156" s="10" t="s">
        <v>33</v>
      </c>
      <c r="C156" s="4">
        <v>5.114</v>
      </c>
      <c r="D156" s="5">
        <v>47.4</v>
      </c>
      <c r="E156" s="4"/>
      <c r="F156" s="4"/>
      <c r="G156" s="2">
        <f t="shared" si="12"/>
        <v>5.114</v>
      </c>
      <c r="H156" s="11" t="str">
        <f t="shared" si="13"/>
        <v>3.504E-2</v>
      </c>
      <c r="I156" s="2">
        <f t="shared" si="14"/>
        <v>47.3</v>
      </c>
      <c r="J156" s="4">
        <f t="shared" si="15"/>
        <v>5.114</v>
      </c>
      <c r="K156" s="9">
        <f t="shared" si="16"/>
        <v>7.10000000000002</v>
      </c>
      <c r="L156" s="1">
        <f t="shared" si="17"/>
        <v>-5</v>
      </c>
    </row>
    <row r="157" s="1" customFormat="1" spans="1:12">
      <c r="A157" s="2">
        <v>5.181</v>
      </c>
      <c r="B157" s="10" t="s">
        <v>33</v>
      </c>
      <c r="C157" s="4">
        <v>5.148</v>
      </c>
      <c r="D157" s="5">
        <v>47.9</v>
      </c>
      <c r="E157" s="4"/>
      <c r="F157" s="4"/>
      <c r="G157" s="2">
        <f t="shared" si="12"/>
        <v>5.148</v>
      </c>
      <c r="H157" s="11" t="str">
        <f t="shared" si="13"/>
        <v>3.504E-2</v>
      </c>
      <c r="I157" s="2">
        <f t="shared" si="14"/>
        <v>47.4</v>
      </c>
      <c r="J157" s="4">
        <f t="shared" si="15"/>
        <v>5.148</v>
      </c>
      <c r="K157" s="9">
        <f t="shared" si="16"/>
        <v>7.10000000000002</v>
      </c>
      <c r="L157" s="1">
        <f t="shared" si="17"/>
        <v>-5</v>
      </c>
    </row>
    <row r="158" s="1" customFormat="1" spans="1:12">
      <c r="A158" s="2">
        <v>5.215</v>
      </c>
      <c r="B158" s="10" t="s">
        <v>33</v>
      </c>
      <c r="C158" s="4">
        <v>5.181</v>
      </c>
      <c r="D158" s="5">
        <v>47.4</v>
      </c>
      <c r="E158" s="4"/>
      <c r="F158" s="4"/>
      <c r="G158" s="2">
        <f t="shared" si="12"/>
        <v>5.181</v>
      </c>
      <c r="H158" s="11" t="str">
        <f t="shared" si="13"/>
        <v>3.504E-2</v>
      </c>
      <c r="I158" s="2">
        <f t="shared" si="14"/>
        <v>47.9</v>
      </c>
      <c r="J158" s="4">
        <f t="shared" si="15"/>
        <v>5.181</v>
      </c>
      <c r="K158" s="9">
        <f t="shared" si="16"/>
        <v>7.10000000000002</v>
      </c>
      <c r="L158" s="1">
        <f t="shared" si="17"/>
        <v>-5</v>
      </c>
    </row>
    <row r="159" s="1" customFormat="1" spans="1:12">
      <c r="A159" s="2">
        <v>5.248</v>
      </c>
      <c r="B159" s="10" t="s">
        <v>34</v>
      </c>
      <c r="C159" s="4">
        <v>5.215</v>
      </c>
      <c r="D159" s="5">
        <v>47.7</v>
      </c>
      <c r="E159" s="4"/>
      <c r="F159" s="4"/>
      <c r="G159" s="2">
        <f t="shared" si="12"/>
        <v>5.215</v>
      </c>
      <c r="H159" s="11" t="str">
        <f t="shared" si="13"/>
        <v>3.504E-2</v>
      </c>
      <c r="I159" s="2">
        <f t="shared" si="14"/>
        <v>47.4</v>
      </c>
      <c r="J159" s="4">
        <f t="shared" si="15"/>
        <v>5.215</v>
      </c>
      <c r="K159" s="9">
        <f t="shared" si="16"/>
        <v>7.10000000000002</v>
      </c>
      <c r="L159" s="1">
        <f t="shared" si="17"/>
        <v>-5</v>
      </c>
    </row>
    <row r="160" s="1" customFormat="1" spans="1:12">
      <c r="A160" s="2">
        <v>5.281</v>
      </c>
      <c r="B160" s="10" t="s">
        <v>35</v>
      </c>
      <c r="C160" s="4">
        <v>5.248</v>
      </c>
      <c r="D160" s="5">
        <v>47.3</v>
      </c>
      <c r="E160" s="4"/>
      <c r="F160" s="4"/>
      <c r="G160" s="2">
        <f t="shared" si="12"/>
        <v>5.248</v>
      </c>
      <c r="H160" s="11" t="str">
        <f t="shared" si="13"/>
        <v>3.502E-2</v>
      </c>
      <c r="I160" s="2">
        <f t="shared" si="14"/>
        <v>47.7</v>
      </c>
      <c r="J160" s="4">
        <f t="shared" si="15"/>
        <v>5.248</v>
      </c>
      <c r="K160" s="9">
        <f t="shared" si="16"/>
        <v>6.90000000000003</v>
      </c>
      <c r="L160" s="1">
        <f t="shared" si="17"/>
        <v>-5</v>
      </c>
    </row>
    <row r="161" s="1" customFormat="1" spans="1:12">
      <c r="A161" s="2">
        <v>5.315</v>
      </c>
      <c r="B161" s="10" t="s">
        <v>36</v>
      </c>
      <c r="C161" s="4">
        <v>5.281</v>
      </c>
      <c r="D161" s="5">
        <v>47.5</v>
      </c>
      <c r="E161" s="4"/>
      <c r="F161" s="4"/>
      <c r="G161" s="2">
        <f t="shared" si="12"/>
        <v>5.281</v>
      </c>
      <c r="H161" s="11" t="str">
        <f t="shared" si="13"/>
        <v>3.500E-2</v>
      </c>
      <c r="I161" s="2">
        <f t="shared" si="14"/>
        <v>47.3</v>
      </c>
      <c r="J161" s="4">
        <f t="shared" si="15"/>
        <v>5.281</v>
      </c>
      <c r="K161" s="9">
        <f t="shared" si="16"/>
        <v>6.70000000000004</v>
      </c>
      <c r="L161" s="1">
        <f t="shared" si="17"/>
        <v>-5</v>
      </c>
    </row>
    <row r="162" s="1" customFormat="1" spans="1:12">
      <c r="A162" s="2">
        <v>5.348</v>
      </c>
      <c r="B162" s="10" t="s">
        <v>37</v>
      </c>
      <c r="C162" s="4">
        <v>5.315</v>
      </c>
      <c r="D162" s="5">
        <v>47.2</v>
      </c>
      <c r="E162" s="4"/>
      <c r="F162" s="4"/>
      <c r="G162" s="2">
        <f t="shared" si="12"/>
        <v>5.315</v>
      </c>
      <c r="H162" s="11" t="str">
        <f t="shared" si="13"/>
        <v>3.498E-2</v>
      </c>
      <c r="I162" s="2">
        <f t="shared" si="14"/>
        <v>47.5</v>
      </c>
      <c r="J162" s="4">
        <f t="shared" si="15"/>
        <v>5.315</v>
      </c>
      <c r="K162" s="9">
        <f t="shared" si="16"/>
        <v>6.49999999999998</v>
      </c>
      <c r="L162" s="1">
        <f t="shared" si="17"/>
        <v>-5</v>
      </c>
    </row>
    <row r="163" s="1" customFormat="1" spans="1:12">
      <c r="A163" s="2">
        <v>5.382</v>
      </c>
      <c r="B163" s="10" t="s">
        <v>38</v>
      </c>
      <c r="C163" s="4">
        <v>5.348</v>
      </c>
      <c r="D163" s="5">
        <v>47.6</v>
      </c>
      <c r="E163" s="4"/>
      <c r="F163" s="4"/>
      <c r="G163" s="2">
        <f t="shared" si="12"/>
        <v>5.348</v>
      </c>
      <c r="H163" s="11" t="str">
        <f t="shared" si="13"/>
        <v>3.496E-2</v>
      </c>
      <c r="I163" s="2">
        <f t="shared" si="14"/>
        <v>47.2</v>
      </c>
      <c r="J163" s="4">
        <f t="shared" si="15"/>
        <v>5.348</v>
      </c>
      <c r="K163" s="9">
        <f t="shared" si="16"/>
        <v>6.29999999999999</v>
      </c>
      <c r="L163" s="1">
        <f t="shared" si="17"/>
        <v>-5</v>
      </c>
    </row>
    <row r="164" s="1" customFormat="1" spans="1:12">
      <c r="A164" s="2">
        <v>5.415</v>
      </c>
      <c r="B164" s="10" t="s">
        <v>39</v>
      </c>
      <c r="C164" s="4">
        <v>5.382</v>
      </c>
      <c r="D164" s="5">
        <v>48.1</v>
      </c>
      <c r="E164" s="4"/>
      <c r="F164" s="4"/>
      <c r="G164" s="2">
        <f t="shared" si="12"/>
        <v>5.382</v>
      </c>
      <c r="H164" s="11" t="str">
        <f t="shared" si="13"/>
        <v>3.492E-2</v>
      </c>
      <c r="I164" s="2">
        <f t="shared" si="14"/>
        <v>47.6</v>
      </c>
      <c r="J164" s="4">
        <f t="shared" si="15"/>
        <v>5.382</v>
      </c>
      <c r="K164" s="9">
        <f t="shared" si="16"/>
        <v>5.9</v>
      </c>
      <c r="L164" s="1">
        <f t="shared" si="17"/>
        <v>-5</v>
      </c>
    </row>
    <row r="165" s="1" customFormat="1" spans="1:12">
      <c r="A165" s="2">
        <v>5.449</v>
      </c>
      <c r="B165" s="10" t="s">
        <v>30</v>
      </c>
      <c r="C165" s="4">
        <v>5.415</v>
      </c>
      <c r="D165" s="5">
        <v>47.5</v>
      </c>
      <c r="E165" s="4"/>
      <c r="F165" s="4"/>
      <c r="G165" s="2">
        <f t="shared" si="12"/>
        <v>5.415</v>
      </c>
      <c r="H165" s="11" t="str">
        <f t="shared" si="13"/>
        <v>3.489E-2</v>
      </c>
      <c r="I165" s="2">
        <f t="shared" si="14"/>
        <v>48.1</v>
      </c>
      <c r="J165" s="4">
        <f t="shared" si="15"/>
        <v>5.415</v>
      </c>
      <c r="K165" s="9">
        <f t="shared" si="16"/>
        <v>5.59999999999998</v>
      </c>
      <c r="L165" s="1">
        <f t="shared" si="17"/>
        <v>-5</v>
      </c>
    </row>
    <row r="166" s="1" customFormat="1" spans="1:12">
      <c r="A166" s="2">
        <v>5.482</v>
      </c>
      <c r="B166" s="10" t="s">
        <v>29</v>
      </c>
      <c r="C166" s="4">
        <v>5.449</v>
      </c>
      <c r="D166" s="5">
        <v>48</v>
      </c>
      <c r="E166" s="4"/>
      <c r="F166" s="4"/>
      <c r="G166" s="2">
        <f t="shared" si="12"/>
        <v>5.449</v>
      </c>
      <c r="H166" s="11" t="str">
        <f t="shared" si="13"/>
        <v>3.484E-2</v>
      </c>
      <c r="I166" s="2">
        <f t="shared" si="14"/>
        <v>47.5</v>
      </c>
      <c r="J166" s="4">
        <f t="shared" si="15"/>
        <v>5.449</v>
      </c>
      <c r="K166" s="9">
        <f t="shared" si="16"/>
        <v>5.10000000000004</v>
      </c>
      <c r="L166" s="1">
        <f t="shared" si="17"/>
        <v>-5</v>
      </c>
    </row>
    <row r="167" s="1" customFormat="1" spans="1:12">
      <c r="A167" s="2">
        <v>5.515</v>
      </c>
      <c r="B167" s="10" t="s">
        <v>40</v>
      </c>
      <c r="C167" s="4">
        <v>5.482</v>
      </c>
      <c r="D167" s="5">
        <v>47.9</v>
      </c>
      <c r="E167" s="4"/>
      <c r="F167" s="4"/>
      <c r="G167" s="2">
        <f t="shared" si="12"/>
        <v>5.482</v>
      </c>
      <c r="H167" s="11" t="str">
        <f t="shared" si="13"/>
        <v>3.478E-2</v>
      </c>
      <c r="I167" s="2">
        <f t="shared" si="14"/>
        <v>48</v>
      </c>
      <c r="J167" s="4">
        <f t="shared" si="15"/>
        <v>5.482</v>
      </c>
      <c r="K167" s="9">
        <f t="shared" si="16"/>
        <v>4.49999999999999</v>
      </c>
      <c r="L167" s="1">
        <f t="shared" si="17"/>
        <v>-5</v>
      </c>
    </row>
    <row r="168" s="1" customFormat="1" spans="1:12">
      <c r="A168" s="2">
        <v>5.549</v>
      </c>
      <c r="B168" s="10" t="s">
        <v>41</v>
      </c>
      <c r="C168" s="4">
        <v>5.515</v>
      </c>
      <c r="D168" s="5">
        <v>47.9</v>
      </c>
      <c r="E168" s="4"/>
      <c r="F168" s="4"/>
      <c r="G168" s="2">
        <f t="shared" si="12"/>
        <v>5.515</v>
      </c>
      <c r="H168" s="11" t="str">
        <f t="shared" si="13"/>
        <v>3.466E-2</v>
      </c>
      <c r="I168" s="2">
        <f t="shared" si="14"/>
        <v>47.9</v>
      </c>
      <c r="J168" s="4">
        <f t="shared" si="15"/>
        <v>5.515</v>
      </c>
      <c r="K168" s="9">
        <f t="shared" si="16"/>
        <v>3.30000000000004</v>
      </c>
      <c r="L168" s="1">
        <f t="shared" si="17"/>
        <v>-5</v>
      </c>
    </row>
    <row r="169" s="1" customFormat="1" spans="1:12">
      <c r="A169" s="2">
        <v>5.582</v>
      </c>
      <c r="B169" s="10" t="s">
        <v>42</v>
      </c>
      <c r="C169" s="4">
        <v>5.549</v>
      </c>
      <c r="D169" s="5">
        <v>48.2</v>
      </c>
      <c r="E169" s="4"/>
      <c r="F169" s="4"/>
      <c r="G169" s="2">
        <f t="shared" si="12"/>
        <v>5.549</v>
      </c>
      <c r="H169" s="11" t="str">
        <f t="shared" si="13"/>
        <v>3.456E-2</v>
      </c>
      <c r="I169" s="2">
        <f t="shared" si="14"/>
        <v>47.9</v>
      </c>
      <c r="J169" s="4">
        <f t="shared" si="15"/>
        <v>5.549</v>
      </c>
      <c r="K169" s="9">
        <f t="shared" si="16"/>
        <v>2.30000000000001</v>
      </c>
      <c r="L169" s="1">
        <f t="shared" si="17"/>
        <v>-5</v>
      </c>
    </row>
    <row r="170" s="1" customFormat="1" spans="1:12">
      <c r="A170" s="2">
        <v>5.616</v>
      </c>
      <c r="B170" s="10" t="s">
        <v>43</v>
      </c>
      <c r="C170" s="4">
        <v>5.582</v>
      </c>
      <c r="D170" s="5">
        <v>47.9</v>
      </c>
      <c r="E170" s="4"/>
      <c r="F170" s="4"/>
      <c r="G170" s="2">
        <f t="shared" si="12"/>
        <v>5.582</v>
      </c>
      <c r="H170" s="11" t="str">
        <f t="shared" si="13"/>
        <v>3.450E-2</v>
      </c>
      <c r="I170" s="2">
        <f t="shared" si="14"/>
        <v>48.2</v>
      </c>
      <c r="J170" s="4">
        <f t="shared" si="15"/>
        <v>5.582</v>
      </c>
      <c r="K170" s="9">
        <f t="shared" si="16"/>
        <v>1.70000000000003</v>
      </c>
      <c r="L170" s="1">
        <f t="shared" si="17"/>
        <v>-5</v>
      </c>
    </row>
    <row r="171" s="1" customFormat="1" spans="1:12">
      <c r="A171" s="2">
        <v>5.649</v>
      </c>
      <c r="B171" s="10" t="s">
        <v>13</v>
      </c>
      <c r="C171" s="4">
        <v>5.616</v>
      </c>
      <c r="D171" s="5">
        <v>238.7</v>
      </c>
      <c r="E171" s="4"/>
      <c r="F171" s="4"/>
      <c r="G171" s="2">
        <f t="shared" si="12"/>
        <v>5.616</v>
      </c>
      <c r="H171" s="11" t="str">
        <f t="shared" si="13"/>
        <v>3.441E-2</v>
      </c>
      <c r="I171" s="2">
        <f t="shared" si="14"/>
        <v>47.9</v>
      </c>
      <c r="J171" s="4">
        <f t="shared" si="15"/>
        <v>5.616</v>
      </c>
      <c r="K171" s="9">
        <f t="shared" si="16"/>
        <v>0.800000000000037</v>
      </c>
      <c r="L171" s="1">
        <f t="shared" si="17"/>
        <v>-5</v>
      </c>
    </row>
    <row r="172" s="1" customFormat="1" spans="1:12">
      <c r="A172" s="2">
        <v>5.683</v>
      </c>
      <c r="B172" s="10" t="s">
        <v>44</v>
      </c>
      <c r="C172" s="4">
        <v>5.649</v>
      </c>
      <c r="D172" s="5">
        <v>253.8</v>
      </c>
      <c r="E172" s="4"/>
      <c r="F172" s="4"/>
      <c r="G172" s="2">
        <f t="shared" si="12"/>
        <v>5.649</v>
      </c>
      <c r="H172" s="11" t="str">
        <f t="shared" si="13"/>
        <v>3.431E-2</v>
      </c>
      <c r="I172" s="2">
        <f t="shared" si="14"/>
        <v>238.7</v>
      </c>
      <c r="J172" s="4">
        <f t="shared" si="15"/>
        <v>5.649</v>
      </c>
      <c r="K172" s="9">
        <f t="shared" si="16"/>
        <v>-0.199999999999992</v>
      </c>
      <c r="L172" s="1">
        <f t="shared" si="17"/>
        <v>23</v>
      </c>
    </row>
    <row r="173" s="1" customFormat="1" spans="1:12">
      <c r="A173" s="2">
        <v>5.716</v>
      </c>
      <c r="B173" s="10" t="s">
        <v>45</v>
      </c>
      <c r="C173" s="4">
        <v>5.683</v>
      </c>
      <c r="D173" s="5">
        <v>253.9</v>
      </c>
      <c r="E173" s="4"/>
      <c r="F173" s="4"/>
      <c r="G173" s="2">
        <f t="shared" si="12"/>
        <v>5.683</v>
      </c>
      <c r="H173" s="11" t="str">
        <f t="shared" si="13"/>
        <v>3.422E-2</v>
      </c>
      <c r="I173" s="2">
        <f t="shared" si="14"/>
        <v>253.8</v>
      </c>
      <c r="J173" s="4">
        <f t="shared" si="15"/>
        <v>5.683</v>
      </c>
      <c r="K173" s="9">
        <f t="shared" si="16"/>
        <v>-1.09999999999999</v>
      </c>
      <c r="L173" s="1">
        <f t="shared" si="17"/>
        <v>23</v>
      </c>
    </row>
    <row r="174" s="1" customFormat="1" spans="1:12">
      <c r="A174" s="2">
        <v>5.749</v>
      </c>
      <c r="B174" s="10" t="s">
        <v>46</v>
      </c>
      <c r="C174" s="4">
        <v>5.716</v>
      </c>
      <c r="D174" s="5">
        <v>253.9</v>
      </c>
      <c r="E174" s="4"/>
      <c r="F174" s="4"/>
      <c r="G174" s="2">
        <f t="shared" si="12"/>
        <v>5.716</v>
      </c>
      <c r="H174" s="11" t="str">
        <f t="shared" si="13"/>
        <v>3.415E-2</v>
      </c>
      <c r="I174" s="2">
        <f t="shared" si="14"/>
        <v>253.9</v>
      </c>
      <c r="J174" s="4">
        <f t="shared" si="15"/>
        <v>5.716</v>
      </c>
      <c r="K174" s="9">
        <f t="shared" si="16"/>
        <v>-1.8</v>
      </c>
      <c r="L174" s="1">
        <f t="shared" si="17"/>
        <v>23</v>
      </c>
    </row>
    <row r="175" s="1" customFormat="1" spans="1:12">
      <c r="A175" s="2">
        <v>5.783</v>
      </c>
      <c r="B175" s="10" t="s">
        <v>47</v>
      </c>
      <c r="C175" s="4">
        <v>5.749</v>
      </c>
      <c r="D175" s="5">
        <v>253.9</v>
      </c>
      <c r="E175" s="4"/>
      <c r="F175" s="4"/>
      <c r="G175" s="2">
        <f t="shared" si="12"/>
        <v>5.749</v>
      </c>
      <c r="H175" s="11" t="str">
        <f t="shared" si="13"/>
        <v>3.401E-2</v>
      </c>
      <c r="I175" s="2">
        <f t="shared" si="14"/>
        <v>253.9</v>
      </c>
      <c r="J175" s="4">
        <f t="shared" si="15"/>
        <v>5.749</v>
      </c>
      <c r="K175" s="9">
        <f t="shared" si="16"/>
        <v>-3.20000000000001</v>
      </c>
      <c r="L175" s="1">
        <f t="shared" si="17"/>
        <v>23</v>
      </c>
    </row>
    <row r="176" s="1" customFormat="1" spans="1:12">
      <c r="A176" s="2">
        <v>5.816</v>
      </c>
      <c r="B176" s="10" t="s">
        <v>48</v>
      </c>
      <c r="C176" s="4">
        <v>5.783</v>
      </c>
      <c r="D176" s="5">
        <v>253.9</v>
      </c>
      <c r="E176" s="4"/>
      <c r="F176" s="4"/>
      <c r="G176" s="2">
        <f t="shared" si="12"/>
        <v>5.783</v>
      </c>
      <c r="H176" s="11" t="str">
        <f t="shared" si="13"/>
        <v>3.394E-2</v>
      </c>
      <c r="I176" s="2">
        <f t="shared" si="14"/>
        <v>253.9</v>
      </c>
      <c r="J176" s="4">
        <f t="shared" si="15"/>
        <v>5.783</v>
      </c>
      <c r="K176" s="9">
        <f t="shared" si="16"/>
        <v>-3.90000000000001</v>
      </c>
      <c r="L176" s="1">
        <f t="shared" si="17"/>
        <v>23</v>
      </c>
    </row>
    <row r="177" s="1" customFormat="1" spans="1:12">
      <c r="A177" s="2">
        <v>5.85</v>
      </c>
      <c r="B177" s="10" t="s">
        <v>49</v>
      </c>
      <c r="C177" s="4">
        <v>5.816</v>
      </c>
      <c r="D177" s="5">
        <v>253.9</v>
      </c>
      <c r="E177" s="4"/>
      <c r="F177" s="4"/>
      <c r="G177" s="2">
        <f t="shared" si="12"/>
        <v>5.816</v>
      </c>
      <c r="H177" s="11" t="str">
        <f t="shared" si="13"/>
        <v>3.390E-2</v>
      </c>
      <c r="I177" s="2">
        <f t="shared" si="14"/>
        <v>253.9</v>
      </c>
      <c r="J177" s="4">
        <f t="shared" si="15"/>
        <v>5.816</v>
      </c>
      <c r="K177" s="9">
        <f t="shared" si="16"/>
        <v>-4.3</v>
      </c>
      <c r="L177" s="1">
        <f t="shared" si="17"/>
        <v>23</v>
      </c>
    </row>
    <row r="178" s="1" customFormat="1" spans="1:12">
      <c r="A178" s="2">
        <v>5.883</v>
      </c>
      <c r="B178" s="10" t="s">
        <v>50</v>
      </c>
      <c r="C178" s="4">
        <v>5.85</v>
      </c>
      <c r="D178" s="5">
        <v>253.9</v>
      </c>
      <c r="E178" s="4"/>
      <c r="F178" s="4"/>
      <c r="G178" s="2">
        <f t="shared" si="12"/>
        <v>5.85</v>
      </c>
      <c r="H178" s="11" t="str">
        <f t="shared" si="13"/>
        <v>3.386E-2</v>
      </c>
      <c r="I178" s="2">
        <f t="shared" si="14"/>
        <v>253.9</v>
      </c>
      <c r="J178" s="4">
        <f t="shared" si="15"/>
        <v>5.85</v>
      </c>
      <c r="K178" s="9">
        <f t="shared" si="16"/>
        <v>-4.69999999999998</v>
      </c>
      <c r="L178" s="1">
        <f t="shared" si="17"/>
        <v>23</v>
      </c>
    </row>
    <row r="179" s="1" customFormat="1" spans="1:12">
      <c r="A179" s="2">
        <v>5.917</v>
      </c>
      <c r="B179" s="10" t="s">
        <v>51</v>
      </c>
      <c r="C179" s="4">
        <v>5.883</v>
      </c>
      <c r="D179" s="5">
        <v>253.9</v>
      </c>
      <c r="E179" s="4"/>
      <c r="F179" s="4"/>
      <c r="G179" s="2">
        <f t="shared" si="12"/>
        <v>5.883</v>
      </c>
      <c r="H179" s="11" t="str">
        <f t="shared" si="13"/>
        <v>3.377E-2</v>
      </c>
      <c r="I179" s="2">
        <f t="shared" si="14"/>
        <v>253.9</v>
      </c>
      <c r="J179" s="4">
        <f t="shared" si="15"/>
        <v>5.883</v>
      </c>
      <c r="K179" s="9">
        <f t="shared" si="16"/>
        <v>-5.59999999999998</v>
      </c>
      <c r="L179" s="1">
        <f t="shared" si="17"/>
        <v>23</v>
      </c>
    </row>
    <row r="180" s="1" customFormat="1" spans="1:12">
      <c r="A180" s="2">
        <v>5.95</v>
      </c>
      <c r="B180" s="10" t="s">
        <v>52</v>
      </c>
      <c r="C180" s="4">
        <v>5.917</v>
      </c>
      <c r="D180" s="5">
        <v>253.8</v>
      </c>
      <c r="E180" s="4"/>
      <c r="F180" s="4"/>
      <c r="G180" s="2">
        <f t="shared" si="12"/>
        <v>5.917</v>
      </c>
      <c r="H180" s="11" t="str">
        <f t="shared" si="13"/>
        <v>3.373E-2</v>
      </c>
      <c r="I180" s="2">
        <f t="shared" si="14"/>
        <v>253.9</v>
      </c>
      <c r="J180" s="4">
        <f t="shared" si="15"/>
        <v>5.917</v>
      </c>
      <c r="K180" s="9">
        <f t="shared" si="16"/>
        <v>-5.99999999999996</v>
      </c>
      <c r="L180" s="1">
        <f t="shared" si="17"/>
        <v>23</v>
      </c>
    </row>
    <row r="181" s="1" customFormat="1" spans="1:12">
      <c r="A181" s="2">
        <v>5.983</v>
      </c>
      <c r="B181" s="10" t="s">
        <v>52</v>
      </c>
      <c r="C181" s="4">
        <v>5.95</v>
      </c>
      <c r="D181" s="5">
        <v>253.8</v>
      </c>
      <c r="E181" s="4"/>
      <c r="F181" s="4"/>
      <c r="G181" s="2">
        <f t="shared" si="12"/>
        <v>5.95</v>
      </c>
      <c r="H181" s="11" t="str">
        <f t="shared" si="13"/>
        <v>3.372E-2</v>
      </c>
      <c r="I181" s="2">
        <f t="shared" si="14"/>
        <v>253.8</v>
      </c>
      <c r="J181" s="4">
        <f t="shared" si="15"/>
        <v>5.95</v>
      </c>
      <c r="K181" s="9">
        <f t="shared" si="16"/>
        <v>-6.09999999999999</v>
      </c>
      <c r="L181" s="1">
        <f t="shared" si="17"/>
        <v>23</v>
      </c>
    </row>
    <row r="182" s="1" customFormat="1" spans="1:12">
      <c r="A182" s="2">
        <v>6.017</v>
      </c>
      <c r="B182" s="10" t="s">
        <v>51</v>
      </c>
      <c r="C182" s="4">
        <v>5.983</v>
      </c>
      <c r="D182" s="5">
        <v>253.8</v>
      </c>
      <c r="E182" s="4"/>
      <c r="F182" s="4"/>
      <c r="G182" s="2">
        <f t="shared" si="12"/>
        <v>5.983</v>
      </c>
      <c r="H182" s="11" t="str">
        <f t="shared" si="13"/>
        <v>3.372E-2</v>
      </c>
      <c r="I182" s="2">
        <f t="shared" si="14"/>
        <v>253.8</v>
      </c>
      <c r="J182" s="4">
        <f t="shared" si="15"/>
        <v>5.983</v>
      </c>
      <c r="K182" s="9">
        <f t="shared" si="16"/>
        <v>-6.09999999999999</v>
      </c>
      <c r="L182" s="1">
        <f t="shared" si="17"/>
        <v>23</v>
      </c>
    </row>
    <row r="183" s="1" customFormat="1" spans="1:12">
      <c r="A183" s="2">
        <v>6.05</v>
      </c>
      <c r="B183" s="10" t="s">
        <v>53</v>
      </c>
      <c r="C183" s="4">
        <v>6.017</v>
      </c>
      <c r="D183" s="5">
        <v>253.8</v>
      </c>
      <c r="E183" s="4"/>
      <c r="F183" s="4"/>
      <c r="G183" s="2">
        <f t="shared" si="12"/>
        <v>6.017</v>
      </c>
      <c r="H183" s="11" t="str">
        <f t="shared" si="13"/>
        <v>3.373E-2</v>
      </c>
      <c r="I183" s="2">
        <f t="shared" si="14"/>
        <v>253.8</v>
      </c>
      <c r="J183" s="4">
        <f t="shared" si="15"/>
        <v>6.017</v>
      </c>
      <c r="K183" s="9">
        <f t="shared" si="16"/>
        <v>-5.99999999999996</v>
      </c>
      <c r="L183" s="1">
        <f t="shared" si="17"/>
        <v>23</v>
      </c>
    </row>
    <row r="184" s="1" customFormat="1" spans="1:12">
      <c r="A184" s="2">
        <v>6.084</v>
      </c>
      <c r="B184" s="10" t="s">
        <v>54</v>
      </c>
      <c r="C184" s="4">
        <v>6.05</v>
      </c>
      <c r="D184" s="5">
        <v>253.8</v>
      </c>
      <c r="E184" s="4"/>
      <c r="F184" s="4"/>
      <c r="G184" s="2">
        <f t="shared" si="12"/>
        <v>6.05</v>
      </c>
      <c r="H184" s="11" t="str">
        <f t="shared" si="13"/>
        <v>3.375E-2</v>
      </c>
      <c r="I184" s="2">
        <f t="shared" si="14"/>
        <v>253.8</v>
      </c>
      <c r="J184" s="4">
        <f t="shared" si="15"/>
        <v>6.05</v>
      </c>
      <c r="K184" s="9">
        <f t="shared" si="16"/>
        <v>-5.79999999999997</v>
      </c>
      <c r="L184" s="1">
        <f t="shared" si="17"/>
        <v>23</v>
      </c>
    </row>
    <row r="185" s="1" customFormat="1" spans="1:12">
      <c r="A185" s="2">
        <v>6.117</v>
      </c>
      <c r="B185" s="10" t="s">
        <v>55</v>
      </c>
      <c r="C185" s="4">
        <v>6.084</v>
      </c>
      <c r="D185" s="5">
        <v>253.8</v>
      </c>
      <c r="E185" s="4"/>
      <c r="F185" s="4"/>
      <c r="G185" s="2">
        <f t="shared" si="12"/>
        <v>6.084</v>
      </c>
      <c r="H185" s="11" t="str">
        <f t="shared" si="13"/>
        <v>3.378E-2</v>
      </c>
      <c r="I185" s="2">
        <f t="shared" si="14"/>
        <v>253.8</v>
      </c>
      <c r="J185" s="4">
        <f t="shared" si="15"/>
        <v>6.084</v>
      </c>
      <c r="K185" s="9">
        <f t="shared" si="16"/>
        <v>-5.50000000000002</v>
      </c>
      <c r="L185" s="1">
        <f t="shared" si="17"/>
        <v>23</v>
      </c>
    </row>
    <row r="186" s="1" customFormat="1" spans="1:12">
      <c r="A186" s="2">
        <v>6.15</v>
      </c>
      <c r="B186" s="10" t="s">
        <v>48</v>
      </c>
      <c r="C186" s="4">
        <v>6.117</v>
      </c>
      <c r="D186" s="5">
        <v>253.8</v>
      </c>
      <c r="E186" s="4"/>
      <c r="F186" s="4"/>
      <c r="G186" s="2">
        <f t="shared" si="12"/>
        <v>6.117</v>
      </c>
      <c r="H186" s="11" t="str">
        <f t="shared" si="13"/>
        <v>3.383E-2</v>
      </c>
      <c r="I186" s="2">
        <f t="shared" si="14"/>
        <v>253.8</v>
      </c>
      <c r="J186" s="4">
        <f t="shared" si="15"/>
        <v>6.117</v>
      </c>
      <c r="K186" s="9">
        <f t="shared" si="16"/>
        <v>-5</v>
      </c>
      <c r="L186" s="1">
        <f t="shared" si="17"/>
        <v>23</v>
      </c>
    </row>
    <row r="187" s="1" customFormat="1" spans="1:12">
      <c r="A187" s="2">
        <v>6.184</v>
      </c>
      <c r="B187" s="10" t="s">
        <v>56</v>
      </c>
      <c r="C187" s="4">
        <v>6.15</v>
      </c>
      <c r="D187" s="5">
        <v>253.8</v>
      </c>
      <c r="E187" s="4"/>
      <c r="F187" s="4"/>
      <c r="G187" s="2">
        <f t="shared" si="12"/>
        <v>6.15</v>
      </c>
      <c r="H187" s="11" t="str">
        <f t="shared" si="13"/>
        <v>3.390E-2</v>
      </c>
      <c r="I187" s="2">
        <f t="shared" si="14"/>
        <v>253.8</v>
      </c>
      <c r="J187" s="4">
        <f t="shared" si="15"/>
        <v>6.15</v>
      </c>
      <c r="K187" s="9">
        <f t="shared" si="16"/>
        <v>-4.3</v>
      </c>
      <c r="L187" s="1">
        <f t="shared" si="17"/>
        <v>23</v>
      </c>
    </row>
    <row r="188" s="1" customFormat="1" spans="1:12">
      <c r="A188" s="2">
        <v>6.217</v>
      </c>
      <c r="B188" s="10" t="s">
        <v>57</v>
      </c>
      <c r="C188" s="4">
        <v>6.184</v>
      </c>
      <c r="D188" s="5">
        <v>253.8</v>
      </c>
      <c r="E188" s="4"/>
      <c r="F188" s="4"/>
      <c r="G188" s="2">
        <f t="shared" si="12"/>
        <v>6.184</v>
      </c>
      <c r="H188" s="11" t="str">
        <f t="shared" si="13"/>
        <v>3.402E-2</v>
      </c>
      <c r="I188" s="2">
        <f t="shared" si="14"/>
        <v>253.8</v>
      </c>
      <c r="J188" s="4">
        <f t="shared" si="15"/>
        <v>6.184</v>
      </c>
      <c r="K188" s="9">
        <f t="shared" si="16"/>
        <v>-3.09999999999998</v>
      </c>
      <c r="L188" s="1">
        <f t="shared" si="17"/>
        <v>23</v>
      </c>
    </row>
    <row r="189" s="1" customFormat="1" spans="1:12">
      <c r="A189" s="2">
        <v>6.251</v>
      </c>
      <c r="B189" s="10" t="s">
        <v>18</v>
      </c>
      <c r="C189" s="4">
        <v>6.217</v>
      </c>
      <c r="D189" s="5">
        <v>253.8</v>
      </c>
      <c r="E189" s="4"/>
      <c r="F189" s="4"/>
      <c r="G189" s="2">
        <f t="shared" si="12"/>
        <v>6.217</v>
      </c>
      <c r="H189" s="11" t="str">
        <f t="shared" si="13"/>
        <v>3.413E-2</v>
      </c>
      <c r="I189" s="2">
        <f t="shared" si="14"/>
        <v>253.8</v>
      </c>
      <c r="J189" s="4">
        <f t="shared" si="15"/>
        <v>6.217</v>
      </c>
      <c r="K189" s="9">
        <f t="shared" si="16"/>
        <v>-1.99999999999999</v>
      </c>
      <c r="L189" s="1">
        <f t="shared" si="17"/>
        <v>23</v>
      </c>
    </row>
    <row r="190" s="1" customFormat="1" spans="1:12">
      <c r="A190" s="2">
        <v>6.284</v>
      </c>
      <c r="B190" s="10" t="s">
        <v>58</v>
      </c>
      <c r="C190" s="4">
        <v>6.251</v>
      </c>
      <c r="D190" s="5">
        <v>253.8</v>
      </c>
      <c r="E190" s="4"/>
      <c r="F190" s="4"/>
      <c r="G190" s="2">
        <f t="shared" si="12"/>
        <v>6.251</v>
      </c>
      <c r="H190" s="11" t="str">
        <f t="shared" si="13"/>
        <v>3.424E-2</v>
      </c>
      <c r="I190" s="2">
        <f t="shared" si="14"/>
        <v>253.8</v>
      </c>
      <c r="J190" s="4">
        <f t="shared" si="15"/>
        <v>6.251</v>
      </c>
      <c r="K190" s="9">
        <f t="shared" si="16"/>
        <v>-0.899999999999998</v>
      </c>
      <c r="L190" s="1">
        <f t="shared" si="17"/>
        <v>23</v>
      </c>
    </row>
    <row r="191" s="1" customFormat="1" spans="1:12">
      <c r="A191" s="2">
        <v>6.318</v>
      </c>
      <c r="B191" s="10" t="s">
        <v>59</v>
      </c>
      <c r="C191" s="4">
        <v>6.284</v>
      </c>
      <c r="D191" s="5">
        <v>253.8</v>
      </c>
      <c r="E191" s="4"/>
      <c r="F191" s="4"/>
      <c r="G191" s="2">
        <f t="shared" si="12"/>
        <v>6.284</v>
      </c>
      <c r="H191" s="11" t="str">
        <f t="shared" si="13"/>
        <v>3.440E-2</v>
      </c>
      <c r="I191" s="2">
        <f t="shared" si="14"/>
        <v>253.8</v>
      </c>
      <c r="J191" s="4">
        <f t="shared" si="15"/>
        <v>6.284</v>
      </c>
      <c r="K191" s="9">
        <f t="shared" si="16"/>
        <v>0.700000000000006</v>
      </c>
      <c r="L191" s="1">
        <f t="shared" si="17"/>
        <v>23</v>
      </c>
    </row>
    <row r="192" s="1" customFormat="1" spans="1:12">
      <c r="A192" s="2">
        <v>6.351</v>
      </c>
      <c r="B192" s="10" t="s">
        <v>28</v>
      </c>
      <c r="C192" s="4">
        <v>6.318</v>
      </c>
      <c r="D192" s="5">
        <v>253.8</v>
      </c>
      <c r="E192" s="4"/>
      <c r="F192" s="4"/>
      <c r="G192" s="2">
        <f t="shared" si="12"/>
        <v>6.318</v>
      </c>
      <c r="H192" s="11" t="str">
        <f t="shared" si="13"/>
        <v>3.452E-2</v>
      </c>
      <c r="I192" s="2">
        <f t="shared" si="14"/>
        <v>253.8</v>
      </c>
      <c r="J192" s="4">
        <f t="shared" si="15"/>
        <v>6.318</v>
      </c>
      <c r="K192" s="9">
        <f t="shared" si="16"/>
        <v>1.90000000000003</v>
      </c>
      <c r="L192" s="1">
        <f t="shared" si="17"/>
        <v>23</v>
      </c>
    </row>
    <row r="193" s="1" customFormat="1" spans="1:12">
      <c r="A193" s="2">
        <v>6.384</v>
      </c>
      <c r="B193" s="10" t="s">
        <v>60</v>
      </c>
      <c r="C193" s="4">
        <v>6.351</v>
      </c>
      <c r="D193" s="5">
        <v>253.8</v>
      </c>
      <c r="E193" s="4"/>
      <c r="F193" s="4"/>
      <c r="G193" s="2">
        <f t="shared" si="12"/>
        <v>6.351</v>
      </c>
      <c r="H193" s="11" t="str">
        <f t="shared" si="13"/>
        <v>3.470E-2</v>
      </c>
      <c r="I193" s="2">
        <f t="shared" si="14"/>
        <v>253.8</v>
      </c>
      <c r="J193" s="4">
        <f t="shared" si="15"/>
        <v>6.351</v>
      </c>
      <c r="K193" s="9">
        <f t="shared" si="16"/>
        <v>3.70000000000002</v>
      </c>
      <c r="L193" s="1">
        <f t="shared" si="17"/>
        <v>23</v>
      </c>
    </row>
    <row r="194" s="1" customFormat="1" spans="1:12">
      <c r="A194" s="2">
        <v>6.418</v>
      </c>
      <c r="B194" s="10" t="s">
        <v>36</v>
      </c>
      <c r="C194" s="4">
        <v>6.384</v>
      </c>
      <c r="D194" s="5">
        <v>253.8</v>
      </c>
      <c r="E194" s="4"/>
      <c r="F194" s="4"/>
      <c r="G194" s="2">
        <f t="shared" si="12"/>
        <v>6.384</v>
      </c>
      <c r="H194" s="11" t="str">
        <f t="shared" si="13"/>
        <v>3.483E-2</v>
      </c>
      <c r="I194" s="2">
        <f t="shared" si="14"/>
        <v>253.8</v>
      </c>
      <c r="J194" s="4">
        <f t="shared" si="15"/>
        <v>6.384</v>
      </c>
      <c r="K194" s="9">
        <f t="shared" si="16"/>
        <v>5</v>
      </c>
      <c r="L194" s="1">
        <f t="shared" si="17"/>
        <v>23</v>
      </c>
    </row>
    <row r="195" s="1" customFormat="1" spans="1:12">
      <c r="A195" s="2">
        <v>6.451</v>
      </c>
      <c r="B195" s="10" t="s">
        <v>61</v>
      </c>
      <c r="C195" s="4">
        <v>6.418</v>
      </c>
      <c r="D195" s="5">
        <v>108.3</v>
      </c>
      <c r="E195" s="4"/>
      <c r="F195" s="4"/>
      <c r="G195" s="2">
        <f t="shared" si="12"/>
        <v>6.418</v>
      </c>
      <c r="H195" s="11" t="str">
        <f t="shared" si="13"/>
        <v>3.498E-2</v>
      </c>
      <c r="I195" s="2">
        <f t="shared" si="14"/>
        <v>253.8</v>
      </c>
      <c r="J195" s="4">
        <f t="shared" si="15"/>
        <v>6.418</v>
      </c>
      <c r="K195" s="9">
        <f t="shared" si="16"/>
        <v>6.49999999999998</v>
      </c>
      <c r="L195" s="1">
        <f t="shared" si="17"/>
        <v>23</v>
      </c>
    </row>
    <row r="196" s="1" customFormat="1" spans="1:12">
      <c r="A196" s="2">
        <v>6.485</v>
      </c>
      <c r="B196" s="10" t="s">
        <v>62</v>
      </c>
      <c r="C196" s="4">
        <v>6.451</v>
      </c>
      <c r="D196" s="5">
        <v>68.1</v>
      </c>
      <c r="E196" s="4"/>
      <c r="F196" s="4"/>
      <c r="G196" s="2">
        <f t="shared" ref="G196:G259" si="18">A195</f>
        <v>6.451</v>
      </c>
      <c r="H196" s="11" t="str">
        <f t="shared" ref="H196:H259" si="19">B195</f>
        <v>3.509E-2</v>
      </c>
      <c r="I196" s="2">
        <f t="shared" ref="I196:I259" si="20">D195</f>
        <v>108.3</v>
      </c>
      <c r="J196" s="4">
        <f t="shared" ref="J196:J259" si="21">G196</f>
        <v>6.451</v>
      </c>
      <c r="K196" s="9">
        <f t="shared" ref="K196:K259" si="22">(H196-$H$4)*10000</f>
        <v>7.60000000000004</v>
      </c>
      <c r="L196" s="1">
        <f t="shared" si="17"/>
        <v>-5</v>
      </c>
    </row>
    <row r="197" s="1" customFormat="1" spans="1:12">
      <c r="A197" s="2">
        <v>6.518</v>
      </c>
      <c r="B197" s="10" t="s">
        <v>63</v>
      </c>
      <c r="C197" s="4">
        <v>6.485</v>
      </c>
      <c r="D197" s="5">
        <v>68.7</v>
      </c>
      <c r="E197" s="4"/>
      <c r="F197" s="4"/>
      <c r="G197" s="2">
        <f t="shared" si="18"/>
        <v>6.485</v>
      </c>
      <c r="H197" s="11" t="str">
        <f t="shared" si="19"/>
        <v>3.527E-2</v>
      </c>
      <c r="I197" s="2">
        <f t="shared" si="20"/>
        <v>68.1</v>
      </c>
      <c r="J197" s="4">
        <f t="shared" si="21"/>
        <v>6.485</v>
      </c>
      <c r="K197" s="9">
        <f t="shared" si="22"/>
        <v>9.40000000000003</v>
      </c>
      <c r="L197" s="1">
        <f t="shared" ref="L197:L260" si="23">IF(I197&lt;230,-5,23)</f>
        <v>-5</v>
      </c>
    </row>
    <row r="198" s="1" customFormat="1" spans="1:12">
      <c r="A198" s="2">
        <v>6.552</v>
      </c>
      <c r="B198" s="10" t="s">
        <v>64</v>
      </c>
      <c r="C198" s="4">
        <v>6.518</v>
      </c>
      <c r="D198" s="5">
        <v>68.9</v>
      </c>
      <c r="E198" s="4"/>
      <c r="F198" s="4"/>
      <c r="G198" s="2">
        <f t="shared" si="18"/>
        <v>6.518</v>
      </c>
      <c r="H198" s="11" t="str">
        <f t="shared" si="19"/>
        <v>3.542E-2</v>
      </c>
      <c r="I198" s="2">
        <f t="shared" si="20"/>
        <v>68.7</v>
      </c>
      <c r="J198" s="4">
        <f t="shared" si="21"/>
        <v>6.518</v>
      </c>
      <c r="K198" s="9">
        <f t="shared" si="22"/>
        <v>10.9</v>
      </c>
      <c r="L198" s="1">
        <f t="shared" si="23"/>
        <v>-5</v>
      </c>
    </row>
    <row r="199" s="1" customFormat="1" spans="1:12">
      <c r="A199" s="2">
        <v>6.585</v>
      </c>
      <c r="B199" s="10" t="s">
        <v>65</v>
      </c>
      <c r="C199" s="4">
        <v>6.552</v>
      </c>
      <c r="D199" s="5">
        <v>68.2</v>
      </c>
      <c r="E199" s="4"/>
      <c r="F199" s="4"/>
      <c r="G199" s="2">
        <f t="shared" si="18"/>
        <v>6.552</v>
      </c>
      <c r="H199" s="11" t="str">
        <f t="shared" si="19"/>
        <v>3.557E-2</v>
      </c>
      <c r="I199" s="2">
        <f t="shared" si="20"/>
        <v>68.9</v>
      </c>
      <c r="J199" s="4">
        <f t="shared" si="21"/>
        <v>6.552</v>
      </c>
      <c r="K199" s="9">
        <f t="shared" si="22"/>
        <v>12.4</v>
      </c>
      <c r="L199" s="1">
        <f t="shared" si="23"/>
        <v>-5</v>
      </c>
    </row>
    <row r="200" s="1" customFormat="1" spans="1:12">
      <c r="A200" s="2">
        <v>6.618</v>
      </c>
      <c r="B200" s="10" t="s">
        <v>66</v>
      </c>
      <c r="C200" s="4">
        <v>6.585</v>
      </c>
      <c r="D200" s="5">
        <v>68.3</v>
      </c>
      <c r="E200" s="4"/>
      <c r="F200" s="4"/>
      <c r="G200" s="2">
        <f t="shared" si="18"/>
        <v>6.585</v>
      </c>
      <c r="H200" s="11" t="str">
        <f t="shared" si="19"/>
        <v>3.567E-2</v>
      </c>
      <c r="I200" s="2">
        <f t="shared" si="20"/>
        <v>68.2</v>
      </c>
      <c r="J200" s="4">
        <f t="shared" si="21"/>
        <v>6.585</v>
      </c>
      <c r="K200" s="9">
        <f t="shared" si="22"/>
        <v>13.4</v>
      </c>
      <c r="L200" s="1">
        <f t="shared" si="23"/>
        <v>-5</v>
      </c>
    </row>
    <row r="201" s="1" customFormat="1" spans="1:12">
      <c r="A201" s="2">
        <v>6.652</v>
      </c>
      <c r="B201" s="10" t="s">
        <v>67</v>
      </c>
      <c r="C201" s="4">
        <v>6.618</v>
      </c>
      <c r="D201" s="5">
        <v>68.4</v>
      </c>
      <c r="E201" s="4"/>
      <c r="F201" s="4"/>
      <c r="G201" s="2">
        <f t="shared" si="18"/>
        <v>6.618</v>
      </c>
      <c r="H201" s="11" t="str">
        <f t="shared" si="19"/>
        <v>3.575E-2</v>
      </c>
      <c r="I201" s="2">
        <f t="shared" si="20"/>
        <v>68.3</v>
      </c>
      <c r="J201" s="4">
        <f t="shared" si="21"/>
        <v>6.618</v>
      </c>
      <c r="K201" s="9">
        <f t="shared" si="22"/>
        <v>14.2</v>
      </c>
      <c r="L201" s="1">
        <f t="shared" si="23"/>
        <v>-5</v>
      </c>
    </row>
    <row r="202" s="1" customFormat="1" spans="1:12">
      <c r="A202" s="2">
        <v>6.685</v>
      </c>
      <c r="B202" s="10" t="s">
        <v>68</v>
      </c>
      <c r="C202" s="4">
        <v>6.652</v>
      </c>
      <c r="D202" s="5">
        <v>68.2</v>
      </c>
      <c r="E202" s="4"/>
      <c r="F202" s="4"/>
      <c r="G202" s="2">
        <f t="shared" si="18"/>
        <v>6.652</v>
      </c>
      <c r="H202" s="11" t="str">
        <f t="shared" si="19"/>
        <v>3.587E-2</v>
      </c>
      <c r="I202" s="2">
        <f t="shared" si="20"/>
        <v>68.4</v>
      </c>
      <c r="J202" s="4">
        <f t="shared" si="21"/>
        <v>6.652</v>
      </c>
      <c r="K202" s="9">
        <f t="shared" si="22"/>
        <v>15.4</v>
      </c>
      <c r="L202" s="1">
        <f t="shared" si="23"/>
        <v>-5</v>
      </c>
    </row>
    <row r="203" s="1" customFormat="1" spans="1:12">
      <c r="A203" s="2">
        <v>6.719</v>
      </c>
      <c r="B203" s="10" t="s">
        <v>68</v>
      </c>
      <c r="C203" s="4">
        <v>6.685</v>
      </c>
      <c r="D203" s="5">
        <v>68.2</v>
      </c>
      <c r="E203" s="4"/>
      <c r="F203" s="4"/>
      <c r="G203" s="2">
        <f t="shared" si="18"/>
        <v>6.685</v>
      </c>
      <c r="H203" s="11" t="str">
        <f t="shared" si="19"/>
        <v>3.591E-2</v>
      </c>
      <c r="I203" s="2">
        <f t="shared" si="20"/>
        <v>68.2</v>
      </c>
      <c r="J203" s="4">
        <f t="shared" si="21"/>
        <v>6.685</v>
      </c>
      <c r="K203" s="9">
        <f t="shared" si="22"/>
        <v>15.8</v>
      </c>
      <c r="L203" s="1">
        <f t="shared" si="23"/>
        <v>-5</v>
      </c>
    </row>
    <row r="204" s="1" customFormat="1" spans="1:12">
      <c r="A204" s="2">
        <v>6.752</v>
      </c>
      <c r="B204" s="10" t="s">
        <v>69</v>
      </c>
      <c r="C204" s="4">
        <v>6.719</v>
      </c>
      <c r="D204" s="5">
        <v>68.6</v>
      </c>
      <c r="E204" s="4"/>
      <c r="F204" s="4"/>
      <c r="G204" s="2">
        <f t="shared" si="18"/>
        <v>6.719</v>
      </c>
      <c r="H204" s="11" t="str">
        <f t="shared" si="19"/>
        <v>3.591E-2</v>
      </c>
      <c r="I204" s="2">
        <f t="shared" si="20"/>
        <v>68.2</v>
      </c>
      <c r="J204" s="4">
        <f t="shared" si="21"/>
        <v>6.719</v>
      </c>
      <c r="K204" s="9">
        <f t="shared" si="22"/>
        <v>15.8</v>
      </c>
      <c r="L204" s="1">
        <f t="shared" si="23"/>
        <v>-5</v>
      </c>
    </row>
    <row r="205" s="1" customFormat="1" spans="1:12">
      <c r="A205" s="2">
        <v>6.786</v>
      </c>
      <c r="B205" s="10" t="s">
        <v>70</v>
      </c>
      <c r="C205" s="4">
        <v>6.752</v>
      </c>
      <c r="D205" s="5">
        <v>68.1</v>
      </c>
      <c r="E205" s="4"/>
      <c r="F205" s="4"/>
      <c r="G205" s="2">
        <f t="shared" si="18"/>
        <v>6.752</v>
      </c>
      <c r="H205" s="11" t="str">
        <f t="shared" si="19"/>
        <v>3.592E-2</v>
      </c>
      <c r="I205" s="2">
        <f t="shared" si="20"/>
        <v>68.6</v>
      </c>
      <c r="J205" s="4">
        <f t="shared" si="21"/>
        <v>6.752</v>
      </c>
      <c r="K205" s="9">
        <f t="shared" si="22"/>
        <v>15.9</v>
      </c>
      <c r="L205" s="1">
        <f t="shared" si="23"/>
        <v>-5</v>
      </c>
    </row>
    <row r="206" s="1" customFormat="1" spans="1:12">
      <c r="A206" s="2">
        <v>6.819</v>
      </c>
      <c r="B206" s="10" t="s">
        <v>67</v>
      </c>
      <c r="C206" s="4">
        <v>6.786</v>
      </c>
      <c r="D206" s="5">
        <v>68.2</v>
      </c>
      <c r="E206" s="4"/>
      <c r="F206" s="4"/>
      <c r="G206" s="2">
        <f t="shared" si="18"/>
        <v>6.786</v>
      </c>
      <c r="H206" s="11" t="str">
        <f t="shared" si="19"/>
        <v>3.589E-2</v>
      </c>
      <c r="I206" s="2">
        <f t="shared" si="20"/>
        <v>68.1</v>
      </c>
      <c r="J206" s="4">
        <f t="shared" si="21"/>
        <v>6.786</v>
      </c>
      <c r="K206" s="9">
        <f t="shared" si="22"/>
        <v>15.6</v>
      </c>
      <c r="L206" s="1">
        <f t="shared" si="23"/>
        <v>-5</v>
      </c>
    </row>
    <row r="207" s="1" customFormat="1" spans="1:12">
      <c r="A207" s="2">
        <v>6.852</v>
      </c>
      <c r="B207" s="10" t="s">
        <v>71</v>
      </c>
      <c r="C207" s="4">
        <v>6.819</v>
      </c>
      <c r="D207" s="5">
        <v>68.3</v>
      </c>
      <c r="E207" s="4"/>
      <c r="F207" s="4"/>
      <c r="G207" s="2">
        <f t="shared" si="18"/>
        <v>6.819</v>
      </c>
      <c r="H207" s="11" t="str">
        <f t="shared" si="19"/>
        <v>3.587E-2</v>
      </c>
      <c r="I207" s="2">
        <f t="shared" si="20"/>
        <v>68.2</v>
      </c>
      <c r="J207" s="4">
        <f t="shared" si="21"/>
        <v>6.819</v>
      </c>
      <c r="K207" s="9">
        <f t="shared" si="22"/>
        <v>15.4</v>
      </c>
      <c r="L207" s="1">
        <f t="shared" si="23"/>
        <v>-5</v>
      </c>
    </row>
    <row r="208" s="1" customFormat="1" spans="1:12">
      <c r="A208" s="2">
        <v>6.886</v>
      </c>
      <c r="B208" s="10" t="s">
        <v>72</v>
      </c>
      <c r="C208" s="4">
        <v>6.852</v>
      </c>
      <c r="D208" s="5">
        <v>68.3</v>
      </c>
      <c r="E208" s="4"/>
      <c r="F208" s="4"/>
      <c r="G208" s="2">
        <f t="shared" si="18"/>
        <v>6.852</v>
      </c>
      <c r="H208" s="11" t="str">
        <f t="shared" si="19"/>
        <v>3.583E-2</v>
      </c>
      <c r="I208" s="2">
        <f t="shared" si="20"/>
        <v>68.3</v>
      </c>
      <c r="J208" s="4">
        <f t="shared" si="21"/>
        <v>6.852</v>
      </c>
      <c r="K208" s="9">
        <f t="shared" si="22"/>
        <v>15</v>
      </c>
      <c r="L208" s="1">
        <f t="shared" si="23"/>
        <v>-5</v>
      </c>
    </row>
    <row r="209" s="1" customFormat="1" spans="1:12">
      <c r="A209" s="2">
        <v>6.919</v>
      </c>
      <c r="B209" s="10" t="s">
        <v>73</v>
      </c>
      <c r="C209" s="4">
        <v>6.886</v>
      </c>
      <c r="D209" s="5">
        <v>68.2</v>
      </c>
      <c r="E209" s="4"/>
      <c r="F209" s="4"/>
      <c r="G209" s="2">
        <f t="shared" si="18"/>
        <v>6.886</v>
      </c>
      <c r="H209" s="11" t="str">
        <f t="shared" si="19"/>
        <v>3.577E-2</v>
      </c>
      <c r="I209" s="2">
        <f t="shared" si="20"/>
        <v>68.3</v>
      </c>
      <c r="J209" s="4">
        <f t="shared" si="21"/>
        <v>6.886</v>
      </c>
      <c r="K209" s="9">
        <f t="shared" si="22"/>
        <v>14.4</v>
      </c>
      <c r="L209" s="1">
        <f t="shared" si="23"/>
        <v>-5</v>
      </c>
    </row>
    <row r="210" s="1" customFormat="1" spans="1:12">
      <c r="A210" s="2">
        <v>6.953</v>
      </c>
      <c r="B210" s="10" t="s">
        <v>74</v>
      </c>
      <c r="C210" s="4">
        <v>6.919</v>
      </c>
      <c r="D210" s="5">
        <v>68.1</v>
      </c>
      <c r="E210" s="4"/>
      <c r="F210" s="4"/>
      <c r="G210" s="2">
        <f t="shared" si="18"/>
        <v>6.919</v>
      </c>
      <c r="H210" s="11" t="str">
        <f t="shared" si="19"/>
        <v>3.571E-2</v>
      </c>
      <c r="I210" s="2">
        <f t="shared" si="20"/>
        <v>68.2</v>
      </c>
      <c r="J210" s="4">
        <f t="shared" si="21"/>
        <v>6.919</v>
      </c>
      <c r="K210" s="9">
        <f t="shared" si="22"/>
        <v>13.8</v>
      </c>
      <c r="L210" s="1">
        <f t="shared" si="23"/>
        <v>-5</v>
      </c>
    </row>
    <row r="211" s="1" customFormat="1" spans="1:12">
      <c r="A211" s="2">
        <v>6.986</v>
      </c>
      <c r="B211" s="10" t="s">
        <v>75</v>
      </c>
      <c r="C211" s="4">
        <v>6.953</v>
      </c>
      <c r="D211" s="5">
        <v>68.1</v>
      </c>
      <c r="E211" s="4"/>
      <c r="F211" s="4"/>
      <c r="G211" s="2">
        <f t="shared" si="18"/>
        <v>6.953</v>
      </c>
      <c r="H211" s="11" t="str">
        <f t="shared" si="19"/>
        <v>3.563E-2</v>
      </c>
      <c r="I211" s="2">
        <f t="shared" si="20"/>
        <v>68.1</v>
      </c>
      <c r="J211" s="4">
        <f t="shared" si="21"/>
        <v>6.953</v>
      </c>
      <c r="K211" s="9">
        <f t="shared" si="22"/>
        <v>13</v>
      </c>
      <c r="L211" s="1">
        <f t="shared" si="23"/>
        <v>-5</v>
      </c>
    </row>
    <row r="212" s="1" customFormat="1" spans="1:12">
      <c r="A212" s="2">
        <v>7.02</v>
      </c>
      <c r="B212" s="10" t="s">
        <v>76</v>
      </c>
      <c r="C212" s="4">
        <v>6.986</v>
      </c>
      <c r="D212" s="5">
        <v>68.1</v>
      </c>
      <c r="E212" s="4"/>
      <c r="F212" s="4"/>
      <c r="G212" s="2">
        <f t="shared" si="18"/>
        <v>6.986</v>
      </c>
      <c r="H212" s="11" t="str">
        <f t="shared" si="19"/>
        <v>3.548E-2</v>
      </c>
      <c r="I212" s="2">
        <f t="shared" si="20"/>
        <v>68.1</v>
      </c>
      <c r="J212" s="4">
        <f t="shared" si="21"/>
        <v>6.986</v>
      </c>
      <c r="K212" s="9">
        <f t="shared" si="22"/>
        <v>11.5</v>
      </c>
      <c r="L212" s="1">
        <f t="shared" si="23"/>
        <v>-5</v>
      </c>
    </row>
    <row r="213" s="1" customFormat="1" spans="1:12">
      <c r="A213" s="2">
        <v>7.053</v>
      </c>
      <c r="B213" s="10" t="s">
        <v>77</v>
      </c>
      <c r="C213" s="4">
        <v>7.02</v>
      </c>
      <c r="D213" s="5">
        <v>68.3</v>
      </c>
      <c r="E213" s="4"/>
      <c r="F213" s="4"/>
      <c r="G213" s="2">
        <f t="shared" si="18"/>
        <v>7.02</v>
      </c>
      <c r="H213" s="11" t="str">
        <f t="shared" si="19"/>
        <v>3.533E-2</v>
      </c>
      <c r="I213" s="2">
        <f t="shared" si="20"/>
        <v>68.1</v>
      </c>
      <c r="J213" s="4">
        <f t="shared" si="21"/>
        <v>7.02</v>
      </c>
      <c r="K213" s="9">
        <f t="shared" si="22"/>
        <v>10</v>
      </c>
      <c r="L213" s="1">
        <f t="shared" si="23"/>
        <v>-5</v>
      </c>
    </row>
    <row r="214" s="1" customFormat="1" spans="1:12">
      <c r="A214" s="2">
        <v>7.086</v>
      </c>
      <c r="B214" s="10" t="s">
        <v>78</v>
      </c>
      <c r="C214" s="4">
        <v>7.053</v>
      </c>
      <c r="D214" s="5">
        <v>68.3</v>
      </c>
      <c r="E214" s="4"/>
      <c r="F214" s="4"/>
      <c r="G214" s="2">
        <f t="shared" si="18"/>
        <v>7.053</v>
      </c>
      <c r="H214" s="11" t="str">
        <f t="shared" si="19"/>
        <v>3.517E-2</v>
      </c>
      <c r="I214" s="2">
        <f t="shared" si="20"/>
        <v>68.3</v>
      </c>
      <c r="J214" s="4">
        <f t="shared" si="21"/>
        <v>7.053</v>
      </c>
      <c r="K214" s="9">
        <f t="shared" si="22"/>
        <v>8.4</v>
      </c>
      <c r="L214" s="1">
        <f t="shared" si="23"/>
        <v>-5</v>
      </c>
    </row>
    <row r="215" s="1" customFormat="1" spans="1:12">
      <c r="A215" s="2">
        <v>7.12</v>
      </c>
      <c r="B215" s="10" t="s">
        <v>79</v>
      </c>
      <c r="C215" s="4">
        <v>7.086</v>
      </c>
      <c r="D215" s="5">
        <v>68.4</v>
      </c>
      <c r="E215" s="4"/>
      <c r="F215" s="4"/>
      <c r="G215" s="2">
        <f t="shared" si="18"/>
        <v>7.086</v>
      </c>
      <c r="H215" s="11" t="str">
        <f t="shared" si="19"/>
        <v>3.503E-2</v>
      </c>
      <c r="I215" s="2">
        <f t="shared" si="20"/>
        <v>68.3</v>
      </c>
      <c r="J215" s="4">
        <f t="shared" si="21"/>
        <v>7.086</v>
      </c>
      <c r="K215" s="9">
        <f t="shared" si="22"/>
        <v>6.99999999999999</v>
      </c>
      <c r="L215" s="1">
        <f t="shared" si="23"/>
        <v>-5</v>
      </c>
    </row>
    <row r="216" s="1" customFormat="1" spans="1:12">
      <c r="A216" s="2">
        <v>7.153</v>
      </c>
      <c r="B216" s="10" t="s">
        <v>80</v>
      </c>
      <c r="C216" s="4">
        <v>7.12</v>
      </c>
      <c r="D216" s="5">
        <v>68.5</v>
      </c>
      <c r="E216" s="4"/>
      <c r="F216" s="4"/>
      <c r="G216" s="2">
        <f t="shared" si="18"/>
        <v>7.12</v>
      </c>
      <c r="H216" s="11" t="str">
        <f t="shared" si="19"/>
        <v>3.486E-2</v>
      </c>
      <c r="I216" s="2">
        <f t="shared" si="20"/>
        <v>68.4</v>
      </c>
      <c r="J216" s="4">
        <f t="shared" si="21"/>
        <v>7.12</v>
      </c>
      <c r="K216" s="9">
        <f t="shared" si="22"/>
        <v>5.30000000000003</v>
      </c>
      <c r="L216" s="1">
        <f t="shared" si="23"/>
        <v>-5</v>
      </c>
    </row>
    <row r="217" s="1" customFormat="1" spans="1:12">
      <c r="A217" s="2">
        <v>7.187</v>
      </c>
      <c r="B217" s="10" t="s">
        <v>41</v>
      </c>
      <c r="C217" s="4">
        <v>7.153</v>
      </c>
      <c r="D217" s="5">
        <v>68.2</v>
      </c>
      <c r="E217" s="4"/>
      <c r="F217" s="4"/>
      <c r="G217" s="2">
        <f t="shared" si="18"/>
        <v>7.153</v>
      </c>
      <c r="H217" s="11" t="str">
        <f t="shared" si="19"/>
        <v>3.472E-2</v>
      </c>
      <c r="I217" s="2">
        <f t="shared" si="20"/>
        <v>68.5</v>
      </c>
      <c r="J217" s="4">
        <f t="shared" si="21"/>
        <v>7.153</v>
      </c>
      <c r="K217" s="9">
        <f t="shared" si="22"/>
        <v>3.90000000000001</v>
      </c>
      <c r="L217" s="1">
        <f t="shared" si="23"/>
        <v>-5</v>
      </c>
    </row>
    <row r="218" s="1" customFormat="1" spans="1:12">
      <c r="A218" s="2">
        <v>7.22</v>
      </c>
      <c r="B218" s="10" t="s">
        <v>43</v>
      </c>
      <c r="C218" s="4">
        <v>7.187</v>
      </c>
      <c r="D218" s="5">
        <v>253.6</v>
      </c>
      <c r="E218" s="4"/>
      <c r="F218" s="4"/>
      <c r="G218" s="2">
        <f t="shared" si="18"/>
        <v>7.187</v>
      </c>
      <c r="H218" s="11" t="str">
        <f t="shared" si="19"/>
        <v>3.456E-2</v>
      </c>
      <c r="I218" s="2">
        <f t="shared" si="20"/>
        <v>68.2</v>
      </c>
      <c r="J218" s="4">
        <f t="shared" si="21"/>
        <v>7.187</v>
      </c>
      <c r="K218" s="9">
        <f t="shared" si="22"/>
        <v>2.30000000000001</v>
      </c>
      <c r="L218" s="1">
        <f t="shared" si="23"/>
        <v>-5</v>
      </c>
    </row>
    <row r="219" s="1" customFormat="1" spans="1:12">
      <c r="A219" s="2">
        <v>7.254</v>
      </c>
      <c r="B219" s="10" t="s">
        <v>81</v>
      </c>
      <c r="C219" s="4">
        <v>7.22</v>
      </c>
      <c r="D219" s="5">
        <v>253.7</v>
      </c>
      <c r="E219" s="4"/>
      <c r="F219" s="4"/>
      <c r="G219" s="2">
        <f t="shared" si="18"/>
        <v>7.22</v>
      </c>
      <c r="H219" s="11" t="str">
        <f t="shared" si="19"/>
        <v>3.441E-2</v>
      </c>
      <c r="I219" s="2">
        <f t="shared" si="20"/>
        <v>253.6</v>
      </c>
      <c r="J219" s="4">
        <f t="shared" si="21"/>
        <v>7.22</v>
      </c>
      <c r="K219" s="9">
        <f t="shared" si="22"/>
        <v>0.800000000000037</v>
      </c>
      <c r="L219" s="1">
        <f t="shared" si="23"/>
        <v>23</v>
      </c>
    </row>
    <row r="220" s="1" customFormat="1" spans="1:12">
      <c r="A220" s="2">
        <v>7.287</v>
      </c>
      <c r="B220" s="10" t="s">
        <v>82</v>
      </c>
      <c r="C220" s="4">
        <v>7.254</v>
      </c>
      <c r="D220" s="5">
        <v>253.7</v>
      </c>
      <c r="E220" s="4"/>
      <c r="F220" s="4"/>
      <c r="G220" s="2">
        <f t="shared" si="18"/>
        <v>7.254</v>
      </c>
      <c r="H220" s="11" t="str">
        <f t="shared" si="19"/>
        <v>3.425E-2</v>
      </c>
      <c r="I220" s="2">
        <f t="shared" si="20"/>
        <v>253.7</v>
      </c>
      <c r="J220" s="4">
        <f t="shared" si="21"/>
        <v>7.254</v>
      </c>
      <c r="K220" s="9">
        <f t="shared" si="22"/>
        <v>-0.799999999999967</v>
      </c>
      <c r="L220" s="1">
        <f t="shared" si="23"/>
        <v>23</v>
      </c>
    </row>
    <row r="221" s="1" customFormat="1" spans="1:12">
      <c r="A221" s="2">
        <v>7.32</v>
      </c>
      <c r="B221" s="10" t="s">
        <v>83</v>
      </c>
      <c r="C221" s="4">
        <v>7.287</v>
      </c>
      <c r="D221" s="5">
        <v>253.7</v>
      </c>
      <c r="E221" s="4"/>
      <c r="F221" s="4"/>
      <c r="G221" s="2">
        <f t="shared" si="18"/>
        <v>7.287</v>
      </c>
      <c r="H221" s="11" t="str">
        <f t="shared" si="19"/>
        <v>3.414E-2</v>
      </c>
      <c r="I221" s="2">
        <f t="shared" si="20"/>
        <v>253.7</v>
      </c>
      <c r="J221" s="4">
        <f t="shared" si="21"/>
        <v>7.287</v>
      </c>
      <c r="K221" s="9">
        <f t="shared" si="22"/>
        <v>-1.90000000000003</v>
      </c>
      <c r="L221" s="1">
        <f t="shared" si="23"/>
        <v>23</v>
      </c>
    </row>
    <row r="222" s="1" customFormat="1" spans="1:12">
      <c r="A222" s="2">
        <v>7.354</v>
      </c>
      <c r="B222" s="10" t="s">
        <v>84</v>
      </c>
      <c r="C222" s="4">
        <v>7.32</v>
      </c>
      <c r="D222" s="5">
        <v>253.7</v>
      </c>
      <c r="E222" s="4"/>
      <c r="F222" s="4"/>
      <c r="G222" s="2">
        <f t="shared" si="18"/>
        <v>7.32</v>
      </c>
      <c r="H222" s="11" t="str">
        <f t="shared" si="19"/>
        <v>3.400E-2</v>
      </c>
      <c r="I222" s="2">
        <f t="shared" si="20"/>
        <v>253.7</v>
      </c>
      <c r="J222" s="4">
        <f t="shared" si="21"/>
        <v>7.32</v>
      </c>
      <c r="K222" s="9">
        <f t="shared" si="22"/>
        <v>-3.29999999999997</v>
      </c>
      <c r="L222" s="1">
        <f t="shared" si="23"/>
        <v>23</v>
      </c>
    </row>
    <row r="223" s="1" customFormat="1" spans="1:12">
      <c r="A223" s="2">
        <v>7.387</v>
      </c>
      <c r="B223" s="10" t="s">
        <v>85</v>
      </c>
      <c r="C223" s="4">
        <v>7.354</v>
      </c>
      <c r="D223" s="5">
        <v>253.7</v>
      </c>
      <c r="E223" s="4"/>
      <c r="F223" s="4"/>
      <c r="G223" s="2">
        <f t="shared" si="18"/>
        <v>7.354</v>
      </c>
      <c r="H223" s="11" t="str">
        <f t="shared" si="19"/>
        <v>3.393E-2</v>
      </c>
      <c r="I223" s="2">
        <f t="shared" si="20"/>
        <v>253.7</v>
      </c>
      <c r="J223" s="4">
        <f t="shared" si="21"/>
        <v>7.354</v>
      </c>
      <c r="K223" s="9">
        <f t="shared" si="22"/>
        <v>-3.99999999999998</v>
      </c>
      <c r="L223" s="1">
        <f t="shared" si="23"/>
        <v>23</v>
      </c>
    </row>
    <row r="224" s="1" customFormat="1" spans="1:12">
      <c r="A224" s="2">
        <v>7.421</v>
      </c>
      <c r="B224" s="10" t="s">
        <v>49</v>
      </c>
      <c r="C224" s="4">
        <v>7.387</v>
      </c>
      <c r="D224" s="5">
        <v>253.7</v>
      </c>
      <c r="E224" s="4"/>
      <c r="F224" s="4"/>
      <c r="G224" s="2">
        <f t="shared" si="18"/>
        <v>7.387</v>
      </c>
      <c r="H224" s="11" t="str">
        <f t="shared" si="19"/>
        <v>3.388E-2</v>
      </c>
      <c r="I224" s="2">
        <f t="shared" si="20"/>
        <v>253.7</v>
      </c>
      <c r="J224" s="4">
        <f t="shared" si="21"/>
        <v>7.387</v>
      </c>
      <c r="K224" s="9">
        <f t="shared" si="22"/>
        <v>-4.49999999999999</v>
      </c>
      <c r="L224" s="1">
        <f t="shared" si="23"/>
        <v>23</v>
      </c>
    </row>
    <row r="225" s="1" customFormat="1" spans="1:12">
      <c r="A225" s="2">
        <v>7.454</v>
      </c>
      <c r="B225" s="10" t="s">
        <v>86</v>
      </c>
      <c r="C225" s="4">
        <v>7.421</v>
      </c>
      <c r="D225" s="5">
        <v>253.7</v>
      </c>
      <c r="E225" s="4"/>
      <c r="F225" s="4"/>
      <c r="G225" s="2">
        <f t="shared" si="18"/>
        <v>7.421</v>
      </c>
      <c r="H225" s="11" t="str">
        <f t="shared" si="19"/>
        <v>3.386E-2</v>
      </c>
      <c r="I225" s="2">
        <f t="shared" si="20"/>
        <v>253.7</v>
      </c>
      <c r="J225" s="4">
        <f t="shared" si="21"/>
        <v>7.421</v>
      </c>
      <c r="K225" s="9">
        <f t="shared" si="22"/>
        <v>-4.69999999999998</v>
      </c>
      <c r="L225" s="1">
        <f t="shared" si="23"/>
        <v>23</v>
      </c>
    </row>
    <row r="226" s="1" customFormat="1" spans="1:12">
      <c r="A226" s="2">
        <v>7.488</v>
      </c>
      <c r="B226" s="10" t="s">
        <v>50</v>
      </c>
      <c r="C226" s="4">
        <v>7.454</v>
      </c>
      <c r="D226" s="5">
        <v>253.7</v>
      </c>
      <c r="E226" s="4"/>
      <c r="F226" s="4"/>
      <c r="G226" s="2">
        <f t="shared" si="18"/>
        <v>7.454</v>
      </c>
      <c r="H226" s="11" t="str">
        <f t="shared" si="19"/>
        <v>3.379E-2</v>
      </c>
      <c r="I226" s="2">
        <f t="shared" si="20"/>
        <v>253.7</v>
      </c>
      <c r="J226" s="4">
        <f t="shared" si="21"/>
        <v>7.454</v>
      </c>
      <c r="K226" s="9">
        <f t="shared" si="22"/>
        <v>-5.39999999999999</v>
      </c>
      <c r="L226" s="1">
        <f t="shared" si="23"/>
        <v>23</v>
      </c>
    </row>
    <row r="227" s="1" customFormat="1" spans="1:12">
      <c r="A227" s="2">
        <v>7.521</v>
      </c>
      <c r="B227" s="10" t="s">
        <v>87</v>
      </c>
      <c r="C227" s="4">
        <v>7.488</v>
      </c>
      <c r="D227" s="5">
        <v>253.7</v>
      </c>
      <c r="E227" s="4"/>
      <c r="F227" s="4"/>
      <c r="G227" s="2">
        <f t="shared" si="18"/>
        <v>7.488</v>
      </c>
      <c r="H227" s="11" t="str">
        <f t="shared" si="19"/>
        <v>3.377E-2</v>
      </c>
      <c r="I227" s="2">
        <f t="shared" si="20"/>
        <v>253.7</v>
      </c>
      <c r="J227" s="4">
        <f t="shared" si="21"/>
        <v>7.488</v>
      </c>
      <c r="K227" s="9">
        <f t="shared" si="22"/>
        <v>-5.59999999999998</v>
      </c>
      <c r="L227" s="1">
        <f t="shared" si="23"/>
        <v>23</v>
      </c>
    </row>
    <row r="228" s="1" customFormat="1" spans="1:12">
      <c r="A228" s="2">
        <v>7.554</v>
      </c>
      <c r="B228" s="10" t="s">
        <v>86</v>
      </c>
      <c r="C228" s="4">
        <v>7.521</v>
      </c>
      <c r="D228" s="5">
        <v>253.7</v>
      </c>
      <c r="E228" s="4"/>
      <c r="F228" s="4"/>
      <c r="G228" s="2">
        <f t="shared" si="18"/>
        <v>7.521</v>
      </c>
      <c r="H228" s="11" t="str">
        <f t="shared" si="19"/>
        <v>3.376E-2</v>
      </c>
      <c r="I228" s="2">
        <f t="shared" si="20"/>
        <v>253.7</v>
      </c>
      <c r="J228" s="4">
        <f t="shared" si="21"/>
        <v>7.521</v>
      </c>
      <c r="K228" s="9">
        <f t="shared" si="22"/>
        <v>-5.70000000000001</v>
      </c>
      <c r="L228" s="1">
        <f t="shared" si="23"/>
        <v>23</v>
      </c>
    </row>
    <row r="229" s="1" customFormat="1" spans="1:12">
      <c r="A229" s="2">
        <v>7.588</v>
      </c>
      <c r="B229" s="10" t="s">
        <v>55</v>
      </c>
      <c r="C229" s="4">
        <v>7.554</v>
      </c>
      <c r="D229" s="5">
        <v>253.7</v>
      </c>
      <c r="E229" s="4"/>
      <c r="F229" s="4"/>
      <c r="G229" s="2">
        <f t="shared" si="18"/>
        <v>7.554</v>
      </c>
      <c r="H229" s="11" t="str">
        <f t="shared" si="19"/>
        <v>3.379E-2</v>
      </c>
      <c r="I229" s="2">
        <f t="shared" si="20"/>
        <v>253.7</v>
      </c>
      <c r="J229" s="4">
        <f t="shared" si="21"/>
        <v>7.554</v>
      </c>
      <c r="K229" s="9">
        <f t="shared" si="22"/>
        <v>-5.39999999999999</v>
      </c>
      <c r="L229" s="1">
        <f t="shared" si="23"/>
        <v>23</v>
      </c>
    </row>
    <row r="230" s="1" customFormat="1" spans="1:12">
      <c r="A230" s="2">
        <v>7.621</v>
      </c>
      <c r="B230" s="10" t="s">
        <v>48</v>
      </c>
      <c r="C230" s="4">
        <v>7.588</v>
      </c>
      <c r="D230" s="5">
        <v>253.7</v>
      </c>
      <c r="E230" s="4"/>
      <c r="F230" s="4"/>
      <c r="G230" s="2">
        <f t="shared" si="18"/>
        <v>7.588</v>
      </c>
      <c r="H230" s="11" t="str">
        <f t="shared" si="19"/>
        <v>3.383E-2</v>
      </c>
      <c r="I230" s="2">
        <f t="shared" si="20"/>
        <v>253.7</v>
      </c>
      <c r="J230" s="4">
        <f t="shared" si="21"/>
        <v>7.588</v>
      </c>
      <c r="K230" s="9">
        <f t="shared" si="22"/>
        <v>-5</v>
      </c>
      <c r="L230" s="1">
        <f t="shared" si="23"/>
        <v>23</v>
      </c>
    </row>
    <row r="231" s="1" customFormat="1" spans="1:12">
      <c r="A231" s="2">
        <v>7.655</v>
      </c>
      <c r="B231" s="10" t="s">
        <v>88</v>
      </c>
      <c r="C231" s="4">
        <v>7.621</v>
      </c>
      <c r="D231" s="5">
        <v>253.7</v>
      </c>
      <c r="E231" s="4"/>
      <c r="F231" s="4"/>
      <c r="G231" s="2">
        <f t="shared" si="18"/>
        <v>7.621</v>
      </c>
      <c r="H231" s="11" t="str">
        <f t="shared" si="19"/>
        <v>3.390E-2</v>
      </c>
      <c r="I231" s="2">
        <f t="shared" si="20"/>
        <v>253.7</v>
      </c>
      <c r="J231" s="4">
        <f t="shared" si="21"/>
        <v>7.621</v>
      </c>
      <c r="K231" s="9">
        <f t="shared" si="22"/>
        <v>-4.3</v>
      </c>
      <c r="L231" s="1">
        <f t="shared" si="23"/>
        <v>23</v>
      </c>
    </row>
    <row r="232" s="1" customFormat="1" spans="1:12">
      <c r="A232" s="2">
        <v>7.688</v>
      </c>
      <c r="B232" s="10" t="s">
        <v>45</v>
      </c>
      <c r="C232" s="4">
        <v>7.655</v>
      </c>
      <c r="D232" s="5">
        <v>253.7</v>
      </c>
      <c r="E232" s="4"/>
      <c r="F232" s="4"/>
      <c r="G232" s="2">
        <f t="shared" si="18"/>
        <v>7.655</v>
      </c>
      <c r="H232" s="11" t="str">
        <f t="shared" si="19"/>
        <v>3.403E-2</v>
      </c>
      <c r="I232" s="2">
        <f t="shared" si="20"/>
        <v>253.7</v>
      </c>
      <c r="J232" s="4">
        <f t="shared" si="21"/>
        <v>7.655</v>
      </c>
      <c r="K232" s="9">
        <f t="shared" si="22"/>
        <v>-3.00000000000002</v>
      </c>
      <c r="L232" s="1">
        <f t="shared" si="23"/>
        <v>23</v>
      </c>
    </row>
    <row r="233" s="1" customFormat="1" spans="1:12">
      <c r="A233" s="2">
        <v>7.722</v>
      </c>
      <c r="B233" s="10" t="s">
        <v>19</v>
      </c>
      <c r="C233" s="4">
        <v>7.688</v>
      </c>
      <c r="D233" s="5">
        <v>253.7</v>
      </c>
      <c r="E233" s="4"/>
      <c r="F233" s="4"/>
      <c r="G233" s="2">
        <f t="shared" si="18"/>
        <v>7.688</v>
      </c>
      <c r="H233" s="11" t="str">
        <f t="shared" si="19"/>
        <v>3.415E-2</v>
      </c>
      <c r="I233" s="2">
        <f t="shared" si="20"/>
        <v>253.7</v>
      </c>
      <c r="J233" s="4">
        <f t="shared" si="21"/>
        <v>7.688</v>
      </c>
      <c r="K233" s="9">
        <f t="shared" si="22"/>
        <v>-1.8</v>
      </c>
      <c r="L233" s="1">
        <f t="shared" si="23"/>
        <v>23</v>
      </c>
    </row>
    <row r="234" s="1" customFormat="1" spans="1:12">
      <c r="A234" s="2">
        <v>7.755</v>
      </c>
      <c r="B234" s="10" t="s">
        <v>25</v>
      </c>
      <c r="C234" s="4">
        <v>7.722</v>
      </c>
      <c r="D234" s="5">
        <v>253.7</v>
      </c>
      <c r="E234" s="4"/>
      <c r="F234" s="4"/>
      <c r="G234" s="2">
        <f t="shared" si="18"/>
        <v>7.722</v>
      </c>
      <c r="H234" s="11" t="str">
        <f t="shared" si="19"/>
        <v>3.428E-2</v>
      </c>
      <c r="I234" s="2">
        <f t="shared" si="20"/>
        <v>253.7</v>
      </c>
      <c r="J234" s="4">
        <f t="shared" si="21"/>
        <v>7.722</v>
      </c>
      <c r="K234" s="9">
        <f t="shared" si="22"/>
        <v>-0.500000000000014</v>
      </c>
      <c r="L234" s="1">
        <f t="shared" si="23"/>
        <v>23</v>
      </c>
    </row>
    <row r="235" s="1" customFormat="1" spans="1:12">
      <c r="A235" s="2">
        <v>7.788</v>
      </c>
      <c r="B235" s="10" t="s">
        <v>89</v>
      </c>
      <c r="C235" s="4">
        <v>7.755</v>
      </c>
      <c r="D235" s="5">
        <v>253.7</v>
      </c>
      <c r="E235" s="4"/>
      <c r="F235" s="4"/>
      <c r="G235" s="2">
        <f t="shared" si="18"/>
        <v>7.755</v>
      </c>
      <c r="H235" s="11" t="str">
        <f t="shared" si="19"/>
        <v>3.447E-2</v>
      </c>
      <c r="I235" s="2">
        <f t="shared" si="20"/>
        <v>253.7</v>
      </c>
      <c r="J235" s="4">
        <f t="shared" si="21"/>
        <v>7.755</v>
      </c>
      <c r="K235" s="9">
        <f t="shared" si="22"/>
        <v>1.40000000000001</v>
      </c>
      <c r="L235" s="1">
        <f t="shared" si="23"/>
        <v>23</v>
      </c>
    </row>
    <row r="236" s="1" customFormat="1" spans="1:12">
      <c r="A236" s="2">
        <v>7.822</v>
      </c>
      <c r="B236" s="10" t="s">
        <v>60</v>
      </c>
      <c r="C236" s="4">
        <v>7.788</v>
      </c>
      <c r="D236" s="5">
        <v>253.7</v>
      </c>
      <c r="E236" s="4"/>
      <c r="F236" s="4"/>
      <c r="G236" s="2">
        <f t="shared" si="18"/>
        <v>7.788</v>
      </c>
      <c r="H236" s="11" t="str">
        <f t="shared" si="19"/>
        <v>3.462E-2</v>
      </c>
      <c r="I236" s="2">
        <f t="shared" si="20"/>
        <v>253.7</v>
      </c>
      <c r="J236" s="4">
        <f t="shared" si="21"/>
        <v>7.788</v>
      </c>
      <c r="K236" s="9">
        <f t="shared" si="22"/>
        <v>2.89999999999999</v>
      </c>
      <c r="L236" s="1">
        <f t="shared" si="23"/>
        <v>23</v>
      </c>
    </row>
    <row r="237" s="1" customFormat="1" spans="1:12">
      <c r="A237" s="2">
        <v>7.855</v>
      </c>
      <c r="B237" s="10" t="s">
        <v>33</v>
      </c>
      <c r="C237" s="4">
        <v>7.822</v>
      </c>
      <c r="D237" s="5">
        <v>253.7</v>
      </c>
      <c r="E237" s="4"/>
      <c r="F237" s="4"/>
      <c r="G237" s="2">
        <f t="shared" si="18"/>
        <v>7.822</v>
      </c>
      <c r="H237" s="11" t="str">
        <f t="shared" si="19"/>
        <v>3.483E-2</v>
      </c>
      <c r="I237" s="2">
        <f t="shared" si="20"/>
        <v>253.7</v>
      </c>
      <c r="J237" s="4">
        <f t="shared" si="21"/>
        <v>7.822</v>
      </c>
      <c r="K237" s="9">
        <f t="shared" si="22"/>
        <v>5</v>
      </c>
      <c r="L237" s="1">
        <f t="shared" si="23"/>
        <v>23</v>
      </c>
    </row>
    <row r="238" s="1" customFormat="1" spans="1:12">
      <c r="A238" s="2">
        <v>7.889</v>
      </c>
      <c r="B238" s="10" t="s">
        <v>90</v>
      </c>
      <c r="C238" s="4">
        <v>7.855</v>
      </c>
      <c r="D238" s="5">
        <v>253.7</v>
      </c>
      <c r="E238" s="4"/>
      <c r="F238" s="4"/>
      <c r="G238" s="2">
        <f t="shared" si="18"/>
        <v>7.855</v>
      </c>
      <c r="H238" s="11" t="str">
        <f t="shared" si="19"/>
        <v>3.504E-2</v>
      </c>
      <c r="I238" s="2">
        <f t="shared" si="20"/>
        <v>253.7</v>
      </c>
      <c r="J238" s="4">
        <f t="shared" si="21"/>
        <v>7.855</v>
      </c>
      <c r="K238" s="9">
        <f t="shared" si="22"/>
        <v>7.10000000000002</v>
      </c>
      <c r="L238" s="1">
        <f t="shared" si="23"/>
        <v>23</v>
      </c>
    </row>
    <row r="239" s="1" customFormat="1" spans="1:12">
      <c r="A239" s="2">
        <v>7.922</v>
      </c>
      <c r="B239" s="10" t="s">
        <v>91</v>
      </c>
      <c r="C239" s="4">
        <v>7.889</v>
      </c>
      <c r="D239" s="5">
        <v>253.7</v>
      </c>
      <c r="E239" s="4"/>
      <c r="F239" s="4"/>
      <c r="G239" s="2">
        <f t="shared" si="18"/>
        <v>7.889</v>
      </c>
      <c r="H239" s="11" t="str">
        <f t="shared" si="19"/>
        <v>3.519E-2</v>
      </c>
      <c r="I239" s="2">
        <f t="shared" si="20"/>
        <v>253.7</v>
      </c>
      <c r="J239" s="4">
        <f t="shared" si="21"/>
        <v>7.889</v>
      </c>
      <c r="K239" s="9">
        <f t="shared" si="22"/>
        <v>8.6</v>
      </c>
      <c r="L239" s="1">
        <f t="shared" si="23"/>
        <v>23</v>
      </c>
    </row>
    <row r="240" s="1" customFormat="1" spans="1:12">
      <c r="A240" s="2">
        <v>7.956</v>
      </c>
      <c r="B240" s="10" t="s">
        <v>92</v>
      </c>
      <c r="C240" s="4">
        <v>7.922</v>
      </c>
      <c r="D240" s="5">
        <v>253.7</v>
      </c>
      <c r="E240" s="4"/>
      <c r="F240" s="4"/>
      <c r="G240" s="2">
        <f t="shared" si="18"/>
        <v>7.922</v>
      </c>
      <c r="H240" s="11" t="str">
        <f t="shared" si="19"/>
        <v>3.539E-2</v>
      </c>
      <c r="I240" s="2">
        <f t="shared" si="20"/>
        <v>253.7</v>
      </c>
      <c r="J240" s="4">
        <f t="shared" si="21"/>
        <v>7.922</v>
      </c>
      <c r="K240" s="9">
        <f t="shared" si="22"/>
        <v>10.6</v>
      </c>
      <c r="L240" s="1">
        <f t="shared" si="23"/>
        <v>23</v>
      </c>
    </row>
    <row r="241" s="1" customFormat="1" spans="1:12">
      <c r="A241" s="2">
        <v>7.989</v>
      </c>
      <c r="B241" s="10" t="s">
        <v>93</v>
      </c>
      <c r="C241" s="4">
        <v>7.956</v>
      </c>
      <c r="D241" s="5">
        <v>252.6</v>
      </c>
      <c r="E241" s="4"/>
      <c r="F241" s="4"/>
      <c r="G241" s="2">
        <f t="shared" si="18"/>
        <v>7.956</v>
      </c>
      <c r="H241" s="11" t="str">
        <f t="shared" si="19"/>
        <v>3.554E-2</v>
      </c>
      <c r="I241" s="2">
        <f t="shared" si="20"/>
        <v>253.7</v>
      </c>
      <c r="J241" s="4">
        <f t="shared" si="21"/>
        <v>7.956</v>
      </c>
      <c r="K241" s="9">
        <f t="shared" si="22"/>
        <v>12.1</v>
      </c>
      <c r="L241" s="1">
        <f t="shared" si="23"/>
        <v>23</v>
      </c>
    </row>
    <row r="242" s="1" customFormat="1" spans="1:12">
      <c r="A242" s="2">
        <v>8.022</v>
      </c>
      <c r="B242" s="10" t="s">
        <v>94</v>
      </c>
      <c r="C242" s="4">
        <v>7.989</v>
      </c>
      <c r="D242" s="5">
        <v>76.1</v>
      </c>
      <c r="E242" s="4"/>
      <c r="F242" s="4"/>
      <c r="G242" s="2">
        <f t="shared" si="18"/>
        <v>7.989</v>
      </c>
      <c r="H242" s="11" t="str">
        <f t="shared" si="19"/>
        <v>3.573E-2</v>
      </c>
      <c r="I242" s="2">
        <f t="shared" si="20"/>
        <v>252.6</v>
      </c>
      <c r="J242" s="4">
        <f t="shared" si="21"/>
        <v>7.989</v>
      </c>
      <c r="K242" s="9">
        <f t="shared" si="22"/>
        <v>14</v>
      </c>
      <c r="L242" s="1">
        <f t="shared" si="23"/>
        <v>23</v>
      </c>
    </row>
    <row r="243" s="1" customFormat="1" spans="1:12">
      <c r="A243" s="2">
        <v>8.056</v>
      </c>
      <c r="B243" s="10" t="s">
        <v>95</v>
      </c>
      <c r="C243" s="4">
        <v>8.022</v>
      </c>
      <c r="D243" s="5">
        <v>95.1</v>
      </c>
      <c r="E243" s="4"/>
      <c r="F243" s="4"/>
      <c r="G243" s="2">
        <f t="shared" si="18"/>
        <v>8.022</v>
      </c>
      <c r="H243" s="11" t="str">
        <f t="shared" si="19"/>
        <v>3.590E-2</v>
      </c>
      <c r="I243" s="2">
        <f t="shared" si="20"/>
        <v>76.1</v>
      </c>
      <c r="J243" s="4">
        <f t="shared" si="21"/>
        <v>8.022</v>
      </c>
      <c r="K243" s="9">
        <f t="shared" si="22"/>
        <v>15.7</v>
      </c>
      <c r="L243" s="1">
        <f t="shared" si="23"/>
        <v>-5</v>
      </c>
    </row>
    <row r="244" s="1" customFormat="1" spans="1:12">
      <c r="A244" s="2">
        <v>8.089</v>
      </c>
      <c r="B244" s="10" t="s">
        <v>96</v>
      </c>
      <c r="C244" s="4">
        <v>8.056</v>
      </c>
      <c r="D244" s="5">
        <v>93</v>
      </c>
      <c r="E244" s="4"/>
      <c r="F244" s="4"/>
      <c r="G244" s="2">
        <f t="shared" si="18"/>
        <v>8.056</v>
      </c>
      <c r="H244" s="11" t="str">
        <f t="shared" si="19"/>
        <v>3.605E-2</v>
      </c>
      <c r="I244" s="2">
        <f t="shared" si="20"/>
        <v>95.1</v>
      </c>
      <c r="J244" s="4">
        <f t="shared" si="21"/>
        <v>8.056</v>
      </c>
      <c r="K244" s="9">
        <f t="shared" si="22"/>
        <v>17.2</v>
      </c>
      <c r="L244" s="1">
        <f t="shared" si="23"/>
        <v>-5</v>
      </c>
    </row>
    <row r="245" s="1" customFormat="1" spans="1:12">
      <c r="A245" s="2">
        <v>8.123</v>
      </c>
      <c r="B245" s="10" t="s">
        <v>97</v>
      </c>
      <c r="C245" s="4">
        <v>8.089</v>
      </c>
      <c r="D245" s="5">
        <v>91.4</v>
      </c>
      <c r="E245" s="4"/>
      <c r="F245" s="4"/>
      <c r="G245" s="2">
        <f t="shared" si="18"/>
        <v>8.089</v>
      </c>
      <c r="H245" s="11" t="str">
        <f t="shared" si="19"/>
        <v>3.618E-2</v>
      </c>
      <c r="I245" s="2">
        <f t="shared" si="20"/>
        <v>93</v>
      </c>
      <c r="J245" s="4">
        <f t="shared" si="21"/>
        <v>8.089</v>
      </c>
      <c r="K245" s="9">
        <f t="shared" si="22"/>
        <v>18.5</v>
      </c>
      <c r="L245" s="1">
        <f t="shared" si="23"/>
        <v>-5</v>
      </c>
    </row>
    <row r="246" s="1" customFormat="1" spans="1:12">
      <c r="A246" s="2">
        <v>8.156</v>
      </c>
      <c r="B246" s="10" t="s">
        <v>98</v>
      </c>
      <c r="C246" s="4">
        <v>8.123</v>
      </c>
      <c r="D246" s="5">
        <v>89.1</v>
      </c>
      <c r="E246" s="4"/>
      <c r="F246" s="4"/>
      <c r="G246" s="2">
        <f t="shared" si="18"/>
        <v>8.123</v>
      </c>
      <c r="H246" s="11" t="str">
        <f t="shared" si="19"/>
        <v>3.629E-2</v>
      </c>
      <c r="I246" s="2">
        <f t="shared" si="20"/>
        <v>91.4</v>
      </c>
      <c r="J246" s="4">
        <f t="shared" si="21"/>
        <v>8.123</v>
      </c>
      <c r="K246" s="9">
        <f t="shared" si="22"/>
        <v>19.6</v>
      </c>
      <c r="L246" s="1">
        <f t="shared" si="23"/>
        <v>-5</v>
      </c>
    </row>
    <row r="247" s="1" customFormat="1" spans="1:12">
      <c r="A247" s="2">
        <v>8.19</v>
      </c>
      <c r="B247" s="10" t="s">
        <v>99</v>
      </c>
      <c r="C247" s="4">
        <v>8.156</v>
      </c>
      <c r="D247" s="5">
        <v>88.2</v>
      </c>
      <c r="E247" s="4"/>
      <c r="F247" s="4"/>
      <c r="G247" s="2">
        <f t="shared" si="18"/>
        <v>8.156</v>
      </c>
      <c r="H247" s="11" t="str">
        <f t="shared" si="19"/>
        <v>3.633E-2</v>
      </c>
      <c r="I247" s="2">
        <f t="shared" si="20"/>
        <v>89.1</v>
      </c>
      <c r="J247" s="4">
        <f t="shared" si="21"/>
        <v>8.156</v>
      </c>
      <c r="K247" s="9">
        <f t="shared" si="22"/>
        <v>20</v>
      </c>
      <c r="L247" s="1">
        <f t="shared" si="23"/>
        <v>-5</v>
      </c>
    </row>
    <row r="248" s="1" customFormat="1" spans="1:12">
      <c r="A248" s="2">
        <v>8.223</v>
      </c>
      <c r="B248" s="10" t="s">
        <v>100</v>
      </c>
      <c r="C248" s="4">
        <v>8.19</v>
      </c>
      <c r="D248" s="5">
        <v>87.1</v>
      </c>
      <c r="E248" s="4"/>
      <c r="F248" s="4"/>
      <c r="G248" s="2">
        <f t="shared" si="18"/>
        <v>8.19</v>
      </c>
      <c r="H248" s="11" t="str">
        <f t="shared" si="19"/>
        <v>3.642E-2</v>
      </c>
      <c r="I248" s="2">
        <f t="shared" si="20"/>
        <v>88.2</v>
      </c>
      <c r="J248" s="4">
        <f t="shared" si="21"/>
        <v>8.19</v>
      </c>
      <c r="K248" s="9">
        <f t="shared" si="22"/>
        <v>20.9</v>
      </c>
      <c r="L248" s="1">
        <f t="shared" si="23"/>
        <v>-5</v>
      </c>
    </row>
    <row r="249" s="1" customFormat="1" spans="1:12">
      <c r="A249" s="2">
        <v>8.256</v>
      </c>
      <c r="B249" s="10" t="s">
        <v>100</v>
      </c>
      <c r="C249" s="4">
        <v>8.223</v>
      </c>
      <c r="D249" s="5">
        <v>83.8</v>
      </c>
      <c r="E249" s="4"/>
      <c r="F249" s="4"/>
      <c r="G249" s="2">
        <f t="shared" si="18"/>
        <v>8.223</v>
      </c>
      <c r="H249" s="11" t="str">
        <f t="shared" si="19"/>
        <v>3.645E-2</v>
      </c>
      <c r="I249" s="2">
        <f t="shared" si="20"/>
        <v>87.1</v>
      </c>
      <c r="J249" s="4">
        <f t="shared" si="21"/>
        <v>8.223</v>
      </c>
      <c r="K249" s="9">
        <f t="shared" si="22"/>
        <v>21.2</v>
      </c>
      <c r="L249" s="1">
        <f t="shared" si="23"/>
        <v>-5</v>
      </c>
    </row>
    <row r="250" s="1" customFormat="1" spans="1:12">
      <c r="A250" s="2">
        <v>8.29</v>
      </c>
      <c r="B250" s="10" t="s">
        <v>101</v>
      </c>
      <c r="C250" s="4">
        <v>8.256</v>
      </c>
      <c r="D250" s="5">
        <v>83.2</v>
      </c>
      <c r="E250" s="4"/>
      <c r="F250" s="4"/>
      <c r="G250" s="2">
        <f t="shared" si="18"/>
        <v>8.256</v>
      </c>
      <c r="H250" s="11" t="str">
        <f t="shared" si="19"/>
        <v>3.645E-2</v>
      </c>
      <c r="I250" s="2">
        <f t="shared" si="20"/>
        <v>83.8</v>
      </c>
      <c r="J250" s="4">
        <f t="shared" si="21"/>
        <v>8.256</v>
      </c>
      <c r="K250" s="9">
        <f t="shared" si="22"/>
        <v>21.2</v>
      </c>
      <c r="L250" s="1">
        <f t="shared" si="23"/>
        <v>-5</v>
      </c>
    </row>
    <row r="251" s="1" customFormat="1" spans="1:12">
      <c r="A251" s="2">
        <v>8.323</v>
      </c>
      <c r="B251" s="10" t="s">
        <v>102</v>
      </c>
      <c r="C251" s="4">
        <v>8.29</v>
      </c>
      <c r="D251" s="5">
        <v>81.3</v>
      </c>
      <c r="E251" s="4"/>
      <c r="F251" s="4"/>
      <c r="G251" s="2">
        <f t="shared" si="18"/>
        <v>8.29</v>
      </c>
      <c r="H251" s="11" t="str">
        <f t="shared" si="19"/>
        <v>3.644E-2</v>
      </c>
      <c r="I251" s="2">
        <f t="shared" si="20"/>
        <v>83.2</v>
      </c>
      <c r="J251" s="4">
        <f t="shared" si="21"/>
        <v>8.29</v>
      </c>
      <c r="K251" s="9">
        <f t="shared" si="22"/>
        <v>21.1</v>
      </c>
      <c r="L251" s="1">
        <f t="shared" si="23"/>
        <v>-5</v>
      </c>
    </row>
    <row r="252" s="1" customFormat="1" spans="1:12">
      <c r="A252" s="2">
        <v>8.357</v>
      </c>
      <c r="B252" s="10" t="s">
        <v>98</v>
      </c>
      <c r="C252" s="4">
        <v>8.323</v>
      </c>
      <c r="D252" s="5">
        <v>79.8</v>
      </c>
      <c r="E252" s="4"/>
      <c r="F252" s="4"/>
      <c r="G252" s="2">
        <f t="shared" si="18"/>
        <v>8.323</v>
      </c>
      <c r="H252" s="11" t="str">
        <f t="shared" si="19"/>
        <v>3.639E-2</v>
      </c>
      <c r="I252" s="2">
        <f t="shared" si="20"/>
        <v>81.3</v>
      </c>
      <c r="J252" s="4">
        <f t="shared" si="21"/>
        <v>8.323</v>
      </c>
      <c r="K252" s="9">
        <f t="shared" si="22"/>
        <v>20.6</v>
      </c>
      <c r="L252" s="1">
        <f t="shared" si="23"/>
        <v>-5</v>
      </c>
    </row>
    <row r="253" s="1" customFormat="1" spans="1:12">
      <c r="A253" s="2">
        <v>8.39</v>
      </c>
      <c r="B253" s="10" t="s">
        <v>103</v>
      </c>
      <c r="C253" s="4">
        <v>8.357</v>
      </c>
      <c r="D253" s="5">
        <v>78</v>
      </c>
      <c r="E253" s="4"/>
      <c r="F253" s="4"/>
      <c r="G253" s="2">
        <f t="shared" si="18"/>
        <v>8.357</v>
      </c>
      <c r="H253" s="11" t="str">
        <f t="shared" si="19"/>
        <v>3.633E-2</v>
      </c>
      <c r="I253" s="2">
        <f t="shared" si="20"/>
        <v>79.8</v>
      </c>
      <c r="J253" s="4">
        <f t="shared" si="21"/>
        <v>8.357</v>
      </c>
      <c r="K253" s="9">
        <f t="shared" si="22"/>
        <v>20</v>
      </c>
      <c r="L253" s="1">
        <f t="shared" si="23"/>
        <v>-5</v>
      </c>
    </row>
    <row r="254" s="1" customFormat="1" spans="1:12">
      <c r="A254" s="2">
        <v>8.424</v>
      </c>
      <c r="B254" s="10" t="s">
        <v>104</v>
      </c>
      <c r="C254" s="4">
        <v>8.39</v>
      </c>
      <c r="D254" s="5">
        <v>77.5</v>
      </c>
      <c r="E254" s="4"/>
      <c r="F254" s="4"/>
      <c r="G254" s="2">
        <f t="shared" si="18"/>
        <v>8.39</v>
      </c>
      <c r="H254" s="11" t="str">
        <f t="shared" si="19"/>
        <v>3.623E-2</v>
      </c>
      <c r="I254" s="2">
        <f t="shared" si="20"/>
        <v>78</v>
      </c>
      <c r="J254" s="4">
        <f t="shared" si="21"/>
        <v>8.39</v>
      </c>
      <c r="K254" s="9">
        <f t="shared" si="22"/>
        <v>19</v>
      </c>
      <c r="L254" s="1">
        <f t="shared" si="23"/>
        <v>-5</v>
      </c>
    </row>
    <row r="255" s="1" customFormat="1" spans="1:12">
      <c r="A255" s="2">
        <v>8.457</v>
      </c>
      <c r="B255" s="10" t="s">
        <v>69</v>
      </c>
      <c r="C255" s="4">
        <v>8.424</v>
      </c>
      <c r="D255" s="5">
        <v>76.4</v>
      </c>
      <c r="E255" s="4"/>
      <c r="F255" s="4"/>
      <c r="G255" s="2">
        <f t="shared" si="18"/>
        <v>8.424</v>
      </c>
      <c r="H255" s="11" t="str">
        <f t="shared" si="19"/>
        <v>3.608E-2</v>
      </c>
      <c r="I255" s="2">
        <f t="shared" si="20"/>
        <v>77.5</v>
      </c>
      <c r="J255" s="4">
        <f t="shared" si="21"/>
        <v>8.424</v>
      </c>
      <c r="K255" s="9">
        <f t="shared" si="22"/>
        <v>17.5</v>
      </c>
      <c r="L255" s="1">
        <f t="shared" si="23"/>
        <v>-5</v>
      </c>
    </row>
    <row r="256" s="1" customFormat="1" spans="1:12">
      <c r="A256" s="2">
        <v>8.49</v>
      </c>
      <c r="B256" s="10" t="s">
        <v>66</v>
      </c>
      <c r="C256" s="4">
        <v>8.457</v>
      </c>
      <c r="D256" s="5">
        <v>76.2</v>
      </c>
      <c r="E256" s="4"/>
      <c r="F256" s="4"/>
      <c r="G256" s="2">
        <f t="shared" si="18"/>
        <v>8.457</v>
      </c>
      <c r="H256" s="11" t="str">
        <f t="shared" si="19"/>
        <v>3.592E-2</v>
      </c>
      <c r="I256" s="2">
        <f t="shared" si="20"/>
        <v>76.4</v>
      </c>
      <c r="J256" s="4">
        <f t="shared" si="21"/>
        <v>8.457</v>
      </c>
      <c r="K256" s="9">
        <f t="shared" si="22"/>
        <v>15.9</v>
      </c>
      <c r="L256" s="1">
        <f t="shared" si="23"/>
        <v>-5</v>
      </c>
    </row>
    <row r="257" s="1" customFormat="1" spans="1:12">
      <c r="A257" s="2">
        <v>8.524</v>
      </c>
      <c r="B257" s="10" t="s">
        <v>105</v>
      </c>
      <c r="C257" s="4">
        <v>8.49</v>
      </c>
      <c r="D257" s="5">
        <v>75</v>
      </c>
      <c r="E257" s="4"/>
      <c r="F257" s="4"/>
      <c r="G257" s="2">
        <f t="shared" si="18"/>
        <v>8.49</v>
      </c>
      <c r="H257" s="11" t="str">
        <f t="shared" si="19"/>
        <v>3.575E-2</v>
      </c>
      <c r="I257" s="2">
        <f t="shared" si="20"/>
        <v>76.2</v>
      </c>
      <c r="J257" s="4">
        <f t="shared" si="21"/>
        <v>8.49</v>
      </c>
      <c r="K257" s="9">
        <f t="shared" si="22"/>
        <v>14.2</v>
      </c>
      <c r="L257" s="1">
        <f t="shared" si="23"/>
        <v>-5</v>
      </c>
    </row>
    <row r="258" s="1" customFormat="1" spans="1:12">
      <c r="A258" s="2">
        <v>8.557</v>
      </c>
      <c r="B258" s="10" t="s">
        <v>106</v>
      </c>
      <c r="C258" s="4">
        <v>8.524</v>
      </c>
      <c r="D258" s="5">
        <v>74.6</v>
      </c>
      <c r="E258" s="4"/>
      <c r="F258" s="4"/>
      <c r="G258" s="2">
        <f t="shared" si="18"/>
        <v>8.524</v>
      </c>
      <c r="H258" s="11" t="str">
        <f t="shared" si="19"/>
        <v>3.559E-2</v>
      </c>
      <c r="I258" s="2">
        <f t="shared" si="20"/>
        <v>75</v>
      </c>
      <c r="J258" s="4">
        <f t="shared" si="21"/>
        <v>8.524</v>
      </c>
      <c r="K258" s="9">
        <f t="shared" si="22"/>
        <v>12.6</v>
      </c>
      <c r="L258" s="1">
        <f t="shared" si="23"/>
        <v>-5</v>
      </c>
    </row>
    <row r="259" s="1" customFormat="1" spans="1:12">
      <c r="A259" s="2">
        <v>8.591</v>
      </c>
      <c r="B259" s="10" t="s">
        <v>107</v>
      </c>
      <c r="C259" s="4">
        <v>8.557</v>
      </c>
      <c r="D259" s="5">
        <v>72.8</v>
      </c>
      <c r="E259" s="4"/>
      <c r="F259" s="4"/>
      <c r="G259" s="2">
        <f t="shared" si="18"/>
        <v>8.557</v>
      </c>
      <c r="H259" s="11" t="str">
        <f t="shared" si="19"/>
        <v>3.537E-2</v>
      </c>
      <c r="I259" s="2">
        <f t="shared" si="20"/>
        <v>74.6</v>
      </c>
      <c r="J259" s="4">
        <f t="shared" si="21"/>
        <v>8.557</v>
      </c>
      <c r="K259" s="9">
        <f t="shared" si="22"/>
        <v>10.4</v>
      </c>
      <c r="L259" s="1">
        <f t="shared" si="23"/>
        <v>-5</v>
      </c>
    </row>
    <row r="260" s="1" customFormat="1" spans="1:12">
      <c r="A260" s="2">
        <v>8.624</v>
      </c>
      <c r="B260" s="10" t="s">
        <v>108</v>
      </c>
      <c r="C260" s="4">
        <v>8.591</v>
      </c>
      <c r="D260" s="5">
        <v>73.2</v>
      </c>
      <c r="E260" s="4"/>
      <c r="F260" s="4"/>
      <c r="G260" s="2">
        <f t="shared" ref="G260:G323" si="24">A259</f>
        <v>8.591</v>
      </c>
      <c r="H260" s="11" t="str">
        <f t="shared" ref="H260:H323" si="25">B259</f>
        <v>3.515E-2</v>
      </c>
      <c r="I260" s="2">
        <f t="shared" ref="I260:I323" si="26">D259</f>
        <v>72.8</v>
      </c>
      <c r="J260" s="4">
        <f t="shared" ref="J260:J323" si="27">G260</f>
        <v>8.591</v>
      </c>
      <c r="K260" s="9">
        <f t="shared" ref="K260:K323" si="28">(H260-$H$4)*10000</f>
        <v>8.20000000000001</v>
      </c>
      <c r="L260" s="1">
        <f t="shared" si="23"/>
        <v>-5</v>
      </c>
    </row>
    <row r="261" s="1" customFormat="1" spans="1:12">
      <c r="A261" s="2">
        <v>8.657</v>
      </c>
      <c r="B261" s="10" t="s">
        <v>109</v>
      </c>
      <c r="C261" s="4">
        <v>8.624</v>
      </c>
      <c r="D261" s="5">
        <v>72.9</v>
      </c>
      <c r="E261" s="4"/>
      <c r="F261" s="4"/>
      <c r="G261" s="2">
        <f t="shared" si="24"/>
        <v>8.624</v>
      </c>
      <c r="H261" s="11" t="str">
        <f t="shared" si="25"/>
        <v>3.497E-2</v>
      </c>
      <c r="I261" s="2">
        <f t="shared" si="26"/>
        <v>73.2</v>
      </c>
      <c r="J261" s="4">
        <f t="shared" si="27"/>
        <v>8.624</v>
      </c>
      <c r="K261" s="9">
        <f t="shared" si="28"/>
        <v>6.40000000000002</v>
      </c>
      <c r="L261" s="1">
        <f t="shared" ref="L261:L324" si="29">IF(I261&lt;230,-5,23)</f>
        <v>-5</v>
      </c>
    </row>
    <row r="262" s="1" customFormat="1" spans="1:12">
      <c r="A262" s="2">
        <v>8.691</v>
      </c>
      <c r="B262" s="10" t="s">
        <v>110</v>
      </c>
      <c r="C262" s="4">
        <v>8.657</v>
      </c>
      <c r="D262" s="5">
        <v>72.2</v>
      </c>
      <c r="E262" s="4"/>
      <c r="F262" s="4"/>
      <c r="G262" s="2">
        <f t="shared" si="24"/>
        <v>8.657</v>
      </c>
      <c r="H262" s="11" t="str">
        <f t="shared" si="25"/>
        <v>3.476E-2</v>
      </c>
      <c r="I262" s="2">
        <f t="shared" si="26"/>
        <v>72.9</v>
      </c>
      <c r="J262" s="4">
        <f t="shared" si="27"/>
        <v>8.657</v>
      </c>
      <c r="K262" s="9">
        <f t="shared" si="28"/>
        <v>4.3</v>
      </c>
      <c r="L262" s="1">
        <f t="shared" si="29"/>
        <v>-5</v>
      </c>
    </row>
    <row r="263" s="1" customFormat="1" spans="1:12">
      <c r="A263" s="2">
        <v>8.724</v>
      </c>
      <c r="B263" s="10" t="s">
        <v>23</v>
      </c>
      <c r="C263" s="4">
        <v>8.691</v>
      </c>
      <c r="D263" s="5">
        <v>71.9</v>
      </c>
      <c r="E263" s="4"/>
      <c r="F263" s="4"/>
      <c r="G263" s="2">
        <f t="shared" si="24"/>
        <v>8.691</v>
      </c>
      <c r="H263" s="11" t="str">
        <f t="shared" si="25"/>
        <v>3.457E-2</v>
      </c>
      <c r="I263" s="2">
        <f t="shared" si="26"/>
        <v>72.2</v>
      </c>
      <c r="J263" s="4">
        <f t="shared" si="27"/>
        <v>8.691</v>
      </c>
      <c r="K263" s="9">
        <f t="shared" si="28"/>
        <v>2.39999999999997</v>
      </c>
      <c r="L263" s="1">
        <f t="shared" si="29"/>
        <v>-5</v>
      </c>
    </row>
    <row r="264" s="1" customFormat="1" spans="1:12">
      <c r="A264" s="2">
        <v>8.758</v>
      </c>
      <c r="B264" s="10" t="s">
        <v>15</v>
      </c>
      <c r="C264" s="4">
        <v>8.724</v>
      </c>
      <c r="D264" s="5">
        <v>215.7</v>
      </c>
      <c r="E264" s="4"/>
      <c r="F264" s="4"/>
      <c r="G264" s="2">
        <f t="shared" si="24"/>
        <v>8.724</v>
      </c>
      <c r="H264" s="11" t="str">
        <f t="shared" si="25"/>
        <v>3.442E-2</v>
      </c>
      <c r="I264" s="2">
        <f t="shared" si="26"/>
        <v>71.9</v>
      </c>
      <c r="J264" s="4">
        <f t="shared" si="27"/>
        <v>8.724</v>
      </c>
      <c r="K264" s="9">
        <f t="shared" si="28"/>
        <v>0.899999999999998</v>
      </c>
      <c r="L264" s="1">
        <f t="shared" si="29"/>
        <v>-5</v>
      </c>
    </row>
    <row r="265" s="1" customFormat="1" spans="1:12">
      <c r="A265" s="2">
        <v>8.791</v>
      </c>
      <c r="B265" s="10" t="s">
        <v>45</v>
      </c>
      <c r="C265" s="4">
        <v>8.758</v>
      </c>
      <c r="D265" s="5">
        <v>253.8</v>
      </c>
      <c r="E265" s="4"/>
      <c r="F265" s="4"/>
      <c r="G265" s="2">
        <f t="shared" si="24"/>
        <v>8.758</v>
      </c>
      <c r="H265" s="11" t="str">
        <f t="shared" si="25"/>
        <v>3.427E-2</v>
      </c>
      <c r="I265" s="2">
        <f t="shared" si="26"/>
        <v>215.7</v>
      </c>
      <c r="J265" s="4">
        <f t="shared" si="27"/>
        <v>8.758</v>
      </c>
      <c r="K265" s="9">
        <f t="shared" si="28"/>
        <v>-0.599999999999976</v>
      </c>
      <c r="L265" s="1">
        <f t="shared" si="29"/>
        <v>-5</v>
      </c>
    </row>
    <row r="266" s="1" customFormat="1" spans="1:12">
      <c r="A266" s="2">
        <v>8.825</v>
      </c>
      <c r="B266" s="10" t="s">
        <v>83</v>
      </c>
      <c r="C266" s="4">
        <v>8.791</v>
      </c>
      <c r="D266" s="5">
        <v>253.8</v>
      </c>
      <c r="E266" s="4"/>
      <c r="F266" s="4"/>
      <c r="G266" s="2">
        <f t="shared" si="24"/>
        <v>8.791</v>
      </c>
      <c r="H266" s="11" t="str">
        <f t="shared" si="25"/>
        <v>3.415E-2</v>
      </c>
      <c r="I266" s="2">
        <f t="shared" si="26"/>
        <v>253.8</v>
      </c>
      <c r="J266" s="4">
        <f t="shared" si="27"/>
        <v>8.791</v>
      </c>
      <c r="K266" s="9">
        <f t="shared" si="28"/>
        <v>-1.8</v>
      </c>
      <c r="L266" s="1">
        <f t="shared" si="29"/>
        <v>23</v>
      </c>
    </row>
    <row r="267" s="1" customFormat="1" spans="1:12">
      <c r="A267" s="2">
        <v>8.858</v>
      </c>
      <c r="B267" s="10" t="s">
        <v>111</v>
      </c>
      <c r="C267" s="4">
        <v>8.825</v>
      </c>
      <c r="D267" s="5">
        <v>253.8</v>
      </c>
      <c r="E267" s="4"/>
      <c r="F267" s="4"/>
      <c r="G267" s="2">
        <f t="shared" si="24"/>
        <v>8.825</v>
      </c>
      <c r="H267" s="11" t="str">
        <f t="shared" si="25"/>
        <v>3.400E-2</v>
      </c>
      <c r="I267" s="2">
        <f t="shared" si="26"/>
        <v>253.8</v>
      </c>
      <c r="J267" s="4">
        <f t="shared" si="27"/>
        <v>8.825</v>
      </c>
      <c r="K267" s="9">
        <f t="shared" si="28"/>
        <v>-3.29999999999997</v>
      </c>
      <c r="L267" s="1">
        <f t="shared" si="29"/>
        <v>23</v>
      </c>
    </row>
    <row r="268" s="1" customFormat="1" spans="1:12">
      <c r="A268" s="2">
        <v>8.891</v>
      </c>
      <c r="B268" s="10" t="s">
        <v>112</v>
      </c>
      <c r="C268" s="4">
        <v>8.858</v>
      </c>
      <c r="D268" s="5">
        <v>253.8</v>
      </c>
      <c r="E268" s="4"/>
      <c r="F268" s="4"/>
      <c r="G268" s="2">
        <f t="shared" si="24"/>
        <v>8.858</v>
      </c>
      <c r="H268" s="11" t="str">
        <f t="shared" si="25"/>
        <v>3.395E-2</v>
      </c>
      <c r="I268" s="2">
        <f t="shared" si="26"/>
        <v>253.8</v>
      </c>
      <c r="J268" s="4">
        <f t="shared" si="27"/>
        <v>8.858</v>
      </c>
      <c r="K268" s="9">
        <f t="shared" si="28"/>
        <v>-3.79999999999998</v>
      </c>
      <c r="L268" s="1">
        <f t="shared" si="29"/>
        <v>23</v>
      </c>
    </row>
    <row r="269" s="1" customFormat="1" spans="1:12">
      <c r="A269" s="2">
        <v>8.925</v>
      </c>
      <c r="B269" s="10" t="s">
        <v>113</v>
      </c>
      <c r="C269" s="4">
        <v>8.891</v>
      </c>
      <c r="D269" s="5">
        <v>253.8</v>
      </c>
      <c r="E269" s="4"/>
      <c r="F269" s="4"/>
      <c r="G269" s="2">
        <f t="shared" si="24"/>
        <v>8.891</v>
      </c>
      <c r="H269" s="11" t="str">
        <f t="shared" si="25"/>
        <v>3.391E-2</v>
      </c>
      <c r="I269" s="2">
        <f t="shared" si="26"/>
        <v>253.8</v>
      </c>
      <c r="J269" s="4">
        <f t="shared" si="27"/>
        <v>8.891</v>
      </c>
      <c r="K269" s="9">
        <f t="shared" si="28"/>
        <v>-4.19999999999997</v>
      </c>
      <c r="L269" s="1">
        <f t="shared" si="29"/>
        <v>23</v>
      </c>
    </row>
    <row r="270" s="1" customFormat="1" spans="1:12">
      <c r="A270" s="2">
        <v>8.958</v>
      </c>
      <c r="B270" s="10" t="s">
        <v>114</v>
      </c>
      <c r="C270" s="4">
        <v>8.925</v>
      </c>
      <c r="D270" s="5">
        <v>253.8</v>
      </c>
      <c r="E270" s="4"/>
      <c r="F270" s="4"/>
      <c r="G270" s="2">
        <f t="shared" si="24"/>
        <v>8.925</v>
      </c>
      <c r="H270" s="11" t="str">
        <f t="shared" si="25"/>
        <v>3.389E-2</v>
      </c>
      <c r="I270" s="2">
        <f t="shared" si="26"/>
        <v>253.8</v>
      </c>
      <c r="J270" s="4">
        <f t="shared" si="27"/>
        <v>8.925</v>
      </c>
      <c r="K270" s="9">
        <f t="shared" si="28"/>
        <v>-4.39999999999996</v>
      </c>
      <c r="L270" s="1">
        <f t="shared" si="29"/>
        <v>23</v>
      </c>
    </row>
    <row r="271" s="1" customFormat="1" spans="1:12">
      <c r="A271" s="2">
        <v>8.992</v>
      </c>
      <c r="B271" s="10" t="s">
        <v>115</v>
      </c>
      <c r="C271" s="4">
        <v>8.958</v>
      </c>
      <c r="D271" s="5">
        <v>253.9</v>
      </c>
      <c r="E271" s="4"/>
      <c r="F271" s="4"/>
      <c r="G271" s="2">
        <f t="shared" si="24"/>
        <v>8.958</v>
      </c>
      <c r="H271" s="11" t="str">
        <f t="shared" si="25"/>
        <v>3.392E-2</v>
      </c>
      <c r="I271" s="2">
        <f t="shared" si="26"/>
        <v>253.8</v>
      </c>
      <c r="J271" s="4">
        <f t="shared" si="27"/>
        <v>8.958</v>
      </c>
      <c r="K271" s="9">
        <f t="shared" si="28"/>
        <v>-4.10000000000001</v>
      </c>
      <c r="L271" s="1">
        <f t="shared" si="29"/>
        <v>23</v>
      </c>
    </row>
    <row r="272" s="1" customFormat="1" spans="1:12">
      <c r="A272" s="2">
        <v>9.025</v>
      </c>
      <c r="B272" s="10" t="s">
        <v>46</v>
      </c>
      <c r="C272" s="4">
        <v>8.992</v>
      </c>
      <c r="D272" s="5">
        <v>253.9</v>
      </c>
      <c r="E272" s="4"/>
      <c r="F272" s="4"/>
      <c r="G272" s="2">
        <f t="shared" si="24"/>
        <v>8.992</v>
      </c>
      <c r="H272" s="11" t="str">
        <f t="shared" si="25"/>
        <v>3.396E-2</v>
      </c>
      <c r="I272" s="2">
        <f t="shared" si="26"/>
        <v>253.9</v>
      </c>
      <c r="J272" s="4">
        <f t="shared" si="27"/>
        <v>8.992</v>
      </c>
      <c r="K272" s="9">
        <f t="shared" si="28"/>
        <v>-3.70000000000002</v>
      </c>
      <c r="L272" s="1">
        <f t="shared" si="29"/>
        <v>23</v>
      </c>
    </row>
    <row r="273" s="1" customFormat="1" spans="1:12">
      <c r="A273" s="2">
        <v>9.059</v>
      </c>
      <c r="B273" s="10" t="s">
        <v>116</v>
      </c>
      <c r="C273" s="4">
        <v>9.025</v>
      </c>
      <c r="D273" s="5">
        <v>253.9</v>
      </c>
      <c r="E273" s="4"/>
      <c r="F273" s="4"/>
      <c r="G273" s="2">
        <f t="shared" si="24"/>
        <v>9.025</v>
      </c>
      <c r="H273" s="11" t="str">
        <f t="shared" si="25"/>
        <v>3.401E-2</v>
      </c>
      <c r="I273" s="2">
        <f t="shared" si="26"/>
        <v>253.9</v>
      </c>
      <c r="J273" s="4">
        <f t="shared" si="27"/>
        <v>9.025</v>
      </c>
      <c r="K273" s="9">
        <f t="shared" si="28"/>
        <v>-3.20000000000001</v>
      </c>
      <c r="L273" s="1">
        <f t="shared" si="29"/>
        <v>23</v>
      </c>
    </row>
    <row r="274" s="1" customFormat="1" spans="1:12">
      <c r="A274" s="2">
        <v>9.092</v>
      </c>
      <c r="B274" s="10" t="s">
        <v>117</v>
      </c>
      <c r="C274" s="4">
        <v>9.059</v>
      </c>
      <c r="D274" s="5">
        <v>253.9</v>
      </c>
      <c r="E274" s="4"/>
      <c r="F274" s="4"/>
      <c r="G274" s="2">
        <f t="shared" si="24"/>
        <v>9.059</v>
      </c>
      <c r="H274" s="11" t="str">
        <f t="shared" si="25"/>
        <v>3.406E-2</v>
      </c>
      <c r="I274" s="2">
        <f t="shared" si="26"/>
        <v>253.9</v>
      </c>
      <c r="J274" s="4">
        <f t="shared" si="27"/>
        <v>9.059</v>
      </c>
      <c r="K274" s="9">
        <f t="shared" si="28"/>
        <v>-2.69999999999999</v>
      </c>
      <c r="L274" s="1">
        <f t="shared" si="29"/>
        <v>23</v>
      </c>
    </row>
    <row r="275" s="1" customFormat="1" spans="1:12">
      <c r="A275" s="2">
        <v>9.125</v>
      </c>
      <c r="B275" s="10" t="s">
        <v>118</v>
      </c>
      <c r="C275" s="4">
        <v>9.092</v>
      </c>
      <c r="D275" s="5">
        <v>253.9</v>
      </c>
      <c r="E275" s="4"/>
      <c r="F275" s="4"/>
      <c r="G275" s="2">
        <f t="shared" si="24"/>
        <v>9.092</v>
      </c>
      <c r="H275" s="11" t="str">
        <f t="shared" si="25"/>
        <v>3.412E-2</v>
      </c>
      <c r="I275" s="2">
        <f t="shared" si="26"/>
        <v>253.9</v>
      </c>
      <c r="J275" s="4">
        <f t="shared" si="27"/>
        <v>9.092</v>
      </c>
      <c r="K275" s="9">
        <f t="shared" si="28"/>
        <v>-2.10000000000002</v>
      </c>
      <c r="L275" s="1">
        <f t="shared" si="29"/>
        <v>23</v>
      </c>
    </row>
    <row r="276" s="1" customFormat="1" spans="1:12">
      <c r="A276" s="2">
        <v>9.159</v>
      </c>
      <c r="B276" s="10" t="s">
        <v>21</v>
      </c>
      <c r="C276" s="4">
        <v>9.125</v>
      </c>
      <c r="D276" s="5">
        <v>253.9</v>
      </c>
      <c r="E276" s="4"/>
      <c r="F276" s="4"/>
      <c r="G276" s="2">
        <f t="shared" si="24"/>
        <v>9.125</v>
      </c>
      <c r="H276" s="11" t="str">
        <f t="shared" si="25"/>
        <v>3.419E-2</v>
      </c>
      <c r="I276" s="2">
        <f t="shared" si="26"/>
        <v>253.9</v>
      </c>
      <c r="J276" s="4">
        <f t="shared" si="27"/>
        <v>9.125</v>
      </c>
      <c r="K276" s="9">
        <f t="shared" si="28"/>
        <v>-1.40000000000001</v>
      </c>
      <c r="L276" s="1">
        <f t="shared" si="29"/>
        <v>23</v>
      </c>
    </row>
    <row r="277" s="1" customFormat="1" spans="1:12">
      <c r="A277" s="2">
        <v>9.192</v>
      </c>
      <c r="B277" s="10" t="s">
        <v>26</v>
      </c>
      <c r="C277" s="4">
        <v>9.159</v>
      </c>
      <c r="D277" s="5">
        <v>253.9</v>
      </c>
      <c r="E277" s="4"/>
      <c r="F277" s="4"/>
      <c r="G277" s="2">
        <f t="shared" si="24"/>
        <v>9.159</v>
      </c>
      <c r="H277" s="11" t="str">
        <f t="shared" si="25"/>
        <v>3.437E-2</v>
      </c>
      <c r="I277" s="2">
        <f t="shared" si="26"/>
        <v>253.9</v>
      </c>
      <c r="J277" s="4">
        <f t="shared" si="27"/>
        <v>9.159</v>
      </c>
      <c r="K277" s="9">
        <f t="shared" si="28"/>
        <v>0.399999999999984</v>
      </c>
      <c r="L277" s="1">
        <f t="shared" si="29"/>
        <v>23</v>
      </c>
    </row>
    <row r="278" s="1" customFormat="1" spans="1:12">
      <c r="A278" s="2">
        <v>9.226</v>
      </c>
      <c r="B278" s="10" t="s">
        <v>119</v>
      </c>
      <c r="C278" s="4">
        <v>9.192</v>
      </c>
      <c r="D278" s="5">
        <v>253.9</v>
      </c>
      <c r="E278" s="4"/>
      <c r="F278" s="4"/>
      <c r="G278" s="2">
        <f t="shared" si="24"/>
        <v>9.192</v>
      </c>
      <c r="H278" s="11" t="str">
        <f t="shared" si="25"/>
        <v>3.451E-2</v>
      </c>
      <c r="I278" s="2">
        <f t="shared" si="26"/>
        <v>253.9</v>
      </c>
      <c r="J278" s="4">
        <f t="shared" si="27"/>
        <v>9.192</v>
      </c>
      <c r="K278" s="9">
        <f t="shared" si="28"/>
        <v>1.8</v>
      </c>
      <c r="L278" s="1">
        <f t="shared" si="29"/>
        <v>23</v>
      </c>
    </row>
    <row r="279" s="1" customFormat="1" spans="1:12">
      <c r="A279" s="2">
        <v>9.259</v>
      </c>
      <c r="B279" s="10" t="s">
        <v>39</v>
      </c>
      <c r="C279" s="4">
        <v>9.226</v>
      </c>
      <c r="D279" s="5">
        <v>253.9</v>
      </c>
      <c r="E279" s="4"/>
      <c r="F279" s="4"/>
      <c r="G279" s="2">
        <f t="shared" si="24"/>
        <v>9.226</v>
      </c>
      <c r="H279" s="11" t="str">
        <f t="shared" si="25"/>
        <v>3.471E-2</v>
      </c>
      <c r="I279" s="2">
        <f t="shared" si="26"/>
        <v>253.9</v>
      </c>
      <c r="J279" s="4">
        <f t="shared" si="27"/>
        <v>9.226</v>
      </c>
      <c r="K279" s="9">
        <f t="shared" si="28"/>
        <v>3.79999999999998</v>
      </c>
      <c r="L279" s="1">
        <f t="shared" si="29"/>
        <v>23</v>
      </c>
    </row>
    <row r="280" s="1" customFormat="1" spans="1:12">
      <c r="A280" s="2">
        <v>9.293</v>
      </c>
      <c r="B280" s="10" t="s">
        <v>120</v>
      </c>
      <c r="C280" s="4">
        <v>9.259</v>
      </c>
      <c r="D280" s="5">
        <v>253.9</v>
      </c>
      <c r="E280" s="4"/>
      <c r="F280" s="4"/>
      <c r="G280" s="2">
        <f t="shared" si="24"/>
        <v>9.259</v>
      </c>
      <c r="H280" s="11" t="str">
        <f t="shared" si="25"/>
        <v>3.489E-2</v>
      </c>
      <c r="I280" s="2">
        <f t="shared" si="26"/>
        <v>253.9</v>
      </c>
      <c r="J280" s="4">
        <f t="shared" si="27"/>
        <v>9.259</v>
      </c>
      <c r="K280" s="9">
        <f t="shared" si="28"/>
        <v>5.59999999999998</v>
      </c>
      <c r="L280" s="1">
        <f t="shared" si="29"/>
        <v>23</v>
      </c>
    </row>
    <row r="281" s="1" customFormat="1" spans="1:12">
      <c r="A281" s="2">
        <v>9.326</v>
      </c>
      <c r="B281" s="10" t="s">
        <v>121</v>
      </c>
      <c r="C281" s="4">
        <v>9.293</v>
      </c>
      <c r="D281" s="5">
        <v>253.8</v>
      </c>
      <c r="E281" s="4"/>
      <c r="F281" s="4"/>
      <c r="G281" s="2">
        <f t="shared" si="24"/>
        <v>9.293</v>
      </c>
      <c r="H281" s="11" t="str">
        <f t="shared" si="25"/>
        <v>3.510E-2</v>
      </c>
      <c r="I281" s="2">
        <f t="shared" si="26"/>
        <v>253.9</v>
      </c>
      <c r="J281" s="4">
        <f t="shared" si="27"/>
        <v>9.293</v>
      </c>
      <c r="K281" s="9">
        <f t="shared" si="28"/>
        <v>7.7</v>
      </c>
      <c r="L281" s="1">
        <f t="shared" si="29"/>
        <v>23</v>
      </c>
    </row>
    <row r="282" s="1" customFormat="1" spans="1:12">
      <c r="A282" s="2">
        <v>9.359</v>
      </c>
      <c r="B282" s="10" t="s">
        <v>122</v>
      </c>
      <c r="C282" s="4">
        <v>9.326</v>
      </c>
      <c r="D282" s="5">
        <v>253.8</v>
      </c>
      <c r="E282" s="4"/>
      <c r="F282" s="4"/>
      <c r="G282" s="2">
        <f t="shared" si="24"/>
        <v>9.326</v>
      </c>
      <c r="H282" s="11" t="str">
        <f t="shared" si="25"/>
        <v>3.530E-2</v>
      </c>
      <c r="I282" s="2">
        <f t="shared" si="26"/>
        <v>253.8</v>
      </c>
      <c r="J282" s="4">
        <f t="shared" si="27"/>
        <v>9.326</v>
      </c>
      <c r="K282" s="9">
        <f t="shared" si="28"/>
        <v>9.69999999999999</v>
      </c>
      <c r="L282" s="1">
        <f t="shared" si="29"/>
        <v>23</v>
      </c>
    </row>
    <row r="283" s="1" customFormat="1" spans="1:12">
      <c r="A283" s="2">
        <v>9.393</v>
      </c>
      <c r="B283" s="10" t="s">
        <v>73</v>
      </c>
      <c r="C283" s="4">
        <v>9.359</v>
      </c>
      <c r="D283" s="5">
        <v>253.8</v>
      </c>
      <c r="E283" s="4"/>
      <c r="F283" s="4"/>
      <c r="G283" s="2">
        <f t="shared" si="24"/>
        <v>9.359</v>
      </c>
      <c r="H283" s="11" t="str">
        <f t="shared" si="25"/>
        <v>3.549E-2</v>
      </c>
      <c r="I283" s="2">
        <f t="shared" si="26"/>
        <v>253.8</v>
      </c>
      <c r="J283" s="4">
        <f t="shared" si="27"/>
        <v>9.359</v>
      </c>
      <c r="K283" s="9">
        <f t="shared" si="28"/>
        <v>11.6</v>
      </c>
      <c r="L283" s="1">
        <f t="shared" si="29"/>
        <v>23</v>
      </c>
    </row>
    <row r="284" s="1" customFormat="1" spans="1:12">
      <c r="A284" s="2">
        <v>9.426</v>
      </c>
      <c r="B284" s="10" t="s">
        <v>68</v>
      </c>
      <c r="C284" s="4">
        <v>9.393</v>
      </c>
      <c r="D284" s="5">
        <v>253.8</v>
      </c>
      <c r="E284" s="4"/>
      <c r="F284" s="4"/>
      <c r="G284" s="2">
        <f t="shared" si="24"/>
        <v>9.393</v>
      </c>
      <c r="H284" s="11" t="str">
        <f t="shared" si="25"/>
        <v>3.571E-2</v>
      </c>
      <c r="I284" s="2">
        <f t="shared" si="26"/>
        <v>253.8</v>
      </c>
      <c r="J284" s="4">
        <f t="shared" si="27"/>
        <v>9.393</v>
      </c>
      <c r="K284" s="9">
        <f t="shared" si="28"/>
        <v>13.8</v>
      </c>
      <c r="L284" s="1">
        <f t="shared" si="29"/>
        <v>23</v>
      </c>
    </row>
    <row r="285" s="1" customFormat="1" spans="1:12">
      <c r="A285" s="2">
        <v>9.46</v>
      </c>
      <c r="B285" s="10" t="s">
        <v>95</v>
      </c>
      <c r="C285" s="4">
        <v>9.426</v>
      </c>
      <c r="D285" s="5">
        <v>253.8</v>
      </c>
      <c r="E285" s="4"/>
      <c r="F285" s="4"/>
      <c r="G285" s="2">
        <f t="shared" si="24"/>
        <v>9.426</v>
      </c>
      <c r="H285" s="11" t="str">
        <f t="shared" si="25"/>
        <v>3.591E-2</v>
      </c>
      <c r="I285" s="2">
        <f t="shared" si="26"/>
        <v>253.8</v>
      </c>
      <c r="J285" s="4">
        <f t="shared" si="27"/>
        <v>9.426</v>
      </c>
      <c r="K285" s="9">
        <f t="shared" si="28"/>
        <v>15.8</v>
      </c>
      <c r="L285" s="1">
        <f t="shared" si="29"/>
        <v>23</v>
      </c>
    </row>
    <row r="286" s="1" customFormat="1" spans="1:12">
      <c r="A286" s="2">
        <v>9.493</v>
      </c>
      <c r="B286" s="10" t="s">
        <v>123</v>
      </c>
      <c r="C286" s="4">
        <v>9.46</v>
      </c>
      <c r="D286" s="5">
        <v>253.7</v>
      </c>
      <c r="E286" s="4"/>
      <c r="F286" s="4"/>
      <c r="G286" s="2">
        <f t="shared" si="24"/>
        <v>9.46</v>
      </c>
      <c r="H286" s="11" t="str">
        <f t="shared" si="25"/>
        <v>3.605E-2</v>
      </c>
      <c r="I286" s="2">
        <f t="shared" si="26"/>
        <v>253.8</v>
      </c>
      <c r="J286" s="4">
        <f t="shared" si="27"/>
        <v>9.46</v>
      </c>
      <c r="K286" s="9">
        <f t="shared" si="28"/>
        <v>17.2</v>
      </c>
      <c r="L286" s="1">
        <f t="shared" si="29"/>
        <v>23</v>
      </c>
    </row>
    <row r="287" s="1" customFormat="1" spans="1:12">
      <c r="A287" s="2">
        <v>9.527</v>
      </c>
      <c r="B287" s="10" t="s">
        <v>124</v>
      </c>
      <c r="C287" s="4">
        <v>9.493</v>
      </c>
      <c r="D287" s="5">
        <v>253.8</v>
      </c>
      <c r="E287" s="4"/>
      <c r="F287" s="4"/>
      <c r="G287" s="2">
        <f t="shared" si="24"/>
        <v>9.493</v>
      </c>
      <c r="H287" s="11" t="str">
        <f t="shared" si="25"/>
        <v>3.622E-2</v>
      </c>
      <c r="I287" s="2">
        <f t="shared" si="26"/>
        <v>253.7</v>
      </c>
      <c r="J287" s="4">
        <f t="shared" si="27"/>
        <v>9.493</v>
      </c>
      <c r="K287" s="9">
        <f t="shared" si="28"/>
        <v>18.9</v>
      </c>
      <c r="L287" s="1">
        <f t="shared" si="29"/>
        <v>23</v>
      </c>
    </row>
    <row r="288" s="1" customFormat="1" spans="1:12">
      <c r="A288" s="2">
        <v>9.56</v>
      </c>
      <c r="B288" s="10" t="s">
        <v>125</v>
      </c>
      <c r="C288" s="4">
        <v>9.527</v>
      </c>
      <c r="D288" s="5">
        <v>206.5</v>
      </c>
      <c r="E288" s="4"/>
      <c r="F288" s="4"/>
      <c r="G288" s="2">
        <f t="shared" si="24"/>
        <v>9.527</v>
      </c>
      <c r="H288" s="11" t="str">
        <f t="shared" si="25"/>
        <v>3.631E-2</v>
      </c>
      <c r="I288" s="2">
        <f t="shared" si="26"/>
        <v>253.8</v>
      </c>
      <c r="J288" s="4">
        <f t="shared" si="27"/>
        <v>9.527</v>
      </c>
      <c r="K288" s="9">
        <f t="shared" si="28"/>
        <v>19.8</v>
      </c>
      <c r="L288" s="1">
        <f t="shared" si="29"/>
        <v>23</v>
      </c>
    </row>
    <row r="289" s="1" customFormat="1" spans="1:12">
      <c r="A289" s="2">
        <v>9.593</v>
      </c>
      <c r="B289" s="10" t="s">
        <v>126</v>
      </c>
      <c r="C289" s="4">
        <v>9.56</v>
      </c>
      <c r="D289" s="5">
        <v>112.9</v>
      </c>
      <c r="E289" s="4"/>
      <c r="F289" s="4"/>
      <c r="G289" s="2">
        <f t="shared" si="24"/>
        <v>9.56</v>
      </c>
      <c r="H289" s="11" t="str">
        <f t="shared" si="25"/>
        <v>3.647E-2</v>
      </c>
      <c r="I289" s="2">
        <f t="shared" si="26"/>
        <v>206.5</v>
      </c>
      <c r="J289" s="4">
        <f t="shared" si="27"/>
        <v>9.56</v>
      </c>
      <c r="K289" s="9">
        <f t="shared" si="28"/>
        <v>21.4</v>
      </c>
      <c r="L289" s="1">
        <f t="shared" si="29"/>
        <v>-5</v>
      </c>
    </row>
    <row r="290" s="1" customFormat="1" spans="1:12">
      <c r="A290" s="2">
        <v>9.627</v>
      </c>
      <c r="B290" s="10" t="s">
        <v>127</v>
      </c>
      <c r="C290" s="4">
        <v>9.593</v>
      </c>
      <c r="D290" s="5">
        <v>125.9</v>
      </c>
      <c r="E290" s="4"/>
      <c r="F290" s="4"/>
      <c r="G290" s="2">
        <f t="shared" si="24"/>
        <v>9.593</v>
      </c>
      <c r="H290" s="11" t="str">
        <f t="shared" si="25"/>
        <v>3.654E-2</v>
      </c>
      <c r="I290" s="2">
        <f t="shared" si="26"/>
        <v>112.9</v>
      </c>
      <c r="J290" s="4">
        <f t="shared" si="27"/>
        <v>9.593</v>
      </c>
      <c r="K290" s="9">
        <f t="shared" si="28"/>
        <v>22.1</v>
      </c>
      <c r="L290" s="1">
        <f t="shared" si="29"/>
        <v>-5</v>
      </c>
    </row>
    <row r="291" s="1" customFormat="1" spans="1:12">
      <c r="A291" s="2">
        <v>9.66</v>
      </c>
      <c r="B291" s="10" t="s">
        <v>128</v>
      </c>
      <c r="C291" s="4">
        <v>9.627</v>
      </c>
      <c r="D291" s="5">
        <v>124.9</v>
      </c>
      <c r="E291" s="4"/>
      <c r="F291" s="4"/>
      <c r="G291" s="2">
        <f t="shared" si="24"/>
        <v>9.627</v>
      </c>
      <c r="H291" s="11" t="str">
        <f t="shared" si="25"/>
        <v>3.657E-2</v>
      </c>
      <c r="I291" s="2">
        <f t="shared" si="26"/>
        <v>125.9</v>
      </c>
      <c r="J291" s="4">
        <f t="shared" si="27"/>
        <v>9.627</v>
      </c>
      <c r="K291" s="9">
        <f t="shared" si="28"/>
        <v>22.4</v>
      </c>
      <c r="L291" s="1">
        <f t="shared" si="29"/>
        <v>-5</v>
      </c>
    </row>
    <row r="292" s="1" customFormat="1" spans="1:12">
      <c r="A292" s="2">
        <v>9.694</v>
      </c>
      <c r="B292" s="10" t="s">
        <v>129</v>
      </c>
      <c r="C292" s="4">
        <v>9.66</v>
      </c>
      <c r="D292" s="5">
        <v>123.9</v>
      </c>
      <c r="E292" s="4"/>
      <c r="F292" s="4"/>
      <c r="G292" s="2">
        <f t="shared" si="24"/>
        <v>9.66</v>
      </c>
      <c r="H292" s="11" t="str">
        <f t="shared" si="25"/>
        <v>3.656E-2</v>
      </c>
      <c r="I292" s="2">
        <f t="shared" si="26"/>
        <v>124.9</v>
      </c>
      <c r="J292" s="4">
        <f t="shared" si="27"/>
        <v>9.66</v>
      </c>
      <c r="K292" s="9">
        <f t="shared" si="28"/>
        <v>22.3</v>
      </c>
      <c r="L292" s="1">
        <f t="shared" si="29"/>
        <v>-5</v>
      </c>
    </row>
    <row r="293" s="1" customFormat="1" spans="1:12">
      <c r="A293" s="2">
        <v>9.727</v>
      </c>
      <c r="B293" s="10" t="s">
        <v>130</v>
      </c>
      <c r="C293" s="4">
        <v>9.694</v>
      </c>
      <c r="D293" s="5">
        <v>122</v>
      </c>
      <c r="E293" s="4"/>
      <c r="F293" s="4"/>
      <c r="G293" s="2">
        <f t="shared" si="24"/>
        <v>9.694</v>
      </c>
      <c r="H293" s="11" t="str">
        <f t="shared" si="25"/>
        <v>3.655E-2</v>
      </c>
      <c r="I293" s="2">
        <f t="shared" si="26"/>
        <v>123.9</v>
      </c>
      <c r="J293" s="4">
        <f t="shared" si="27"/>
        <v>9.694</v>
      </c>
      <c r="K293" s="9">
        <f t="shared" si="28"/>
        <v>22.2</v>
      </c>
      <c r="L293" s="1">
        <f t="shared" si="29"/>
        <v>-5</v>
      </c>
    </row>
    <row r="294" s="1" customFormat="1" spans="1:12">
      <c r="A294" s="2">
        <v>9.761</v>
      </c>
      <c r="B294" s="10" t="s">
        <v>125</v>
      </c>
      <c r="C294" s="4">
        <v>9.727</v>
      </c>
      <c r="D294" s="5">
        <v>120.2</v>
      </c>
      <c r="E294" s="4"/>
      <c r="F294" s="4"/>
      <c r="G294" s="2">
        <f t="shared" si="24"/>
        <v>9.727</v>
      </c>
      <c r="H294" s="11" t="str">
        <f t="shared" si="25"/>
        <v>3.652E-2</v>
      </c>
      <c r="I294" s="2">
        <f t="shared" si="26"/>
        <v>122</v>
      </c>
      <c r="J294" s="4">
        <f t="shared" si="27"/>
        <v>9.727</v>
      </c>
      <c r="K294" s="9">
        <f t="shared" si="28"/>
        <v>21.9</v>
      </c>
      <c r="L294" s="1">
        <f t="shared" si="29"/>
        <v>-5</v>
      </c>
    </row>
    <row r="295" s="1" customFormat="1" spans="1:12">
      <c r="A295" s="2">
        <v>9.794</v>
      </c>
      <c r="B295" s="10" t="s">
        <v>101</v>
      </c>
      <c r="C295" s="4">
        <v>9.761</v>
      </c>
      <c r="D295" s="5">
        <v>118.2</v>
      </c>
      <c r="E295" s="4"/>
      <c r="F295" s="4"/>
      <c r="G295" s="2">
        <f t="shared" si="24"/>
        <v>9.761</v>
      </c>
      <c r="H295" s="11" t="str">
        <f t="shared" si="25"/>
        <v>3.647E-2</v>
      </c>
      <c r="I295" s="2">
        <f t="shared" si="26"/>
        <v>120.2</v>
      </c>
      <c r="J295" s="4">
        <f t="shared" si="27"/>
        <v>9.761</v>
      </c>
      <c r="K295" s="9">
        <f t="shared" si="28"/>
        <v>21.4</v>
      </c>
      <c r="L295" s="1">
        <f t="shared" si="29"/>
        <v>-5</v>
      </c>
    </row>
    <row r="296" s="1" customFormat="1" spans="1:12">
      <c r="A296" s="2">
        <v>9.827</v>
      </c>
      <c r="B296" s="10" t="s">
        <v>131</v>
      </c>
      <c r="C296" s="4">
        <v>9.794</v>
      </c>
      <c r="D296" s="5">
        <v>117.5</v>
      </c>
      <c r="E296" s="4"/>
      <c r="F296" s="4"/>
      <c r="G296" s="2">
        <f t="shared" si="24"/>
        <v>9.794</v>
      </c>
      <c r="H296" s="11" t="str">
        <f t="shared" si="25"/>
        <v>3.644E-2</v>
      </c>
      <c r="I296" s="2">
        <f t="shared" si="26"/>
        <v>118.2</v>
      </c>
      <c r="J296" s="4">
        <f t="shared" si="27"/>
        <v>9.794</v>
      </c>
      <c r="K296" s="9">
        <f t="shared" si="28"/>
        <v>21.1</v>
      </c>
      <c r="L296" s="1">
        <f t="shared" si="29"/>
        <v>-5</v>
      </c>
    </row>
    <row r="297" s="1" customFormat="1" spans="1:12">
      <c r="A297" s="2">
        <v>9.861</v>
      </c>
      <c r="B297" s="10" t="s">
        <v>132</v>
      </c>
      <c r="C297" s="4">
        <v>9.827</v>
      </c>
      <c r="D297" s="5">
        <v>115.6</v>
      </c>
      <c r="E297" s="4"/>
      <c r="F297" s="4"/>
      <c r="G297" s="2">
        <f t="shared" si="24"/>
        <v>9.827</v>
      </c>
      <c r="H297" s="11" t="str">
        <f t="shared" si="25"/>
        <v>3.637E-2</v>
      </c>
      <c r="I297" s="2">
        <f t="shared" si="26"/>
        <v>117.5</v>
      </c>
      <c r="J297" s="4">
        <f t="shared" si="27"/>
        <v>9.827</v>
      </c>
      <c r="K297" s="9">
        <f t="shared" si="28"/>
        <v>20.4</v>
      </c>
      <c r="L297" s="1">
        <f t="shared" si="29"/>
        <v>-5</v>
      </c>
    </row>
    <row r="298" s="1" customFormat="1" spans="1:12">
      <c r="A298" s="2">
        <v>9.894</v>
      </c>
      <c r="B298" s="10" t="s">
        <v>133</v>
      </c>
      <c r="C298" s="4">
        <v>9.861</v>
      </c>
      <c r="D298" s="5">
        <v>114.6</v>
      </c>
      <c r="E298" s="4"/>
      <c r="F298" s="4"/>
      <c r="G298" s="2">
        <f t="shared" si="24"/>
        <v>9.861</v>
      </c>
      <c r="H298" s="11" t="str">
        <f t="shared" si="25"/>
        <v>3.626E-2</v>
      </c>
      <c r="I298" s="2">
        <f t="shared" si="26"/>
        <v>115.6</v>
      </c>
      <c r="J298" s="4">
        <f t="shared" si="27"/>
        <v>9.861</v>
      </c>
      <c r="K298" s="9">
        <f t="shared" si="28"/>
        <v>19.3</v>
      </c>
      <c r="L298" s="1">
        <f t="shared" si="29"/>
        <v>-5</v>
      </c>
    </row>
    <row r="299" s="1" customFormat="1" spans="1:12">
      <c r="A299" s="2">
        <v>9.928</v>
      </c>
      <c r="B299" s="10" t="s">
        <v>134</v>
      </c>
      <c r="C299" s="4">
        <v>9.894</v>
      </c>
      <c r="D299" s="5">
        <v>113.3</v>
      </c>
      <c r="E299" s="4"/>
      <c r="F299" s="4"/>
      <c r="G299" s="2">
        <f t="shared" si="24"/>
        <v>9.894</v>
      </c>
      <c r="H299" s="11" t="str">
        <f t="shared" si="25"/>
        <v>3.610E-2</v>
      </c>
      <c r="I299" s="2">
        <f t="shared" si="26"/>
        <v>114.6</v>
      </c>
      <c r="J299" s="4">
        <f t="shared" si="27"/>
        <v>9.894</v>
      </c>
      <c r="K299" s="9">
        <f t="shared" si="28"/>
        <v>17.7</v>
      </c>
      <c r="L299" s="1">
        <f t="shared" si="29"/>
        <v>-5</v>
      </c>
    </row>
    <row r="300" s="1" customFormat="1" spans="1:12">
      <c r="A300" s="2">
        <v>9.961</v>
      </c>
      <c r="B300" s="10" t="s">
        <v>72</v>
      </c>
      <c r="C300" s="4">
        <v>9.928</v>
      </c>
      <c r="D300" s="5">
        <v>111.3</v>
      </c>
      <c r="E300" s="4"/>
      <c r="F300" s="4"/>
      <c r="G300" s="2">
        <f t="shared" si="24"/>
        <v>9.928</v>
      </c>
      <c r="H300" s="11" t="str">
        <f t="shared" si="25"/>
        <v>3.595E-2</v>
      </c>
      <c r="I300" s="2">
        <f t="shared" si="26"/>
        <v>113.3</v>
      </c>
      <c r="J300" s="4">
        <f t="shared" si="27"/>
        <v>9.928</v>
      </c>
      <c r="K300" s="9">
        <f t="shared" si="28"/>
        <v>16.2</v>
      </c>
      <c r="L300" s="1">
        <f t="shared" si="29"/>
        <v>-5</v>
      </c>
    </row>
    <row r="301" s="1" customFormat="1" spans="1:12">
      <c r="A301" s="2">
        <v>9.995</v>
      </c>
      <c r="B301" s="10" t="s">
        <v>135</v>
      </c>
      <c r="C301" s="4">
        <v>9.961</v>
      </c>
      <c r="D301" s="5">
        <v>110.3</v>
      </c>
      <c r="E301" s="4"/>
      <c r="F301" s="4"/>
      <c r="G301" s="2">
        <f t="shared" si="24"/>
        <v>9.961</v>
      </c>
      <c r="H301" s="11" t="str">
        <f t="shared" si="25"/>
        <v>3.577E-2</v>
      </c>
      <c r="I301" s="2">
        <f t="shared" si="26"/>
        <v>111.3</v>
      </c>
      <c r="J301" s="4">
        <f t="shared" si="27"/>
        <v>9.961</v>
      </c>
      <c r="K301" s="9">
        <f t="shared" si="28"/>
        <v>14.4</v>
      </c>
      <c r="L301" s="1">
        <f t="shared" si="29"/>
        <v>-5</v>
      </c>
    </row>
    <row r="302" s="1" customFormat="1" spans="1:12">
      <c r="A302" s="2">
        <v>10.028</v>
      </c>
      <c r="B302" s="10" t="s">
        <v>136</v>
      </c>
      <c r="C302" s="4">
        <v>9.995</v>
      </c>
      <c r="D302" s="5">
        <v>108.3</v>
      </c>
      <c r="E302" s="4"/>
      <c r="F302" s="4"/>
      <c r="G302" s="2">
        <f t="shared" si="24"/>
        <v>9.995</v>
      </c>
      <c r="H302" s="11" t="str">
        <f t="shared" si="25"/>
        <v>3.560E-2</v>
      </c>
      <c r="I302" s="2">
        <f t="shared" si="26"/>
        <v>110.3</v>
      </c>
      <c r="J302" s="4">
        <f t="shared" si="27"/>
        <v>9.995</v>
      </c>
      <c r="K302" s="9">
        <f t="shared" si="28"/>
        <v>12.7</v>
      </c>
      <c r="L302" s="1">
        <f t="shared" si="29"/>
        <v>-5</v>
      </c>
    </row>
    <row r="303" s="1" customFormat="1" spans="1:12">
      <c r="A303" s="2">
        <v>10.061</v>
      </c>
      <c r="B303" s="10" t="s">
        <v>137</v>
      </c>
      <c r="C303" s="4">
        <v>10.028</v>
      </c>
      <c r="D303" s="5">
        <v>107</v>
      </c>
      <c r="E303" s="4"/>
      <c r="F303" s="4"/>
      <c r="G303" s="2">
        <f t="shared" si="24"/>
        <v>10.028</v>
      </c>
      <c r="H303" s="11" t="str">
        <f t="shared" si="25"/>
        <v>3.540E-2</v>
      </c>
      <c r="I303" s="2">
        <f t="shared" si="26"/>
        <v>108.3</v>
      </c>
      <c r="J303" s="4">
        <f t="shared" si="27"/>
        <v>10.028</v>
      </c>
      <c r="K303" s="9">
        <f t="shared" si="28"/>
        <v>10.7</v>
      </c>
      <c r="L303" s="1">
        <f t="shared" si="29"/>
        <v>-5</v>
      </c>
    </row>
    <row r="304" s="1" customFormat="1" spans="1:12">
      <c r="A304" s="2">
        <v>10.095</v>
      </c>
      <c r="B304" s="10" t="s">
        <v>138</v>
      </c>
      <c r="C304" s="4">
        <v>10.061</v>
      </c>
      <c r="D304" s="5">
        <v>105.6</v>
      </c>
      <c r="E304" s="4"/>
      <c r="F304" s="4"/>
      <c r="G304" s="2">
        <f t="shared" si="24"/>
        <v>10.061</v>
      </c>
      <c r="H304" s="11" t="str">
        <f t="shared" si="25"/>
        <v>3.524E-2</v>
      </c>
      <c r="I304" s="2">
        <f t="shared" si="26"/>
        <v>107</v>
      </c>
      <c r="J304" s="4">
        <f t="shared" si="27"/>
        <v>10.061</v>
      </c>
      <c r="K304" s="9">
        <f t="shared" si="28"/>
        <v>9.10000000000001</v>
      </c>
      <c r="L304" s="1">
        <f t="shared" si="29"/>
        <v>-5</v>
      </c>
    </row>
    <row r="305" s="1" customFormat="1" spans="1:12">
      <c r="A305" s="2">
        <v>10.128</v>
      </c>
      <c r="B305" s="10" t="s">
        <v>139</v>
      </c>
      <c r="C305" s="4">
        <v>10.095</v>
      </c>
      <c r="D305" s="5">
        <v>104.1</v>
      </c>
      <c r="E305" s="4"/>
      <c r="F305" s="4"/>
      <c r="G305" s="2">
        <f t="shared" si="24"/>
        <v>10.095</v>
      </c>
      <c r="H305" s="11" t="str">
        <f t="shared" si="25"/>
        <v>3.508E-2</v>
      </c>
      <c r="I305" s="2">
        <f t="shared" si="26"/>
        <v>105.6</v>
      </c>
      <c r="J305" s="4">
        <f t="shared" si="27"/>
        <v>10.095</v>
      </c>
      <c r="K305" s="9">
        <f t="shared" si="28"/>
        <v>7.50000000000001</v>
      </c>
      <c r="L305" s="1">
        <f t="shared" si="29"/>
        <v>-5</v>
      </c>
    </row>
    <row r="306" s="1" customFormat="1" spans="1:12">
      <c r="A306" s="2">
        <v>10.162</v>
      </c>
      <c r="B306" s="10" t="s">
        <v>28</v>
      </c>
      <c r="C306" s="4">
        <v>10.128</v>
      </c>
      <c r="D306" s="5">
        <v>102.3</v>
      </c>
      <c r="E306" s="4"/>
      <c r="F306" s="4"/>
      <c r="G306" s="2">
        <f t="shared" si="24"/>
        <v>10.128</v>
      </c>
      <c r="H306" s="11" t="str">
        <f t="shared" si="25"/>
        <v>3.485E-2</v>
      </c>
      <c r="I306" s="2">
        <f t="shared" si="26"/>
        <v>104.1</v>
      </c>
      <c r="J306" s="4">
        <f t="shared" si="27"/>
        <v>10.128</v>
      </c>
      <c r="K306" s="9">
        <f t="shared" si="28"/>
        <v>5.2</v>
      </c>
      <c r="L306" s="1">
        <f t="shared" si="29"/>
        <v>-5</v>
      </c>
    </row>
    <row r="307" s="1" customFormat="1" spans="1:12">
      <c r="A307" s="2">
        <v>10.195</v>
      </c>
      <c r="B307" s="10" t="s">
        <v>140</v>
      </c>
      <c r="C307" s="4">
        <v>10.162</v>
      </c>
      <c r="D307" s="5">
        <v>99.6</v>
      </c>
      <c r="E307" s="4"/>
      <c r="F307" s="4"/>
      <c r="G307" s="2">
        <f t="shared" si="24"/>
        <v>10.162</v>
      </c>
      <c r="H307" s="11" t="str">
        <f t="shared" si="25"/>
        <v>3.470E-2</v>
      </c>
      <c r="I307" s="2">
        <f t="shared" si="26"/>
        <v>102.3</v>
      </c>
      <c r="J307" s="4">
        <f t="shared" si="27"/>
        <v>10.162</v>
      </c>
      <c r="K307" s="9">
        <f t="shared" si="28"/>
        <v>3.70000000000002</v>
      </c>
      <c r="L307" s="1">
        <f t="shared" si="29"/>
        <v>-5</v>
      </c>
    </row>
    <row r="308" s="1" customFormat="1" spans="1:12">
      <c r="A308" s="2">
        <v>10.229</v>
      </c>
      <c r="B308" s="10" t="s">
        <v>141</v>
      </c>
      <c r="C308" s="4">
        <v>10.195</v>
      </c>
      <c r="D308" s="5">
        <v>100.1</v>
      </c>
      <c r="E308" s="4"/>
      <c r="F308" s="4"/>
      <c r="G308" s="2">
        <f t="shared" si="24"/>
        <v>10.195</v>
      </c>
      <c r="H308" s="11" t="str">
        <f t="shared" si="25"/>
        <v>3.454E-2</v>
      </c>
      <c r="I308" s="2">
        <f t="shared" si="26"/>
        <v>99.6</v>
      </c>
      <c r="J308" s="4">
        <f t="shared" si="27"/>
        <v>10.195</v>
      </c>
      <c r="K308" s="9">
        <f t="shared" si="28"/>
        <v>2.10000000000002</v>
      </c>
      <c r="L308" s="1">
        <f t="shared" si="29"/>
        <v>-5</v>
      </c>
    </row>
    <row r="309" s="1" customFormat="1" spans="1:12">
      <c r="A309" s="2">
        <v>10.262</v>
      </c>
      <c r="B309" s="10" t="s">
        <v>20</v>
      </c>
      <c r="C309" s="4">
        <v>10.229</v>
      </c>
      <c r="D309" s="5">
        <v>97.6</v>
      </c>
      <c r="E309" s="4"/>
      <c r="F309" s="4"/>
      <c r="G309" s="2">
        <f t="shared" si="24"/>
        <v>10.229</v>
      </c>
      <c r="H309" s="11" t="str">
        <f t="shared" si="25"/>
        <v>3.444E-2</v>
      </c>
      <c r="I309" s="2">
        <f t="shared" si="26"/>
        <v>100.1</v>
      </c>
      <c r="J309" s="4">
        <f t="shared" si="27"/>
        <v>10.229</v>
      </c>
      <c r="K309" s="9">
        <f t="shared" si="28"/>
        <v>1.09999999999999</v>
      </c>
      <c r="L309" s="1">
        <f t="shared" si="29"/>
        <v>-5</v>
      </c>
    </row>
    <row r="310" s="1" customFormat="1" spans="1:12">
      <c r="A310" s="2">
        <v>10.295</v>
      </c>
      <c r="B310" s="10" t="s">
        <v>17</v>
      </c>
      <c r="C310" s="4">
        <v>10.262</v>
      </c>
      <c r="D310" s="5">
        <v>157.8</v>
      </c>
      <c r="E310" s="4"/>
      <c r="F310" s="4"/>
      <c r="G310" s="2">
        <f t="shared" si="24"/>
        <v>10.262</v>
      </c>
      <c r="H310" s="11" t="str">
        <f t="shared" si="25"/>
        <v>3.430E-2</v>
      </c>
      <c r="I310" s="2">
        <f t="shared" si="26"/>
        <v>97.6</v>
      </c>
      <c r="J310" s="4">
        <f t="shared" si="27"/>
        <v>10.262</v>
      </c>
      <c r="K310" s="9">
        <f t="shared" si="28"/>
        <v>-0.300000000000022</v>
      </c>
      <c r="L310" s="1">
        <f t="shared" si="29"/>
        <v>-5</v>
      </c>
    </row>
    <row r="311" s="1" customFormat="1" spans="1:12">
      <c r="A311" s="2">
        <v>10.329</v>
      </c>
      <c r="B311" s="10" t="s">
        <v>142</v>
      </c>
      <c r="C311" s="4">
        <v>10.295</v>
      </c>
      <c r="D311" s="5">
        <v>253.8</v>
      </c>
      <c r="E311" s="4"/>
      <c r="F311" s="4"/>
      <c r="G311" s="2">
        <f t="shared" si="24"/>
        <v>10.295</v>
      </c>
      <c r="H311" s="11" t="str">
        <f t="shared" si="25"/>
        <v>3.423E-2</v>
      </c>
      <c r="I311" s="2">
        <f t="shared" si="26"/>
        <v>157.8</v>
      </c>
      <c r="J311" s="4">
        <f t="shared" si="27"/>
        <v>10.295</v>
      </c>
      <c r="K311" s="9">
        <f t="shared" si="28"/>
        <v>-1.00000000000003</v>
      </c>
      <c r="L311" s="1">
        <f t="shared" si="29"/>
        <v>-5</v>
      </c>
    </row>
    <row r="312" s="1" customFormat="1" spans="1:12">
      <c r="A312" s="2">
        <v>10.362</v>
      </c>
      <c r="B312" s="10" t="s">
        <v>118</v>
      </c>
      <c r="C312" s="4">
        <v>10.329</v>
      </c>
      <c r="D312" s="5">
        <v>253.8</v>
      </c>
      <c r="E312" s="4"/>
      <c r="F312" s="4"/>
      <c r="G312" s="2">
        <f t="shared" si="24"/>
        <v>10.329</v>
      </c>
      <c r="H312" s="11" t="str">
        <f t="shared" si="25"/>
        <v>3.418E-2</v>
      </c>
      <c r="I312" s="2">
        <f t="shared" si="26"/>
        <v>253.8</v>
      </c>
      <c r="J312" s="4">
        <f t="shared" si="27"/>
        <v>10.329</v>
      </c>
      <c r="K312" s="9">
        <f t="shared" si="28"/>
        <v>-1.49999999999997</v>
      </c>
      <c r="L312" s="1">
        <f t="shared" si="29"/>
        <v>23</v>
      </c>
    </row>
    <row r="313" s="1" customFormat="1" spans="1:12">
      <c r="A313" s="2">
        <v>10.396</v>
      </c>
      <c r="B313" s="10" t="s">
        <v>44</v>
      </c>
      <c r="C313" s="4">
        <v>10.362</v>
      </c>
      <c r="D313" s="5">
        <v>253.8</v>
      </c>
      <c r="E313" s="4"/>
      <c r="F313" s="4"/>
      <c r="G313" s="2">
        <f t="shared" si="24"/>
        <v>10.362</v>
      </c>
      <c r="H313" s="11" t="str">
        <f t="shared" si="25"/>
        <v>3.419E-2</v>
      </c>
      <c r="I313" s="2">
        <f t="shared" si="26"/>
        <v>253.8</v>
      </c>
      <c r="J313" s="4">
        <f t="shared" si="27"/>
        <v>10.362</v>
      </c>
      <c r="K313" s="9">
        <f t="shared" si="28"/>
        <v>-1.40000000000001</v>
      </c>
      <c r="L313" s="1">
        <f t="shared" si="29"/>
        <v>23</v>
      </c>
    </row>
    <row r="314" s="1" customFormat="1" spans="1:12">
      <c r="A314" s="2">
        <v>10.429</v>
      </c>
      <c r="B314" s="10" t="s">
        <v>17</v>
      </c>
      <c r="C314" s="4">
        <v>10.396</v>
      </c>
      <c r="D314" s="5">
        <v>253.8</v>
      </c>
      <c r="E314" s="4"/>
      <c r="F314" s="4"/>
      <c r="G314" s="2">
        <f t="shared" si="24"/>
        <v>10.396</v>
      </c>
      <c r="H314" s="11" t="str">
        <f t="shared" si="25"/>
        <v>3.422E-2</v>
      </c>
      <c r="I314" s="2">
        <f t="shared" si="26"/>
        <v>253.8</v>
      </c>
      <c r="J314" s="4">
        <f t="shared" si="27"/>
        <v>10.396</v>
      </c>
      <c r="K314" s="9">
        <f t="shared" si="28"/>
        <v>-1.09999999999999</v>
      </c>
      <c r="L314" s="1">
        <f t="shared" si="29"/>
        <v>23</v>
      </c>
    </row>
    <row r="315" s="1" customFormat="1" spans="1:12">
      <c r="A315" s="2">
        <v>10.463</v>
      </c>
      <c r="B315" s="10" t="s">
        <v>15</v>
      </c>
      <c r="C315" s="4">
        <v>10.429</v>
      </c>
      <c r="D315" s="5">
        <v>253.8</v>
      </c>
      <c r="E315" s="4"/>
      <c r="F315" s="4"/>
      <c r="G315" s="2">
        <f t="shared" si="24"/>
        <v>10.429</v>
      </c>
      <c r="H315" s="11" t="str">
        <f t="shared" si="25"/>
        <v>3.423E-2</v>
      </c>
      <c r="I315" s="2">
        <f t="shared" si="26"/>
        <v>253.8</v>
      </c>
      <c r="J315" s="4">
        <f t="shared" si="27"/>
        <v>10.429</v>
      </c>
      <c r="K315" s="9">
        <f t="shared" si="28"/>
        <v>-1.00000000000003</v>
      </c>
      <c r="L315" s="1">
        <f t="shared" si="29"/>
        <v>23</v>
      </c>
    </row>
    <row r="316" s="1" customFormat="1" spans="1:12">
      <c r="A316" s="2">
        <v>10.496</v>
      </c>
      <c r="B316" s="10" t="s">
        <v>11</v>
      </c>
      <c r="C316" s="4">
        <v>10.463</v>
      </c>
      <c r="D316" s="5">
        <v>253.8</v>
      </c>
      <c r="E316" s="4"/>
      <c r="F316" s="4"/>
      <c r="G316" s="2">
        <f t="shared" si="24"/>
        <v>10.463</v>
      </c>
      <c r="H316" s="11" t="str">
        <f t="shared" si="25"/>
        <v>3.427E-2</v>
      </c>
      <c r="I316" s="2">
        <f t="shared" si="26"/>
        <v>253.8</v>
      </c>
      <c r="J316" s="4">
        <f t="shared" si="27"/>
        <v>10.463</v>
      </c>
      <c r="K316" s="9">
        <f t="shared" si="28"/>
        <v>-0.599999999999976</v>
      </c>
      <c r="L316" s="1">
        <f t="shared" si="29"/>
        <v>23</v>
      </c>
    </row>
    <row r="317" s="1" customFormat="1" spans="1:12">
      <c r="A317" s="2">
        <v>10.529</v>
      </c>
      <c r="B317" s="10" t="s">
        <v>143</v>
      </c>
      <c r="C317" s="4">
        <v>10.496</v>
      </c>
      <c r="D317" s="5">
        <v>253.8</v>
      </c>
      <c r="E317" s="4"/>
      <c r="F317" s="4"/>
      <c r="G317" s="2">
        <f t="shared" si="24"/>
        <v>10.496</v>
      </c>
      <c r="H317" s="11" t="str">
        <f t="shared" si="25"/>
        <v>3.432E-2</v>
      </c>
      <c r="I317" s="2">
        <f t="shared" si="26"/>
        <v>253.8</v>
      </c>
      <c r="J317" s="4">
        <f t="shared" si="27"/>
        <v>10.496</v>
      </c>
      <c r="K317" s="9">
        <f t="shared" si="28"/>
        <v>-0.0999999999999612</v>
      </c>
      <c r="L317" s="1">
        <f t="shared" si="29"/>
        <v>23</v>
      </c>
    </row>
    <row r="318" s="1" customFormat="1" spans="1:12">
      <c r="A318" s="2">
        <v>10.563</v>
      </c>
      <c r="B318" s="10" t="s">
        <v>23</v>
      </c>
      <c r="C318" s="4">
        <v>10.529</v>
      </c>
      <c r="D318" s="5">
        <v>253.8</v>
      </c>
      <c r="E318" s="4"/>
      <c r="F318" s="4"/>
      <c r="G318" s="2">
        <f t="shared" si="24"/>
        <v>10.529</v>
      </c>
      <c r="H318" s="11" t="str">
        <f t="shared" si="25"/>
        <v>3.436E-2</v>
      </c>
      <c r="I318" s="2">
        <f t="shared" si="26"/>
        <v>253.8</v>
      </c>
      <c r="J318" s="4">
        <f t="shared" si="27"/>
        <v>10.529</v>
      </c>
      <c r="K318" s="9">
        <f t="shared" si="28"/>
        <v>0.300000000000022</v>
      </c>
      <c r="L318" s="1">
        <f t="shared" si="29"/>
        <v>23</v>
      </c>
    </row>
    <row r="319" s="1" customFormat="1" spans="1:12">
      <c r="A319" s="2">
        <v>10.596</v>
      </c>
      <c r="B319" s="10" t="s">
        <v>144</v>
      </c>
      <c r="C319" s="4">
        <v>10.563</v>
      </c>
      <c r="D319" s="5">
        <v>253.8</v>
      </c>
      <c r="E319" s="4"/>
      <c r="F319" s="4"/>
      <c r="G319" s="2">
        <f t="shared" si="24"/>
        <v>10.563</v>
      </c>
      <c r="H319" s="11" t="str">
        <f t="shared" si="25"/>
        <v>3.442E-2</v>
      </c>
      <c r="I319" s="2">
        <f t="shared" si="26"/>
        <v>253.8</v>
      </c>
      <c r="J319" s="4">
        <f t="shared" si="27"/>
        <v>10.563</v>
      </c>
      <c r="K319" s="9">
        <f t="shared" si="28"/>
        <v>0.899999999999998</v>
      </c>
      <c r="L319" s="1">
        <f t="shared" si="29"/>
        <v>23</v>
      </c>
    </row>
    <row r="320" s="1" customFormat="1" spans="1:12">
      <c r="A320" s="2">
        <v>10.63</v>
      </c>
      <c r="B320" s="10" t="s">
        <v>40</v>
      </c>
      <c r="C320" s="4">
        <v>10.596</v>
      </c>
      <c r="D320" s="5">
        <v>253.8</v>
      </c>
      <c r="E320" s="4"/>
      <c r="F320" s="4"/>
      <c r="G320" s="2">
        <f t="shared" si="24"/>
        <v>10.596</v>
      </c>
      <c r="H320" s="11" t="str">
        <f t="shared" si="25"/>
        <v>3.449E-2</v>
      </c>
      <c r="I320" s="2">
        <f t="shared" si="26"/>
        <v>253.8</v>
      </c>
      <c r="J320" s="4">
        <f t="shared" si="27"/>
        <v>10.596</v>
      </c>
      <c r="K320" s="9">
        <f t="shared" si="28"/>
        <v>1.6</v>
      </c>
      <c r="L320" s="1">
        <f t="shared" si="29"/>
        <v>23</v>
      </c>
    </row>
    <row r="321" s="1" customFormat="1" spans="1:12">
      <c r="A321" s="2">
        <v>10.663</v>
      </c>
      <c r="B321" s="10" t="s">
        <v>145</v>
      </c>
      <c r="C321" s="4">
        <v>10.63</v>
      </c>
      <c r="D321" s="5">
        <v>253.8</v>
      </c>
      <c r="E321" s="4"/>
      <c r="F321" s="4"/>
      <c r="G321" s="2">
        <f t="shared" si="24"/>
        <v>10.63</v>
      </c>
      <c r="H321" s="11" t="str">
        <f t="shared" si="25"/>
        <v>3.466E-2</v>
      </c>
      <c r="I321" s="2">
        <f t="shared" si="26"/>
        <v>253.8</v>
      </c>
      <c r="J321" s="4">
        <f t="shared" si="27"/>
        <v>10.63</v>
      </c>
      <c r="K321" s="9">
        <f t="shared" si="28"/>
        <v>3.30000000000004</v>
      </c>
      <c r="L321" s="1">
        <f t="shared" si="29"/>
        <v>23</v>
      </c>
    </row>
    <row r="322" s="1" customFormat="1" spans="1:12">
      <c r="A322" s="2">
        <v>10.697</v>
      </c>
      <c r="B322" s="10" t="s">
        <v>36</v>
      </c>
      <c r="C322" s="4">
        <v>10.663</v>
      </c>
      <c r="D322" s="5">
        <v>253.8</v>
      </c>
      <c r="E322" s="4"/>
      <c r="F322" s="4"/>
      <c r="G322" s="2">
        <f t="shared" si="24"/>
        <v>10.663</v>
      </c>
      <c r="H322" s="11" t="str">
        <f t="shared" si="25"/>
        <v>3.479E-2</v>
      </c>
      <c r="I322" s="2">
        <f t="shared" si="26"/>
        <v>253.8</v>
      </c>
      <c r="J322" s="4">
        <f t="shared" si="27"/>
        <v>10.663</v>
      </c>
      <c r="K322" s="9">
        <f t="shared" si="28"/>
        <v>4.60000000000002</v>
      </c>
      <c r="L322" s="1">
        <f t="shared" si="29"/>
        <v>23</v>
      </c>
    </row>
    <row r="323" s="1" customFormat="1" spans="1:12">
      <c r="A323" s="2">
        <v>10.73</v>
      </c>
      <c r="B323" s="10" t="s">
        <v>146</v>
      </c>
      <c r="C323" s="4">
        <v>10.697</v>
      </c>
      <c r="D323" s="5">
        <v>253.8</v>
      </c>
      <c r="E323" s="4"/>
      <c r="F323" s="4"/>
      <c r="G323" s="2">
        <f t="shared" si="24"/>
        <v>10.697</v>
      </c>
      <c r="H323" s="11" t="str">
        <f t="shared" si="25"/>
        <v>3.498E-2</v>
      </c>
      <c r="I323" s="2">
        <f t="shared" si="26"/>
        <v>253.8</v>
      </c>
      <c r="J323" s="4">
        <f t="shared" si="27"/>
        <v>10.697</v>
      </c>
      <c r="K323" s="9">
        <f t="shared" si="28"/>
        <v>6.49999999999998</v>
      </c>
      <c r="L323" s="1">
        <f t="shared" si="29"/>
        <v>23</v>
      </c>
    </row>
    <row r="324" s="1" customFormat="1" spans="1:12">
      <c r="A324" s="2">
        <v>10.763</v>
      </c>
      <c r="B324" s="10" t="s">
        <v>147</v>
      </c>
      <c r="C324" s="4">
        <v>10.73</v>
      </c>
      <c r="D324" s="5">
        <v>253.8</v>
      </c>
      <c r="E324" s="4"/>
      <c r="F324" s="4"/>
      <c r="G324" s="2">
        <f t="shared" ref="G324:G387" si="30">A323</f>
        <v>10.73</v>
      </c>
      <c r="H324" s="11" t="str">
        <f t="shared" ref="H324:H387" si="31">B323</f>
        <v>3.514E-2</v>
      </c>
      <c r="I324" s="2">
        <f t="shared" ref="I324:I387" si="32">D323</f>
        <v>253.8</v>
      </c>
      <c r="J324" s="4">
        <f t="shared" ref="J324:J387" si="33">G324</f>
        <v>10.73</v>
      </c>
      <c r="K324" s="9">
        <f t="shared" ref="K324:K387" si="34">(H324-$H$4)*10000</f>
        <v>8.09999999999998</v>
      </c>
      <c r="L324" s="1">
        <f t="shared" si="29"/>
        <v>23</v>
      </c>
    </row>
    <row r="325" s="1" customFormat="1" spans="1:12">
      <c r="A325" s="2">
        <v>10.797</v>
      </c>
      <c r="B325" s="10" t="s">
        <v>148</v>
      </c>
      <c r="C325" s="4">
        <v>10.763</v>
      </c>
      <c r="D325" s="5">
        <v>253.8</v>
      </c>
      <c r="E325" s="4"/>
      <c r="F325" s="4"/>
      <c r="G325" s="2">
        <f t="shared" si="30"/>
        <v>10.763</v>
      </c>
      <c r="H325" s="11" t="str">
        <f t="shared" si="31"/>
        <v>3.531E-2</v>
      </c>
      <c r="I325" s="2">
        <f t="shared" si="32"/>
        <v>253.8</v>
      </c>
      <c r="J325" s="4">
        <f t="shared" si="33"/>
        <v>10.763</v>
      </c>
      <c r="K325" s="9">
        <f t="shared" si="34"/>
        <v>9.80000000000002</v>
      </c>
      <c r="L325" s="1">
        <f t="shared" ref="L325:L388" si="35">IF(I325&lt;230,-5,23)</f>
        <v>23</v>
      </c>
    </row>
    <row r="326" s="1" customFormat="1" spans="1:12">
      <c r="A326" s="2">
        <v>10.83</v>
      </c>
      <c r="B326" s="10" t="s">
        <v>149</v>
      </c>
      <c r="C326" s="4">
        <v>10.797</v>
      </c>
      <c r="D326" s="5">
        <v>253.8</v>
      </c>
      <c r="E326" s="4"/>
      <c r="F326" s="4"/>
      <c r="G326" s="2">
        <f t="shared" si="30"/>
        <v>10.797</v>
      </c>
      <c r="H326" s="11" t="str">
        <f t="shared" si="31"/>
        <v>3.547E-2</v>
      </c>
      <c r="I326" s="2">
        <f t="shared" si="32"/>
        <v>253.8</v>
      </c>
      <c r="J326" s="4">
        <f t="shared" si="33"/>
        <v>10.797</v>
      </c>
      <c r="K326" s="9">
        <f t="shared" si="34"/>
        <v>11.4</v>
      </c>
      <c r="L326" s="1">
        <f t="shared" si="35"/>
        <v>23</v>
      </c>
    </row>
    <row r="327" s="1" customFormat="1" spans="1:12">
      <c r="A327" s="2">
        <v>10.864</v>
      </c>
      <c r="B327" s="10" t="s">
        <v>150</v>
      </c>
      <c r="C327" s="4">
        <v>10.83</v>
      </c>
      <c r="D327" s="5">
        <v>253.8</v>
      </c>
      <c r="E327" s="4"/>
      <c r="F327" s="4"/>
      <c r="G327" s="2">
        <f t="shared" si="30"/>
        <v>10.83</v>
      </c>
      <c r="H327" s="11" t="str">
        <f t="shared" si="31"/>
        <v>3.564E-2</v>
      </c>
      <c r="I327" s="2">
        <f t="shared" si="32"/>
        <v>253.8</v>
      </c>
      <c r="J327" s="4">
        <f t="shared" si="33"/>
        <v>10.83</v>
      </c>
      <c r="K327" s="9">
        <f t="shared" si="34"/>
        <v>13.1</v>
      </c>
      <c r="L327" s="1">
        <f t="shared" si="35"/>
        <v>23</v>
      </c>
    </row>
    <row r="328" s="1" customFormat="1" spans="1:12">
      <c r="A328" s="2">
        <v>10.897</v>
      </c>
      <c r="B328" s="10" t="s">
        <v>151</v>
      </c>
      <c r="C328" s="4">
        <v>10.864</v>
      </c>
      <c r="D328" s="5">
        <v>253.8</v>
      </c>
      <c r="E328" s="4"/>
      <c r="F328" s="4"/>
      <c r="G328" s="2">
        <f t="shared" si="30"/>
        <v>10.864</v>
      </c>
      <c r="H328" s="11" t="str">
        <f t="shared" si="31"/>
        <v>3.579E-2</v>
      </c>
      <c r="I328" s="2">
        <f t="shared" si="32"/>
        <v>253.8</v>
      </c>
      <c r="J328" s="4">
        <f t="shared" si="33"/>
        <v>10.864</v>
      </c>
      <c r="K328" s="9">
        <f t="shared" si="34"/>
        <v>14.6</v>
      </c>
      <c r="L328" s="1">
        <f t="shared" si="35"/>
        <v>23</v>
      </c>
    </row>
    <row r="329" s="1" customFormat="1" spans="1:12">
      <c r="A329" s="2">
        <v>10.93</v>
      </c>
      <c r="B329" s="10" t="s">
        <v>152</v>
      </c>
      <c r="C329" s="4">
        <v>10.897</v>
      </c>
      <c r="D329" s="5">
        <v>253.8</v>
      </c>
      <c r="E329" s="4"/>
      <c r="F329" s="4"/>
      <c r="G329" s="2">
        <f t="shared" si="30"/>
        <v>10.897</v>
      </c>
      <c r="H329" s="11" t="str">
        <f t="shared" si="31"/>
        <v>3.594E-2</v>
      </c>
      <c r="I329" s="2">
        <f t="shared" si="32"/>
        <v>253.8</v>
      </c>
      <c r="J329" s="4">
        <f t="shared" si="33"/>
        <v>10.897</v>
      </c>
      <c r="K329" s="9">
        <f t="shared" si="34"/>
        <v>16.1</v>
      </c>
      <c r="L329" s="1">
        <f t="shared" si="35"/>
        <v>23</v>
      </c>
    </row>
    <row r="330" s="1" customFormat="1" spans="1:12">
      <c r="A330" s="2">
        <v>10.964</v>
      </c>
      <c r="B330" s="10" t="s">
        <v>153</v>
      </c>
      <c r="C330" s="4">
        <v>10.93</v>
      </c>
      <c r="D330" s="5">
        <v>253.8</v>
      </c>
      <c r="E330" s="4"/>
      <c r="F330" s="4"/>
      <c r="G330" s="2">
        <f t="shared" si="30"/>
        <v>10.93</v>
      </c>
      <c r="H330" s="11" t="str">
        <f t="shared" si="31"/>
        <v>3.603E-2</v>
      </c>
      <c r="I330" s="2">
        <f t="shared" si="32"/>
        <v>253.8</v>
      </c>
      <c r="J330" s="4">
        <f t="shared" si="33"/>
        <v>10.93</v>
      </c>
      <c r="K330" s="9">
        <f t="shared" si="34"/>
        <v>17</v>
      </c>
      <c r="L330" s="1">
        <f t="shared" si="35"/>
        <v>23</v>
      </c>
    </row>
    <row r="331" s="1" customFormat="1" spans="1:12">
      <c r="A331" s="2">
        <v>10.997</v>
      </c>
      <c r="B331" s="10" t="s">
        <v>154</v>
      </c>
      <c r="C331" s="4">
        <v>10.964</v>
      </c>
      <c r="D331" s="5">
        <v>253.8</v>
      </c>
      <c r="E331" s="4"/>
      <c r="F331" s="4"/>
      <c r="G331" s="2">
        <f t="shared" si="30"/>
        <v>10.964</v>
      </c>
      <c r="H331" s="11" t="str">
        <f t="shared" si="31"/>
        <v>3.619E-2</v>
      </c>
      <c r="I331" s="2">
        <f t="shared" si="32"/>
        <v>253.8</v>
      </c>
      <c r="J331" s="4">
        <f t="shared" si="33"/>
        <v>10.964</v>
      </c>
      <c r="K331" s="9">
        <f t="shared" si="34"/>
        <v>18.6</v>
      </c>
      <c r="L331" s="1">
        <f t="shared" si="35"/>
        <v>23</v>
      </c>
    </row>
    <row r="332" s="1" customFormat="1" spans="1:12">
      <c r="A332" s="2">
        <v>11.031</v>
      </c>
      <c r="B332" s="10" t="s">
        <v>155</v>
      </c>
      <c r="C332" s="4">
        <v>10.997</v>
      </c>
      <c r="D332" s="5">
        <v>253.8</v>
      </c>
      <c r="E332" s="4"/>
      <c r="F332" s="4"/>
      <c r="G332" s="2">
        <f t="shared" si="30"/>
        <v>10.997</v>
      </c>
      <c r="H332" s="11" t="str">
        <f t="shared" si="31"/>
        <v>3.625E-2</v>
      </c>
      <c r="I332" s="2">
        <f t="shared" si="32"/>
        <v>253.8</v>
      </c>
      <c r="J332" s="4">
        <f t="shared" si="33"/>
        <v>10.997</v>
      </c>
      <c r="K332" s="9">
        <f t="shared" si="34"/>
        <v>19.2</v>
      </c>
      <c r="L332" s="1">
        <f t="shared" si="35"/>
        <v>23</v>
      </c>
    </row>
    <row r="333" s="1" customFormat="1" spans="1:12">
      <c r="A333" s="2">
        <v>11.064</v>
      </c>
      <c r="B333" s="10" t="s">
        <v>156</v>
      </c>
      <c r="C333" s="4">
        <v>11.031</v>
      </c>
      <c r="D333" s="5">
        <v>253.8</v>
      </c>
      <c r="E333" s="4"/>
      <c r="F333" s="4"/>
      <c r="G333" s="2">
        <f t="shared" si="30"/>
        <v>11.031</v>
      </c>
      <c r="H333" s="11" t="str">
        <f t="shared" si="31"/>
        <v>3.630E-2</v>
      </c>
      <c r="I333" s="2">
        <f t="shared" si="32"/>
        <v>253.8</v>
      </c>
      <c r="J333" s="4">
        <f t="shared" si="33"/>
        <v>11.031</v>
      </c>
      <c r="K333" s="9">
        <f t="shared" si="34"/>
        <v>19.7</v>
      </c>
      <c r="L333" s="1">
        <f t="shared" si="35"/>
        <v>23</v>
      </c>
    </row>
    <row r="334" s="1" customFormat="1" spans="1:12">
      <c r="A334" s="2">
        <v>11.098</v>
      </c>
      <c r="B334" s="10" t="s">
        <v>101</v>
      </c>
      <c r="C334" s="4">
        <v>11.064</v>
      </c>
      <c r="D334" s="5">
        <v>240.4</v>
      </c>
      <c r="E334" s="4"/>
      <c r="F334" s="4"/>
      <c r="G334" s="2">
        <f t="shared" si="30"/>
        <v>11.064</v>
      </c>
      <c r="H334" s="11" t="str">
        <f t="shared" si="31"/>
        <v>3.641E-2</v>
      </c>
      <c r="I334" s="2">
        <f t="shared" si="32"/>
        <v>253.8</v>
      </c>
      <c r="J334" s="4">
        <f t="shared" si="33"/>
        <v>11.064</v>
      </c>
      <c r="K334" s="9">
        <f t="shared" si="34"/>
        <v>20.8</v>
      </c>
      <c r="L334" s="1">
        <f t="shared" si="35"/>
        <v>23</v>
      </c>
    </row>
    <row r="335" s="1" customFormat="1" spans="1:12">
      <c r="A335" s="2">
        <v>11.131</v>
      </c>
      <c r="B335" s="10" t="s">
        <v>157</v>
      </c>
      <c r="C335" s="4">
        <v>11.098</v>
      </c>
      <c r="D335" s="5">
        <v>127.1</v>
      </c>
      <c r="E335" s="4"/>
      <c r="F335" s="4"/>
      <c r="G335" s="2">
        <f t="shared" si="30"/>
        <v>11.098</v>
      </c>
      <c r="H335" s="11" t="str">
        <f t="shared" si="31"/>
        <v>3.644E-2</v>
      </c>
      <c r="I335" s="2">
        <f t="shared" si="32"/>
        <v>240.4</v>
      </c>
      <c r="J335" s="4">
        <f t="shared" si="33"/>
        <v>11.098</v>
      </c>
      <c r="K335" s="9">
        <f t="shared" si="34"/>
        <v>21.1</v>
      </c>
      <c r="L335" s="1">
        <f t="shared" si="35"/>
        <v>23</v>
      </c>
    </row>
    <row r="336" s="1" customFormat="1" spans="1:12">
      <c r="A336" s="2">
        <v>11.164</v>
      </c>
      <c r="B336" s="10" t="s">
        <v>157</v>
      </c>
      <c r="C336" s="4">
        <v>11.131</v>
      </c>
      <c r="D336" s="5">
        <v>143.6</v>
      </c>
      <c r="E336" s="4"/>
      <c r="F336" s="4"/>
      <c r="G336" s="2">
        <f t="shared" si="30"/>
        <v>11.131</v>
      </c>
      <c r="H336" s="11" t="str">
        <f t="shared" si="31"/>
        <v>3.646E-2</v>
      </c>
      <c r="I336" s="2">
        <f t="shared" si="32"/>
        <v>127.1</v>
      </c>
      <c r="J336" s="4">
        <f t="shared" si="33"/>
        <v>11.131</v>
      </c>
      <c r="K336" s="9">
        <f t="shared" si="34"/>
        <v>21.3</v>
      </c>
      <c r="L336" s="1">
        <f t="shared" si="35"/>
        <v>-5</v>
      </c>
    </row>
    <row r="337" s="1" customFormat="1" spans="1:12">
      <c r="A337" s="2">
        <v>11.198</v>
      </c>
      <c r="B337" s="10" t="s">
        <v>158</v>
      </c>
      <c r="C337" s="4">
        <v>11.164</v>
      </c>
      <c r="D337" s="5">
        <v>142.5</v>
      </c>
      <c r="E337" s="4"/>
      <c r="F337" s="4"/>
      <c r="G337" s="2">
        <f t="shared" si="30"/>
        <v>11.164</v>
      </c>
      <c r="H337" s="11" t="str">
        <f t="shared" si="31"/>
        <v>3.646E-2</v>
      </c>
      <c r="I337" s="2">
        <f t="shared" si="32"/>
        <v>143.6</v>
      </c>
      <c r="J337" s="4">
        <f t="shared" si="33"/>
        <v>11.164</v>
      </c>
      <c r="K337" s="9">
        <f t="shared" si="34"/>
        <v>21.3</v>
      </c>
      <c r="L337" s="1">
        <f t="shared" si="35"/>
        <v>-5</v>
      </c>
    </row>
    <row r="338" s="1" customFormat="1" spans="1:12">
      <c r="A338" s="2">
        <v>11.231</v>
      </c>
      <c r="B338" s="10" t="s">
        <v>159</v>
      </c>
      <c r="C338" s="4">
        <v>11.198</v>
      </c>
      <c r="D338" s="5">
        <v>140.6</v>
      </c>
      <c r="E338" s="4"/>
      <c r="F338" s="4"/>
      <c r="G338" s="2">
        <f t="shared" si="30"/>
        <v>11.198</v>
      </c>
      <c r="H338" s="11" t="str">
        <f t="shared" si="31"/>
        <v>3.643E-2</v>
      </c>
      <c r="I338" s="2">
        <f t="shared" si="32"/>
        <v>142.5</v>
      </c>
      <c r="J338" s="4">
        <f t="shared" si="33"/>
        <v>11.198</v>
      </c>
      <c r="K338" s="9">
        <f t="shared" si="34"/>
        <v>21</v>
      </c>
      <c r="L338" s="1">
        <f t="shared" si="35"/>
        <v>-5</v>
      </c>
    </row>
    <row r="339" s="1" customFormat="1" spans="1:12">
      <c r="A339" s="2">
        <v>11.265</v>
      </c>
      <c r="B339" s="10" t="s">
        <v>160</v>
      </c>
      <c r="C339" s="4">
        <v>11.231</v>
      </c>
      <c r="D339" s="5">
        <v>140.2</v>
      </c>
      <c r="E339" s="4"/>
      <c r="F339" s="4"/>
      <c r="G339" s="2">
        <f t="shared" si="30"/>
        <v>11.231</v>
      </c>
      <c r="H339" s="11" t="str">
        <f t="shared" si="31"/>
        <v>3.640E-2</v>
      </c>
      <c r="I339" s="2">
        <f t="shared" si="32"/>
        <v>140.6</v>
      </c>
      <c r="J339" s="4">
        <f t="shared" si="33"/>
        <v>11.231</v>
      </c>
      <c r="K339" s="9">
        <f t="shared" si="34"/>
        <v>20.7</v>
      </c>
      <c r="L339" s="1">
        <f t="shared" si="35"/>
        <v>-5</v>
      </c>
    </row>
    <row r="340" s="1" customFormat="1" spans="1:12">
      <c r="A340" s="2">
        <v>11.298</v>
      </c>
      <c r="B340" s="10" t="s">
        <v>124</v>
      </c>
      <c r="C340" s="4">
        <v>11.265</v>
      </c>
      <c r="D340" s="5">
        <v>138</v>
      </c>
      <c r="E340" s="4"/>
      <c r="F340" s="4"/>
      <c r="G340" s="2">
        <f t="shared" si="30"/>
        <v>11.265</v>
      </c>
      <c r="H340" s="11" t="str">
        <f t="shared" si="31"/>
        <v>3.636E-2</v>
      </c>
      <c r="I340" s="2">
        <f t="shared" si="32"/>
        <v>140.2</v>
      </c>
      <c r="J340" s="4">
        <f t="shared" si="33"/>
        <v>11.265</v>
      </c>
      <c r="K340" s="9">
        <f t="shared" si="34"/>
        <v>20.3</v>
      </c>
      <c r="L340" s="1">
        <f t="shared" si="35"/>
        <v>-5</v>
      </c>
    </row>
    <row r="341" s="1" customFormat="1" spans="1:12">
      <c r="A341" s="2">
        <v>11.332</v>
      </c>
      <c r="B341" s="10" t="s">
        <v>161</v>
      </c>
      <c r="C341" s="4">
        <v>11.298</v>
      </c>
      <c r="D341" s="5">
        <v>136.1</v>
      </c>
      <c r="E341" s="4"/>
      <c r="F341" s="4"/>
      <c r="G341" s="2">
        <f t="shared" si="30"/>
        <v>11.298</v>
      </c>
      <c r="H341" s="11" t="str">
        <f t="shared" si="31"/>
        <v>3.631E-2</v>
      </c>
      <c r="I341" s="2">
        <f t="shared" si="32"/>
        <v>138</v>
      </c>
      <c r="J341" s="4">
        <f t="shared" si="33"/>
        <v>11.298</v>
      </c>
      <c r="K341" s="9">
        <f t="shared" si="34"/>
        <v>19.8</v>
      </c>
      <c r="L341" s="1">
        <f t="shared" si="35"/>
        <v>-5</v>
      </c>
    </row>
    <row r="342" s="1" customFormat="1" spans="1:12">
      <c r="A342" s="2">
        <v>11.365</v>
      </c>
      <c r="B342" s="10" t="s">
        <v>104</v>
      </c>
      <c r="C342" s="4">
        <v>11.332</v>
      </c>
      <c r="D342" s="5">
        <v>136.1</v>
      </c>
      <c r="E342" s="4"/>
      <c r="F342" s="4"/>
      <c r="G342" s="2">
        <f t="shared" si="30"/>
        <v>11.332</v>
      </c>
      <c r="H342" s="11" t="str">
        <f t="shared" si="31"/>
        <v>3.621E-2</v>
      </c>
      <c r="I342" s="2">
        <f t="shared" si="32"/>
        <v>136.1</v>
      </c>
      <c r="J342" s="4">
        <f t="shared" si="33"/>
        <v>11.332</v>
      </c>
      <c r="K342" s="9">
        <f t="shared" si="34"/>
        <v>18.8</v>
      </c>
      <c r="L342" s="1">
        <f t="shared" si="35"/>
        <v>-5</v>
      </c>
    </row>
    <row r="343" s="1" customFormat="1" spans="1:12">
      <c r="A343" s="2">
        <v>11.398</v>
      </c>
      <c r="B343" s="10" t="s">
        <v>134</v>
      </c>
      <c r="C343" s="4">
        <v>11.365</v>
      </c>
      <c r="D343" s="5">
        <v>135.3</v>
      </c>
      <c r="E343" s="4"/>
      <c r="F343" s="4"/>
      <c r="G343" s="2">
        <f t="shared" si="30"/>
        <v>11.365</v>
      </c>
      <c r="H343" s="11" t="str">
        <f t="shared" si="31"/>
        <v>3.608E-2</v>
      </c>
      <c r="I343" s="2">
        <f t="shared" si="32"/>
        <v>136.1</v>
      </c>
      <c r="J343" s="4">
        <f t="shared" si="33"/>
        <v>11.365</v>
      </c>
      <c r="K343" s="9">
        <f t="shared" si="34"/>
        <v>17.5</v>
      </c>
      <c r="L343" s="1">
        <f t="shared" si="35"/>
        <v>-5</v>
      </c>
    </row>
    <row r="344" s="1" customFormat="1" spans="1:12">
      <c r="A344" s="2">
        <v>11.432</v>
      </c>
      <c r="B344" s="10" t="s">
        <v>162</v>
      </c>
      <c r="C344" s="4">
        <v>11.398</v>
      </c>
      <c r="D344" s="5">
        <v>133.2</v>
      </c>
      <c r="E344" s="4"/>
      <c r="F344" s="4"/>
      <c r="G344" s="2">
        <f t="shared" si="30"/>
        <v>11.398</v>
      </c>
      <c r="H344" s="11" t="str">
        <f t="shared" si="31"/>
        <v>3.595E-2</v>
      </c>
      <c r="I344" s="2">
        <f t="shared" si="32"/>
        <v>135.3</v>
      </c>
      <c r="J344" s="4">
        <f t="shared" si="33"/>
        <v>11.398</v>
      </c>
      <c r="K344" s="9">
        <f t="shared" si="34"/>
        <v>16.2</v>
      </c>
      <c r="L344" s="1">
        <f t="shared" si="35"/>
        <v>-5</v>
      </c>
    </row>
    <row r="345" s="1" customFormat="1" spans="1:12">
      <c r="A345" s="2">
        <v>11.465</v>
      </c>
      <c r="B345" s="10" t="s">
        <v>163</v>
      </c>
      <c r="C345" s="4">
        <v>11.432</v>
      </c>
      <c r="D345" s="5">
        <v>132.1</v>
      </c>
      <c r="E345" s="4"/>
      <c r="F345" s="4"/>
      <c r="G345" s="2">
        <f t="shared" si="30"/>
        <v>11.432</v>
      </c>
      <c r="H345" s="11" t="str">
        <f t="shared" si="31"/>
        <v>3.580E-2</v>
      </c>
      <c r="I345" s="2">
        <f t="shared" si="32"/>
        <v>133.2</v>
      </c>
      <c r="J345" s="4">
        <f t="shared" si="33"/>
        <v>11.432</v>
      </c>
      <c r="K345" s="9">
        <f t="shared" si="34"/>
        <v>14.7</v>
      </c>
      <c r="L345" s="1">
        <f t="shared" si="35"/>
        <v>-5</v>
      </c>
    </row>
    <row r="346" s="1" customFormat="1" spans="1:12">
      <c r="A346" s="2">
        <v>11.499</v>
      </c>
      <c r="B346" s="10" t="s">
        <v>75</v>
      </c>
      <c r="C346" s="4">
        <v>11.465</v>
      </c>
      <c r="D346" s="5">
        <v>131.5</v>
      </c>
      <c r="E346" s="4"/>
      <c r="F346" s="4"/>
      <c r="G346" s="2">
        <f t="shared" si="30"/>
        <v>11.465</v>
      </c>
      <c r="H346" s="11" t="str">
        <f t="shared" si="31"/>
        <v>3.565E-2</v>
      </c>
      <c r="I346" s="2">
        <f t="shared" si="32"/>
        <v>132.1</v>
      </c>
      <c r="J346" s="4">
        <f t="shared" si="33"/>
        <v>11.465</v>
      </c>
      <c r="K346" s="9">
        <f t="shared" si="34"/>
        <v>13.2</v>
      </c>
      <c r="L346" s="1">
        <f t="shared" si="35"/>
        <v>-5</v>
      </c>
    </row>
    <row r="347" s="1" customFormat="1" spans="1:12">
      <c r="A347" s="2">
        <v>11.532</v>
      </c>
      <c r="B347" s="10" t="s">
        <v>164</v>
      </c>
      <c r="C347" s="4">
        <v>11.499</v>
      </c>
      <c r="D347" s="5">
        <v>129.8</v>
      </c>
      <c r="E347" s="4"/>
      <c r="F347" s="4"/>
      <c r="G347" s="2">
        <f t="shared" si="30"/>
        <v>11.499</v>
      </c>
      <c r="H347" s="11" t="str">
        <f t="shared" si="31"/>
        <v>3.548E-2</v>
      </c>
      <c r="I347" s="2">
        <f t="shared" si="32"/>
        <v>131.5</v>
      </c>
      <c r="J347" s="4">
        <f t="shared" si="33"/>
        <v>11.499</v>
      </c>
      <c r="K347" s="9">
        <f t="shared" si="34"/>
        <v>11.5</v>
      </c>
      <c r="L347" s="1">
        <f t="shared" si="35"/>
        <v>-5</v>
      </c>
    </row>
    <row r="348" s="1" customFormat="1" spans="1:12">
      <c r="A348" s="2">
        <v>11.566</v>
      </c>
      <c r="B348" s="10" t="s">
        <v>77</v>
      </c>
      <c r="C348" s="4">
        <v>11.532</v>
      </c>
      <c r="D348" s="5">
        <v>128.7</v>
      </c>
      <c r="E348" s="4"/>
      <c r="F348" s="4"/>
      <c r="G348" s="2">
        <f t="shared" si="30"/>
        <v>11.532</v>
      </c>
      <c r="H348" s="11" t="str">
        <f t="shared" si="31"/>
        <v>3.532E-2</v>
      </c>
      <c r="I348" s="2">
        <f t="shared" si="32"/>
        <v>129.8</v>
      </c>
      <c r="J348" s="4">
        <f t="shared" si="33"/>
        <v>11.532</v>
      </c>
      <c r="K348" s="9">
        <f t="shared" si="34"/>
        <v>9.89999999999998</v>
      </c>
      <c r="L348" s="1">
        <f t="shared" si="35"/>
        <v>-5</v>
      </c>
    </row>
    <row r="349" s="1" customFormat="1" spans="1:12">
      <c r="A349" s="2">
        <v>11.599</v>
      </c>
      <c r="B349" s="10" t="s">
        <v>165</v>
      </c>
      <c r="C349" s="4">
        <v>11.566</v>
      </c>
      <c r="D349" s="5">
        <v>126.5</v>
      </c>
      <c r="E349" s="4"/>
      <c r="F349" s="4"/>
      <c r="G349" s="2">
        <f t="shared" si="30"/>
        <v>11.566</v>
      </c>
      <c r="H349" s="11" t="str">
        <f t="shared" si="31"/>
        <v>3.517E-2</v>
      </c>
      <c r="I349" s="2">
        <f t="shared" si="32"/>
        <v>128.7</v>
      </c>
      <c r="J349" s="4">
        <f t="shared" si="33"/>
        <v>11.566</v>
      </c>
      <c r="K349" s="9">
        <f t="shared" si="34"/>
        <v>8.4</v>
      </c>
      <c r="L349" s="1">
        <f t="shared" si="35"/>
        <v>-5</v>
      </c>
    </row>
    <row r="350" s="1" customFormat="1" spans="1:12">
      <c r="A350" s="2">
        <v>11.632</v>
      </c>
      <c r="B350" s="10" t="s">
        <v>39</v>
      </c>
      <c r="C350" s="4">
        <v>11.599</v>
      </c>
      <c r="D350" s="5">
        <v>125.4</v>
      </c>
      <c r="E350" s="4"/>
      <c r="F350" s="4"/>
      <c r="G350" s="2">
        <f t="shared" si="30"/>
        <v>11.599</v>
      </c>
      <c r="H350" s="11" t="str">
        <f t="shared" si="31"/>
        <v>3.505E-2</v>
      </c>
      <c r="I350" s="2">
        <f t="shared" si="32"/>
        <v>126.5</v>
      </c>
      <c r="J350" s="4">
        <f t="shared" si="33"/>
        <v>11.599</v>
      </c>
      <c r="K350" s="9">
        <f t="shared" si="34"/>
        <v>7.19999999999998</v>
      </c>
      <c r="L350" s="1">
        <f t="shared" si="35"/>
        <v>-5</v>
      </c>
    </row>
    <row r="351" s="1" customFormat="1" spans="1:12">
      <c r="A351" s="2">
        <v>11.666</v>
      </c>
      <c r="B351" s="10" t="s">
        <v>29</v>
      </c>
      <c r="C351" s="4">
        <v>11.632</v>
      </c>
      <c r="D351" s="5">
        <v>124.6</v>
      </c>
      <c r="E351" s="4"/>
      <c r="F351" s="4"/>
      <c r="G351" s="2">
        <f t="shared" si="30"/>
        <v>11.632</v>
      </c>
      <c r="H351" s="11" t="str">
        <f t="shared" si="31"/>
        <v>3.489E-2</v>
      </c>
      <c r="I351" s="2">
        <f t="shared" si="32"/>
        <v>125.4</v>
      </c>
      <c r="J351" s="4">
        <f t="shared" si="33"/>
        <v>11.632</v>
      </c>
      <c r="K351" s="9">
        <f t="shared" si="34"/>
        <v>5.59999999999998</v>
      </c>
      <c r="L351" s="1">
        <f t="shared" si="35"/>
        <v>-5</v>
      </c>
    </row>
    <row r="352" s="1" customFormat="1" spans="1:12">
      <c r="A352" s="2">
        <v>11.699</v>
      </c>
      <c r="B352" s="10" t="s">
        <v>166</v>
      </c>
      <c r="C352" s="4">
        <v>11.666</v>
      </c>
      <c r="D352" s="5">
        <v>123.2</v>
      </c>
      <c r="E352" s="4"/>
      <c r="F352" s="4"/>
      <c r="G352" s="2">
        <f t="shared" si="30"/>
        <v>11.666</v>
      </c>
      <c r="H352" s="11" t="str">
        <f t="shared" si="31"/>
        <v>3.478E-2</v>
      </c>
      <c r="I352" s="2">
        <f t="shared" si="32"/>
        <v>124.6</v>
      </c>
      <c r="J352" s="4">
        <f t="shared" si="33"/>
        <v>11.666</v>
      </c>
      <c r="K352" s="9">
        <f t="shared" si="34"/>
        <v>4.49999999999999</v>
      </c>
      <c r="L352" s="1">
        <f t="shared" si="35"/>
        <v>-5</v>
      </c>
    </row>
    <row r="353" s="1" customFormat="1" spans="1:12">
      <c r="A353" s="2">
        <v>11.733</v>
      </c>
      <c r="B353" s="10" t="s">
        <v>110</v>
      </c>
      <c r="C353" s="4">
        <v>11.699</v>
      </c>
      <c r="D353" s="5">
        <v>122.5</v>
      </c>
      <c r="E353" s="4"/>
      <c r="F353" s="4"/>
      <c r="G353" s="2">
        <f t="shared" si="30"/>
        <v>11.699</v>
      </c>
      <c r="H353" s="11" t="str">
        <f t="shared" si="31"/>
        <v>3.465E-2</v>
      </c>
      <c r="I353" s="2">
        <f t="shared" si="32"/>
        <v>123.2</v>
      </c>
      <c r="J353" s="4">
        <f t="shared" si="33"/>
        <v>11.699</v>
      </c>
      <c r="K353" s="9">
        <f t="shared" si="34"/>
        <v>3.20000000000001</v>
      </c>
      <c r="L353" s="1">
        <f t="shared" si="35"/>
        <v>-5</v>
      </c>
    </row>
    <row r="354" s="1" customFormat="1" spans="1:12">
      <c r="A354" s="2">
        <v>11.766</v>
      </c>
      <c r="B354" s="10" t="s">
        <v>140</v>
      </c>
      <c r="C354" s="4">
        <v>11.733</v>
      </c>
      <c r="D354" s="5">
        <v>121.3</v>
      </c>
      <c r="E354" s="4"/>
      <c r="F354" s="4"/>
      <c r="G354" s="2">
        <f t="shared" si="30"/>
        <v>11.733</v>
      </c>
      <c r="H354" s="11" t="str">
        <f t="shared" si="31"/>
        <v>3.457E-2</v>
      </c>
      <c r="I354" s="2">
        <f t="shared" si="32"/>
        <v>122.5</v>
      </c>
      <c r="J354" s="4">
        <f t="shared" si="33"/>
        <v>11.733</v>
      </c>
      <c r="K354" s="9">
        <f t="shared" si="34"/>
        <v>2.39999999999997</v>
      </c>
      <c r="L354" s="1">
        <f t="shared" si="35"/>
        <v>-5</v>
      </c>
    </row>
    <row r="355" s="1" customFormat="1" spans="1:12">
      <c r="A355" s="2">
        <v>11.8</v>
      </c>
      <c r="B355" s="10" t="s">
        <v>167</v>
      </c>
      <c r="C355" s="4">
        <v>11.766</v>
      </c>
      <c r="D355" s="5">
        <v>119.8</v>
      </c>
      <c r="E355" s="4"/>
      <c r="F355" s="4"/>
      <c r="G355" s="2">
        <f t="shared" si="30"/>
        <v>11.766</v>
      </c>
      <c r="H355" s="11" t="str">
        <f t="shared" si="31"/>
        <v>3.454E-2</v>
      </c>
      <c r="I355" s="2">
        <f t="shared" si="32"/>
        <v>121.3</v>
      </c>
      <c r="J355" s="4">
        <f t="shared" si="33"/>
        <v>11.766</v>
      </c>
      <c r="K355" s="9">
        <f t="shared" si="34"/>
        <v>2.10000000000002</v>
      </c>
      <c r="L355" s="1">
        <f t="shared" si="35"/>
        <v>-5</v>
      </c>
    </row>
    <row r="356" s="1" customFormat="1" spans="1:12">
      <c r="A356" s="2">
        <v>11.833</v>
      </c>
      <c r="B356" s="10" t="s">
        <v>140</v>
      </c>
      <c r="C356" s="4">
        <v>11.8</v>
      </c>
      <c r="D356" s="5">
        <v>118.5</v>
      </c>
      <c r="E356" s="4"/>
      <c r="F356" s="4"/>
      <c r="G356" s="2">
        <f t="shared" si="30"/>
        <v>11.8</v>
      </c>
      <c r="H356" s="11" t="str">
        <f t="shared" si="31"/>
        <v>3.453E-2</v>
      </c>
      <c r="I356" s="2">
        <f t="shared" si="32"/>
        <v>119.8</v>
      </c>
      <c r="J356" s="4">
        <f t="shared" si="33"/>
        <v>11.8</v>
      </c>
      <c r="K356" s="9">
        <f t="shared" si="34"/>
        <v>1.99999999999999</v>
      </c>
      <c r="L356" s="1">
        <f t="shared" si="35"/>
        <v>-5</v>
      </c>
    </row>
    <row r="357" s="1" customFormat="1" spans="1:12">
      <c r="A357" s="2">
        <v>11.866</v>
      </c>
      <c r="B357" s="10" t="s">
        <v>41</v>
      </c>
      <c r="C357" s="4">
        <v>11.833</v>
      </c>
      <c r="D357" s="5">
        <v>249.9</v>
      </c>
      <c r="E357" s="4"/>
      <c r="F357" s="4"/>
      <c r="G357" s="2">
        <f t="shared" si="30"/>
        <v>11.833</v>
      </c>
      <c r="H357" s="11" t="str">
        <f t="shared" si="31"/>
        <v>3.454E-2</v>
      </c>
      <c r="I357" s="2">
        <f t="shared" si="32"/>
        <v>118.5</v>
      </c>
      <c r="J357" s="4">
        <f t="shared" si="33"/>
        <v>11.833</v>
      </c>
      <c r="K357" s="9">
        <f t="shared" si="34"/>
        <v>2.10000000000002</v>
      </c>
      <c r="L357" s="1">
        <f t="shared" si="35"/>
        <v>-5</v>
      </c>
    </row>
    <row r="358" s="1" customFormat="1" spans="1:12">
      <c r="A358" s="2">
        <v>11.9</v>
      </c>
      <c r="B358" s="10" t="s">
        <v>168</v>
      </c>
      <c r="C358" s="4">
        <v>11.866</v>
      </c>
      <c r="D358" s="5">
        <v>253.8</v>
      </c>
      <c r="E358" s="4"/>
      <c r="F358" s="4"/>
      <c r="G358" s="2">
        <f t="shared" si="30"/>
        <v>11.866</v>
      </c>
      <c r="H358" s="11" t="str">
        <f t="shared" si="31"/>
        <v>3.456E-2</v>
      </c>
      <c r="I358" s="2">
        <f t="shared" si="32"/>
        <v>249.9</v>
      </c>
      <c r="J358" s="4">
        <f t="shared" si="33"/>
        <v>11.866</v>
      </c>
      <c r="K358" s="9">
        <f t="shared" si="34"/>
        <v>2.30000000000001</v>
      </c>
      <c r="L358" s="1">
        <f t="shared" si="35"/>
        <v>23</v>
      </c>
    </row>
    <row r="359" s="1" customFormat="1" spans="1:12">
      <c r="A359" s="2">
        <v>11.933</v>
      </c>
      <c r="B359" s="10" t="s">
        <v>169</v>
      </c>
      <c r="C359" s="4">
        <v>11.9</v>
      </c>
      <c r="D359" s="5">
        <v>253.8</v>
      </c>
      <c r="E359" s="4"/>
      <c r="F359" s="4"/>
      <c r="G359" s="2">
        <f t="shared" si="30"/>
        <v>11.9</v>
      </c>
      <c r="H359" s="11" t="str">
        <f t="shared" si="31"/>
        <v>3.459E-2</v>
      </c>
      <c r="I359" s="2">
        <f t="shared" si="32"/>
        <v>253.8</v>
      </c>
      <c r="J359" s="4">
        <f t="shared" si="33"/>
        <v>11.9</v>
      </c>
      <c r="K359" s="9">
        <f t="shared" si="34"/>
        <v>2.60000000000003</v>
      </c>
      <c r="L359" s="1">
        <f t="shared" si="35"/>
        <v>23</v>
      </c>
    </row>
    <row r="360" s="1" customFormat="1" spans="1:12">
      <c r="A360" s="2">
        <v>11.967</v>
      </c>
      <c r="B360" s="10" t="s">
        <v>166</v>
      </c>
      <c r="C360" s="4">
        <v>11.933</v>
      </c>
      <c r="D360" s="5">
        <v>253.9</v>
      </c>
      <c r="E360" s="4"/>
      <c r="F360" s="4"/>
      <c r="G360" s="2">
        <f t="shared" si="30"/>
        <v>11.933</v>
      </c>
      <c r="H360" s="11" t="str">
        <f t="shared" si="31"/>
        <v>3.461E-2</v>
      </c>
      <c r="I360" s="2">
        <f t="shared" si="32"/>
        <v>253.8</v>
      </c>
      <c r="J360" s="4">
        <f t="shared" si="33"/>
        <v>11.933</v>
      </c>
      <c r="K360" s="9">
        <f t="shared" si="34"/>
        <v>2.80000000000002</v>
      </c>
      <c r="L360" s="1">
        <f t="shared" si="35"/>
        <v>23</v>
      </c>
    </row>
    <row r="361" s="1" customFormat="1" spans="1:12">
      <c r="A361" s="2">
        <v>12</v>
      </c>
      <c r="B361" s="10" t="s">
        <v>170</v>
      </c>
      <c r="C361" s="4">
        <v>11.967</v>
      </c>
      <c r="D361" s="5">
        <v>253.9</v>
      </c>
      <c r="E361" s="4"/>
      <c r="F361" s="4"/>
      <c r="G361" s="2">
        <f t="shared" si="30"/>
        <v>11.967</v>
      </c>
      <c r="H361" s="11" t="str">
        <f t="shared" si="31"/>
        <v>3.465E-2</v>
      </c>
      <c r="I361" s="2">
        <f t="shared" si="32"/>
        <v>253.9</v>
      </c>
      <c r="J361" s="4">
        <f t="shared" si="33"/>
        <v>11.967</v>
      </c>
      <c r="K361" s="9">
        <f t="shared" si="34"/>
        <v>3.20000000000001</v>
      </c>
      <c r="L361" s="1">
        <f t="shared" si="35"/>
        <v>23</v>
      </c>
    </row>
    <row r="362" s="1" customFormat="1" spans="1:12">
      <c r="A362" s="2">
        <v>12.034</v>
      </c>
      <c r="B362" s="10" t="s">
        <v>171</v>
      </c>
      <c r="C362" s="4">
        <v>12</v>
      </c>
      <c r="D362" s="5">
        <v>253.9</v>
      </c>
      <c r="E362" s="4"/>
      <c r="F362" s="4"/>
      <c r="G362" s="2">
        <f t="shared" si="30"/>
        <v>12</v>
      </c>
      <c r="H362" s="11" t="str">
        <f t="shared" si="31"/>
        <v>3.469E-2</v>
      </c>
      <c r="I362" s="2">
        <f t="shared" si="32"/>
        <v>253.9</v>
      </c>
      <c r="J362" s="4">
        <f t="shared" si="33"/>
        <v>12</v>
      </c>
      <c r="K362" s="9">
        <f t="shared" si="34"/>
        <v>3.59999999999999</v>
      </c>
      <c r="L362" s="1">
        <f t="shared" si="35"/>
        <v>23</v>
      </c>
    </row>
    <row r="363" s="1" customFormat="1" spans="1:12">
      <c r="A363" s="2">
        <v>12.067</v>
      </c>
      <c r="B363" s="10" t="s">
        <v>172</v>
      </c>
      <c r="C363" s="4">
        <v>12.034</v>
      </c>
      <c r="D363" s="5">
        <v>253.8</v>
      </c>
      <c r="E363" s="4"/>
      <c r="F363" s="4"/>
      <c r="G363" s="2">
        <f t="shared" si="30"/>
        <v>12.034</v>
      </c>
      <c r="H363" s="11" t="str">
        <f t="shared" si="31"/>
        <v>3.474E-2</v>
      </c>
      <c r="I363" s="2">
        <f t="shared" si="32"/>
        <v>253.9</v>
      </c>
      <c r="J363" s="4">
        <f t="shared" si="33"/>
        <v>12.034</v>
      </c>
      <c r="K363" s="9">
        <f t="shared" si="34"/>
        <v>4.10000000000001</v>
      </c>
      <c r="L363" s="1">
        <f t="shared" si="35"/>
        <v>23</v>
      </c>
    </row>
    <row r="364" s="1" customFormat="1" spans="1:12">
      <c r="A364" s="2">
        <v>12.1</v>
      </c>
      <c r="B364" s="10" t="s">
        <v>60</v>
      </c>
      <c r="C364" s="4">
        <v>12.067</v>
      </c>
      <c r="D364" s="5">
        <v>253.8</v>
      </c>
      <c r="E364" s="4"/>
      <c r="F364" s="4"/>
      <c r="G364" s="2">
        <f t="shared" si="30"/>
        <v>12.067</v>
      </c>
      <c r="H364" s="11" t="str">
        <f t="shared" si="31"/>
        <v>3.477E-2</v>
      </c>
      <c r="I364" s="2">
        <f t="shared" si="32"/>
        <v>253.8</v>
      </c>
      <c r="J364" s="4">
        <f t="shared" si="33"/>
        <v>12.067</v>
      </c>
      <c r="K364" s="9">
        <f t="shared" si="34"/>
        <v>4.40000000000003</v>
      </c>
      <c r="L364" s="1">
        <f t="shared" si="35"/>
        <v>23</v>
      </c>
    </row>
    <row r="365" s="1" customFormat="1" spans="1:12">
      <c r="A365" s="2">
        <v>12.134</v>
      </c>
      <c r="B365" s="10" t="s">
        <v>108</v>
      </c>
      <c r="C365" s="4">
        <v>12.1</v>
      </c>
      <c r="D365" s="5">
        <v>253.8</v>
      </c>
      <c r="E365" s="4"/>
      <c r="F365" s="4"/>
      <c r="G365" s="2">
        <f t="shared" si="30"/>
        <v>12.1</v>
      </c>
      <c r="H365" s="11" t="str">
        <f t="shared" si="31"/>
        <v>3.483E-2</v>
      </c>
      <c r="I365" s="2">
        <f t="shared" si="32"/>
        <v>253.8</v>
      </c>
      <c r="J365" s="4">
        <f t="shared" si="33"/>
        <v>12.1</v>
      </c>
      <c r="K365" s="9">
        <f t="shared" si="34"/>
        <v>5</v>
      </c>
      <c r="L365" s="1">
        <f t="shared" si="35"/>
        <v>23</v>
      </c>
    </row>
    <row r="366" s="1" customFormat="1" spans="1:12">
      <c r="A366" s="2">
        <v>12.167</v>
      </c>
      <c r="B366" s="10" t="s">
        <v>173</v>
      </c>
      <c r="C366" s="4">
        <v>12.134</v>
      </c>
      <c r="D366" s="5">
        <v>253.7</v>
      </c>
      <c r="E366" s="4"/>
      <c r="F366" s="4"/>
      <c r="G366" s="2">
        <f t="shared" si="30"/>
        <v>12.134</v>
      </c>
      <c r="H366" s="11" t="str">
        <f t="shared" si="31"/>
        <v>3.497E-2</v>
      </c>
      <c r="I366" s="2">
        <f t="shared" si="32"/>
        <v>253.8</v>
      </c>
      <c r="J366" s="4">
        <f t="shared" si="33"/>
        <v>12.134</v>
      </c>
      <c r="K366" s="9">
        <f t="shared" si="34"/>
        <v>6.40000000000002</v>
      </c>
      <c r="L366" s="1">
        <f t="shared" si="35"/>
        <v>23</v>
      </c>
    </row>
    <row r="367" s="1" customFormat="1" spans="1:12">
      <c r="A367" s="2">
        <v>12.201</v>
      </c>
      <c r="B367" s="10" t="s">
        <v>146</v>
      </c>
      <c r="C367" s="4">
        <v>12.167</v>
      </c>
      <c r="D367" s="5">
        <v>253.8</v>
      </c>
      <c r="E367" s="4"/>
      <c r="F367" s="4"/>
      <c r="G367" s="2">
        <f t="shared" si="30"/>
        <v>12.167</v>
      </c>
      <c r="H367" s="11" t="str">
        <f t="shared" si="31"/>
        <v>3.506E-2</v>
      </c>
      <c r="I367" s="2">
        <f t="shared" si="32"/>
        <v>253.7</v>
      </c>
      <c r="J367" s="4">
        <f t="shared" si="33"/>
        <v>12.167</v>
      </c>
      <c r="K367" s="9">
        <f t="shared" si="34"/>
        <v>7.30000000000001</v>
      </c>
      <c r="L367" s="1">
        <f t="shared" si="35"/>
        <v>23</v>
      </c>
    </row>
    <row r="368" s="1" customFormat="1" spans="1:12">
      <c r="A368" s="2">
        <v>12.234</v>
      </c>
      <c r="B368" s="10" t="s">
        <v>174</v>
      </c>
      <c r="C368" s="4">
        <v>12.201</v>
      </c>
      <c r="D368" s="5">
        <v>253.8</v>
      </c>
      <c r="E368" s="4"/>
      <c r="F368" s="4"/>
      <c r="G368" s="2">
        <f t="shared" si="30"/>
        <v>12.201</v>
      </c>
      <c r="H368" s="11" t="str">
        <f t="shared" si="31"/>
        <v>3.514E-2</v>
      </c>
      <c r="I368" s="2">
        <f t="shared" si="32"/>
        <v>253.8</v>
      </c>
      <c r="J368" s="4">
        <f t="shared" si="33"/>
        <v>12.201</v>
      </c>
      <c r="K368" s="9">
        <f t="shared" si="34"/>
        <v>8.09999999999998</v>
      </c>
      <c r="L368" s="1">
        <f t="shared" si="35"/>
        <v>23</v>
      </c>
    </row>
    <row r="369" s="1" customFormat="1" spans="1:12">
      <c r="A369" s="2">
        <v>12.268</v>
      </c>
      <c r="B369" s="10" t="s">
        <v>106</v>
      </c>
      <c r="C369" s="4">
        <v>12.234</v>
      </c>
      <c r="D369" s="5">
        <v>253.8</v>
      </c>
      <c r="E369" s="4"/>
      <c r="F369" s="4"/>
      <c r="G369" s="2">
        <f t="shared" si="30"/>
        <v>12.234</v>
      </c>
      <c r="H369" s="11" t="str">
        <f t="shared" si="31"/>
        <v>3.528E-2</v>
      </c>
      <c r="I369" s="2">
        <f t="shared" si="32"/>
        <v>253.8</v>
      </c>
      <c r="J369" s="4">
        <f t="shared" si="33"/>
        <v>12.234</v>
      </c>
      <c r="K369" s="9">
        <f t="shared" si="34"/>
        <v>9.49999999999999</v>
      </c>
      <c r="L369" s="1">
        <f t="shared" si="35"/>
        <v>23</v>
      </c>
    </row>
    <row r="370" s="1" customFormat="1" spans="1:12">
      <c r="A370" s="2">
        <v>12.301</v>
      </c>
      <c r="B370" s="10" t="s">
        <v>175</v>
      </c>
      <c r="C370" s="4">
        <v>12.268</v>
      </c>
      <c r="D370" s="5">
        <v>253.8</v>
      </c>
      <c r="E370" s="4"/>
      <c r="F370" s="4"/>
      <c r="G370" s="2">
        <f t="shared" si="30"/>
        <v>12.268</v>
      </c>
      <c r="H370" s="11" t="str">
        <f t="shared" si="31"/>
        <v>3.537E-2</v>
      </c>
      <c r="I370" s="2">
        <f t="shared" si="32"/>
        <v>253.8</v>
      </c>
      <c r="J370" s="4">
        <f t="shared" si="33"/>
        <v>12.268</v>
      </c>
      <c r="K370" s="9">
        <f t="shared" si="34"/>
        <v>10.4</v>
      </c>
      <c r="L370" s="1">
        <f t="shared" si="35"/>
        <v>23</v>
      </c>
    </row>
    <row r="371" s="1" customFormat="1" spans="1:12">
      <c r="A371" s="2">
        <v>12.334</v>
      </c>
      <c r="B371" s="10" t="s">
        <v>105</v>
      </c>
      <c r="C371" s="4">
        <v>12.301</v>
      </c>
      <c r="D371" s="5">
        <v>253.8</v>
      </c>
      <c r="E371" s="4"/>
      <c r="F371" s="4"/>
      <c r="G371" s="2">
        <f t="shared" si="30"/>
        <v>12.301</v>
      </c>
      <c r="H371" s="11" t="str">
        <f t="shared" si="31"/>
        <v>3.545E-2</v>
      </c>
      <c r="I371" s="2">
        <f t="shared" si="32"/>
        <v>253.8</v>
      </c>
      <c r="J371" s="4">
        <f t="shared" si="33"/>
        <v>12.301</v>
      </c>
      <c r="K371" s="9">
        <f t="shared" si="34"/>
        <v>11.2</v>
      </c>
      <c r="L371" s="1">
        <f t="shared" si="35"/>
        <v>23</v>
      </c>
    </row>
    <row r="372" s="1" customFormat="1" spans="1:12">
      <c r="A372" s="2">
        <v>12.368</v>
      </c>
      <c r="B372" s="10" t="s">
        <v>163</v>
      </c>
      <c r="C372" s="4">
        <v>12.334</v>
      </c>
      <c r="D372" s="5">
        <v>253.8</v>
      </c>
      <c r="E372" s="4"/>
      <c r="F372" s="4"/>
      <c r="G372" s="2">
        <f t="shared" si="30"/>
        <v>12.334</v>
      </c>
      <c r="H372" s="11" t="str">
        <f t="shared" si="31"/>
        <v>3.559E-2</v>
      </c>
      <c r="I372" s="2">
        <f t="shared" si="32"/>
        <v>253.8</v>
      </c>
      <c r="J372" s="4">
        <f t="shared" si="33"/>
        <v>12.334</v>
      </c>
      <c r="K372" s="9">
        <f t="shared" si="34"/>
        <v>12.6</v>
      </c>
      <c r="L372" s="1">
        <f t="shared" si="35"/>
        <v>23</v>
      </c>
    </row>
    <row r="373" s="1" customFormat="1" spans="1:12">
      <c r="A373" s="2">
        <v>12.401</v>
      </c>
      <c r="B373" s="10" t="s">
        <v>176</v>
      </c>
      <c r="C373" s="4">
        <v>12.368</v>
      </c>
      <c r="D373" s="5">
        <v>253.8</v>
      </c>
      <c r="E373" s="4"/>
      <c r="F373" s="4"/>
      <c r="G373" s="2">
        <f t="shared" si="30"/>
        <v>12.368</v>
      </c>
      <c r="H373" s="11" t="str">
        <f t="shared" si="31"/>
        <v>3.565E-2</v>
      </c>
      <c r="I373" s="2">
        <f t="shared" si="32"/>
        <v>253.8</v>
      </c>
      <c r="J373" s="4">
        <f t="shared" si="33"/>
        <v>12.368</v>
      </c>
      <c r="K373" s="9">
        <f t="shared" si="34"/>
        <v>13.2</v>
      </c>
      <c r="L373" s="1">
        <f t="shared" si="35"/>
        <v>23</v>
      </c>
    </row>
    <row r="374" s="1" customFormat="1" spans="1:12">
      <c r="A374" s="2">
        <v>12.435</v>
      </c>
      <c r="B374" s="10" t="s">
        <v>177</v>
      </c>
      <c r="C374" s="4">
        <v>12.401</v>
      </c>
      <c r="D374" s="5">
        <v>253.8</v>
      </c>
      <c r="E374" s="4"/>
      <c r="F374" s="4"/>
      <c r="G374" s="2">
        <f t="shared" si="30"/>
        <v>12.401</v>
      </c>
      <c r="H374" s="11" t="str">
        <f t="shared" si="31"/>
        <v>3.572E-2</v>
      </c>
      <c r="I374" s="2">
        <f t="shared" si="32"/>
        <v>253.8</v>
      </c>
      <c r="J374" s="4">
        <f t="shared" si="33"/>
        <v>12.401</v>
      </c>
      <c r="K374" s="9">
        <f t="shared" si="34"/>
        <v>13.9</v>
      </c>
      <c r="L374" s="1">
        <f t="shared" si="35"/>
        <v>23</v>
      </c>
    </row>
    <row r="375" s="1" customFormat="1" spans="1:12">
      <c r="A375" s="2">
        <v>12.468</v>
      </c>
      <c r="B375" s="10" t="s">
        <v>178</v>
      </c>
      <c r="C375" s="4">
        <v>12.435</v>
      </c>
      <c r="D375" s="5">
        <v>253.9</v>
      </c>
      <c r="E375" s="4"/>
      <c r="F375" s="4"/>
      <c r="G375" s="2">
        <f t="shared" si="30"/>
        <v>12.435</v>
      </c>
      <c r="H375" s="11" t="str">
        <f t="shared" si="31"/>
        <v>3.582E-2</v>
      </c>
      <c r="I375" s="2">
        <f t="shared" si="32"/>
        <v>253.8</v>
      </c>
      <c r="J375" s="4">
        <f t="shared" si="33"/>
        <v>12.435</v>
      </c>
      <c r="K375" s="9">
        <f t="shared" si="34"/>
        <v>14.9</v>
      </c>
      <c r="L375" s="1">
        <f t="shared" si="35"/>
        <v>23</v>
      </c>
    </row>
    <row r="376" s="1" customFormat="1" spans="1:12">
      <c r="A376" s="2">
        <v>12.502</v>
      </c>
      <c r="B376" s="10" t="s">
        <v>70</v>
      </c>
      <c r="C376" s="4">
        <v>12.468</v>
      </c>
      <c r="D376" s="5">
        <v>253.9</v>
      </c>
      <c r="E376" s="4"/>
      <c r="F376" s="4"/>
      <c r="G376" s="2">
        <f t="shared" si="30"/>
        <v>12.468</v>
      </c>
      <c r="H376" s="11" t="str">
        <f t="shared" si="31"/>
        <v>3.588E-2</v>
      </c>
      <c r="I376" s="2">
        <f t="shared" si="32"/>
        <v>253.9</v>
      </c>
      <c r="J376" s="4">
        <f t="shared" si="33"/>
        <v>12.468</v>
      </c>
      <c r="K376" s="9">
        <f t="shared" si="34"/>
        <v>15.5</v>
      </c>
      <c r="L376" s="1">
        <f t="shared" si="35"/>
        <v>23</v>
      </c>
    </row>
    <row r="377" s="1" customFormat="1" spans="1:12">
      <c r="A377" s="2">
        <v>12.535</v>
      </c>
      <c r="B377" s="10" t="s">
        <v>94</v>
      </c>
      <c r="C377" s="4">
        <v>12.502</v>
      </c>
      <c r="D377" s="5">
        <v>253.8</v>
      </c>
      <c r="E377" s="4"/>
      <c r="F377" s="4"/>
      <c r="G377" s="2">
        <f t="shared" si="30"/>
        <v>12.502</v>
      </c>
      <c r="H377" s="11" t="str">
        <f t="shared" si="31"/>
        <v>3.589E-2</v>
      </c>
      <c r="I377" s="2">
        <f t="shared" si="32"/>
        <v>253.9</v>
      </c>
      <c r="J377" s="4">
        <f t="shared" si="33"/>
        <v>12.502</v>
      </c>
      <c r="K377" s="9">
        <f t="shared" si="34"/>
        <v>15.6</v>
      </c>
      <c r="L377" s="1">
        <f t="shared" si="35"/>
        <v>23</v>
      </c>
    </row>
    <row r="378" s="1" customFormat="1" spans="1:12">
      <c r="A378" s="2">
        <v>12.568</v>
      </c>
      <c r="B378" s="10" t="s">
        <v>70</v>
      </c>
      <c r="C378" s="4">
        <v>12.535</v>
      </c>
      <c r="D378" s="5">
        <v>253.8</v>
      </c>
      <c r="E378" s="4"/>
      <c r="F378" s="4"/>
      <c r="G378" s="2">
        <f t="shared" si="30"/>
        <v>12.535</v>
      </c>
      <c r="H378" s="11" t="str">
        <f t="shared" si="31"/>
        <v>3.590E-2</v>
      </c>
      <c r="I378" s="2">
        <f t="shared" si="32"/>
        <v>253.8</v>
      </c>
      <c r="J378" s="4">
        <f t="shared" si="33"/>
        <v>12.535</v>
      </c>
      <c r="K378" s="9">
        <f t="shared" si="34"/>
        <v>15.7</v>
      </c>
      <c r="L378" s="1">
        <f t="shared" si="35"/>
        <v>23</v>
      </c>
    </row>
    <row r="379" s="1" customFormat="1" spans="1:12">
      <c r="A379" s="2">
        <v>12.602</v>
      </c>
      <c r="B379" s="10" t="s">
        <v>70</v>
      </c>
      <c r="C379" s="4">
        <v>12.568</v>
      </c>
      <c r="D379" s="5">
        <v>253.8</v>
      </c>
      <c r="E379" s="4"/>
      <c r="F379" s="4"/>
      <c r="G379" s="2">
        <f t="shared" si="30"/>
        <v>12.568</v>
      </c>
      <c r="H379" s="11" t="str">
        <f t="shared" si="31"/>
        <v>3.589E-2</v>
      </c>
      <c r="I379" s="2">
        <f t="shared" si="32"/>
        <v>253.8</v>
      </c>
      <c r="J379" s="4">
        <f t="shared" si="33"/>
        <v>12.568</v>
      </c>
      <c r="K379" s="9">
        <f t="shared" si="34"/>
        <v>15.6</v>
      </c>
      <c r="L379" s="1">
        <f t="shared" si="35"/>
        <v>23</v>
      </c>
    </row>
    <row r="380" s="1" customFormat="1" spans="1:12">
      <c r="A380" s="2">
        <v>12.635</v>
      </c>
      <c r="B380" s="10" t="s">
        <v>179</v>
      </c>
      <c r="C380" s="4">
        <v>12.602</v>
      </c>
      <c r="D380" s="5">
        <v>253.8</v>
      </c>
      <c r="E380" s="4"/>
      <c r="F380" s="4"/>
      <c r="G380" s="2">
        <f t="shared" si="30"/>
        <v>12.602</v>
      </c>
      <c r="H380" s="11" t="str">
        <f t="shared" si="31"/>
        <v>3.589E-2</v>
      </c>
      <c r="I380" s="2">
        <f t="shared" si="32"/>
        <v>253.8</v>
      </c>
      <c r="J380" s="4">
        <f t="shared" si="33"/>
        <v>12.602</v>
      </c>
      <c r="K380" s="9">
        <f t="shared" si="34"/>
        <v>15.6</v>
      </c>
      <c r="L380" s="1">
        <f t="shared" si="35"/>
        <v>23</v>
      </c>
    </row>
    <row r="381" s="1" customFormat="1" spans="1:12">
      <c r="A381" s="2">
        <v>12.669</v>
      </c>
      <c r="B381" s="10" t="s">
        <v>180</v>
      </c>
      <c r="C381" s="4">
        <v>12.635</v>
      </c>
      <c r="D381" s="5">
        <v>129.5</v>
      </c>
      <c r="E381" s="4"/>
      <c r="F381" s="4"/>
      <c r="G381" s="2">
        <f t="shared" si="30"/>
        <v>12.635</v>
      </c>
      <c r="H381" s="11" t="str">
        <f t="shared" si="31"/>
        <v>3.586E-2</v>
      </c>
      <c r="I381" s="2">
        <f t="shared" si="32"/>
        <v>253.8</v>
      </c>
      <c r="J381" s="4">
        <f t="shared" si="33"/>
        <v>12.635</v>
      </c>
      <c r="K381" s="9">
        <f t="shared" si="34"/>
        <v>15.3</v>
      </c>
      <c r="L381" s="1">
        <f t="shared" si="35"/>
        <v>23</v>
      </c>
    </row>
    <row r="382" s="1" customFormat="1" spans="1:12">
      <c r="A382" s="2">
        <v>12.702</v>
      </c>
      <c r="B382" s="10" t="s">
        <v>181</v>
      </c>
      <c r="C382" s="4">
        <v>12.669</v>
      </c>
      <c r="D382" s="5">
        <v>154.1</v>
      </c>
      <c r="E382" s="4"/>
      <c r="F382" s="4"/>
      <c r="G382" s="2">
        <f t="shared" si="30"/>
        <v>12.669</v>
      </c>
      <c r="H382" s="11" t="str">
        <f t="shared" si="31"/>
        <v>3.584E-2</v>
      </c>
      <c r="I382" s="2">
        <f t="shared" si="32"/>
        <v>129.5</v>
      </c>
      <c r="J382" s="4">
        <f t="shared" si="33"/>
        <v>12.669</v>
      </c>
      <c r="K382" s="9">
        <f t="shared" si="34"/>
        <v>15.1</v>
      </c>
      <c r="L382" s="1">
        <f t="shared" si="35"/>
        <v>-5</v>
      </c>
    </row>
    <row r="383" s="1" customFormat="1" spans="1:12">
      <c r="A383" s="2">
        <v>12.736</v>
      </c>
      <c r="B383" s="10" t="s">
        <v>182</v>
      </c>
      <c r="C383" s="4">
        <v>12.702</v>
      </c>
      <c r="D383" s="5">
        <v>152.4</v>
      </c>
      <c r="E383" s="4"/>
      <c r="F383" s="4"/>
      <c r="G383" s="2">
        <f t="shared" si="30"/>
        <v>12.702</v>
      </c>
      <c r="H383" s="11" t="str">
        <f t="shared" si="31"/>
        <v>3.581E-2</v>
      </c>
      <c r="I383" s="2">
        <f t="shared" si="32"/>
        <v>154.1</v>
      </c>
      <c r="J383" s="4">
        <f t="shared" si="33"/>
        <v>12.702</v>
      </c>
      <c r="K383" s="9">
        <f t="shared" si="34"/>
        <v>14.8</v>
      </c>
      <c r="L383" s="1">
        <f t="shared" si="35"/>
        <v>-5</v>
      </c>
    </row>
    <row r="384" s="1" customFormat="1" spans="1:12">
      <c r="A384" s="2">
        <v>12.769</v>
      </c>
      <c r="B384" s="10" t="s">
        <v>183</v>
      </c>
      <c r="C384" s="4">
        <v>12.736</v>
      </c>
      <c r="D384" s="5">
        <v>151.7</v>
      </c>
      <c r="E384" s="4"/>
      <c r="F384" s="4"/>
      <c r="G384" s="2">
        <f t="shared" si="30"/>
        <v>12.736</v>
      </c>
      <c r="H384" s="11" t="str">
        <f t="shared" si="31"/>
        <v>3.578E-2</v>
      </c>
      <c r="I384" s="2">
        <f t="shared" si="32"/>
        <v>152.4</v>
      </c>
      <c r="J384" s="4">
        <f t="shared" si="33"/>
        <v>12.736</v>
      </c>
      <c r="K384" s="9">
        <f t="shared" si="34"/>
        <v>14.5</v>
      </c>
      <c r="L384" s="1">
        <f t="shared" si="35"/>
        <v>-5</v>
      </c>
    </row>
    <row r="385" s="1" customFormat="1" spans="1:12">
      <c r="A385" s="2">
        <v>12.802</v>
      </c>
      <c r="B385" s="10" t="s">
        <v>73</v>
      </c>
      <c r="C385" s="4">
        <v>12.769</v>
      </c>
      <c r="D385" s="5">
        <v>150.7</v>
      </c>
      <c r="E385" s="4"/>
      <c r="F385" s="4"/>
      <c r="G385" s="2">
        <f t="shared" si="30"/>
        <v>12.769</v>
      </c>
      <c r="H385" s="11" t="str">
        <f t="shared" si="31"/>
        <v>3.576E-2</v>
      </c>
      <c r="I385" s="2">
        <f t="shared" si="32"/>
        <v>151.7</v>
      </c>
      <c r="J385" s="4">
        <f t="shared" si="33"/>
        <v>12.769</v>
      </c>
      <c r="K385" s="9">
        <f t="shared" si="34"/>
        <v>14.3</v>
      </c>
      <c r="L385" s="1">
        <f t="shared" si="35"/>
        <v>-5</v>
      </c>
    </row>
    <row r="386" s="1" customFormat="1" spans="1:12">
      <c r="A386" s="2">
        <v>12.836</v>
      </c>
      <c r="B386" s="10" t="s">
        <v>65</v>
      </c>
      <c r="C386" s="4">
        <v>12.802</v>
      </c>
      <c r="D386" s="5">
        <v>149.9</v>
      </c>
      <c r="E386" s="4"/>
      <c r="F386" s="4"/>
      <c r="G386" s="2">
        <f t="shared" si="30"/>
        <v>12.802</v>
      </c>
      <c r="H386" s="11" t="str">
        <f t="shared" si="31"/>
        <v>3.571E-2</v>
      </c>
      <c r="I386" s="2">
        <f t="shared" si="32"/>
        <v>150.7</v>
      </c>
      <c r="J386" s="4">
        <f t="shared" si="33"/>
        <v>12.802</v>
      </c>
      <c r="K386" s="9">
        <f t="shared" si="34"/>
        <v>13.8</v>
      </c>
      <c r="L386" s="1">
        <f t="shared" si="35"/>
        <v>-5</v>
      </c>
    </row>
    <row r="387" s="1" customFormat="1" spans="1:12">
      <c r="A387" s="2">
        <v>12.869</v>
      </c>
      <c r="B387" s="10" t="s">
        <v>184</v>
      </c>
      <c r="C387" s="4">
        <v>12.836</v>
      </c>
      <c r="D387" s="5">
        <v>148.4</v>
      </c>
      <c r="E387" s="4"/>
      <c r="F387" s="4"/>
      <c r="G387" s="2">
        <f t="shared" si="30"/>
        <v>12.836</v>
      </c>
      <c r="H387" s="11" t="str">
        <f t="shared" si="31"/>
        <v>3.567E-2</v>
      </c>
      <c r="I387" s="2">
        <f t="shared" si="32"/>
        <v>149.9</v>
      </c>
      <c r="J387" s="4">
        <f t="shared" si="33"/>
        <v>12.836</v>
      </c>
      <c r="K387" s="9">
        <f t="shared" si="34"/>
        <v>13.4</v>
      </c>
      <c r="L387" s="1">
        <f t="shared" si="35"/>
        <v>-5</v>
      </c>
    </row>
    <row r="388" s="1" customFormat="1" spans="1:12">
      <c r="A388" s="2">
        <v>12.903</v>
      </c>
      <c r="B388" s="10" t="s">
        <v>148</v>
      </c>
      <c r="C388" s="4">
        <v>12.869</v>
      </c>
      <c r="D388" s="5">
        <v>147.3</v>
      </c>
      <c r="E388" s="4"/>
      <c r="F388" s="4"/>
      <c r="G388" s="2">
        <f t="shared" ref="G388:G451" si="36">A387</f>
        <v>12.869</v>
      </c>
      <c r="H388" s="11" t="str">
        <f t="shared" ref="H388:H451" si="37">B387</f>
        <v>3.553E-2</v>
      </c>
      <c r="I388" s="2">
        <f t="shared" ref="I388:I451" si="38">D387</f>
        <v>148.4</v>
      </c>
      <c r="J388" s="4">
        <f t="shared" ref="J388:J451" si="39">G388</f>
        <v>12.869</v>
      </c>
      <c r="K388" s="9">
        <f t="shared" ref="K388:K451" si="40">(H388-$H$4)*10000</f>
        <v>12</v>
      </c>
      <c r="L388" s="1">
        <f t="shared" si="35"/>
        <v>-5</v>
      </c>
    </row>
    <row r="389" s="1" customFormat="1" spans="1:12">
      <c r="A389" s="2">
        <v>12.936</v>
      </c>
      <c r="B389" s="10" t="s">
        <v>185</v>
      </c>
      <c r="C389" s="4">
        <v>12.903</v>
      </c>
      <c r="D389" s="5">
        <v>146.9</v>
      </c>
      <c r="E389" s="4"/>
      <c r="F389" s="4"/>
      <c r="G389" s="2">
        <f t="shared" si="36"/>
        <v>12.903</v>
      </c>
      <c r="H389" s="11" t="str">
        <f t="shared" si="37"/>
        <v>3.547E-2</v>
      </c>
      <c r="I389" s="2">
        <f t="shared" si="38"/>
        <v>147.3</v>
      </c>
      <c r="J389" s="4">
        <f t="shared" si="39"/>
        <v>12.903</v>
      </c>
      <c r="K389" s="9">
        <f t="shared" si="40"/>
        <v>11.4</v>
      </c>
      <c r="L389" s="1">
        <f t="shared" ref="L389:L452" si="41">IF(I389&lt;230,-5,23)</f>
        <v>-5</v>
      </c>
    </row>
    <row r="390" s="1" customFormat="1" spans="1:12">
      <c r="A390" s="2">
        <v>12.97</v>
      </c>
      <c r="B390" s="10" t="s">
        <v>186</v>
      </c>
      <c r="C390" s="4">
        <v>12.936</v>
      </c>
      <c r="D390" s="5">
        <v>145.1</v>
      </c>
      <c r="E390" s="4"/>
      <c r="F390" s="4"/>
      <c r="G390" s="2">
        <f t="shared" si="36"/>
        <v>12.936</v>
      </c>
      <c r="H390" s="11" t="str">
        <f t="shared" si="37"/>
        <v>3.543E-2</v>
      </c>
      <c r="I390" s="2">
        <f t="shared" si="38"/>
        <v>146.9</v>
      </c>
      <c r="J390" s="4">
        <f t="shared" si="39"/>
        <v>12.936</v>
      </c>
      <c r="K390" s="9">
        <f t="shared" si="40"/>
        <v>11</v>
      </c>
      <c r="L390" s="1">
        <f t="shared" si="41"/>
        <v>-5</v>
      </c>
    </row>
    <row r="391" s="1" customFormat="1" spans="1:12">
      <c r="A391" s="2">
        <v>13.003</v>
      </c>
      <c r="B391" s="10" t="s">
        <v>137</v>
      </c>
      <c r="C391" s="4">
        <v>12.97</v>
      </c>
      <c r="D391" s="5">
        <v>143.9</v>
      </c>
      <c r="E391" s="4"/>
      <c r="F391" s="4"/>
      <c r="G391" s="2">
        <f t="shared" si="36"/>
        <v>12.97</v>
      </c>
      <c r="H391" s="11" t="str">
        <f t="shared" si="37"/>
        <v>3.536E-2</v>
      </c>
      <c r="I391" s="2">
        <f t="shared" si="38"/>
        <v>145.1</v>
      </c>
      <c r="J391" s="4">
        <f t="shared" si="39"/>
        <v>12.97</v>
      </c>
      <c r="K391" s="9">
        <f t="shared" si="40"/>
        <v>10.3</v>
      </c>
      <c r="L391" s="1">
        <f t="shared" si="41"/>
        <v>-5</v>
      </c>
    </row>
    <row r="392" s="1" customFormat="1" spans="1:12">
      <c r="A392" s="2">
        <v>13.036</v>
      </c>
      <c r="B392" s="10" t="s">
        <v>187</v>
      </c>
      <c r="C392" s="4">
        <v>13.003</v>
      </c>
      <c r="D392" s="5">
        <v>143.6</v>
      </c>
      <c r="E392" s="4"/>
      <c r="F392" s="4"/>
      <c r="G392" s="2">
        <f t="shared" si="36"/>
        <v>13.003</v>
      </c>
      <c r="H392" s="11" t="str">
        <f t="shared" si="37"/>
        <v>3.524E-2</v>
      </c>
      <c r="I392" s="2">
        <f t="shared" si="38"/>
        <v>143.9</v>
      </c>
      <c r="J392" s="4">
        <f t="shared" si="39"/>
        <v>13.003</v>
      </c>
      <c r="K392" s="9">
        <f t="shared" si="40"/>
        <v>9.10000000000001</v>
      </c>
      <c r="L392" s="1">
        <f t="shared" si="41"/>
        <v>-5</v>
      </c>
    </row>
    <row r="393" s="1" customFormat="1" spans="1:12">
      <c r="A393" s="2">
        <v>13.07</v>
      </c>
      <c r="B393" s="10" t="s">
        <v>188</v>
      </c>
      <c r="C393" s="4">
        <v>13.036</v>
      </c>
      <c r="D393" s="5">
        <v>142.1</v>
      </c>
      <c r="E393" s="4"/>
      <c r="F393" s="4"/>
      <c r="G393" s="2">
        <f t="shared" si="36"/>
        <v>13.036</v>
      </c>
      <c r="H393" s="11" t="str">
        <f t="shared" si="37"/>
        <v>3.518E-2</v>
      </c>
      <c r="I393" s="2">
        <f t="shared" si="38"/>
        <v>143.6</v>
      </c>
      <c r="J393" s="4">
        <f t="shared" si="39"/>
        <v>13.036</v>
      </c>
      <c r="K393" s="9">
        <f t="shared" si="40"/>
        <v>8.50000000000004</v>
      </c>
      <c r="L393" s="1">
        <f t="shared" si="41"/>
        <v>-5</v>
      </c>
    </row>
    <row r="394" s="1" customFormat="1" spans="1:12">
      <c r="A394" s="2">
        <v>13.103</v>
      </c>
      <c r="B394" s="10" t="s">
        <v>61</v>
      </c>
      <c r="C394" s="4">
        <v>13.07</v>
      </c>
      <c r="D394" s="5">
        <v>141</v>
      </c>
      <c r="E394" s="4"/>
      <c r="F394" s="4"/>
      <c r="G394" s="2">
        <f t="shared" si="36"/>
        <v>13.07</v>
      </c>
      <c r="H394" s="11" t="str">
        <f t="shared" si="37"/>
        <v>3.513E-2</v>
      </c>
      <c r="I394" s="2">
        <f t="shared" si="38"/>
        <v>142.1</v>
      </c>
      <c r="J394" s="4">
        <f t="shared" si="39"/>
        <v>13.07</v>
      </c>
      <c r="K394" s="9">
        <f t="shared" si="40"/>
        <v>8.00000000000002</v>
      </c>
      <c r="L394" s="1">
        <f t="shared" si="41"/>
        <v>-5</v>
      </c>
    </row>
    <row r="395" s="1" customFormat="1" spans="1:12">
      <c r="A395" s="2">
        <v>13.137</v>
      </c>
      <c r="B395" s="10" t="s">
        <v>61</v>
      </c>
      <c r="C395" s="4">
        <v>13.103</v>
      </c>
      <c r="D395" s="5">
        <v>139.3</v>
      </c>
      <c r="E395" s="4"/>
      <c r="F395" s="4"/>
      <c r="G395" s="2">
        <f t="shared" si="36"/>
        <v>13.103</v>
      </c>
      <c r="H395" s="11" t="str">
        <f t="shared" si="37"/>
        <v>3.509E-2</v>
      </c>
      <c r="I395" s="2">
        <f t="shared" si="38"/>
        <v>141</v>
      </c>
      <c r="J395" s="4">
        <f t="shared" si="39"/>
        <v>13.103</v>
      </c>
      <c r="K395" s="9">
        <f t="shared" si="40"/>
        <v>7.60000000000004</v>
      </c>
      <c r="L395" s="1">
        <f t="shared" si="41"/>
        <v>-5</v>
      </c>
    </row>
    <row r="396" s="1" customFormat="1" spans="1:12">
      <c r="A396" s="2">
        <v>13.17</v>
      </c>
      <c r="B396" s="10" t="s">
        <v>165</v>
      </c>
      <c r="C396" s="4">
        <v>13.137</v>
      </c>
      <c r="D396" s="5">
        <v>138.7</v>
      </c>
      <c r="E396" s="4"/>
      <c r="F396" s="4"/>
      <c r="G396" s="2">
        <f t="shared" si="36"/>
        <v>13.137</v>
      </c>
      <c r="H396" s="11" t="str">
        <f t="shared" si="37"/>
        <v>3.509E-2</v>
      </c>
      <c r="I396" s="2">
        <f t="shared" si="38"/>
        <v>139.3</v>
      </c>
      <c r="J396" s="4">
        <f t="shared" si="39"/>
        <v>13.137</v>
      </c>
      <c r="K396" s="9">
        <f t="shared" si="40"/>
        <v>7.60000000000004</v>
      </c>
      <c r="L396" s="1">
        <f t="shared" si="41"/>
        <v>-5</v>
      </c>
    </row>
    <row r="397" s="1" customFormat="1" spans="1:12">
      <c r="A397" s="2">
        <v>13.204</v>
      </c>
      <c r="B397" s="10" t="s">
        <v>36</v>
      </c>
      <c r="C397" s="4">
        <v>13.17</v>
      </c>
      <c r="D397" s="5">
        <v>138.2</v>
      </c>
      <c r="E397" s="4"/>
      <c r="F397" s="4"/>
      <c r="G397" s="2">
        <f t="shared" si="36"/>
        <v>13.17</v>
      </c>
      <c r="H397" s="11" t="str">
        <f t="shared" si="37"/>
        <v>3.505E-2</v>
      </c>
      <c r="I397" s="2">
        <f t="shared" si="38"/>
        <v>138.7</v>
      </c>
      <c r="J397" s="4">
        <f t="shared" si="39"/>
        <v>13.17</v>
      </c>
      <c r="K397" s="9">
        <f t="shared" si="40"/>
        <v>7.19999999999998</v>
      </c>
      <c r="L397" s="1">
        <f t="shared" si="41"/>
        <v>-5</v>
      </c>
    </row>
    <row r="398" s="1" customFormat="1" spans="1:12">
      <c r="A398" s="2">
        <v>13.237</v>
      </c>
      <c r="B398" s="10" t="s">
        <v>37</v>
      </c>
      <c r="C398" s="4">
        <v>13.204</v>
      </c>
      <c r="D398" s="5">
        <v>136.4</v>
      </c>
      <c r="E398" s="4"/>
      <c r="F398" s="4"/>
      <c r="G398" s="2">
        <f t="shared" si="36"/>
        <v>13.204</v>
      </c>
      <c r="H398" s="11" t="str">
        <f t="shared" si="37"/>
        <v>3.498E-2</v>
      </c>
      <c r="I398" s="2">
        <f t="shared" si="38"/>
        <v>138.2</v>
      </c>
      <c r="J398" s="4">
        <f t="shared" si="39"/>
        <v>13.204</v>
      </c>
      <c r="K398" s="9">
        <f t="shared" si="40"/>
        <v>6.49999999999998</v>
      </c>
      <c r="L398" s="1">
        <f t="shared" si="41"/>
        <v>-5</v>
      </c>
    </row>
    <row r="399" s="1" customFormat="1" spans="1:12">
      <c r="A399" s="2">
        <v>13.27</v>
      </c>
      <c r="B399" s="10" t="s">
        <v>31</v>
      </c>
      <c r="C399" s="4">
        <v>13.237</v>
      </c>
      <c r="D399" s="5">
        <v>134.8</v>
      </c>
      <c r="E399" s="4"/>
      <c r="F399" s="4"/>
      <c r="G399" s="2">
        <f t="shared" si="36"/>
        <v>13.237</v>
      </c>
      <c r="H399" s="11" t="str">
        <f t="shared" si="37"/>
        <v>3.496E-2</v>
      </c>
      <c r="I399" s="2">
        <f t="shared" si="38"/>
        <v>136.4</v>
      </c>
      <c r="J399" s="4">
        <f t="shared" si="39"/>
        <v>13.237</v>
      </c>
      <c r="K399" s="9">
        <f t="shared" si="40"/>
        <v>6.29999999999999</v>
      </c>
      <c r="L399" s="1">
        <f t="shared" si="41"/>
        <v>-5</v>
      </c>
    </row>
    <row r="400" s="1" customFormat="1" spans="1:12">
      <c r="A400" s="2">
        <v>13.304</v>
      </c>
      <c r="B400" s="10" t="s">
        <v>189</v>
      </c>
      <c r="C400" s="4">
        <v>13.27</v>
      </c>
      <c r="D400" s="5">
        <v>133.9</v>
      </c>
      <c r="E400" s="4"/>
      <c r="F400" s="4"/>
      <c r="G400" s="2">
        <f t="shared" si="36"/>
        <v>13.27</v>
      </c>
      <c r="H400" s="11" t="str">
        <f t="shared" si="37"/>
        <v>3.494E-2</v>
      </c>
      <c r="I400" s="2">
        <f t="shared" si="38"/>
        <v>134.8</v>
      </c>
      <c r="J400" s="4">
        <f t="shared" si="39"/>
        <v>13.27</v>
      </c>
      <c r="K400" s="9">
        <f t="shared" si="40"/>
        <v>6.09999999999999</v>
      </c>
      <c r="L400" s="1">
        <f t="shared" si="41"/>
        <v>-5</v>
      </c>
    </row>
    <row r="401" s="1" customFormat="1" spans="1:12">
      <c r="A401" s="2">
        <v>13.337</v>
      </c>
      <c r="B401" s="10" t="s">
        <v>189</v>
      </c>
      <c r="C401" s="4">
        <v>13.304</v>
      </c>
      <c r="D401" s="5">
        <v>132.4</v>
      </c>
      <c r="E401" s="4"/>
      <c r="F401" s="4"/>
      <c r="G401" s="2">
        <f t="shared" si="36"/>
        <v>13.304</v>
      </c>
      <c r="H401" s="11" t="str">
        <f t="shared" si="37"/>
        <v>3.493E-2</v>
      </c>
      <c r="I401" s="2">
        <f t="shared" si="38"/>
        <v>133.9</v>
      </c>
      <c r="J401" s="4">
        <f t="shared" si="39"/>
        <v>13.304</v>
      </c>
      <c r="K401" s="9">
        <f t="shared" si="40"/>
        <v>6.00000000000003</v>
      </c>
      <c r="L401" s="1">
        <f t="shared" si="41"/>
        <v>-5</v>
      </c>
    </row>
    <row r="402" s="1" customFormat="1" spans="1:12">
      <c r="A402" s="2">
        <v>13.371</v>
      </c>
      <c r="B402" s="10" t="s">
        <v>189</v>
      </c>
      <c r="C402" s="4">
        <v>13.337</v>
      </c>
      <c r="D402" s="5">
        <v>131</v>
      </c>
      <c r="E402" s="4"/>
      <c r="F402" s="4"/>
      <c r="G402" s="2">
        <f t="shared" si="36"/>
        <v>13.337</v>
      </c>
      <c r="H402" s="11" t="str">
        <f t="shared" si="37"/>
        <v>3.493E-2</v>
      </c>
      <c r="I402" s="2">
        <f t="shared" si="38"/>
        <v>132.4</v>
      </c>
      <c r="J402" s="4">
        <f t="shared" si="39"/>
        <v>13.337</v>
      </c>
      <c r="K402" s="9">
        <f t="shared" si="40"/>
        <v>6.00000000000003</v>
      </c>
      <c r="L402" s="1">
        <f t="shared" si="41"/>
        <v>-5</v>
      </c>
    </row>
    <row r="403" s="1" customFormat="1" spans="1:12">
      <c r="A403" s="2">
        <v>13.404</v>
      </c>
      <c r="B403" s="10" t="s">
        <v>37</v>
      </c>
      <c r="C403" s="4">
        <v>13.371</v>
      </c>
      <c r="D403" s="5">
        <v>130.3</v>
      </c>
      <c r="E403" s="4"/>
      <c r="F403" s="4"/>
      <c r="G403" s="2">
        <f t="shared" si="36"/>
        <v>13.371</v>
      </c>
      <c r="H403" s="11" t="str">
        <f t="shared" si="37"/>
        <v>3.493E-2</v>
      </c>
      <c r="I403" s="2">
        <f t="shared" si="38"/>
        <v>131</v>
      </c>
      <c r="J403" s="4">
        <f t="shared" si="39"/>
        <v>13.371</v>
      </c>
      <c r="K403" s="9">
        <f t="shared" si="40"/>
        <v>6.00000000000003</v>
      </c>
      <c r="L403" s="1">
        <f t="shared" si="41"/>
        <v>-5</v>
      </c>
    </row>
    <row r="404" s="1" customFormat="1" spans="1:12">
      <c r="A404" s="2">
        <v>13.437</v>
      </c>
      <c r="B404" s="10" t="s">
        <v>36</v>
      </c>
      <c r="C404" s="4">
        <v>13.404</v>
      </c>
      <c r="D404" s="5">
        <v>253.8</v>
      </c>
      <c r="E404" s="4"/>
      <c r="F404" s="4"/>
      <c r="G404" s="2">
        <f t="shared" si="36"/>
        <v>13.404</v>
      </c>
      <c r="H404" s="11" t="str">
        <f t="shared" si="37"/>
        <v>3.496E-2</v>
      </c>
      <c r="I404" s="2">
        <f t="shared" si="38"/>
        <v>130.3</v>
      </c>
      <c r="J404" s="4">
        <f t="shared" si="39"/>
        <v>13.404</v>
      </c>
      <c r="K404" s="9">
        <f t="shared" si="40"/>
        <v>6.29999999999999</v>
      </c>
      <c r="L404" s="1">
        <f t="shared" si="41"/>
        <v>-5</v>
      </c>
    </row>
    <row r="405" s="1" customFormat="1" spans="1:12">
      <c r="A405" s="2">
        <v>13.471</v>
      </c>
      <c r="B405" s="10" t="s">
        <v>190</v>
      </c>
      <c r="C405" s="4">
        <v>13.437</v>
      </c>
      <c r="D405" s="5">
        <v>253.8</v>
      </c>
      <c r="E405" s="4"/>
      <c r="F405" s="4"/>
      <c r="G405" s="2">
        <f t="shared" si="36"/>
        <v>13.437</v>
      </c>
      <c r="H405" s="11" t="str">
        <f t="shared" si="37"/>
        <v>3.498E-2</v>
      </c>
      <c r="I405" s="2">
        <f t="shared" si="38"/>
        <v>253.8</v>
      </c>
      <c r="J405" s="4">
        <f t="shared" si="39"/>
        <v>13.437</v>
      </c>
      <c r="K405" s="9">
        <f t="shared" si="40"/>
        <v>6.49999999999998</v>
      </c>
      <c r="L405" s="1">
        <f t="shared" si="41"/>
        <v>23</v>
      </c>
    </row>
    <row r="406" s="1" customFormat="1" spans="1:12">
      <c r="A406" s="2">
        <v>13.504</v>
      </c>
      <c r="B406" s="10" t="s">
        <v>32</v>
      </c>
      <c r="C406" s="4">
        <v>13.471</v>
      </c>
      <c r="D406" s="5">
        <v>253.7</v>
      </c>
      <c r="E406" s="4"/>
      <c r="F406" s="4"/>
      <c r="G406" s="2">
        <f t="shared" si="36"/>
        <v>13.471</v>
      </c>
      <c r="H406" s="11" t="str">
        <f t="shared" si="37"/>
        <v>3.499E-2</v>
      </c>
      <c r="I406" s="2">
        <f t="shared" si="38"/>
        <v>253.8</v>
      </c>
      <c r="J406" s="4">
        <f t="shared" si="39"/>
        <v>13.471</v>
      </c>
      <c r="K406" s="9">
        <f t="shared" si="40"/>
        <v>6.60000000000001</v>
      </c>
      <c r="L406" s="1">
        <f t="shared" si="41"/>
        <v>23</v>
      </c>
    </row>
    <row r="407" s="1" customFormat="1" spans="1:12">
      <c r="A407" s="2">
        <v>13.538</v>
      </c>
      <c r="B407" s="10" t="s">
        <v>78</v>
      </c>
      <c r="C407" s="4">
        <v>13.504</v>
      </c>
      <c r="D407" s="5">
        <v>253.8</v>
      </c>
      <c r="E407" s="4"/>
      <c r="F407" s="4"/>
      <c r="G407" s="2">
        <f t="shared" si="36"/>
        <v>13.504</v>
      </c>
      <c r="H407" s="11" t="str">
        <f t="shared" si="37"/>
        <v>3.501E-2</v>
      </c>
      <c r="I407" s="2">
        <f t="shared" si="38"/>
        <v>253.7</v>
      </c>
      <c r="J407" s="4">
        <f t="shared" si="39"/>
        <v>13.504</v>
      </c>
      <c r="K407" s="9">
        <f t="shared" si="40"/>
        <v>6.8</v>
      </c>
      <c r="L407" s="1">
        <f t="shared" si="41"/>
        <v>23</v>
      </c>
    </row>
    <row r="408" s="1" customFormat="1" spans="1:12">
      <c r="A408" s="2">
        <v>13.571</v>
      </c>
      <c r="B408" s="10" t="s">
        <v>165</v>
      </c>
      <c r="C408" s="4">
        <v>13.538</v>
      </c>
      <c r="D408" s="5">
        <v>253.8</v>
      </c>
      <c r="E408" s="4"/>
      <c r="F408" s="4"/>
      <c r="G408" s="2">
        <f t="shared" si="36"/>
        <v>13.538</v>
      </c>
      <c r="H408" s="11" t="str">
        <f t="shared" si="37"/>
        <v>3.503E-2</v>
      </c>
      <c r="I408" s="2">
        <f t="shared" si="38"/>
        <v>253.8</v>
      </c>
      <c r="J408" s="4">
        <f t="shared" si="39"/>
        <v>13.538</v>
      </c>
      <c r="K408" s="9">
        <f t="shared" si="40"/>
        <v>6.99999999999999</v>
      </c>
      <c r="L408" s="1">
        <f t="shared" si="41"/>
        <v>23</v>
      </c>
    </row>
    <row r="409" s="1" customFormat="1" spans="1:12">
      <c r="A409" s="2">
        <v>13.605</v>
      </c>
      <c r="B409" s="10" t="s">
        <v>33</v>
      </c>
      <c r="C409" s="4">
        <v>13.571</v>
      </c>
      <c r="D409" s="5">
        <v>253.7</v>
      </c>
      <c r="E409" s="4"/>
      <c r="F409" s="4"/>
      <c r="G409" s="2">
        <f t="shared" si="36"/>
        <v>13.571</v>
      </c>
      <c r="H409" s="11" t="str">
        <f t="shared" si="37"/>
        <v>3.505E-2</v>
      </c>
      <c r="I409" s="2">
        <f t="shared" si="38"/>
        <v>253.8</v>
      </c>
      <c r="J409" s="4">
        <f t="shared" si="39"/>
        <v>13.571</v>
      </c>
      <c r="K409" s="9">
        <f t="shared" si="40"/>
        <v>7.19999999999998</v>
      </c>
      <c r="L409" s="1">
        <f t="shared" si="41"/>
        <v>23</v>
      </c>
    </row>
    <row r="410" s="1" customFormat="1" spans="1:12">
      <c r="A410" s="2">
        <v>13.638</v>
      </c>
      <c r="B410" s="10" t="s">
        <v>165</v>
      </c>
      <c r="C410" s="4">
        <v>13.605</v>
      </c>
      <c r="D410" s="5">
        <v>253.8</v>
      </c>
      <c r="E410" s="4"/>
      <c r="F410" s="4"/>
      <c r="G410" s="2">
        <f t="shared" si="36"/>
        <v>13.605</v>
      </c>
      <c r="H410" s="11" t="str">
        <f t="shared" si="37"/>
        <v>3.504E-2</v>
      </c>
      <c r="I410" s="2">
        <f t="shared" si="38"/>
        <v>253.7</v>
      </c>
      <c r="J410" s="4">
        <f t="shared" si="39"/>
        <v>13.605</v>
      </c>
      <c r="K410" s="9">
        <f t="shared" si="40"/>
        <v>7.10000000000002</v>
      </c>
      <c r="L410" s="1">
        <f t="shared" si="41"/>
        <v>23</v>
      </c>
    </row>
    <row r="411" s="1" customFormat="1" spans="1:12">
      <c r="A411" s="2">
        <v>13.671</v>
      </c>
      <c r="B411" s="10" t="s">
        <v>191</v>
      </c>
      <c r="C411" s="4">
        <v>13.638</v>
      </c>
      <c r="D411" s="5">
        <v>253.7</v>
      </c>
      <c r="E411" s="4"/>
      <c r="F411" s="4"/>
      <c r="G411" s="2">
        <f t="shared" si="36"/>
        <v>13.638</v>
      </c>
      <c r="H411" s="11" t="str">
        <f t="shared" si="37"/>
        <v>3.505E-2</v>
      </c>
      <c r="I411" s="2">
        <f t="shared" si="38"/>
        <v>253.8</v>
      </c>
      <c r="J411" s="4">
        <f t="shared" si="39"/>
        <v>13.638</v>
      </c>
      <c r="K411" s="9">
        <f t="shared" si="40"/>
        <v>7.19999999999998</v>
      </c>
      <c r="L411" s="1">
        <f t="shared" si="41"/>
        <v>23</v>
      </c>
    </row>
    <row r="412" s="1" customFormat="1" spans="1:12">
      <c r="A412" s="2">
        <v>13.705</v>
      </c>
      <c r="B412" s="10" t="s">
        <v>138</v>
      </c>
      <c r="C412" s="4">
        <v>13.671</v>
      </c>
      <c r="D412" s="5">
        <v>253.8</v>
      </c>
      <c r="E412" s="4"/>
      <c r="F412" s="4"/>
      <c r="G412" s="2">
        <f t="shared" si="36"/>
        <v>13.671</v>
      </c>
      <c r="H412" s="11" t="str">
        <f t="shared" si="37"/>
        <v>3.507E-2</v>
      </c>
      <c r="I412" s="2">
        <f t="shared" si="38"/>
        <v>253.7</v>
      </c>
      <c r="J412" s="4">
        <f t="shared" si="39"/>
        <v>13.671</v>
      </c>
      <c r="K412" s="9">
        <f t="shared" si="40"/>
        <v>7.39999999999998</v>
      </c>
      <c r="L412" s="1">
        <f t="shared" si="41"/>
        <v>23</v>
      </c>
    </row>
    <row r="413" s="1" customFormat="1" spans="1:12">
      <c r="A413" s="2">
        <v>13.738</v>
      </c>
      <c r="B413" s="10" t="s">
        <v>138</v>
      </c>
      <c r="C413" s="4">
        <v>13.705</v>
      </c>
      <c r="D413" s="5">
        <v>253.7</v>
      </c>
      <c r="E413" s="4"/>
      <c r="F413" s="4"/>
      <c r="G413" s="2">
        <f t="shared" si="36"/>
        <v>13.705</v>
      </c>
      <c r="H413" s="11" t="str">
        <f t="shared" si="37"/>
        <v>3.508E-2</v>
      </c>
      <c r="I413" s="2">
        <f t="shared" si="38"/>
        <v>253.8</v>
      </c>
      <c r="J413" s="4">
        <f t="shared" si="39"/>
        <v>13.705</v>
      </c>
      <c r="K413" s="9">
        <f t="shared" si="40"/>
        <v>7.50000000000001</v>
      </c>
      <c r="L413" s="1">
        <f t="shared" si="41"/>
        <v>23</v>
      </c>
    </row>
    <row r="414" s="1" customFormat="1" spans="1:12">
      <c r="A414" s="2">
        <v>13.772</v>
      </c>
      <c r="B414" s="10" t="s">
        <v>138</v>
      </c>
      <c r="C414" s="4">
        <v>13.738</v>
      </c>
      <c r="D414" s="5">
        <v>253.7</v>
      </c>
      <c r="E414" s="4"/>
      <c r="F414" s="4"/>
      <c r="G414" s="2">
        <f t="shared" si="36"/>
        <v>13.738</v>
      </c>
      <c r="H414" s="11" t="str">
        <f t="shared" si="37"/>
        <v>3.508E-2</v>
      </c>
      <c r="I414" s="2">
        <f t="shared" si="38"/>
        <v>253.7</v>
      </c>
      <c r="J414" s="4">
        <f t="shared" si="39"/>
        <v>13.738</v>
      </c>
      <c r="K414" s="9">
        <f t="shared" si="40"/>
        <v>7.50000000000001</v>
      </c>
      <c r="L414" s="1">
        <f t="shared" si="41"/>
        <v>23</v>
      </c>
    </row>
    <row r="415" s="1" customFormat="1" spans="1:12">
      <c r="A415" s="2">
        <v>13.805</v>
      </c>
      <c r="B415" s="10" t="s">
        <v>138</v>
      </c>
      <c r="C415" s="4">
        <v>13.772</v>
      </c>
      <c r="D415" s="5">
        <v>253.7</v>
      </c>
      <c r="E415" s="4"/>
      <c r="F415" s="4"/>
      <c r="G415" s="2">
        <f t="shared" si="36"/>
        <v>13.772</v>
      </c>
      <c r="H415" s="11" t="str">
        <f t="shared" si="37"/>
        <v>3.508E-2</v>
      </c>
      <c r="I415" s="2">
        <f t="shared" si="38"/>
        <v>253.7</v>
      </c>
      <c r="J415" s="4">
        <f t="shared" si="39"/>
        <v>13.772</v>
      </c>
      <c r="K415" s="9">
        <f t="shared" si="40"/>
        <v>7.50000000000001</v>
      </c>
      <c r="L415" s="1">
        <f t="shared" si="41"/>
        <v>23</v>
      </c>
    </row>
    <row r="416" s="1" customFormat="1" spans="1:12">
      <c r="A416" s="2">
        <v>13.839</v>
      </c>
      <c r="B416" s="10" t="s">
        <v>173</v>
      </c>
      <c r="C416" s="4">
        <v>13.805</v>
      </c>
      <c r="D416" s="5">
        <v>253.8</v>
      </c>
      <c r="E416" s="4"/>
      <c r="F416" s="4"/>
      <c r="G416" s="2">
        <f t="shared" si="36"/>
        <v>13.805</v>
      </c>
      <c r="H416" s="11" t="str">
        <f t="shared" si="37"/>
        <v>3.508E-2</v>
      </c>
      <c r="I416" s="2">
        <f t="shared" si="38"/>
        <v>253.7</v>
      </c>
      <c r="J416" s="4">
        <f t="shared" si="39"/>
        <v>13.805</v>
      </c>
      <c r="K416" s="9">
        <f t="shared" si="40"/>
        <v>7.50000000000001</v>
      </c>
      <c r="L416" s="1">
        <f t="shared" si="41"/>
        <v>23</v>
      </c>
    </row>
    <row r="417" s="1" customFormat="1" spans="1:12">
      <c r="A417" s="2">
        <v>13.872</v>
      </c>
      <c r="B417" s="10" t="s">
        <v>173</v>
      </c>
      <c r="C417" s="4">
        <v>13.839</v>
      </c>
      <c r="D417" s="5">
        <v>253.7</v>
      </c>
      <c r="E417" s="4"/>
      <c r="F417" s="4"/>
      <c r="G417" s="2">
        <f t="shared" si="36"/>
        <v>13.839</v>
      </c>
      <c r="H417" s="11" t="str">
        <f t="shared" si="37"/>
        <v>3.506E-2</v>
      </c>
      <c r="I417" s="2">
        <f t="shared" si="38"/>
        <v>253.8</v>
      </c>
      <c r="J417" s="4">
        <f t="shared" si="39"/>
        <v>13.839</v>
      </c>
      <c r="K417" s="9">
        <f t="shared" si="40"/>
        <v>7.30000000000001</v>
      </c>
      <c r="L417" s="1">
        <f t="shared" si="41"/>
        <v>23</v>
      </c>
    </row>
    <row r="418" s="1" customFormat="1" spans="1:12">
      <c r="A418" s="2">
        <v>13.905</v>
      </c>
      <c r="B418" s="10" t="s">
        <v>33</v>
      </c>
      <c r="C418" s="4">
        <v>13.872</v>
      </c>
      <c r="D418" s="5">
        <v>253.8</v>
      </c>
      <c r="E418" s="4"/>
      <c r="F418" s="4"/>
      <c r="G418" s="2">
        <f t="shared" si="36"/>
        <v>13.872</v>
      </c>
      <c r="H418" s="11" t="str">
        <f t="shared" si="37"/>
        <v>3.506E-2</v>
      </c>
      <c r="I418" s="2">
        <f t="shared" si="38"/>
        <v>253.7</v>
      </c>
      <c r="J418" s="4">
        <f t="shared" si="39"/>
        <v>13.872</v>
      </c>
      <c r="K418" s="9">
        <f t="shared" si="40"/>
        <v>7.30000000000001</v>
      </c>
      <c r="L418" s="1">
        <f t="shared" si="41"/>
        <v>23</v>
      </c>
    </row>
    <row r="419" s="1" customFormat="1" spans="1:12">
      <c r="A419" s="2">
        <v>13.939</v>
      </c>
      <c r="B419" s="10" t="s">
        <v>78</v>
      </c>
      <c r="C419" s="4">
        <v>13.905</v>
      </c>
      <c r="D419" s="5">
        <v>253.8</v>
      </c>
      <c r="E419" s="4"/>
      <c r="F419" s="4"/>
      <c r="G419" s="2">
        <f t="shared" si="36"/>
        <v>13.905</v>
      </c>
      <c r="H419" s="11" t="str">
        <f t="shared" si="37"/>
        <v>3.504E-2</v>
      </c>
      <c r="I419" s="2">
        <f t="shared" si="38"/>
        <v>253.8</v>
      </c>
      <c r="J419" s="4">
        <f t="shared" si="39"/>
        <v>13.905</v>
      </c>
      <c r="K419" s="9">
        <f t="shared" si="40"/>
        <v>7.10000000000002</v>
      </c>
      <c r="L419" s="1">
        <f t="shared" si="41"/>
        <v>23</v>
      </c>
    </row>
    <row r="420" s="1" customFormat="1" spans="1:12">
      <c r="A420" s="2">
        <v>13.972</v>
      </c>
      <c r="B420" s="10" t="s">
        <v>34</v>
      </c>
      <c r="C420" s="4">
        <v>13.939</v>
      </c>
      <c r="D420" s="5">
        <v>253.8</v>
      </c>
      <c r="E420" s="4"/>
      <c r="F420" s="4"/>
      <c r="G420" s="2">
        <f t="shared" si="36"/>
        <v>13.939</v>
      </c>
      <c r="H420" s="11" t="str">
        <f t="shared" si="37"/>
        <v>3.503E-2</v>
      </c>
      <c r="I420" s="2">
        <f t="shared" si="38"/>
        <v>253.8</v>
      </c>
      <c r="J420" s="4">
        <f t="shared" si="39"/>
        <v>13.939</v>
      </c>
      <c r="K420" s="9">
        <f t="shared" si="40"/>
        <v>6.99999999999999</v>
      </c>
      <c r="L420" s="1">
        <f t="shared" si="41"/>
        <v>23</v>
      </c>
    </row>
    <row r="421" s="1" customFormat="1" spans="1:12">
      <c r="A421" s="2">
        <v>14.006</v>
      </c>
      <c r="B421" s="10" t="s">
        <v>32</v>
      </c>
      <c r="C421" s="4">
        <v>13.972</v>
      </c>
      <c r="D421" s="5">
        <v>253.8</v>
      </c>
      <c r="E421" s="4"/>
      <c r="F421" s="4"/>
      <c r="G421" s="2">
        <f t="shared" si="36"/>
        <v>13.972</v>
      </c>
      <c r="H421" s="11" t="str">
        <f t="shared" si="37"/>
        <v>3.502E-2</v>
      </c>
      <c r="I421" s="2">
        <f t="shared" si="38"/>
        <v>253.8</v>
      </c>
      <c r="J421" s="4">
        <f t="shared" si="39"/>
        <v>13.972</v>
      </c>
      <c r="K421" s="9">
        <f t="shared" si="40"/>
        <v>6.90000000000003</v>
      </c>
      <c r="L421" s="1">
        <f t="shared" si="41"/>
        <v>23</v>
      </c>
    </row>
    <row r="422" s="1" customFormat="1" spans="1:12">
      <c r="A422" s="2">
        <v>14.039</v>
      </c>
      <c r="B422" s="10" t="s">
        <v>35</v>
      </c>
      <c r="C422" s="4">
        <v>14.006</v>
      </c>
      <c r="D422" s="5">
        <v>253.8</v>
      </c>
      <c r="E422" s="4"/>
      <c r="F422" s="4"/>
      <c r="G422" s="2">
        <f t="shared" si="36"/>
        <v>14.006</v>
      </c>
      <c r="H422" s="11" t="str">
        <f t="shared" si="37"/>
        <v>3.501E-2</v>
      </c>
      <c r="I422" s="2">
        <f t="shared" si="38"/>
        <v>253.8</v>
      </c>
      <c r="J422" s="4">
        <f t="shared" si="39"/>
        <v>14.006</v>
      </c>
      <c r="K422" s="9">
        <f t="shared" si="40"/>
        <v>6.8</v>
      </c>
      <c r="L422" s="1">
        <f t="shared" si="41"/>
        <v>23</v>
      </c>
    </row>
    <row r="423" s="1" customFormat="1" spans="1:12">
      <c r="A423" s="2">
        <v>14.073</v>
      </c>
      <c r="B423" s="10" t="s">
        <v>190</v>
      </c>
      <c r="C423" s="4">
        <v>14.039</v>
      </c>
      <c r="D423" s="5">
        <v>253.8</v>
      </c>
      <c r="E423" s="4"/>
      <c r="F423" s="4"/>
      <c r="G423" s="2">
        <f t="shared" si="36"/>
        <v>14.039</v>
      </c>
      <c r="H423" s="11" t="str">
        <f t="shared" si="37"/>
        <v>3.500E-2</v>
      </c>
      <c r="I423" s="2">
        <f t="shared" si="38"/>
        <v>253.8</v>
      </c>
      <c r="J423" s="4">
        <f t="shared" si="39"/>
        <v>14.039</v>
      </c>
      <c r="K423" s="9">
        <f t="shared" si="40"/>
        <v>6.70000000000004</v>
      </c>
      <c r="L423" s="1">
        <f t="shared" si="41"/>
        <v>23</v>
      </c>
    </row>
    <row r="424" s="1" customFormat="1" spans="1:12">
      <c r="A424" s="2">
        <v>14.106</v>
      </c>
      <c r="B424" s="10" t="s">
        <v>108</v>
      </c>
      <c r="C424" s="4">
        <v>14.073</v>
      </c>
      <c r="D424" s="5">
        <v>253.7</v>
      </c>
      <c r="E424" s="4"/>
      <c r="F424" s="4"/>
      <c r="G424" s="2">
        <f t="shared" si="36"/>
        <v>14.073</v>
      </c>
      <c r="H424" s="11" t="str">
        <f t="shared" si="37"/>
        <v>3.499E-2</v>
      </c>
      <c r="I424" s="2">
        <f t="shared" si="38"/>
        <v>253.8</v>
      </c>
      <c r="J424" s="4">
        <f t="shared" si="39"/>
        <v>14.073</v>
      </c>
      <c r="K424" s="9">
        <f t="shared" si="40"/>
        <v>6.60000000000001</v>
      </c>
      <c r="L424" s="1">
        <f t="shared" si="41"/>
        <v>23</v>
      </c>
    </row>
    <row r="425" s="1" customFormat="1" spans="1:12">
      <c r="A425" s="2">
        <v>14.139</v>
      </c>
      <c r="B425" s="10" t="s">
        <v>37</v>
      </c>
      <c r="C425" s="4">
        <v>14.106</v>
      </c>
      <c r="D425" s="5">
        <v>253.7</v>
      </c>
      <c r="E425" s="4"/>
      <c r="F425" s="4"/>
      <c r="G425" s="2">
        <f t="shared" si="36"/>
        <v>14.106</v>
      </c>
      <c r="H425" s="11" t="str">
        <f t="shared" si="37"/>
        <v>3.497E-2</v>
      </c>
      <c r="I425" s="2">
        <f t="shared" si="38"/>
        <v>253.7</v>
      </c>
      <c r="J425" s="4">
        <f t="shared" si="39"/>
        <v>14.106</v>
      </c>
      <c r="K425" s="9">
        <f t="shared" si="40"/>
        <v>6.40000000000002</v>
      </c>
      <c r="L425" s="1">
        <f t="shared" si="41"/>
        <v>23</v>
      </c>
    </row>
    <row r="426" s="1" customFormat="1" spans="1:12">
      <c r="A426" s="2">
        <v>14.173</v>
      </c>
      <c r="B426" s="10" t="s">
        <v>192</v>
      </c>
      <c r="C426" s="4">
        <v>14.139</v>
      </c>
      <c r="D426" s="5">
        <v>253.8</v>
      </c>
      <c r="E426" s="4"/>
      <c r="F426" s="4"/>
      <c r="G426" s="2">
        <f t="shared" si="36"/>
        <v>14.139</v>
      </c>
      <c r="H426" s="11" t="str">
        <f t="shared" si="37"/>
        <v>3.496E-2</v>
      </c>
      <c r="I426" s="2">
        <f t="shared" si="38"/>
        <v>253.7</v>
      </c>
      <c r="J426" s="4">
        <f t="shared" si="39"/>
        <v>14.139</v>
      </c>
      <c r="K426" s="9">
        <f t="shared" si="40"/>
        <v>6.29999999999999</v>
      </c>
      <c r="L426" s="1">
        <f t="shared" si="41"/>
        <v>23</v>
      </c>
    </row>
    <row r="427" s="1" customFormat="1" spans="1:12">
      <c r="A427" s="2">
        <v>14.206</v>
      </c>
      <c r="B427" s="10" t="s">
        <v>31</v>
      </c>
      <c r="C427" s="4">
        <v>14.173</v>
      </c>
      <c r="D427" s="5">
        <v>247.7</v>
      </c>
      <c r="E427" s="4"/>
      <c r="F427" s="4"/>
      <c r="G427" s="2">
        <f t="shared" si="36"/>
        <v>14.173</v>
      </c>
      <c r="H427" s="11" t="str">
        <f t="shared" si="37"/>
        <v>3.495E-2</v>
      </c>
      <c r="I427" s="2">
        <f t="shared" si="38"/>
        <v>253.8</v>
      </c>
      <c r="J427" s="4">
        <f t="shared" si="39"/>
        <v>14.173</v>
      </c>
      <c r="K427" s="9">
        <f t="shared" si="40"/>
        <v>6.20000000000003</v>
      </c>
      <c r="L427" s="1">
        <f t="shared" si="41"/>
        <v>23</v>
      </c>
    </row>
    <row r="428" s="1" customFormat="1" spans="1:12">
      <c r="A428" s="2">
        <v>14.24</v>
      </c>
      <c r="B428" s="10" t="s">
        <v>189</v>
      </c>
      <c r="C428" s="4">
        <v>14.206</v>
      </c>
      <c r="D428" s="5">
        <v>141.2</v>
      </c>
      <c r="E428" s="4"/>
      <c r="F428" s="4"/>
      <c r="G428" s="2">
        <f t="shared" si="36"/>
        <v>14.206</v>
      </c>
      <c r="H428" s="11" t="str">
        <f t="shared" si="37"/>
        <v>3.494E-2</v>
      </c>
      <c r="I428" s="2">
        <f t="shared" si="38"/>
        <v>247.7</v>
      </c>
      <c r="J428" s="4">
        <f t="shared" si="39"/>
        <v>14.206</v>
      </c>
      <c r="K428" s="9">
        <f t="shared" si="40"/>
        <v>6.09999999999999</v>
      </c>
      <c r="L428" s="1">
        <f t="shared" si="41"/>
        <v>23</v>
      </c>
    </row>
    <row r="429" s="1" customFormat="1" spans="1:12">
      <c r="A429" s="2">
        <v>14.273</v>
      </c>
      <c r="B429" s="10" t="s">
        <v>189</v>
      </c>
      <c r="C429" s="4">
        <v>14.24</v>
      </c>
      <c r="D429" s="5">
        <v>159.4</v>
      </c>
      <c r="E429" s="4"/>
      <c r="F429" s="4"/>
      <c r="G429" s="2">
        <f t="shared" si="36"/>
        <v>14.24</v>
      </c>
      <c r="H429" s="11" t="str">
        <f t="shared" si="37"/>
        <v>3.493E-2</v>
      </c>
      <c r="I429" s="2">
        <f t="shared" si="38"/>
        <v>141.2</v>
      </c>
      <c r="J429" s="4">
        <f t="shared" si="39"/>
        <v>14.24</v>
      </c>
      <c r="K429" s="9">
        <f t="shared" si="40"/>
        <v>6.00000000000003</v>
      </c>
      <c r="L429" s="1">
        <f t="shared" si="41"/>
        <v>-5</v>
      </c>
    </row>
    <row r="430" s="1" customFormat="1" spans="1:12">
      <c r="A430" s="2">
        <v>14.307</v>
      </c>
      <c r="B430" s="10" t="s">
        <v>31</v>
      </c>
      <c r="C430" s="4">
        <v>14.273</v>
      </c>
      <c r="D430" s="5">
        <v>158.6</v>
      </c>
      <c r="E430" s="4"/>
      <c r="F430" s="4"/>
      <c r="G430" s="2">
        <f t="shared" si="36"/>
        <v>14.273</v>
      </c>
      <c r="H430" s="11" t="str">
        <f t="shared" si="37"/>
        <v>3.493E-2</v>
      </c>
      <c r="I430" s="2">
        <f t="shared" si="38"/>
        <v>159.4</v>
      </c>
      <c r="J430" s="4">
        <f t="shared" si="39"/>
        <v>14.273</v>
      </c>
      <c r="K430" s="9">
        <f t="shared" si="40"/>
        <v>6.00000000000003</v>
      </c>
      <c r="L430" s="1">
        <f t="shared" si="41"/>
        <v>-5</v>
      </c>
    </row>
    <row r="431" s="1" customFormat="1" spans="1:12">
      <c r="A431" s="2">
        <v>14.34</v>
      </c>
      <c r="B431" s="10" t="s">
        <v>189</v>
      </c>
      <c r="C431" s="4">
        <v>14.307</v>
      </c>
      <c r="D431" s="5">
        <v>157.4</v>
      </c>
      <c r="E431" s="4"/>
      <c r="F431" s="4"/>
      <c r="G431" s="2">
        <f t="shared" si="36"/>
        <v>14.307</v>
      </c>
      <c r="H431" s="11" t="str">
        <f t="shared" si="37"/>
        <v>3.494E-2</v>
      </c>
      <c r="I431" s="2">
        <f t="shared" si="38"/>
        <v>158.6</v>
      </c>
      <c r="J431" s="4">
        <f t="shared" si="39"/>
        <v>14.307</v>
      </c>
      <c r="K431" s="9">
        <f t="shared" si="40"/>
        <v>6.09999999999999</v>
      </c>
      <c r="L431" s="1">
        <f t="shared" si="41"/>
        <v>-5</v>
      </c>
    </row>
    <row r="432" s="1" customFormat="1" spans="1:12">
      <c r="A432" s="2">
        <v>14.373</v>
      </c>
      <c r="B432" s="10" t="s">
        <v>189</v>
      </c>
      <c r="C432" s="4">
        <v>14.34</v>
      </c>
      <c r="D432" s="5">
        <v>157.1</v>
      </c>
      <c r="E432" s="4"/>
      <c r="F432" s="4"/>
      <c r="G432" s="2">
        <f t="shared" si="36"/>
        <v>14.34</v>
      </c>
      <c r="H432" s="11" t="str">
        <f t="shared" si="37"/>
        <v>3.493E-2</v>
      </c>
      <c r="I432" s="2">
        <f t="shared" si="38"/>
        <v>157.4</v>
      </c>
      <c r="J432" s="4">
        <f t="shared" si="39"/>
        <v>14.34</v>
      </c>
      <c r="K432" s="9">
        <f t="shared" si="40"/>
        <v>6.00000000000003</v>
      </c>
      <c r="L432" s="1">
        <f t="shared" si="41"/>
        <v>-5</v>
      </c>
    </row>
    <row r="433" s="1" customFormat="1" spans="1:12">
      <c r="A433" s="2">
        <v>14.407</v>
      </c>
      <c r="B433" s="10" t="s">
        <v>189</v>
      </c>
      <c r="C433" s="4">
        <v>14.373</v>
      </c>
      <c r="D433" s="5">
        <v>155.3</v>
      </c>
      <c r="E433" s="4"/>
      <c r="F433" s="4"/>
      <c r="G433" s="2">
        <f t="shared" si="36"/>
        <v>14.373</v>
      </c>
      <c r="H433" s="11" t="str">
        <f t="shared" si="37"/>
        <v>3.493E-2</v>
      </c>
      <c r="I433" s="2">
        <f t="shared" si="38"/>
        <v>157.1</v>
      </c>
      <c r="J433" s="4">
        <f t="shared" si="39"/>
        <v>14.373</v>
      </c>
      <c r="K433" s="9">
        <f t="shared" si="40"/>
        <v>6.00000000000003</v>
      </c>
      <c r="L433" s="1">
        <f t="shared" si="41"/>
        <v>-5</v>
      </c>
    </row>
    <row r="434" s="1" customFormat="1" spans="1:12">
      <c r="A434" s="2">
        <v>14.44</v>
      </c>
      <c r="B434" s="10" t="s">
        <v>189</v>
      </c>
      <c r="C434" s="4">
        <v>14.407</v>
      </c>
      <c r="D434" s="5">
        <v>154.5</v>
      </c>
      <c r="E434" s="4"/>
      <c r="F434" s="4"/>
      <c r="G434" s="2">
        <f t="shared" si="36"/>
        <v>14.407</v>
      </c>
      <c r="H434" s="11" t="str">
        <f t="shared" si="37"/>
        <v>3.493E-2</v>
      </c>
      <c r="I434" s="2">
        <f t="shared" si="38"/>
        <v>155.3</v>
      </c>
      <c r="J434" s="4">
        <f t="shared" si="39"/>
        <v>14.407</v>
      </c>
      <c r="K434" s="9">
        <f t="shared" si="40"/>
        <v>6.00000000000003</v>
      </c>
      <c r="L434" s="1">
        <f t="shared" si="41"/>
        <v>-5</v>
      </c>
    </row>
    <row r="435" s="1" customFormat="1" spans="1:12">
      <c r="A435" s="2">
        <v>14.474</v>
      </c>
      <c r="B435" s="10" t="s">
        <v>189</v>
      </c>
      <c r="C435" s="4">
        <v>14.44</v>
      </c>
      <c r="D435" s="5">
        <v>153.9</v>
      </c>
      <c r="E435" s="4"/>
      <c r="F435" s="4"/>
      <c r="G435" s="2">
        <f t="shared" si="36"/>
        <v>14.44</v>
      </c>
      <c r="H435" s="11" t="str">
        <f t="shared" si="37"/>
        <v>3.493E-2</v>
      </c>
      <c r="I435" s="2">
        <f t="shared" si="38"/>
        <v>154.5</v>
      </c>
      <c r="J435" s="4">
        <f t="shared" si="39"/>
        <v>14.44</v>
      </c>
      <c r="K435" s="9">
        <f t="shared" si="40"/>
        <v>6.00000000000003</v>
      </c>
      <c r="L435" s="1">
        <f t="shared" si="41"/>
        <v>-5</v>
      </c>
    </row>
    <row r="436" s="1" customFormat="1" spans="1:12">
      <c r="A436" s="2">
        <v>14.507</v>
      </c>
      <c r="B436" s="10" t="s">
        <v>31</v>
      </c>
      <c r="C436" s="4">
        <v>14.474</v>
      </c>
      <c r="D436" s="5">
        <v>152.1</v>
      </c>
      <c r="E436" s="4"/>
      <c r="F436" s="4"/>
      <c r="G436" s="2">
        <f t="shared" si="36"/>
        <v>14.474</v>
      </c>
      <c r="H436" s="11" t="str">
        <f t="shared" si="37"/>
        <v>3.493E-2</v>
      </c>
      <c r="I436" s="2">
        <f t="shared" si="38"/>
        <v>153.9</v>
      </c>
      <c r="J436" s="4">
        <f t="shared" si="39"/>
        <v>14.474</v>
      </c>
      <c r="K436" s="9">
        <f t="shared" si="40"/>
        <v>6.00000000000003</v>
      </c>
      <c r="L436" s="1">
        <f t="shared" si="41"/>
        <v>-5</v>
      </c>
    </row>
    <row r="437" s="1" customFormat="1" spans="1:12">
      <c r="A437" s="2">
        <v>14.541</v>
      </c>
      <c r="B437" s="10" t="s">
        <v>31</v>
      </c>
      <c r="C437" s="4">
        <v>14.507</v>
      </c>
      <c r="D437" s="5">
        <v>152</v>
      </c>
      <c r="E437" s="4"/>
      <c r="F437" s="4"/>
      <c r="G437" s="2">
        <f t="shared" si="36"/>
        <v>14.507</v>
      </c>
      <c r="H437" s="11" t="str">
        <f t="shared" si="37"/>
        <v>3.494E-2</v>
      </c>
      <c r="I437" s="2">
        <f t="shared" si="38"/>
        <v>152.1</v>
      </c>
      <c r="J437" s="4">
        <f t="shared" si="39"/>
        <v>14.507</v>
      </c>
      <c r="K437" s="9">
        <f t="shared" si="40"/>
        <v>6.09999999999999</v>
      </c>
      <c r="L437" s="1">
        <f t="shared" si="41"/>
        <v>-5</v>
      </c>
    </row>
    <row r="438" s="1" customFormat="1" spans="1:12">
      <c r="A438" s="2">
        <v>14.574</v>
      </c>
      <c r="B438" s="10" t="s">
        <v>31</v>
      </c>
      <c r="C438" s="4">
        <v>14.541</v>
      </c>
      <c r="D438" s="5">
        <v>150.4</v>
      </c>
      <c r="E438" s="4"/>
      <c r="F438" s="4"/>
      <c r="G438" s="2">
        <f t="shared" si="36"/>
        <v>14.541</v>
      </c>
      <c r="H438" s="11" t="str">
        <f t="shared" si="37"/>
        <v>3.494E-2</v>
      </c>
      <c r="I438" s="2">
        <f t="shared" si="38"/>
        <v>152</v>
      </c>
      <c r="J438" s="4">
        <f t="shared" si="39"/>
        <v>14.541</v>
      </c>
      <c r="K438" s="9">
        <f t="shared" si="40"/>
        <v>6.09999999999999</v>
      </c>
      <c r="L438" s="1">
        <f t="shared" si="41"/>
        <v>-5</v>
      </c>
    </row>
    <row r="439" s="1" customFormat="1" spans="1:12">
      <c r="A439" s="2">
        <v>14.607</v>
      </c>
      <c r="B439" s="10" t="s">
        <v>31</v>
      </c>
      <c r="C439" s="4">
        <v>14.574</v>
      </c>
      <c r="D439" s="5">
        <v>150</v>
      </c>
      <c r="E439" s="4"/>
      <c r="F439" s="4"/>
      <c r="G439" s="2">
        <f t="shared" si="36"/>
        <v>14.574</v>
      </c>
      <c r="H439" s="11" t="str">
        <f t="shared" si="37"/>
        <v>3.494E-2</v>
      </c>
      <c r="I439" s="2">
        <f t="shared" si="38"/>
        <v>150.4</v>
      </c>
      <c r="J439" s="4">
        <f t="shared" si="39"/>
        <v>14.574</v>
      </c>
      <c r="K439" s="9">
        <f t="shared" si="40"/>
        <v>6.09999999999999</v>
      </c>
      <c r="L439" s="1">
        <f t="shared" si="41"/>
        <v>-5</v>
      </c>
    </row>
    <row r="440" s="1" customFormat="1" spans="1:12">
      <c r="A440" s="2">
        <v>14.641</v>
      </c>
      <c r="B440" s="10" t="s">
        <v>192</v>
      </c>
      <c r="C440" s="4">
        <v>14.607</v>
      </c>
      <c r="D440" s="5">
        <v>148.9</v>
      </c>
      <c r="E440" s="4"/>
      <c r="F440" s="4"/>
      <c r="G440" s="2">
        <f t="shared" si="36"/>
        <v>14.607</v>
      </c>
      <c r="H440" s="11" t="str">
        <f t="shared" si="37"/>
        <v>3.494E-2</v>
      </c>
      <c r="I440" s="2">
        <f t="shared" si="38"/>
        <v>150</v>
      </c>
      <c r="J440" s="4">
        <f t="shared" si="39"/>
        <v>14.607</v>
      </c>
      <c r="K440" s="9">
        <f t="shared" si="40"/>
        <v>6.09999999999999</v>
      </c>
      <c r="L440" s="1">
        <f t="shared" si="41"/>
        <v>-5</v>
      </c>
    </row>
    <row r="441" s="1" customFormat="1" spans="1:12">
      <c r="A441" s="2">
        <v>14.674</v>
      </c>
      <c r="B441" s="10" t="s">
        <v>192</v>
      </c>
      <c r="C441" s="4">
        <v>14.641</v>
      </c>
      <c r="D441" s="5">
        <v>148.5</v>
      </c>
      <c r="E441" s="4"/>
      <c r="F441" s="4"/>
      <c r="G441" s="2">
        <f t="shared" si="36"/>
        <v>14.641</v>
      </c>
      <c r="H441" s="11" t="str">
        <f t="shared" si="37"/>
        <v>3.495E-2</v>
      </c>
      <c r="I441" s="2">
        <f t="shared" si="38"/>
        <v>148.9</v>
      </c>
      <c r="J441" s="4">
        <f t="shared" si="39"/>
        <v>14.641</v>
      </c>
      <c r="K441" s="9">
        <f t="shared" si="40"/>
        <v>6.20000000000003</v>
      </c>
      <c r="L441" s="1">
        <f t="shared" si="41"/>
        <v>-5</v>
      </c>
    </row>
    <row r="442" s="1" customFormat="1" spans="1:12">
      <c r="A442" s="2">
        <v>14.708</v>
      </c>
      <c r="B442" s="10" t="s">
        <v>37</v>
      </c>
      <c r="C442" s="4">
        <v>14.674</v>
      </c>
      <c r="D442" s="5">
        <v>146.1</v>
      </c>
      <c r="E442" s="4"/>
      <c r="F442" s="4"/>
      <c r="G442" s="2">
        <f t="shared" si="36"/>
        <v>14.674</v>
      </c>
      <c r="H442" s="11" t="str">
        <f t="shared" si="37"/>
        <v>3.495E-2</v>
      </c>
      <c r="I442" s="2">
        <f t="shared" si="38"/>
        <v>148.5</v>
      </c>
      <c r="J442" s="4">
        <f t="shared" si="39"/>
        <v>14.674</v>
      </c>
      <c r="K442" s="9">
        <f t="shared" si="40"/>
        <v>6.20000000000003</v>
      </c>
      <c r="L442" s="1">
        <f t="shared" si="41"/>
        <v>-5</v>
      </c>
    </row>
    <row r="443" s="1" customFormat="1" spans="1:12">
      <c r="A443" s="2">
        <v>14.741</v>
      </c>
      <c r="B443" s="10" t="s">
        <v>37</v>
      </c>
      <c r="C443" s="4">
        <v>14.708</v>
      </c>
      <c r="D443" s="5">
        <v>145.8</v>
      </c>
      <c r="E443" s="4"/>
      <c r="F443" s="4"/>
      <c r="G443" s="2">
        <f t="shared" si="36"/>
        <v>14.708</v>
      </c>
      <c r="H443" s="11" t="str">
        <f t="shared" si="37"/>
        <v>3.496E-2</v>
      </c>
      <c r="I443" s="2">
        <f t="shared" si="38"/>
        <v>146.1</v>
      </c>
      <c r="J443" s="4">
        <f t="shared" si="39"/>
        <v>14.708</v>
      </c>
      <c r="K443" s="9">
        <f t="shared" si="40"/>
        <v>6.29999999999999</v>
      </c>
      <c r="L443" s="1">
        <f t="shared" si="41"/>
        <v>-5</v>
      </c>
    </row>
    <row r="444" s="1" customFormat="1" spans="1:12">
      <c r="A444" s="2">
        <v>14.775</v>
      </c>
      <c r="B444" s="10" t="s">
        <v>37</v>
      </c>
      <c r="C444" s="4">
        <v>14.741</v>
      </c>
      <c r="D444" s="5">
        <v>144.3</v>
      </c>
      <c r="E444" s="4"/>
      <c r="F444" s="4"/>
      <c r="G444" s="2">
        <f t="shared" si="36"/>
        <v>14.741</v>
      </c>
      <c r="H444" s="11" t="str">
        <f t="shared" si="37"/>
        <v>3.496E-2</v>
      </c>
      <c r="I444" s="2">
        <f t="shared" si="38"/>
        <v>145.8</v>
      </c>
      <c r="J444" s="4">
        <f t="shared" si="39"/>
        <v>14.741</v>
      </c>
      <c r="K444" s="9">
        <f t="shared" si="40"/>
        <v>6.29999999999999</v>
      </c>
      <c r="L444" s="1">
        <f t="shared" si="41"/>
        <v>-5</v>
      </c>
    </row>
    <row r="445" s="1" customFormat="1" spans="1:12">
      <c r="A445" s="2">
        <v>14.808</v>
      </c>
      <c r="B445" s="10" t="s">
        <v>37</v>
      </c>
      <c r="C445" s="4">
        <v>14.775</v>
      </c>
      <c r="D445" s="5">
        <v>143</v>
      </c>
      <c r="E445" s="4"/>
      <c r="F445" s="4"/>
      <c r="G445" s="2">
        <f t="shared" si="36"/>
        <v>14.775</v>
      </c>
      <c r="H445" s="11" t="str">
        <f t="shared" si="37"/>
        <v>3.496E-2</v>
      </c>
      <c r="I445" s="2">
        <f t="shared" si="38"/>
        <v>144.3</v>
      </c>
      <c r="J445" s="4">
        <f t="shared" si="39"/>
        <v>14.775</v>
      </c>
      <c r="K445" s="9">
        <f t="shared" si="40"/>
        <v>6.29999999999999</v>
      </c>
      <c r="L445" s="1">
        <f t="shared" si="41"/>
        <v>-5</v>
      </c>
    </row>
    <row r="446" s="1" customFormat="1" spans="1:12">
      <c r="A446" s="2">
        <v>14.841</v>
      </c>
      <c r="B446" s="10" t="s">
        <v>37</v>
      </c>
      <c r="C446" s="4">
        <v>14.808</v>
      </c>
      <c r="D446" s="5">
        <v>142.7</v>
      </c>
      <c r="E446" s="4"/>
      <c r="F446" s="4"/>
      <c r="G446" s="2">
        <f t="shared" si="36"/>
        <v>14.808</v>
      </c>
      <c r="H446" s="11" t="str">
        <f t="shared" si="37"/>
        <v>3.496E-2</v>
      </c>
      <c r="I446" s="2">
        <f t="shared" si="38"/>
        <v>143</v>
      </c>
      <c r="J446" s="4">
        <f t="shared" si="39"/>
        <v>14.808</v>
      </c>
      <c r="K446" s="9">
        <f t="shared" si="40"/>
        <v>6.29999999999999</v>
      </c>
      <c r="L446" s="1">
        <f t="shared" si="41"/>
        <v>-5</v>
      </c>
    </row>
    <row r="447" s="1" customFormat="1" spans="1:12">
      <c r="A447" s="2">
        <v>14.875</v>
      </c>
      <c r="B447" s="10" t="s">
        <v>37</v>
      </c>
      <c r="C447" s="4">
        <v>14.841</v>
      </c>
      <c r="D447" s="5">
        <v>142</v>
      </c>
      <c r="E447" s="4"/>
      <c r="F447" s="4"/>
      <c r="G447" s="2">
        <f t="shared" si="36"/>
        <v>14.841</v>
      </c>
      <c r="H447" s="11" t="str">
        <f t="shared" si="37"/>
        <v>3.496E-2</v>
      </c>
      <c r="I447" s="2">
        <f t="shared" si="38"/>
        <v>142.7</v>
      </c>
      <c r="J447" s="4">
        <f t="shared" si="39"/>
        <v>14.841</v>
      </c>
      <c r="K447" s="9">
        <f t="shared" si="40"/>
        <v>6.29999999999999</v>
      </c>
      <c r="L447" s="1">
        <f t="shared" si="41"/>
        <v>-5</v>
      </c>
    </row>
    <row r="448" s="1" customFormat="1" spans="1:12">
      <c r="A448" s="2">
        <v>14.908</v>
      </c>
      <c r="B448" s="10" t="s">
        <v>108</v>
      </c>
      <c r="C448" s="4">
        <v>14.875</v>
      </c>
      <c r="D448" s="5">
        <v>139.6</v>
      </c>
      <c r="E448" s="4"/>
      <c r="F448" s="4"/>
      <c r="G448" s="2">
        <f t="shared" si="36"/>
        <v>14.875</v>
      </c>
      <c r="H448" s="11" t="str">
        <f t="shared" si="37"/>
        <v>3.496E-2</v>
      </c>
      <c r="I448" s="2">
        <f t="shared" si="38"/>
        <v>142</v>
      </c>
      <c r="J448" s="4">
        <f t="shared" si="39"/>
        <v>14.875</v>
      </c>
      <c r="K448" s="9">
        <f t="shared" si="40"/>
        <v>6.29999999999999</v>
      </c>
      <c r="L448" s="1">
        <f t="shared" si="41"/>
        <v>-5</v>
      </c>
    </row>
    <row r="449" s="1" customFormat="1" spans="1:12">
      <c r="A449" s="2">
        <v>14.942</v>
      </c>
      <c r="B449" s="10" t="s">
        <v>192</v>
      </c>
      <c r="C449" s="4">
        <v>14.908</v>
      </c>
      <c r="D449" s="5">
        <v>139.1</v>
      </c>
      <c r="E449" s="4"/>
      <c r="F449" s="4"/>
      <c r="G449" s="2">
        <f t="shared" si="36"/>
        <v>14.908</v>
      </c>
      <c r="H449" s="11" t="str">
        <f t="shared" si="37"/>
        <v>3.497E-2</v>
      </c>
      <c r="I449" s="2">
        <f t="shared" si="38"/>
        <v>139.6</v>
      </c>
      <c r="J449" s="4">
        <f t="shared" si="39"/>
        <v>14.908</v>
      </c>
      <c r="K449" s="9">
        <f t="shared" si="40"/>
        <v>6.40000000000002</v>
      </c>
      <c r="L449" s="1">
        <f t="shared" si="41"/>
        <v>-5</v>
      </c>
    </row>
    <row r="450" s="1" customFormat="1" spans="1:12">
      <c r="A450" s="2">
        <v>14.975</v>
      </c>
      <c r="B450" s="10" t="s">
        <v>192</v>
      </c>
      <c r="C450" s="4">
        <v>14.942</v>
      </c>
      <c r="D450" s="5">
        <v>253.8</v>
      </c>
      <c r="E450" s="4"/>
      <c r="F450" s="4"/>
      <c r="G450" s="2">
        <f t="shared" si="36"/>
        <v>14.942</v>
      </c>
      <c r="H450" s="11" t="str">
        <f t="shared" si="37"/>
        <v>3.495E-2</v>
      </c>
      <c r="I450" s="2">
        <f t="shared" si="38"/>
        <v>139.1</v>
      </c>
      <c r="J450" s="4">
        <f t="shared" si="39"/>
        <v>14.942</v>
      </c>
      <c r="K450" s="9">
        <f t="shared" si="40"/>
        <v>6.20000000000003</v>
      </c>
      <c r="L450" s="1">
        <f t="shared" si="41"/>
        <v>-5</v>
      </c>
    </row>
    <row r="451" s="1" customFormat="1" spans="1:12">
      <c r="A451" s="2">
        <v>15.009</v>
      </c>
      <c r="B451" s="10" t="s">
        <v>192</v>
      </c>
      <c r="C451" s="4">
        <v>14.975</v>
      </c>
      <c r="D451" s="5">
        <v>253.7</v>
      </c>
      <c r="E451" s="4"/>
      <c r="F451" s="4"/>
      <c r="G451" s="2">
        <f t="shared" si="36"/>
        <v>14.975</v>
      </c>
      <c r="H451" s="11" t="str">
        <f t="shared" si="37"/>
        <v>3.495E-2</v>
      </c>
      <c r="I451" s="2">
        <f t="shared" si="38"/>
        <v>253.8</v>
      </c>
      <c r="J451" s="4">
        <f t="shared" si="39"/>
        <v>14.975</v>
      </c>
      <c r="K451" s="9">
        <f t="shared" si="40"/>
        <v>6.20000000000003</v>
      </c>
      <c r="L451" s="1">
        <f t="shared" si="41"/>
        <v>23</v>
      </c>
    </row>
    <row r="452" s="1" customFormat="1" spans="1:12">
      <c r="A452" s="2">
        <v>15.042</v>
      </c>
      <c r="B452" s="10" t="s">
        <v>31</v>
      </c>
      <c r="C452" s="4">
        <v>15.009</v>
      </c>
      <c r="D452" s="5">
        <v>253.7</v>
      </c>
      <c r="E452" s="4"/>
      <c r="F452" s="4"/>
      <c r="G452" s="2">
        <f t="shared" ref="G452:G515" si="42">A451</f>
        <v>15.009</v>
      </c>
      <c r="H452" s="11" t="str">
        <f t="shared" ref="H452:H515" si="43">B451</f>
        <v>3.495E-2</v>
      </c>
      <c r="I452" s="2">
        <f t="shared" ref="I452:I515" si="44">D451</f>
        <v>253.7</v>
      </c>
      <c r="J452" s="4">
        <f t="shared" ref="J452:J515" si="45">G452</f>
        <v>15.009</v>
      </c>
      <c r="K452" s="9">
        <f t="shared" ref="K452:K515" si="46">(H452-$H$4)*10000</f>
        <v>6.20000000000003</v>
      </c>
      <c r="L452" s="1">
        <f t="shared" si="41"/>
        <v>23</v>
      </c>
    </row>
    <row r="453" s="1" customFormat="1" spans="1:12">
      <c r="A453" s="2">
        <v>15.075</v>
      </c>
      <c r="B453" s="10" t="s">
        <v>189</v>
      </c>
      <c r="C453" s="4">
        <v>15.042</v>
      </c>
      <c r="D453" s="5">
        <v>253.8</v>
      </c>
      <c r="E453" s="4"/>
      <c r="F453" s="4"/>
      <c r="G453" s="2">
        <f t="shared" si="42"/>
        <v>15.042</v>
      </c>
      <c r="H453" s="11" t="str">
        <f t="shared" si="43"/>
        <v>3.494E-2</v>
      </c>
      <c r="I453" s="2">
        <f t="shared" si="44"/>
        <v>253.7</v>
      </c>
      <c r="J453" s="4">
        <f t="shared" si="45"/>
        <v>15.042</v>
      </c>
      <c r="K453" s="9">
        <f t="shared" si="46"/>
        <v>6.09999999999999</v>
      </c>
      <c r="L453" s="1">
        <f t="shared" ref="L453:L516" si="47">IF(I453&lt;230,-5,23)</f>
        <v>23</v>
      </c>
    </row>
    <row r="454" s="1" customFormat="1" spans="1:12">
      <c r="A454" s="2">
        <v>15.109</v>
      </c>
      <c r="B454" s="10" t="s">
        <v>38</v>
      </c>
      <c r="C454" s="4">
        <v>15.075</v>
      </c>
      <c r="D454" s="5">
        <v>253.8</v>
      </c>
      <c r="E454" s="4"/>
      <c r="F454" s="4"/>
      <c r="G454" s="2">
        <f t="shared" si="42"/>
        <v>15.075</v>
      </c>
      <c r="H454" s="11" t="str">
        <f t="shared" si="43"/>
        <v>3.493E-2</v>
      </c>
      <c r="I454" s="2">
        <f t="shared" si="44"/>
        <v>253.8</v>
      </c>
      <c r="J454" s="4">
        <f t="shared" si="45"/>
        <v>15.075</v>
      </c>
      <c r="K454" s="9">
        <f t="shared" si="46"/>
        <v>6.00000000000003</v>
      </c>
      <c r="L454" s="1">
        <f t="shared" si="47"/>
        <v>23</v>
      </c>
    </row>
    <row r="455" s="1" customFormat="1" spans="1:12">
      <c r="A455" s="2">
        <v>15.142</v>
      </c>
      <c r="B455" s="10" t="s">
        <v>193</v>
      </c>
      <c r="C455" s="4">
        <v>15.109</v>
      </c>
      <c r="D455" s="5">
        <v>253.8</v>
      </c>
      <c r="E455" s="4"/>
      <c r="F455" s="4"/>
      <c r="G455" s="2">
        <f t="shared" si="42"/>
        <v>15.109</v>
      </c>
      <c r="H455" s="11" t="str">
        <f t="shared" si="43"/>
        <v>3.492E-2</v>
      </c>
      <c r="I455" s="2">
        <f t="shared" si="44"/>
        <v>253.8</v>
      </c>
      <c r="J455" s="4">
        <f t="shared" si="45"/>
        <v>15.109</v>
      </c>
      <c r="K455" s="9">
        <f t="shared" si="46"/>
        <v>5.9</v>
      </c>
      <c r="L455" s="1">
        <f t="shared" si="47"/>
        <v>23</v>
      </c>
    </row>
    <row r="456" s="1" customFormat="1" spans="1:12">
      <c r="A456" s="2">
        <v>15.176</v>
      </c>
      <c r="B456" s="10" t="s">
        <v>193</v>
      </c>
      <c r="C456" s="4">
        <v>15.142</v>
      </c>
      <c r="D456" s="5">
        <v>253.8</v>
      </c>
      <c r="E456" s="4"/>
      <c r="F456" s="4"/>
      <c r="G456" s="2">
        <f t="shared" si="42"/>
        <v>15.142</v>
      </c>
      <c r="H456" s="11" t="str">
        <f t="shared" si="43"/>
        <v>3.491E-2</v>
      </c>
      <c r="I456" s="2">
        <f t="shared" si="44"/>
        <v>253.8</v>
      </c>
      <c r="J456" s="4">
        <f t="shared" si="45"/>
        <v>15.142</v>
      </c>
      <c r="K456" s="9">
        <f t="shared" si="46"/>
        <v>5.79999999999997</v>
      </c>
      <c r="L456" s="1">
        <f t="shared" si="47"/>
        <v>23</v>
      </c>
    </row>
    <row r="457" s="1" customFormat="1" spans="1:12">
      <c r="A457" s="2">
        <v>15.209</v>
      </c>
      <c r="B457" s="10" t="s">
        <v>194</v>
      </c>
      <c r="C457" s="4">
        <v>15.176</v>
      </c>
      <c r="D457" s="5">
        <v>253.8</v>
      </c>
      <c r="E457" s="4"/>
      <c r="F457" s="4"/>
      <c r="G457" s="2">
        <f t="shared" si="42"/>
        <v>15.176</v>
      </c>
      <c r="H457" s="11" t="str">
        <f t="shared" si="43"/>
        <v>3.491E-2</v>
      </c>
      <c r="I457" s="2">
        <f t="shared" si="44"/>
        <v>253.8</v>
      </c>
      <c r="J457" s="4">
        <f t="shared" si="45"/>
        <v>15.176</v>
      </c>
      <c r="K457" s="9">
        <f t="shared" si="46"/>
        <v>5.79999999999997</v>
      </c>
      <c r="L457" s="1">
        <f t="shared" si="47"/>
        <v>23</v>
      </c>
    </row>
    <row r="458" s="1" customFormat="1" spans="1:12">
      <c r="A458" s="2">
        <v>15.243</v>
      </c>
      <c r="B458" s="10" t="s">
        <v>39</v>
      </c>
      <c r="C458" s="4">
        <v>15.209</v>
      </c>
      <c r="D458" s="5">
        <v>253.8</v>
      </c>
      <c r="E458" s="4"/>
      <c r="F458" s="4"/>
      <c r="G458" s="2">
        <f t="shared" si="42"/>
        <v>15.209</v>
      </c>
      <c r="H458" s="11" t="str">
        <f t="shared" si="43"/>
        <v>3.490E-2</v>
      </c>
      <c r="I458" s="2">
        <f t="shared" si="44"/>
        <v>253.8</v>
      </c>
      <c r="J458" s="4">
        <f t="shared" si="45"/>
        <v>15.209</v>
      </c>
      <c r="K458" s="9">
        <f t="shared" si="46"/>
        <v>5.70000000000001</v>
      </c>
      <c r="L458" s="1">
        <f t="shared" si="47"/>
        <v>23</v>
      </c>
    </row>
    <row r="459" s="1" customFormat="1" spans="1:12">
      <c r="A459" s="2">
        <v>15.276</v>
      </c>
      <c r="B459" s="10" t="s">
        <v>39</v>
      </c>
      <c r="C459" s="4">
        <v>15.243</v>
      </c>
      <c r="D459" s="5">
        <v>253.8</v>
      </c>
      <c r="E459" s="4"/>
      <c r="F459" s="4"/>
      <c r="G459" s="2">
        <f t="shared" si="42"/>
        <v>15.243</v>
      </c>
      <c r="H459" s="11" t="str">
        <f t="shared" si="43"/>
        <v>3.489E-2</v>
      </c>
      <c r="I459" s="2">
        <f t="shared" si="44"/>
        <v>253.8</v>
      </c>
      <c r="J459" s="4">
        <f t="shared" si="45"/>
        <v>15.243</v>
      </c>
      <c r="K459" s="9">
        <f t="shared" si="46"/>
        <v>5.59999999999998</v>
      </c>
      <c r="L459" s="1">
        <f t="shared" si="47"/>
        <v>23</v>
      </c>
    </row>
    <row r="460" s="1" customFormat="1" spans="1:12">
      <c r="A460" s="2">
        <v>15.309</v>
      </c>
      <c r="B460" s="10" t="s">
        <v>195</v>
      </c>
      <c r="C460" s="4">
        <v>15.276</v>
      </c>
      <c r="D460" s="5">
        <v>253.8</v>
      </c>
      <c r="E460" s="4"/>
      <c r="F460" s="4"/>
      <c r="G460" s="2">
        <f t="shared" si="42"/>
        <v>15.276</v>
      </c>
      <c r="H460" s="11" t="str">
        <f t="shared" si="43"/>
        <v>3.489E-2</v>
      </c>
      <c r="I460" s="2">
        <f t="shared" si="44"/>
        <v>253.8</v>
      </c>
      <c r="J460" s="4">
        <f t="shared" si="45"/>
        <v>15.276</v>
      </c>
      <c r="K460" s="9">
        <f t="shared" si="46"/>
        <v>5.59999999999998</v>
      </c>
      <c r="L460" s="1">
        <f t="shared" si="47"/>
        <v>23</v>
      </c>
    </row>
    <row r="461" s="1" customFormat="1" spans="1:12">
      <c r="A461" s="2">
        <v>15.343</v>
      </c>
      <c r="B461" s="10" t="s">
        <v>39</v>
      </c>
      <c r="C461" s="4">
        <v>15.309</v>
      </c>
      <c r="D461" s="5">
        <v>253.8</v>
      </c>
      <c r="E461" s="4"/>
      <c r="F461" s="4"/>
      <c r="G461" s="2">
        <f t="shared" si="42"/>
        <v>15.309</v>
      </c>
      <c r="H461" s="11" t="str">
        <f t="shared" si="43"/>
        <v>3.488E-2</v>
      </c>
      <c r="I461" s="2">
        <f t="shared" si="44"/>
        <v>253.8</v>
      </c>
      <c r="J461" s="4">
        <f t="shared" si="45"/>
        <v>15.309</v>
      </c>
      <c r="K461" s="9">
        <f t="shared" si="46"/>
        <v>5.50000000000002</v>
      </c>
      <c r="L461" s="1">
        <f t="shared" si="47"/>
        <v>23</v>
      </c>
    </row>
    <row r="462" s="1" customFormat="1" spans="1:12">
      <c r="A462" s="2">
        <v>15.376</v>
      </c>
      <c r="B462" s="10" t="s">
        <v>39</v>
      </c>
      <c r="C462" s="4">
        <v>15.343</v>
      </c>
      <c r="D462" s="5">
        <v>253.8</v>
      </c>
      <c r="E462" s="4"/>
      <c r="F462" s="4"/>
      <c r="G462" s="2">
        <f t="shared" si="42"/>
        <v>15.343</v>
      </c>
      <c r="H462" s="11" t="str">
        <f t="shared" si="43"/>
        <v>3.489E-2</v>
      </c>
      <c r="I462" s="2">
        <f t="shared" si="44"/>
        <v>253.8</v>
      </c>
      <c r="J462" s="4">
        <f t="shared" si="45"/>
        <v>15.343</v>
      </c>
      <c r="K462" s="9">
        <f t="shared" si="46"/>
        <v>5.59999999999998</v>
      </c>
      <c r="L462" s="1">
        <f t="shared" si="47"/>
        <v>23</v>
      </c>
    </row>
    <row r="463" s="1" customFormat="1" spans="1:12">
      <c r="A463" s="2">
        <v>15.41</v>
      </c>
      <c r="B463" s="10" t="s">
        <v>39</v>
      </c>
      <c r="C463" s="4">
        <v>15.376</v>
      </c>
      <c r="D463" s="5">
        <v>253.9</v>
      </c>
      <c r="E463" s="4"/>
      <c r="F463" s="4"/>
      <c r="G463" s="2">
        <f t="shared" si="42"/>
        <v>15.376</v>
      </c>
      <c r="H463" s="11" t="str">
        <f t="shared" si="43"/>
        <v>3.489E-2</v>
      </c>
      <c r="I463" s="2">
        <f t="shared" si="44"/>
        <v>253.8</v>
      </c>
      <c r="J463" s="4">
        <f t="shared" si="45"/>
        <v>15.376</v>
      </c>
      <c r="K463" s="9">
        <f t="shared" si="46"/>
        <v>5.59999999999998</v>
      </c>
      <c r="L463" s="1">
        <f t="shared" si="47"/>
        <v>23</v>
      </c>
    </row>
    <row r="464" s="1" customFormat="1" spans="1:12">
      <c r="A464" s="2">
        <v>15.443</v>
      </c>
      <c r="B464" s="10" t="s">
        <v>194</v>
      </c>
      <c r="C464" s="4">
        <v>15.41</v>
      </c>
      <c r="D464" s="5">
        <v>253.8</v>
      </c>
      <c r="E464" s="4"/>
      <c r="F464" s="4"/>
      <c r="G464" s="2">
        <f t="shared" si="42"/>
        <v>15.41</v>
      </c>
      <c r="H464" s="11" t="str">
        <f t="shared" si="43"/>
        <v>3.489E-2</v>
      </c>
      <c r="I464" s="2">
        <f t="shared" si="44"/>
        <v>253.9</v>
      </c>
      <c r="J464" s="4">
        <f t="shared" si="45"/>
        <v>15.41</v>
      </c>
      <c r="K464" s="9">
        <f t="shared" si="46"/>
        <v>5.59999999999998</v>
      </c>
      <c r="L464" s="1">
        <f t="shared" si="47"/>
        <v>23</v>
      </c>
    </row>
    <row r="465" s="1" customFormat="1" spans="1:12">
      <c r="A465" s="2">
        <v>15.477</v>
      </c>
      <c r="B465" s="10" t="s">
        <v>193</v>
      </c>
      <c r="C465" s="4">
        <v>15.443</v>
      </c>
      <c r="D465" s="5">
        <v>253.8</v>
      </c>
      <c r="E465" s="4"/>
      <c r="F465" s="4"/>
      <c r="G465" s="2">
        <f t="shared" si="42"/>
        <v>15.443</v>
      </c>
      <c r="H465" s="11" t="str">
        <f t="shared" si="43"/>
        <v>3.490E-2</v>
      </c>
      <c r="I465" s="2">
        <f t="shared" si="44"/>
        <v>253.8</v>
      </c>
      <c r="J465" s="4">
        <f t="shared" si="45"/>
        <v>15.443</v>
      </c>
      <c r="K465" s="9">
        <f t="shared" si="46"/>
        <v>5.70000000000001</v>
      </c>
      <c r="L465" s="1">
        <f t="shared" si="47"/>
        <v>23</v>
      </c>
    </row>
    <row r="466" s="1" customFormat="1" spans="1:12">
      <c r="A466" s="2">
        <v>15.51</v>
      </c>
      <c r="B466" s="10" t="s">
        <v>193</v>
      </c>
      <c r="C466" s="4">
        <v>15.477</v>
      </c>
      <c r="D466" s="5">
        <v>253.8</v>
      </c>
      <c r="E466" s="4"/>
      <c r="F466" s="4"/>
      <c r="G466" s="2">
        <f t="shared" si="42"/>
        <v>15.477</v>
      </c>
      <c r="H466" s="11" t="str">
        <f t="shared" si="43"/>
        <v>3.491E-2</v>
      </c>
      <c r="I466" s="2">
        <f t="shared" si="44"/>
        <v>253.8</v>
      </c>
      <c r="J466" s="4">
        <f t="shared" si="45"/>
        <v>15.477</v>
      </c>
      <c r="K466" s="9">
        <f t="shared" si="46"/>
        <v>5.79999999999997</v>
      </c>
      <c r="L466" s="1">
        <f t="shared" si="47"/>
        <v>23</v>
      </c>
    </row>
    <row r="467" s="1" customFormat="1" spans="1:12">
      <c r="A467" s="2">
        <v>15.543</v>
      </c>
      <c r="B467" s="10" t="s">
        <v>189</v>
      </c>
      <c r="C467" s="4">
        <v>15.51</v>
      </c>
      <c r="D467" s="5">
        <v>253.8</v>
      </c>
      <c r="E467" s="4"/>
      <c r="F467" s="4"/>
      <c r="G467" s="2">
        <f t="shared" si="42"/>
        <v>15.51</v>
      </c>
      <c r="H467" s="11" t="str">
        <f t="shared" si="43"/>
        <v>3.491E-2</v>
      </c>
      <c r="I467" s="2">
        <f t="shared" si="44"/>
        <v>253.8</v>
      </c>
      <c r="J467" s="4">
        <f t="shared" si="45"/>
        <v>15.51</v>
      </c>
      <c r="K467" s="9">
        <f t="shared" si="46"/>
        <v>5.79999999999997</v>
      </c>
      <c r="L467" s="1">
        <f t="shared" si="47"/>
        <v>23</v>
      </c>
    </row>
    <row r="468" s="1" customFormat="1" spans="1:12">
      <c r="A468" s="2">
        <v>15.577</v>
      </c>
      <c r="B468" s="10" t="s">
        <v>189</v>
      </c>
      <c r="C468" s="4">
        <v>15.543</v>
      </c>
      <c r="D468" s="5">
        <v>253.8</v>
      </c>
      <c r="E468" s="4"/>
      <c r="F468" s="4"/>
      <c r="G468" s="2">
        <f t="shared" si="42"/>
        <v>15.543</v>
      </c>
      <c r="H468" s="11" t="str">
        <f t="shared" si="43"/>
        <v>3.493E-2</v>
      </c>
      <c r="I468" s="2">
        <f t="shared" si="44"/>
        <v>253.8</v>
      </c>
      <c r="J468" s="4">
        <f t="shared" si="45"/>
        <v>15.543</v>
      </c>
      <c r="K468" s="9">
        <f t="shared" si="46"/>
        <v>6.00000000000003</v>
      </c>
      <c r="L468" s="1">
        <f t="shared" si="47"/>
        <v>23</v>
      </c>
    </row>
    <row r="469" s="1" customFormat="1" spans="1:12">
      <c r="A469" s="2">
        <v>15.61</v>
      </c>
      <c r="B469" s="10" t="s">
        <v>192</v>
      </c>
      <c r="C469" s="4">
        <v>15.577</v>
      </c>
      <c r="D469" s="5">
        <v>253.9</v>
      </c>
      <c r="E469" s="4"/>
      <c r="F469" s="4"/>
      <c r="G469" s="2">
        <f t="shared" si="42"/>
        <v>15.577</v>
      </c>
      <c r="H469" s="11" t="str">
        <f t="shared" si="43"/>
        <v>3.493E-2</v>
      </c>
      <c r="I469" s="2">
        <f t="shared" si="44"/>
        <v>253.8</v>
      </c>
      <c r="J469" s="4">
        <f t="shared" si="45"/>
        <v>15.577</v>
      </c>
      <c r="K469" s="9">
        <f t="shared" si="46"/>
        <v>6.00000000000003</v>
      </c>
      <c r="L469" s="1">
        <f t="shared" si="47"/>
        <v>23</v>
      </c>
    </row>
    <row r="470" s="1" customFormat="1" spans="1:12">
      <c r="A470" s="2">
        <v>15.644</v>
      </c>
      <c r="B470" s="10" t="s">
        <v>37</v>
      </c>
      <c r="C470" s="4">
        <v>15.61</v>
      </c>
      <c r="D470" s="5">
        <v>253.8</v>
      </c>
      <c r="E470" s="4"/>
      <c r="F470" s="4"/>
      <c r="G470" s="2">
        <f t="shared" si="42"/>
        <v>15.61</v>
      </c>
      <c r="H470" s="11" t="str">
        <f t="shared" si="43"/>
        <v>3.495E-2</v>
      </c>
      <c r="I470" s="2">
        <f t="shared" si="44"/>
        <v>253.9</v>
      </c>
      <c r="J470" s="4">
        <f t="shared" si="45"/>
        <v>15.61</v>
      </c>
      <c r="K470" s="9">
        <f t="shared" si="46"/>
        <v>6.20000000000003</v>
      </c>
      <c r="L470" s="1">
        <f t="shared" si="47"/>
        <v>23</v>
      </c>
    </row>
    <row r="471" s="1" customFormat="1" spans="1:12">
      <c r="A471" s="2">
        <v>15.677</v>
      </c>
      <c r="B471" s="10" t="s">
        <v>36</v>
      </c>
      <c r="C471" s="4">
        <v>15.644</v>
      </c>
      <c r="D471" s="5">
        <v>253.8</v>
      </c>
      <c r="E471" s="4"/>
      <c r="F471" s="4"/>
      <c r="G471" s="2">
        <f t="shared" si="42"/>
        <v>15.644</v>
      </c>
      <c r="H471" s="11" t="str">
        <f t="shared" si="43"/>
        <v>3.496E-2</v>
      </c>
      <c r="I471" s="2">
        <f t="shared" si="44"/>
        <v>253.8</v>
      </c>
      <c r="J471" s="4">
        <f t="shared" si="45"/>
        <v>15.644</v>
      </c>
      <c r="K471" s="9">
        <f t="shared" si="46"/>
        <v>6.29999999999999</v>
      </c>
      <c r="L471" s="1">
        <f t="shared" si="47"/>
        <v>23</v>
      </c>
    </row>
    <row r="472" s="1" customFormat="1" spans="1:12">
      <c r="A472" s="2">
        <v>15.711</v>
      </c>
      <c r="B472" s="10" t="s">
        <v>35</v>
      </c>
      <c r="C472" s="4">
        <v>15.677</v>
      </c>
      <c r="D472" s="5">
        <v>253.8</v>
      </c>
      <c r="E472" s="4"/>
      <c r="F472" s="4"/>
      <c r="G472" s="2">
        <f t="shared" si="42"/>
        <v>15.677</v>
      </c>
      <c r="H472" s="11" t="str">
        <f t="shared" si="43"/>
        <v>3.498E-2</v>
      </c>
      <c r="I472" s="2">
        <f t="shared" si="44"/>
        <v>253.8</v>
      </c>
      <c r="J472" s="4">
        <f t="shared" si="45"/>
        <v>15.677</v>
      </c>
      <c r="K472" s="9">
        <f t="shared" si="46"/>
        <v>6.49999999999998</v>
      </c>
      <c r="L472" s="1">
        <f t="shared" si="47"/>
        <v>23</v>
      </c>
    </row>
    <row r="473" s="1" customFormat="1" spans="1:12">
      <c r="A473" s="2">
        <v>15.744</v>
      </c>
      <c r="B473" s="10" t="s">
        <v>35</v>
      </c>
      <c r="C473" s="4">
        <v>15.711</v>
      </c>
      <c r="D473" s="5">
        <v>252.2</v>
      </c>
      <c r="E473" s="4"/>
      <c r="F473" s="4"/>
      <c r="G473" s="2">
        <f t="shared" si="42"/>
        <v>15.711</v>
      </c>
      <c r="H473" s="11" t="str">
        <f t="shared" si="43"/>
        <v>3.500E-2</v>
      </c>
      <c r="I473" s="2">
        <f t="shared" si="44"/>
        <v>253.8</v>
      </c>
      <c r="J473" s="4">
        <f t="shared" si="45"/>
        <v>15.711</v>
      </c>
      <c r="K473" s="9">
        <f t="shared" si="46"/>
        <v>6.70000000000004</v>
      </c>
      <c r="L473" s="1">
        <f t="shared" si="47"/>
        <v>23</v>
      </c>
    </row>
    <row r="474" s="1" customFormat="1" spans="1:12">
      <c r="A474" s="2">
        <v>15.777</v>
      </c>
      <c r="B474" s="10" t="s">
        <v>32</v>
      </c>
      <c r="C474" s="4">
        <v>15.744</v>
      </c>
      <c r="D474" s="5">
        <v>143</v>
      </c>
      <c r="E474" s="4"/>
      <c r="F474" s="4"/>
      <c r="G474" s="2">
        <f t="shared" si="42"/>
        <v>15.744</v>
      </c>
      <c r="H474" s="11" t="str">
        <f t="shared" si="43"/>
        <v>3.500E-2</v>
      </c>
      <c r="I474" s="2">
        <f t="shared" si="44"/>
        <v>252.2</v>
      </c>
      <c r="J474" s="4">
        <f t="shared" si="45"/>
        <v>15.744</v>
      </c>
      <c r="K474" s="9">
        <f t="shared" si="46"/>
        <v>6.70000000000004</v>
      </c>
      <c r="L474" s="1">
        <f t="shared" si="47"/>
        <v>23</v>
      </c>
    </row>
    <row r="475" s="1" customFormat="1" spans="1:12">
      <c r="A475" s="2">
        <v>15.811</v>
      </c>
      <c r="B475" s="10" t="s">
        <v>165</v>
      </c>
      <c r="C475" s="4">
        <v>15.777</v>
      </c>
      <c r="D475" s="5">
        <v>163.9</v>
      </c>
      <c r="E475" s="4"/>
      <c r="F475" s="4"/>
      <c r="G475" s="2">
        <f t="shared" si="42"/>
        <v>15.777</v>
      </c>
      <c r="H475" s="11" t="str">
        <f t="shared" si="43"/>
        <v>3.501E-2</v>
      </c>
      <c r="I475" s="2">
        <f t="shared" si="44"/>
        <v>143</v>
      </c>
      <c r="J475" s="4">
        <f t="shared" si="45"/>
        <v>15.777</v>
      </c>
      <c r="K475" s="9">
        <f t="shared" si="46"/>
        <v>6.8</v>
      </c>
      <c r="L475" s="1">
        <f t="shared" si="47"/>
        <v>-5</v>
      </c>
    </row>
    <row r="476" s="1" customFormat="1" spans="1:12">
      <c r="A476" s="2">
        <v>15.844</v>
      </c>
      <c r="B476" s="10" t="s">
        <v>191</v>
      </c>
      <c r="C476" s="4">
        <v>15.811</v>
      </c>
      <c r="D476" s="5">
        <v>163.5</v>
      </c>
      <c r="E476" s="4"/>
      <c r="F476" s="4"/>
      <c r="G476" s="2">
        <f t="shared" si="42"/>
        <v>15.811</v>
      </c>
      <c r="H476" s="11" t="str">
        <f t="shared" si="43"/>
        <v>3.505E-2</v>
      </c>
      <c r="I476" s="2">
        <f t="shared" si="44"/>
        <v>163.9</v>
      </c>
      <c r="J476" s="4">
        <f t="shared" si="45"/>
        <v>15.811</v>
      </c>
      <c r="K476" s="9">
        <f t="shared" si="46"/>
        <v>7.19999999999998</v>
      </c>
      <c r="L476" s="1">
        <f t="shared" si="47"/>
        <v>-5</v>
      </c>
    </row>
    <row r="477" s="1" customFormat="1" spans="1:12">
      <c r="A477" s="2">
        <v>15.878</v>
      </c>
      <c r="B477" s="10" t="s">
        <v>138</v>
      </c>
      <c r="C477" s="4">
        <v>15.844</v>
      </c>
      <c r="D477" s="5">
        <v>162.1</v>
      </c>
      <c r="E477" s="4"/>
      <c r="F477" s="4"/>
      <c r="G477" s="2">
        <f t="shared" si="42"/>
        <v>15.844</v>
      </c>
      <c r="H477" s="11" t="str">
        <f t="shared" si="43"/>
        <v>3.507E-2</v>
      </c>
      <c r="I477" s="2">
        <f t="shared" si="44"/>
        <v>163.5</v>
      </c>
      <c r="J477" s="4">
        <f t="shared" si="45"/>
        <v>15.844</v>
      </c>
      <c r="K477" s="9">
        <f t="shared" si="46"/>
        <v>7.39999999999998</v>
      </c>
      <c r="L477" s="1">
        <f t="shared" si="47"/>
        <v>-5</v>
      </c>
    </row>
    <row r="478" s="1" customFormat="1" spans="1:12">
      <c r="A478" s="2">
        <v>15.911</v>
      </c>
      <c r="B478" s="10" t="s">
        <v>196</v>
      </c>
      <c r="C478" s="4">
        <v>15.878</v>
      </c>
      <c r="D478" s="5">
        <v>161.5</v>
      </c>
      <c r="E478" s="4"/>
      <c r="F478" s="4"/>
      <c r="G478" s="2">
        <f t="shared" si="42"/>
        <v>15.878</v>
      </c>
      <c r="H478" s="11" t="str">
        <f t="shared" si="43"/>
        <v>3.508E-2</v>
      </c>
      <c r="I478" s="2">
        <f t="shared" si="44"/>
        <v>162.1</v>
      </c>
      <c r="J478" s="4">
        <f t="shared" si="45"/>
        <v>15.878</v>
      </c>
      <c r="K478" s="9">
        <f t="shared" si="46"/>
        <v>7.50000000000001</v>
      </c>
      <c r="L478" s="1">
        <f t="shared" si="47"/>
        <v>-5</v>
      </c>
    </row>
    <row r="479" s="1" customFormat="1" spans="1:12">
      <c r="A479" s="2">
        <v>15.944</v>
      </c>
      <c r="B479" s="10" t="s">
        <v>197</v>
      </c>
      <c r="C479" s="4">
        <v>15.911</v>
      </c>
      <c r="D479" s="5">
        <v>160.5</v>
      </c>
      <c r="E479" s="4"/>
      <c r="F479" s="4"/>
      <c r="G479" s="2">
        <f t="shared" si="42"/>
        <v>15.911</v>
      </c>
      <c r="H479" s="11" t="str">
        <f t="shared" si="43"/>
        <v>3.511E-2</v>
      </c>
      <c r="I479" s="2">
        <f t="shared" si="44"/>
        <v>161.5</v>
      </c>
      <c r="J479" s="4">
        <f t="shared" si="45"/>
        <v>15.911</v>
      </c>
      <c r="K479" s="9">
        <f t="shared" si="46"/>
        <v>7.80000000000003</v>
      </c>
      <c r="L479" s="1">
        <f t="shared" si="47"/>
        <v>-5</v>
      </c>
    </row>
    <row r="480" s="1" customFormat="1" spans="1:12">
      <c r="A480" s="2">
        <v>15.978</v>
      </c>
      <c r="B480" s="10" t="s">
        <v>198</v>
      </c>
      <c r="C480" s="4">
        <v>15.944</v>
      </c>
      <c r="D480" s="5">
        <v>158.8</v>
      </c>
      <c r="E480" s="4"/>
      <c r="F480" s="4"/>
      <c r="G480" s="2">
        <f t="shared" si="42"/>
        <v>15.944</v>
      </c>
      <c r="H480" s="11" t="str">
        <f t="shared" si="43"/>
        <v>3.520E-2</v>
      </c>
      <c r="I480" s="2">
        <f t="shared" si="44"/>
        <v>160.5</v>
      </c>
      <c r="J480" s="4">
        <f t="shared" si="45"/>
        <v>15.944</v>
      </c>
      <c r="K480" s="9">
        <f t="shared" si="46"/>
        <v>8.70000000000003</v>
      </c>
      <c r="L480" s="1">
        <f t="shared" si="47"/>
        <v>-5</v>
      </c>
    </row>
    <row r="481" s="1" customFormat="1" spans="1:12">
      <c r="A481" s="2">
        <v>16.011</v>
      </c>
      <c r="B481" s="10" t="s">
        <v>199</v>
      </c>
      <c r="C481" s="4">
        <v>15.978</v>
      </c>
      <c r="D481" s="5">
        <v>160</v>
      </c>
      <c r="E481" s="4"/>
      <c r="F481" s="4"/>
      <c r="G481" s="2">
        <f t="shared" si="42"/>
        <v>15.978</v>
      </c>
      <c r="H481" s="11" t="str">
        <f t="shared" si="43"/>
        <v>3.525E-2</v>
      </c>
      <c r="I481" s="2">
        <f t="shared" si="44"/>
        <v>158.8</v>
      </c>
      <c r="J481" s="4">
        <f t="shared" si="45"/>
        <v>15.978</v>
      </c>
      <c r="K481" s="9">
        <f t="shared" si="46"/>
        <v>9.19999999999997</v>
      </c>
      <c r="L481" s="1">
        <f t="shared" si="47"/>
        <v>-5</v>
      </c>
    </row>
    <row r="482" s="1" customFormat="1" spans="1:12">
      <c r="A482" s="2">
        <v>16.045</v>
      </c>
      <c r="B482" s="10" t="s">
        <v>164</v>
      </c>
      <c r="C482" s="4">
        <v>16.011</v>
      </c>
      <c r="D482" s="5">
        <v>157.3</v>
      </c>
      <c r="E482" s="4"/>
      <c r="F482" s="4"/>
      <c r="G482" s="2">
        <f t="shared" si="42"/>
        <v>16.011</v>
      </c>
      <c r="H482" s="11" t="str">
        <f t="shared" si="43"/>
        <v>3.529E-2</v>
      </c>
      <c r="I482" s="2">
        <f t="shared" si="44"/>
        <v>160</v>
      </c>
      <c r="J482" s="4">
        <f t="shared" si="45"/>
        <v>16.011</v>
      </c>
      <c r="K482" s="9">
        <f t="shared" si="46"/>
        <v>9.60000000000002</v>
      </c>
      <c r="L482" s="1">
        <f t="shared" si="47"/>
        <v>-5</v>
      </c>
    </row>
    <row r="483" s="1" customFormat="1" spans="1:12">
      <c r="A483" s="2">
        <v>16.078</v>
      </c>
      <c r="B483" s="10" t="s">
        <v>76</v>
      </c>
      <c r="C483" s="4">
        <v>16.045</v>
      </c>
      <c r="D483" s="5">
        <v>156.4</v>
      </c>
      <c r="E483" s="4"/>
      <c r="F483" s="4"/>
      <c r="G483" s="2">
        <f t="shared" si="42"/>
        <v>16.045</v>
      </c>
      <c r="H483" s="11" t="str">
        <f t="shared" si="43"/>
        <v>3.532E-2</v>
      </c>
      <c r="I483" s="2">
        <f t="shared" si="44"/>
        <v>157.3</v>
      </c>
      <c r="J483" s="4">
        <f t="shared" si="45"/>
        <v>16.045</v>
      </c>
      <c r="K483" s="9">
        <f t="shared" si="46"/>
        <v>9.89999999999998</v>
      </c>
      <c r="L483" s="1">
        <f t="shared" si="47"/>
        <v>-5</v>
      </c>
    </row>
    <row r="484" s="1" customFormat="1" spans="1:12">
      <c r="A484" s="2">
        <v>16.112</v>
      </c>
      <c r="B484" s="10" t="s">
        <v>76</v>
      </c>
      <c r="C484" s="4">
        <v>16.078</v>
      </c>
      <c r="D484" s="5">
        <v>155.7</v>
      </c>
      <c r="E484" s="4"/>
      <c r="F484" s="4"/>
      <c r="G484" s="2">
        <f t="shared" si="42"/>
        <v>16.078</v>
      </c>
      <c r="H484" s="11" t="str">
        <f t="shared" si="43"/>
        <v>3.533E-2</v>
      </c>
      <c r="I484" s="2">
        <f t="shared" si="44"/>
        <v>156.4</v>
      </c>
      <c r="J484" s="4">
        <f t="shared" si="45"/>
        <v>16.078</v>
      </c>
      <c r="K484" s="9">
        <f t="shared" si="46"/>
        <v>10</v>
      </c>
      <c r="L484" s="1">
        <f t="shared" si="47"/>
        <v>-5</v>
      </c>
    </row>
    <row r="485" s="1" customFormat="1" spans="1:12">
      <c r="A485" s="2">
        <v>16.145</v>
      </c>
      <c r="B485" s="10" t="s">
        <v>164</v>
      </c>
      <c r="C485" s="4">
        <v>16.112</v>
      </c>
      <c r="D485" s="5">
        <v>155.2</v>
      </c>
      <c r="E485" s="4"/>
      <c r="F485" s="4"/>
      <c r="G485" s="2">
        <f t="shared" si="42"/>
        <v>16.112</v>
      </c>
      <c r="H485" s="11" t="str">
        <f t="shared" si="43"/>
        <v>3.533E-2</v>
      </c>
      <c r="I485" s="2">
        <f t="shared" si="44"/>
        <v>155.7</v>
      </c>
      <c r="J485" s="4">
        <f t="shared" si="45"/>
        <v>16.112</v>
      </c>
      <c r="K485" s="9">
        <f t="shared" si="46"/>
        <v>10</v>
      </c>
      <c r="L485" s="1">
        <f t="shared" si="47"/>
        <v>-5</v>
      </c>
    </row>
    <row r="486" s="1" customFormat="1" spans="1:12">
      <c r="A486" s="2">
        <v>16.178</v>
      </c>
      <c r="B486" s="10" t="s">
        <v>164</v>
      </c>
      <c r="C486" s="4">
        <v>16.145</v>
      </c>
      <c r="D486" s="5">
        <v>153.9</v>
      </c>
      <c r="E486" s="4"/>
      <c r="F486" s="4"/>
      <c r="G486" s="2">
        <f t="shared" si="42"/>
        <v>16.145</v>
      </c>
      <c r="H486" s="11" t="str">
        <f t="shared" si="43"/>
        <v>3.532E-2</v>
      </c>
      <c r="I486" s="2">
        <f t="shared" si="44"/>
        <v>155.2</v>
      </c>
      <c r="J486" s="4">
        <f t="shared" si="45"/>
        <v>16.145</v>
      </c>
      <c r="K486" s="9">
        <f t="shared" si="46"/>
        <v>9.89999999999998</v>
      </c>
      <c r="L486" s="1">
        <f t="shared" si="47"/>
        <v>-5</v>
      </c>
    </row>
    <row r="487" s="1" customFormat="1" spans="1:12">
      <c r="A487" s="2">
        <v>16.212</v>
      </c>
      <c r="B487" s="10" t="s">
        <v>199</v>
      </c>
      <c r="C487" s="4">
        <v>16.178</v>
      </c>
      <c r="D487" s="5">
        <v>152.8</v>
      </c>
      <c r="E487" s="4"/>
      <c r="F487" s="4"/>
      <c r="G487" s="2">
        <f t="shared" si="42"/>
        <v>16.178</v>
      </c>
      <c r="H487" s="11" t="str">
        <f t="shared" si="43"/>
        <v>3.532E-2</v>
      </c>
      <c r="I487" s="2">
        <f t="shared" si="44"/>
        <v>153.9</v>
      </c>
      <c r="J487" s="4">
        <f t="shared" si="45"/>
        <v>16.178</v>
      </c>
      <c r="K487" s="9">
        <f t="shared" si="46"/>
        <v>9.89999999999998</v>
      </c>
      <c r="L487" s="1">
        <f t="shared" si="47"/>
        <v>-5</v>
      </c>
    </row>
    <row r="488" s="1" customFormat="1" spans="1:12">
      <c r="A488" s="2">
        <v>16.245</v>
      </c>
      <c r="B488" s="10" t="s">
        <v>62</v>
      </c>
      <c r="C488" s="4">
        <v>16.212</v>
      </c>
      <c r="D488" s="5">
        <v>152</v>
      </c>
      <c r="E488" s="4"/>
      <c r="F488" s="4"/>
      <c r="G488" s="2">
        <f t="shared" si="42"/>
        <v>16.212</v>
      </c>
      <c r="H488" s="11" t="str">
        <f t="shared" si="43"/>
        <v>3.529E-2</v>
      </c>
      <c r="I488" s="2">
        <f t="shared" si="44"/>
        <v>152.8</v>
      </c>
      <c r="J488" s="4">
        <f t="shared" si="45"/>
        <v>16.212</v>
      </c>
      <c r="K488" s="9">
        <f t="shared" si="46"/>
        <v>9.60000000000002</v>
      </c>
      <c r="L488" s="1">
        <f t="shared" si="47"/>
        <v>-5</v>
      </c>
    </row>
    <row r="489" s="1" customFormat="1" spans="1:12">
      <c r="A489" s="2">
        <v>16.279</v>
      </c>
      <c r="B489" s="10" t="s">
        <v>200</v>
      </c>
      <c r="C489" s="4">
        <v>16.245</v>
      </c>
      <c r="D489" s="5">
        <v>151.9</v>
      </c>
      <c r="E489" s="4"/>
      <c r="F489" s="4"/>
      <c r="G489" s="2">
        <f t="shared" si="42"/>
        <v>16.245</v>
      </c>
      <c r="H489" s="11" t="str">
        <f t="shared" si="43"/>
        <v>3.527E-2</v>
      </c>
      <c r="I489" s="2">
        <f t="shared" si="44"/>
        <v>152</v>
      </c>
      <c r="J489" s="4">
        <f t="shared" si="45"/>
        <v>16.245</v>
      </c>
      <c r="K489" s="9">
        <f t="shared" si="46"/>
        <v>9.40000000000003</v>
      </c>
      <c r="L489" s="1">
        <f t="shared" si="47"/>
        <v>-5</v>
      </c>
    </row>
    <row r="490" s="1" customFormat="1" spans="1:12">
      <c r="A490" s="2">
        <v>16.312</v>
      </c>
      <c r="B490" s="10" t="s">
        <v>137</v>
      </c>
      <c r="C490" s="4">
        <v>16.279</v>
      </c>
      <c r="D490" s="5">
        <v>150.4</v>
      </c>
      <c r="E490" s="4"/>
      <c r="F490" s="4"/>
      <c r="G490" s="2">
        <f t="shared" si="42"/>
        <v>16.279</v>
      </c>
      <c r="H490" s="11" t="str">
        <f t="shared" si="43"/>
        <v>3.526E-2</v>
      </c>
      <c r="I490" s="2">
        <f t="shared" si="44"/>
        <v>151.9</v>
      </c>
      <c r="J490" s="4">
        <f t="shared" si="45"/>
        <v>16.279</v>
      </c>
      <c r="K490" s="9">
        <f t="shared" si="46"/>
        <v>9.3</v>
      </c>
      <c r="L490" s="1">
        <f t="shared" si="47"/>
        <v>-5</v>
      </c>
    </row>
    <row r="491" s="1" customFormat="1" spans="1:12">
      <c r="A491" s="2">
        <v>16.346</v>
      </c>
      <c r="B491" s="10" t="s">
        <v>201</v>
      </c>
      <c r="C491" s="4">
        <v>16.312</v>
      </c>
      <c r="D491" s="5">
        <v>148.5</v>
      </c>
      <c r="E491" s="4"/>
      <c r="F491" s="4"/>
      <c r="G491" s="2">
        <f t="shared" si="42"/>
        <v>16.312</v>
      </c>
      <c r="H491" s="11" t="str">
        <f t="shared" si="43"/>
        <v>3.524E-2</v>
      </c>
      <c r="I491" s="2">
        <f t="shared" si="44"/>
        <v>150.4</v>
      </c>
      <c r="J491" s="4">
        <f t="shared" si="45"/>
        <v>16.312</v>
      </c>
      <c r="K491" s="9">
        <f t="shared" si="46"/>
        <v>9.10000000000001</v>
      </c>
      <c r="L491" s="1">
        <f t="shared" si="47"/>
        <v>-5</v>
      </c>
    </row>
    <row r="492" s="1" customFormat="1" spans="1:12">
      <c r="A492" s="2">
        <v>16.379</v>
      </c>
      <c r="B492" s="10" t="s">
        <v>90</v>
      </c>
      <c r="C492" s="4">
        <v>16.346</v>
      </c>
      <c r="D492" s="5">
        <v>147.5</v>
      </c>
      <c r="E492" s="4"/>
      <c r="F492" s="4"/>
      <c r="G492" s="2">
        <f t="shared" si="42"/>
        <v>16.346</v>
      </c>
      <c r="H492" s="11" t="str">
        <f t="shared" si="43"/>
        <v>3.521E-2</v>
      </c>
      <c r="I492" s="2">
        <f t="shared" si="44"/>
        <v>148.5</v>
      </c>
      <c r="J492" s="4">
        <f t="shared" si="45"/>
        <v>16.346</v>
      </c>
      <c r="K492" s="9">
        <f t="shared" si="46"/>
        <v>8.79999999999999</v>
      </c>
      <c r="L492" s="1">
        <f t="shared" si="47"/>
        <v>-5</v>
      </c>
    </row>
    <row r="493" s="1" customFormat="1" spans="1:12">
      <c r="A493" s="2">
        <v>16.412</v>
      </c>
      <c r="B493" s="10" t="s">
        <v>77</v>
      </c>
      <c r="C493" s="4">
        <v>16.379</v>
      </c>
      <c r="D493" s="5">
        <v>147.7</v>
      </c>
      <c r="E493" s="4"/>
      <c r="F493" s="4"/>
      <c r="G493" s="2">
        <f t="shared" si="42"/>
        <v>16.379</v>
      </c>
      <c r="H493" s="11" t="str">
        <f t="shared" si="43"/>
        <v>3.519E-2</v>
      </c>
      <c r="I493" s="2">
        <f t="shared" si="44"/>
        <v>147.5</v>
      </c>
      <c r="J493" s="4">
        <f t="shared" si="45"/>
        <v>16.379</v>
      </c>
      <c r="K493" s="9">
        <f t="shared" si="46"/>
        <v>8.6</v>
      </c>
      <c r="L493" s="1">
        <f t="shared" si="47"/>
        <v>-5</v>
      </c>
    </row>
    <row r="494" s="1" customFormat="1" spans="1:12">
      <c r="A494" s="2">
        <v>16.446</v>
      </c>
      <c r="B494" s="10" t="s">
        <v>188</v>
      </c>
      <c r="C494" s="4">
        <v>16.412</v>
      </c>
      <c r="D494" s="5">
        <v>146.9</v>
      </c>
      <c r="E494" s="4"/>
      <c r="F494" s="4"/>
      <c r="G494" s="2">
        <f t="shared" si="42"/>
        <v>16.412</v>
      </c>
      <c r="H494" s="11" t="str">
        <f t="shared" si="43"/>
        <v>3.517E-2</v>
      </c>
      <c r="I494" s="2">
        <f t="shared" si="44"/>
        <v>147.7</v>
      </c>
      <c r="J494" s="4">
        <f t="shared" si="45"/>
        <v>16.412</v>
      </c>
      <c r="K494" s="9">
        <f t="shared" si="46"/>
        <v>8.4</v>
      </c>
      <c r="L494" s="1">
        <f t="shared" si="47"/>
        <v>-5</v>
      </c>
    </row>
    <row r="495" s="1" customFormat="1" spans="1:12">
      <c r="A495" s="2">
        <v>16.479</v>
      </c>
      <c r="B495" s="10" t="s">
        <v>120</v>
      </c>
      <c r="C495" s="4">
        <v>16.446</v>
      </c>
      <c r="D495" s="5">
        <v>144.5</v>
      </c>
      <c r="E495" s="4"/>
      <c r="F495" s="4"/>
      <c r="G495" s="2">
        <f t="shared" si="42"/>
        <v>16.446</v>
      </c>
      <c r="H495" s="11" t="str">
        <f t="shared" si="43"/>
        <v>3.513E-2</v>
      </c>
      <c r="I495" s="2">
        <f t="shared" si="44"/>
        <v>146.9</v>
      </c>
      <c r="J495" s="4">
        <f t="shared" si="45"/>
        <v>16.446</v>
      </c>
      <c r="K495" s="9">
        <f t="shared" si="46"/>
        <v>8.00000000000002</v>
      </c>
      <c r="L495" s="1">
        <f t="shared" si="47"/>
        <v>-5</v>
      </c>
    </row>
    <row r="496" s="1" customFormat="1" spans="1:12">
      <c r="A496" s="2">
        <v>16.513</v>
      </c>
      <c r="B496" s="10" t="s">
        <v>173</v>
      </c>
      <c r="C496" s="4">
        <v>16.479</v>
      </c>
      <c r="D496" s="5">
        <v>238.6</v>
      </c>
      <c r="E496" s="4"/>
      <c r="F496" s="4"/>
      <c r="G496" s="2">
        <f t="shared" si="42"/>
        <v>16.479</v>
      </c>
      <c r="H496" s="11" t="str">
        <f t="shared" si="43"/>
        <v>3.510E-2</v>
      </c>
      <c r="I496" s="2">
        <f t="shared" si="44"/>
        <v>144.5</v>
      </c>
      <c r="J496" s="4">
        <f t="shared" si="45"/>
        <v>16.479</v>
      </c>
      <c r="K496" s="9">
        <f t="shared" si="46"/>
        <v>7.7</v>
      </c>
      <c r="L496" s="1">
        <f t="shared" si="47"/>
        <v>-5</v>
      </c>
    </row>
    <row r="497" s="1" customFormat="1" spans="1:12">
      <c r="A497" s="2">
        <v>16.546</v>
      </c>
      <c r="B497" s="10" t="s">
        <v>37</v>
      </c>
      <c r="C497" s="4">
        <v>16.513</v>
      </c>
      <c r="D497" s="5">
        <v>253.8</v>
      </c>
      <c r="E497" s="4"/>
      <c r="F497" s="4"/>
      <c r="G497" s="2">
        <f t="shared" si="42"/>
        <v>16.513</v>
      </c>
      <c r="H497" s="11" t="str">
        <f t="shared" si="43"/>
        <v>3.506E-2</v>
      </c>
      <c r="I497" s="2">
        <f t="shared" si="44"/>
        <v>238.6</v>
      </c>
      <c r="J497" s="4">
        <f t="shared" si="45"/>
        <v>16.513</v>
      </c>
      <c r="K497" s="9">
        <f t="shared" si="46"/>
        <v>7.30000000000001</v>
      </c>
      <c r="L497" s="1">
        <f t="shared" si="47"/>
        <v>23</v>
      </c>
    </row>
    <row r="498" s="1" customFormat="1" spans="1:12">
      <c r="A498" s="2">
        <v>16.58</v>
      </c>
      <c r="B498" s="10" t="s">
        <v>39</v>
      </c>
      <c r="C498" s="4">
        <v>16.546</v>
      </c>
      <c r="D498" s="5">
        <v>253.8</v>
      </c>
      <c r="E498" s="4"/>
      <c r="F498" s="4"/>
      <c r="G498" s="2">
        <f t="shared" si="42"/>
        <v>16.546</v>
      </c>
      <c r="H498" s="11" t="str">
        <f t="shared" si="43"/>
        <v>3.496E-2</v>
      </c>
      <c r="I498" s="2">
        <f t="shared" si="44"/>
        <v>253.8</v>
      </c>
      <c r="J498" s="4">
        <f t="shared" si="45"/>
        <v>16.546</v>
      </c>
      <c r="K498" s="9">
        <f t="shared" si="46"/>
        <v>6.29999999999999</v>
      </c>
      <c r="L498" s="1">
        <f t="shared" si="47"/>
        <v>23</v>
      </c>
    </row>
    <row r="499" s="1" customFormat="1" spans="1:12">
      <c r="A499" s="2">
        <v>16.613</v>
      </c>
      <c r="B499" s="10" t="s">
        <v>30</v>
      </c>
      <c r="C499" s="4">
        <v>16.58</v>
      </c>
      <c r="D499" s="5">
        <v>253.8</v>
      </c>
      <c r="E499" s="4"/>
      <c r="F499" s="4"/>
      <c r="G499" s="2">
        <f t="shared" si="42"/>
        <v>16.58</v>
      </c>
      <c r="H499" s="11" t="str">
        <f t="shared" si="43"/>
        <v>3.489E-2</v>
      </c>
      <c r="I499" s="2">
        <f t="shared" si="44"/>
        <v>253.8</v>
      </c>
      <c r="J499" s="4">
        <f t="shared" si="45"/>
        <v>16.58</v>
      </c>
      <c r="K499" s="9">
        <f t="shared" si="46"/>
        <v>5.59999999999998</v>
      </c>
      <c r="L499" s="1">
        <f t="shared" si="47"/>
        <v>23</v>
      </c>
    </row>
    <row r="500" s="1" customFormat="1" spans="1:12">
      <c r="A500" s="2">
        <v>16.646</v>
      </c>
      <c r="B500" s="10" t="s">
        <v>145</v>
      </c>
      <c r="C500" s="4">
        <v>16.613</v>
      </c>
      <c r="D500" s="5">
        <v>253.8</v>
      </c>
      <c r="E500" s="4"/>
      <c r="F500" s="4"/>
      <c r="G500" s="2">
        <f t="shared" si="42"/>
        <v>16.613</v>
      </c>
      <c r="H500" s="11" t="str">
        <f t="shared" si="43"/>
        <v>3.484E-2</v>
      </c>
      <c r="I500" s="2">
        <f t="shared" si="44"/>
        <v>253.8</v>
      </c>
      <c r="J500" s="4">
        <f t="shared" si="45"/>
        <v>16.613</v>
      </c>
      <c r="K500" s="9">
        <f t="shared" si="46"/>
        <v>5.10000000000004</v>
      </c>
      <c r="L500" s="1">
        <f t="shared" si="47"/>
        <v>23</v>
      </c>
    </row>
    <row r="501" s="1" customFormat="1" spans="1:12">
      <c r="A501" s="2">
        <v>16.68</v>
      </c>
      <c r="B501" s="10" t="s">
        <v>202</v>
      </c>
      <c r="C501" s="4">
        <v>16.646</v>
      </c>
      <c r="D501" s="5">
        <v>253.8</v>
      </c>
      <c r="E501" s="4"/>
      <c r="F501" s="4"/>
      <c r="G501" s="2">
        <f t="shared" si="42"/>
        <v>16.646</v>
      </c>
      <c r="H501" s="11" t="str">
        <f t="shared" si="43"/>
        <v>3.479E-2</v>
      </c>
      <c r="I501" s="2">
        <f t="shared" si="44"/>
        <v>253.8</v>
      </c>
      <c r="J501" s="4">
        <f t="shared" si="45"/>
        <v>16.646</v>
      </c>
      <c r="K501" s="9">
        <f t="shared" si="46"/>
        <v>4.60000000000002</v>
      </c>
      <c r="L501" s="1">
        <f t="shared" si="47"/>
        <v>23</v>
      </c>
    </row>
    <row r="502" s="1" customFormat="1" spans="1:12">
      <c r="A502" s="2">
        <v>16.713</v>
      </c>
      <c r="B502" s="10" t="s">
        <v>166</v>
      </c>
      <c r="C502" s="4">
        <v>16.68</v>
      </c>
      <c r="D502" s="5">
        <v>253.8</v>
      </c>
      <c r="E502" s="4"/>
      <c r="F502" s="4"/>
      <c r="G502" s="2">
        <f t="shared" si="42"/>
        <v>16.68</v>
      </c>
      <c r="H502" s="11" t="str">
        <f t="shared" si="43"/>
        <v>3.475E-2</v>
      </c>
      <c r="I502" s="2">
        <f t="shared" si="44"/>
        <v>253.8</v>
      </c>
      <c r="J502" s="4">
        <f t="shared" si="45"/>
        <v>16.68</v>
      </c>
      <c r="K502" s="9">
        <f t="shared" si="46"/>
        <v>4.20000000000004</v>
      </c>
      <c r="L502" s="1">
        <f t="shared" si="47"/>
        <v>23</v>
      </c>
    </row>
    <row r="503" s="1" customFormat="1" spans="1:12">
      <c r="A503" s="2">
        <v>16.747</v>
      </c>
      <c r="B503" s="10" t="s">
        <v>203</v>
      </c>
      <c r="C503" s="4">
        <v>16.713</v>
      </c>
      <c r="D503" s="5">
        <v>253.8</v>
      </c>
      <c r="E503" s="4"/>
      <c r="F503" s="4"/>
      <c r="G503" s="2">
        <f t="shared" si="42"/>
        <v>16.713</v>
      </c>
      <c r="H503" s="11" t="str">
        <f t="shared" si="43"/>
        <v>3.465E-2</v>
      </c>
      <c r="I503" s="2">
        <f t="shared" si="44"/>
        <v>253.8</v>
      </c>
      <c r="J503" s="4">
        <f t="shared" si="45"/>
        <v>16.713</v>
      </c>
      <c r="K503" s="9">
        <f t="shared" si="46"/>
        <v>3.20000000000001</v>
      </c>
      <c r="L503" s="1">
        <f t="shared" si="47"/>
        <v>23</v>
      </c>
    </row>
    <row r="504" s="1" customFormat="1" spans="1:12">
      <c r="A504" s="2">
        <v>16.78</v>
      </c>
      <c r="B504" s="10" t="s">
        <v>110</v>
      </c>
      <c r="C504" s="4">
        <v>16.747</v>
      </c>
      <c r="D504" s="5">
        <v>253.8</v>
      </c>
      <c r="E504" s="4"/>
      <c r="F504" s="4"/>
      <c r="G504" s="2">
        <f t="shared" si="42"/>
        <v>16.747</v>
      </c>
      <c r="H504" s="11" t="str">
        <f t="shared" si="43"/>
        <v>3.460E-2</v>
      </c>
      <c r="I504" s="2">
        <f t="shared" si="44"/>
        <v>253.8</v>
      </c>
      <c r="J504" s="4">
        <f t="shared" si="45"/>
        <v>16.747</v>
      </c>
      <c r="K504" s="9">
        <f t="shared" si="46"/>
        <v>2.69999999999999</v>
      </c>
      <c r="L504" s="1">
        <f t="shared" si="47"/>
        <v>23</v>
      </c>
    </row>
    <row r="505" s="1" customFormat="1" spans="1:12">
      <c r="A505" s="2">
        <v>16.814</v>
      </c>
      <c r="B505" s="10" t="s">
        <v>41</v>
      </c>
      <c r="C505" s="4">
        <v>16.78</v>
      </c>
      <c r="D505" s="5">
        <v>253.8</v>
      </c>
      <c r="E505" s="4"/>
      <c r="F505" s="4"/>
      <c r="G505" s="2">
        <f t="shared" si="42"/>
        <v>16.78</v>
      </c>
      <c r="H505" s="11" t="str">
        <f t="shared" si="43"/>
        <v>3.457E-2</v>
      </c>
      <c r="I505" s="2">
        <f t="shared" si="44"/>
        <v>253.8</v>
      </c>
      <c r="J505" s="4">
        <f t="shared" si="45"/>
        <v>16.78</v>
      </c>
      <c r="K505" s="9">
        <f t="shared" si="46"/>
        <v>2.39999999999997</v>
      </c>
      <c r="L505" s="1">
        <f t="shared" si="47"/>
        <v>23</v>
      </c>
    </row>
    <row r="506" s="1" customFormat="1" spans="1:12">
      <c r="A506" s="2">
        <v>16.847</v>
      </c>
      <c r="B506" s="10" t="s">
        <v>140</v>
      </c>
      <c r="C506" s="4">
        <v>16.814</v>
      </c>
      <c r="D506" s="5">
        <v>253.8</v>
      </c>
      <c r="E506" s="4"/>
      <c r="F506" s="4"/>
      <c r="G506" s="2">
        <f t="shared" si="42"/>
        <v>16.814</v>
      </c>
      <c r="H506" s="11" t="str">
        <f t="shared" si="43"/>
        <v>3.456E-2</v>
      </c>
      <c r="I506" s="2">
        <f t="shared" si="44"/>
        <v>253.8</v>
      </c>
      <c r="J506" s="4">
        <f t="shared" si="45"/>
        <v>16.814</v>
      </c>
      <c r="K506" s="9">
        <f t="shared" si="46"/>
        <v>2.30000000000001</v>
      </c>
      <c r="L506" s="1">
        <f t="shared" si="47"/>
        <v>23</v>
      </c>
    </row>
    <row r="507" s="1" customFormat="1" spans="1:12">
      <c r="A507" s="2">
        <v>16.88</v>
      </c>
      <c r="B507" s="10" t="s">
        <v>41</v>
      </c>
      <c r="C507" s="4">
        <v>16.847</v>
      </c>
      <c r="D507" s="5">
        <v>253.8</v>
      </c>
      <c r="E507" s="4"/>
      <c r="F507" s="4"/>
      <c r="G507" s="2">
        <f t="shared" si="42"/>
        <v>16.847</v>
      </c>
      <c r="H507" s="11" t="str">
        <f t="shared" si="43"/>
        <v>3.454E-2</v>
      </c>
      <c r="I507" s="2">
        <f t="shared" si="44"/>
        <v>253.8</v>
      </c>
      <c r="J507" s="4">
        <f t="shared" si="45"/>
        <v>16.847</v>
      </c>
      <c r="K507" s="9">
        <f t="shared" si="46"/>
        <v>2.10000000000002</v>
      </c>
      <c r="L507" s="1">
        <f t="shared" si="47"/>
        <v>23</v>
      </c>
    </row>
    <row r="508" s="1" customFormat="1" spans="1:12">
      <c r="A508" s="2">
        <v>16.914</v>
      </c>
      <c r="B508" s="10" t="s">
        <v>110</v>
      </c>
      <c r="C508" s="4">
        <v>16.88</v>
      </c>
      <c r="D508" s="5">
        <v>253.8</v>
      </c>
      <c r="E508" s="4"/>
      <c r="F508" s="4"/>
      <c r="G508" s="2">
        <f t="shared" si="42"/>
        <v>16.88</v>
      </c>
      <c r="H508" s="11" t="str">
        <f t="shared" si="43"/>
        <v>3.456E-2</v>
      </c>
      <c r="I508" s="2">
        <f t="shared" si="44"/>
        <v>253.8</v>
      </c>
      <c r="J508" s="4">
        <f t="shared" si="45"/>
        <v>16.88</v>
      </c>
      <c r="K508" s="9">
        <f t="shared" si="46"/>
        <v>2.30000000000001</v>
      </c>
      <c r="L508" s="1">
        <f t="shared" si="47"/>
        <v>23</v>
      </c>
    </row>
    <row r="509" s="1" customFormat="1" spans="1:12">
      <c r="A509" s="2">
        <v>16.947</v>
      </c>
      <c r="B509" s="10" t="s">
        <v>203</v>
      </c>
      <c r="C509" s="4">
        <v>16.914</v>
      </c>
      <c r="D509" s="5">
        <v>253.8</v>
      </c>
      <c r="E509" s="4"/>
      <c r="F509" s="4"/>
      <c r="G509" s="2">
        <f t="shared" si="42"/>
        <v>16.914</v>
      </c>
      <c r="H509" s="11" t="str">
        <f t="shared" si="43"/>
        <v>3.457E-2</v>
      </c>
      <c r="I509" s="2">
        <f t="shared" si="44"/>
        <v>253.8</v>
      </c>
      <c r="J509" s="4">
        <f t="shared" si="45"/>
        <v>16.914</v>
      </c>
      <c r="K509" s="9">
        <f t="shared" si="46"/>
        <v>2.39999999999997</v>
      </c>
      <c r="L509" s="1">
        <f t="shared" si="47"/>
        <v>23</v>
      </c>
    </row>
    <row r="510" s="1" customFormat="1" spans="1:12">
      <c r="A510" s="2">
        <v>16.981</v>
      </c>
      <c r="B510" s="10" t="s">
        <v>89</v>
      </c>
      <c r="C510" s="4">
        <v>16.947</v>
      </c>
      <c r="D510" s="5">
        <v>253.8</v>
      </c>
      <c r="E510" s="4"/>
      <c r="F510" s="4"/>
      <c r="G510" s="2">
        <f t="shared" si="42"/>
        <v>16.947</v>
      </c>
      <c r="H510" s="11" t="str">
        <f t="shared" si="43"/>
        <v>3.460E-2</v>
      </c>
      <c r="I510" s="2">
        <f t="shared" si="44"/>
        <v>253.8</v>
      </c>
      <c r="J510" s="4">
        <f t="shared" si="45"/>
        <v>16.947</v>
      </c>
      <c r="K510" s="9">
        <f t="shared" si="46"/>
        <v>2.69999999999999</v>
      </c>
      <c r="L510" s="1">
        <f t="shared" si="47"/>
        <v>23</v>
      </c>
    </row>
    <row r="511" s="1" customFormat="1" spans="1:12">
      <c r="A511" s="2">
        <v>17.014</v>
      </c>
      <c r="B511" s="10" t="s">
        <v>166</v>
      </c>
      <c r="C511" s="4">
        <v>16.981</v>
      </c>
      <c r="D511" s="5">
        <v>253.8</v>
      </c>
      <c r="E511" s="4"/>
      <c r="F511" s="4"/>
      <c r="G511" s="2">
        <f t="shared" si="42"/>
        <v>16.981</v>
      </c>
      <c r="H511" s="11" t="str">
        <f t="shared" si="43"/>
        <v>3.462E-2</v>
      </c>
      <c r="I511" s="2">
        <f t="shared" si="44"/>
        <v>253.8</v>
      </c>
      <c r="J511" s="4">
        <f t="shared" si="45"/>
        <v>16.981</v>
      </c>
      <c r="K511" s="9">
        <f t="shared" si="46"/>
        <v>2.89999999999999</v>
      </c>
      <c r="L511" s="1">
        <f t="shared" si="47"/>
        <v>23</v>
      </c>
    </row>
    <row r="512" s="1" customFormat="1" spans="1:12">
      <c r="A512" s="2">
        <v>17.048</v>
      </c>
      <c r="B512" s="10" t="s">
        <v>204</v>
      </c>
      <c r="C512" s="4">
        <v>17.014</v>
      </c>
      <c r="D512" s="5">
        <v>253.8</v>
      </c>
      <c r="E512" s="4"/>
      <c r="F512" s="4"/>
      <c r="G512" s="2">
        <f t="shared" si="42"/>
        <v>17.014</v>
      </c>
      <c r="H512" s="11" t="str">
        <f t="shared" si="43"/>
        <v>3.465E-2</v>
      </c>
      <c r="I512" s="2">
        <f t="shared" si="44"/>
        <v>253.8</v>
      </c>
      <c r="J512" s="4">
        <f t="shared" si="45"/>
        <v>17.014</v>
      </c>
      <c r="K512" s="9">
        <f t="shared" si="46"/>
        <v>3.20000000000001</v>
      </c>
      <c r="L512" s="1">
        <f t="shared" si="47"/>
        <v>23</v>
      </c>
    </row>
    <row r="513" s="1" customFormat="1" spans="1:12">
      <c r="A513" s="2">
        <v>17.081</v>
      </c>
      <c r="B513" s="10" t="s">
        <v>119</v>
      </c>
      <c r="C513" s="4">
        <v>17.048</v>
      </c>
      <c r="D513" s="5">
        <v>253.8</v>
      </c>
      <c r="E513" s="4"/>
      <c r="F513" s="4"/>
      <c r="G513" s="2">
        <f t="shared" si="42"/>
        <v>17.048</v>
      </c>
      <c r="H513" s="11" t="str">
        <f t="shared" si="43"/>
        <v>3.468E-2</v>
      </c>
      <c r="I513" s="2">
        <f t="shared" si="44"/>
        <v>253.8</v>
      </c>
      <c r="J513" s="4">
        <f t="shared" si="45"/>
        <v>17.048</v>
      </c>
      <c r="K513" s="9">
        <f t="shared" si="46"/>
        <v>3.50000000000003</v>
      </c>
      <c r="L513" s="1">
        <f t="shared" si="47"/>
        <v>23</v>
      </c>
    </row>
    <row r="514" s="1" customFormat="1" spans="1:12">
      <c r="A514" s="2">
        <v>17.114</v>
      </c>
      <c r="B514" s="10" t="s">
        <v>202</v>
      </c>
      <c r="C514" s="4">
        <v>17.081</v>
      </c>
      <c r="D514" s="5">
        <v>253.8</v>
      </c>
      <c r="E514" s="4"/>
      <c r="F514" s="4"/>
      <c r="G514" s="2">
        <f t="shared" si="42"/>
        <v>17.081</v>
      </c>
      <c r="H514" s="11" t="str">
        <f t="shared" si="43"/>
        <v>3.471E-2</v>
      </c>
      <c r="I514" s="2">
        <f t="shared" si="44"/>
        <v>253.8</v>
      </c>
      <c r="J514" s="4">
        <f t="shared" si="45"/>
        <v>17.081</v>
      </c>
      <c r="K514" s="9">
        <f t="shared" si="46"/>
        <v>3.79999999999998</v>
      </c>
      <c r="L514" s="1">
        <f t="shared" si="47"/>
        <v>23</v>
      </c>
    </row>
    <row r="515" s="1" customFormat="1" spans="1:12">
      <c r="A515" s="2">
        <v>17.148</v>
      </c>
      <c r="B515" s="10" t="s">
        <v>205</v>
      </c>
      <c r="C515" s="4">
        <v>17.114</v>
      </c>
      <c r="D515" s="5">
        <v>253.8</v>
      </c>
      <c r="E515" s="4"/>
      <c r="F515" s="4"/>
      <c r="G515" s="2">
        <f t="shared" si="42"/>
        <v>17.114</v>
      </c>
      <c r="H515" s="11" t="str">
        <f t="shared" si="43"/>
        <v>3.475E-2</v>
      </c>
      <c r="I515" s="2">
        <f t="shared" si="44"/>
        <v>253.8</v>
      </c>
      <c r="J515" s="4">
        <f t="shared" si="45"/>
        <v>17.114</v>
      </c>
      <c r="K515" s="9">
        <f t="shared" si="46"/>
        <v>4.20000000000004</v>
      </c>
      <c r="L515" s="1">
        <f t="shared" si="47"/>
        <v>23</v>
      </c>
    </row>
    <row r="516" s="1" customFormat="1" spans="1:12">
      <c r="A516" s="2">
        <v>17.181</v>
      </c>
      <c r="B516" s="10" t="s">
        <v>31</v>
      </c>
      <c r="C516" s="4">
        <v>17.148</v>
      </c>
      <c r="D516" s="5">
        <v>253.8</v>
      </c>
      <c r="E516" s="4"/>
      <c r="F516" s="4"/>
      <c r="G516" s="2">
        <f t="shared" ref="G516:G579" si="48">A515</f>
        <v>17.148</v>
      </c>
      <c r="H516" s="11" t="str">
        <f t="shared" ref="H516:H579" si="49">B515</f>
        <v>3.481E-2</v>
      </c>
      <c r="I516" s="2">
        <f t="shared" ref="I516:I579" si="50">D515</f>
        <v>253.8</v>
      </c>
      <c r="J516" s="4">
        <f t="shared" ref="J516:J579" si="51">G516</f>
        <v>17.148</v>
      </c>
      <c r="K516" s="9">
        <f t="shared" ref="K516:K579" si="52">(H516-$H$4)*10000</f>
        <v>4.80000000000001</v>
      </c>
      <c r="L516" s="1">
        <f t="shared" si="47"/>
        <v>23</v>
      </c>
    </row>
    <row r="517" s="1" customFormat="1" spans="1:12">
      <c r="A517" s="2">
        <v>17.215</v>
      </c>
      <c r="B517" s="10" t="s">
        <v>32</v>
      </c>
      <c r="C517" s="4">
        <v>17.181</v>
      </c>
      <c r="D517" s="5">
        <v>253.8</v>
      </c>
      <c r="E517" s="4"/>
      <c r="F517" s="4"/>
      <c r="G517" s="2">
        <f t="shared" si="48"/>
        <v>17.181</v>
      </c>
      <c r="H517" s="11" t="str">
        <f t="shared" si="49"/>
        <v>3.494E-2</v>
      </c>
      <c r="I517" s="2">
        <f t="shared" si="50"/>
        <v>253.8</v>
      </c>
      <c r="J517" s="4">
        <f t="shared" si="51"/>
        <v>17.181</v>
      </c>
      <c r="K517" s="9">
        <f t="shared" si="52"/>
        <v>6.09999999999999</v>
      </c>
      <c r="L517" s="1">
        <f t="shared" ref="L517:L580" si="53">IF(I517&lt;230,-5,23)</f>
        <v>23</v>
      </c>
    </row>
    <row r="518" s="1" customFormat="1" spans="1:12">
      <c r="A518" s="2">
        <v>17.248</v>
      </c>
      <c r="B518" s="10" t="s">
        <v>173</v>
      </c>
      <c r="C518" s="4">
        <v>17.215</v>
      </c>
      <c r="D518" s="5">
        <v>253.9</v>
      </c>
      <c r="E518" s="4"/>
      <c r="F518" s="4"/>
      <c r="G518" s="2">
        <f t="shared" si="48"/>
        <v>17.215</v>
      </c>
      <c r="H518" s="11" t="str">
        <f t="shared" si="49"/>
        <v>3.501E-2</v>
      </c>
      <c r="I518" s="2">
        <f t="shared" si="50"/>
        <v>253.8</v>
      </c>
      <c r="J518" s="4">
        <f t="shared" si="51"/>
        <v>17.215</v>
      </c>
      <c r="K518" s="9">
        <f t="shared" si="52"/>
        <v>6.8</v>
      </c>
      <c r="L518" s="1">
        <f t="shared" si="53"/>
        <v>23</v>
      </c>
    </row>
    <row r="519" s="1" customFormat="1" spans="1:12">
      <c r="A519" s="2">
        <v>17.282</v>
      </c>
      <c r="B519" s="10" t="s">
        <v>188</v>
      </c>
      <c r="C519" s="4">
        <v>17.248</v>
      </c>
      <c r="D519" s="5">
        <v>253.8</v>
      </c>
      <c r="E519" s="4"/>
      <c r="F519" s="4"/>
      <c r="G519" s="2">
        <f t="shared" si="48"/>
        <v>17.248</v>
      </c>
      <c r="H519" s="11" t="str">
        <f t="shared" si="49"/>
        <v>3.506E-2</v>
      </c>
      <c r="I519" s="2">
        <f t="shared" si="50"/>
        <v>253.9</v>
      </c>
      <c r="J519" s="4">
        <f t="shared" si="51"/>
        <v>17.248</v>
      </c>
      <c r="K519" s="9">
        <f t="shared" si="52"/>
        <v>7.30000000000001</v>
      </c>
      <c r="L519" s="1">
        <f t="shared" si="53"/>
        <v>23</v>
      </c>
    </row>
    <row r="520" s="1" customFormat="1" spans="1:12">
      <c r="A520" s="2">
        <v>17.315</v>
      </c>
      <c r="B520" s="10" t="s">
        <v>198</v>
      </c>
      <c r="C520" s="4">
        <v>17.282</v>
      </c>
      <c r="D520" s="5">
        <v>195.4</v>
      </c>
      <c r="E520" s="4"/>
      <c r="F520" s="4"/>
      <c r="G520" s="2">
        <f t="shared" si="48"/>
        <v>17.282</v>
      </c>
      <c r="H520" s="11" t="str">
        <f t="shared" si="49"/>
        <v>3.513E-2</v>
      </c>
      <c r="I520" s="2">
        <f t="shared" si="50"/>
        <v>253.8</v>
      </c>
      <c r="J520" s="4">
        <f t="shared" si="51"/>
        <v>17.282</v>
      </c>
      <c r="K520" s="9">
        <f t="shared" si="52"/>
        <v>8.00000000000002</v>
      </c>
      <c r="L520" s="1">
        <f t="shared" si="53"/>
        <v>23</v>
      </c>
    </row>
    <row r="521" s="1" customFormat="1" spans="1:12">
      <c r="A521" s="2">
        <v>17.348</v>
      </c>
      <c r="B521" s="10" t="s">
        <v>206</v>
      </c>
      <c r="C521" s="4">
        <v>17.315</v>
      </c>
      <c r="D521" s="5">
        <v>160.8</v>
      </c>
      <c r="E521" s="4"/>
      <c r="F521" s="4"/>
      <c r="G521" s="2">
        <f t="shared" si="48"/>
        <v>17.315</v>
      </c>
      <c r="H521" s="11" t="str">
        <f t="shared" si="49"/>
        <v>3.525E-2</v>
      </c>
      <c r="I521" s="2">
        <f t="shared" si="50"/>
        <v>195.4</v>
      </c>
      <c r="J521" s="4">
        <f t="shared" si="51"/>
        <v>17.315</v>
      </c>
      <c r="K521" s="9">
        <f t="shared" si="52"/>
        <v>9.19999999999997</v>
      </c>
      <c r="L521" s="1">
        <f t="shared" si="53"/>
        <v>-5</v>
      </c>
    </row>
    <row r="522" s="1" customFormat="1" spans="1:12">
      <c r="A522" s="2">
        <v>17.382</v>
      </c>
      <c r="B522" s="10" t="s">
        <v>207</v>
      </c>
      <c r="C522" s="4">
        <v>17.348</v>
      </c>
      <c r="D522" s="5">
        <v>166.2</v>
      </c>
      <c r="E522" s="4"/>
      <c r="F522" s="4"/>
      <c r="G522" s="2">
        <f t="shared" si="48"/>
        <v>17.348</v>
      </c>
      <c r="H522" s="11" t="str">
        <f t="shared" si="49"/>
        <v>3.534E-2</v>
      </c>
      <c r="I522" s="2">
        <f t="shared" si="50"/>
        <v>160.8</v>
      </c>
      <c r="J522" s="4">
        <f t="shared" si="51"/>
        <v>17.348</v>
      </c>
      <c r="K522" s="9">
        <f t="shared" si="52"/>
        <v>10.1</v>
      </c>
      <c r="L522" s="1">
        <f t="shared" si="53"/>
        <v>-5</v>
      </c>
    </row>
    <row r="523" s="1" customFormat="1" spans="1:12">
      <c r="A523" s="2">
        <v>17.415</v>
      </c>
      <c r="B523" s="10" t="s">
        <v>208</v>
      </c>
      <c r="C523" s="4">
        <v>17.382</v>
      </c>
      <c r="D523" s="5">
        <v>165.7</v>
      </c>
      <c r="E523" s="4"/>
      <c r="F523" s="4"/>
      <c r="G523" s="2">
        <f t="shared" si="48"/>
        <v>17.382</v>
      </c>
      <c r="H523" s="11" t="str">
        <f t="shared" si="49"/>
        <v>3.541E-2</v>
      </c>
      <c r="I523" s="2">
        <f t="shared" si="50"/>
        <v>166.2</v>
      </c>
      <c r="J523" s="4">
        <f t="shared" si="51"/>
        <v>17.382</v>
      </c>
      <c r="K523" s="9">
        <f t="shared" si="52"/>
        <v>10.8</v>
      </c>
      <c r="L523" s="1">
        <f t="shared" si="53"/>
        <v>-5</v>
      </c>
    </row>
    <row r="524" s="1" customFormat="1" spans="1:12">
      <c r="A524" s="2">
        <v>17.449</v>
      </c>
      <c r="B524" s="10" t="s">
        <v>209</v>
      </c>
      <c r="C524" s="4">
        <v>17.415</v>
      </c>
      <c r="D524" s="5">
        <v>165.1</v>
      </c>
      <c r="E524" s="4"/>
      <c r="F524" s="4"/>
      <c r="G524" s="2">
        <f t="shared" si="48"/>
        <v>17.415</v>
      </c>
      <c r="H524" s="11" t="str">
        <f t="shared" si="49"/>
        <v>3.555E-2</v>
      </c>
      <c r="I524" s="2">
        <f t="shared" si="50"/>
        <v>165.7</v>
      </c>
      <c r="J524" s="4">
        <f t="shared" si="51"/>
        <v>17.415</v>
      </c>
      <c r="K524" s="9">
        <f t="shared" si="52"/>
        <v>12.2</v>
      </c>
      <c r="L524" s="1">
        <f t="shared" si="53"/>
        <v>-5</v>
      </c>
    </row>
    <row r="525" s="1" customFormat="1" spans="1:12">
      <c r="A525" s="2">
        <v>17.482</v>
      </c>
      <c r="B525" s="10" t="s">
        <v>210</v>
      </c>
      <c r="C525" s="4">
        <v>17.449</v>
      </c>
      <c r="D525" s="5">
        <v>163.2</v>
      </c>
      <c r="E525" s="4"/>
      <c r="F525" s="4"/>
      <c r="G525" s="2">
        <f t="shared" si="48"/>
        <v>17.449</v>
      </c>
      <c r="H525" s="11" t="str">
        <f t="shared" si="49"/>
        <v>3.561E-2</v>
      </c>
      <c r="I525" s="2">
        <f t="shared" si="50"/>
        <v>165.1</v>
      </c>
      <c r="J525" s="4">
        <f t="shared" si="51"/>
        <v>17.449</v>
      </c>
      <c r="K525" s="9">
        <f t="shared" si="52"/>
        <v>12.8</v>
      </c>
      <c r="L525" s="1">
        <f t="shared" si="53"/>
        <v>-5</v>
      </c>
    </row>
    <row r="526" s="1" customFormat="1" spans="1:12">
      <c r="A526" s="2">
        <v>17.516</v>
      </c>
      <c r="B526" s="10" t="s">
        <v>65</v>
      </c>
      <c r="C526" s="4">
        <v>17.482</v>
      </c>
      <c r="D526" s="5">
        <v>163.4</v>
      </c>
      <c r="E526" s="4"/>
      <c r="F526" s="4"/>
      <c r="G526" s="2">
        <f t="shared" si="48"/>
        <v>17.482</v>
      </c>
      <c r="H526" s="11" t="str">
        <f t="shared" si="49"/>
        <v>3.566E-2</v>
      </c>
      <c r="I526" s="2">
        <f t="shared" si="50"/>
        <v>163.2</v>
      </c>
      <c r="J526" s="4">
        <f t="shared" si="51"/>
        <v>17.482</v>
      </c>
      <c r="K526" s="9">
        <f t="shared" si="52"/>
        <v>13.3</v>
      </c>
      <c r="L526" s="1">
        <f t="shared" si="53"/>
        <v>-5</v>
      </c>
    </row>
    <row r="527" s="1" customFormat="1" spans="1:12">
      <c r="A527" s="2">
        <v>17.549</v>
      </c>
      <c r="B527" s="10" t="s">
        <v>211</v>
      </c>
      <c r="C527" s="4">
        <v>17.516</v>
      </c>
      <c r="D527" s="5">
        <v>161.5</v>
      </c>
      <c r="E527" s="4"/>
      <c r="F527" s="4"/>
      <c r="G527" s="2">
        <f t="shared" si="48"/>
        <v>17.516</v>
      </c>
      <c r="H527" s="11" t="str">
        <f t="shared" si="49"/>
        <v>3.567E-2</v>
      </c>
      <c r="I527" s="2">
        <f t="shared" si="50"/>
        <v>163.4</v>
      </c>
      <c r="J527" s="4">
        <f t="shared" si="51"/>
        <v>17.516</v>
      </c>
      <c r="K527" s="9">
        <f t="shared" si="52"/>
        <v>13.4</v>
      </c>
      <c r="L527" s="1">
        <f t="shared" si="53"/>
        <v>-5</v>
      </c>
    </row>
    <row r="528" s="1" customFormat="1" spans="1:12">
      <c r="A528" s="2">
        <v>17.582</v>
      </c>
      <c r="B528" s="10" t="s">
        <v>65</v>
      </c>
      <c r="C528" s="4">
        <v>17.549</v>
      </c>
      <c r="D528" s="5">
        <v>160.9</v>
      </c>
      <c r="E528" s="4"/>
      <c r="F528" s="4"/>
      <c r="G528" s="2">
        <f t="shared" si="48"/>
        <v>17.549</v>
      </c>
      <c r="H528" s="11" t="str">
        <f t="shared" si="49"/>
        <v>3.568E-2</v>
      </c>
      <c r="I528" s="2">
        <f t="shared" si="50"/>
        <v>161.5</v>
      </c>
      <c r="J528" s="4">
        <f t="shared" si="51"/>
        <v>17.549</v>
      </c>
      <c r="K528" s="9">
        <f t="shared" si="52"/>
        <v>13.5</v>
      </c>
      <c r="L528" s="1">
        <f t="shared" si="53"/>
        <v>-5</v>
      </c>
    </row>
    <row r="529" s="1" customFormat="1" spans="1:12">
      <c r="A529" s="2">
        <v>17.616</v>
      </c>
      <c r="B529" s="10" t="s">
        <v>163</v>
      </c>
      <c r="C529" s="4">
        <v>17.582</v>
      </c>
      <c r="D529" s="5">
        <v>160.2</v>
      </c>
      <c r="E529" s="4"/>
      <c r="F529" s="4"/>
      <c r="G529" s="2">
        <f t="shared" si="48"/>
        <v>17.582</v>
      </c>
      <c r="H529" s="11" t="str">
        <f t="shared" si="49"/>
        <v>3.567E-2</v>
      </c>
      <c r="I529" s="2">
        <f t="shared" si="50"/>
        <v>160.9</v>
      </c>
      <c r="J529" s="4">
        <f t="shared" si="51"/>
        <v>17.582</v>
      </c>
      <c r="K529" s="9">
        <f t="shared" si="52"/>
        <v>13.4</v>
      </c>
      <c r="L529" s="1">
        <f t="shared" si="53"/>
        <v>-5</v>
      </c>
    </row>
    <row r="530" s="1" customFormat="1" spans="1:12">
      <c r="A530" s="2">
        <v>17.649</v>
      </c>
      <c r="B530" s="10" t="s">
        <v>212</v>
      </c>
      <c r="C530" s="4">
        <v>17.616</v>
      </c>
      <c r="D530" s="5">
        <v>159.8</v>
      </c>
      <c r="E530" s="4"/>
      <c r="F530" s="4"/>
      <c r="G530" s="2">
        <f t="shared" si="48"/>
        <v>17.616</v>
      </c>
      <c r="H530" s="11" t="str">
        <f t="shared" si="49"/>
        <v>3.565E-2</v>
      </c>
      <c r="I530" s="2">
        <f t="shared" si="50"/>
        <v>160.2</v>
      </c>
      <c r="J530" s="4">
        <f t="shared" si="51"/>
        <v>17.616</v>
      </c>
      <c r="K530" s="9">
        <f t="shared" si="52"/>
        <v>13.2</v>
      </c>
      <c r="L530" s="1">
        <f t="shared" si="53"/>
        <v>-5</v>
      </c>
    </row>
    <row r="531" s="1" customFormat="1" spans="1:12">
      <c r="A531" s="2">
        <v>17.683</v>
      </c>
      <c r="B531" s="10" t="s">
        <v>105</v>
      </c>
      <c r="C531" s="4">
        <v>17.649</v>
      </c>
      <c r="D531" s="5">
        <v>158.1</v>
      </c>
      <c r="E531" s="4"/>
      <c r="F531" s="4"/>
      <c r="G531" s="2">
        <f t="shared" si="48"/>
        <v>17.649</v>
      </c>
      <c r="H531" s="11" t="str">
        <f t="shared" si="49"/>
        <v>3.562E-2</v>
      </c>
      <c r="I531" s="2">
        <f t="shared" si="50"/>
        <v>159.8</v>
      </c>
      <c r="J531" s="4">
        <f t="shared" si="51"/>
        <v>17.649</v>
      </c>
      <c r="K531" s="9">
        <f t="shared" si="52"/>
        <v>12.9</v>
      </c>
      <c r="L531" s="1">
        <f t="shared" si="53"/>
        <v>-5</v>
      </c>
    </row>
    <row r="532" s="1" customFormat="1" spans="1:12">
      <c r="A532" s="2">
        <v>17.716</v>
      </c>
      <c r="B532" s="10" t="s">
        <v>208</v>
      </c>
      <c r="C532" s="4">
        <v>17.683</v>
      </c>
      <c r="D532" s="5">
        <v>157.4</v>
      </c>
      <c r="E532" s="4"/>
      <c r="F532" s="4"/>
      <c r="G532" s="2">
        <f t="shared" si="48"/>
        <v>17.683</v>
      </c>
      <c r="H532" s="11" t="str">
        <f t="shared" si="49"/>
        <v>3.559E-2</v>
      </c>
      <c r="I532" s="2">
        <f t="shared" si="50"/>
        <v>158.1</v>
      </c>
      <c r="J532" s="4">
        <f t="shared" si="51"/>
        <v>17.683</v>
      </c>
      <c r="K532" s="9">
        <f t="shared" si="52"/>
        <v>12.6</v>
      </c>
      <c r="L532" s="1">
        <f t="shared" si="53"/>
        <v>-5</v>
      </c>
    </row>
    <row r="533" s="1" customFormat="1" spans="1:12">
      <c r="A533" s="2">
        <v>17.75</v>
      </c>
      <c r="B533" s="10" t="s">
        <v>213</v>
      </c>
      <c r="C533" s="4">
        <v>17.716</v>
      </c>
      <c r="D533" s="5">
        <v>157.1</v>
      </c>
      <c r="E533" s="4"/>
      <c r="F533" s="4"/>
      <c r="G533" s="2">
        <f t="shared" si="48"/>
        <v>17.716</v>
      </c>
      <c r="H533" s="11" t="str">
        <f t="shared" si="49"/>
        <v>3.555E-2</v>
      </c>
      <c r="I533" s="2">
        <f t="shared" si="50"/>
        <v>157.4</v>
      </c>
      <c r="J533" s="4">
        <f t="shared" si="51"/>
        <v>17.716</v>
      </c>
      <c r="K533" s="9">
        <f t="shared" si="52"/>
        <v>12.2</v>
      </c>
      <c r="L533" s="1">
        <f t="shared" si="53"/>
        <v>-5</v>
      </c>
    </row>
    <row r="534" s="1" customFormat="1" spans="1:12">
      <c r="A534" s="2">
        <v>17.783</v>
      </c>
      <c r="B534" s="10" t="s">
        <v>75</v>
      </c>
      <c r="C534" s="4">
        <v>17.75</v>
      </c>
      <c r="D534" s="5">
        <v>156.5</v>
      </c>
      <c r="E534" s="4"/>
      <c r="F534" s="4"/>
      <c r="G534" s="2">
        <f t="shared" si="48"/>
        <v>17.75</v>
      </c>
      <c r="H534" s="11" t="str">
        <f t="shared" si="49"/>
        <v>3.552E-2</v>
      </c>
      <c r="I534" s="2">
        <f t="shared" si="50"/>
        <v>157.1</v>
      </c>
      <c r="J534" s="4">
        <f t="shared" si="51"/>
        <v>17.75</v>
      </c>
      <c r="K534" s="9">
        <f t="shared" si="52"/>
        <v>11.9</v>
      </c>
      <c r="L534" s="1">
        <f t="shared" si="53"/>
        <v>-5</v>
      </c>
    </row>
    <row r="535" s="1" customFormat="1" spans="1:12">
      <c r="A535" s="2">
        <v>17.816</v>
      </c>
      <c r="B535" s="10" t="s">
        <v>214</v>
      </c>
      <c r="C535" s="4">
        <v>17.783</v>
      </c>
      <c r="D535" s="5">
        <v>155.8</v>
      </c>
      <c r="E535" s="4"/>
      <c r="F535" s="4"/>
      <c r="G535" s="2">
        <f t="shared" si="48"/>
        <v>17.783</v>
      </c>
      <c r="H535" s="11" t="str">
        <f t="shared" si="49"/>
        <v>3.548E-2</v>
      </c>
      <c r="I535" s="2">
        <f t="shared" si="50"/>
        <v>156.5</v>
      </c>
      <c r="J535" s="4">
        <f t="shared" si="51"/>
        <v>17.783</v>
      </c>
      <c r="K535" s="9">
        <f t="shared" si="52"/>
        <v>11.5</v>
      </c>
      <c r="L535" s="1">
        <f t="shared" si="53"/>
        <v>-5</v>
      </c>
    </row>
    <row r="536" s="1" customFormat="1" spans="1:12">
      <c r="A536" s="2">
        <v>17.85</v>
      </c>
      <c r="B536" s="10" t="s">
        <v>186</v>
      </c>
      <c r="C536" s="4">
        <v>17.816</v>
      </c>
      <c r="D536" s="5">
        <v>153.2</v>
      </c>
      <c r="E536" s="4"/>
      <c r="F536" s="4"/>
      <c r="G536" s="2">
        <f t="shared" si="48"/>
        <v>17.816</v>
      </c>
      <c r="H536" s="11" t="str">
        <f t="shared" si="49"/>
        <v>3.544E-2</v>
      </c>
      <c r="I536" s="2">
        <f t="shared" si="50"/>
        <v>155.8</v>
      </c>
      <c r="J536" s="4">
        <f t="shared" si="51"/>
        <v>17.816</v>
      </c>
      <c r="K536" s="9">
        <f t="shared" si="52"/>
        <v>11.1</v>
      </c>
      <c r="L536" s="1">
        <f t="shared" si="53"/>
        <v>-5</v>
      </c>
    </row>
    <row r="537" s="1" customFormat="1" spans="1:12">
      <c r="A537" s="2">
        <v>17.883</v>
      </c>
      <c r="B537" s="10" t="s">
        <v>215</v>
      </c>
      <c r="C537" s="4">
        <v>17.85</v>
      </c>
      <c r="D537" s="5">
        <v>153.1</v>
      </c>
      <c r="E537" s="4"/>
      <c r="F537" s="4"/>
      <c r="G537" s="2">
        <f t="shared" si="48"/>
        <v>17.85</v>
      </c>
      <c r="H537" s="11" t="str">
        <f t="shared" si="49"/>
        <v>3.536E-2</v>
      </c>
      <c r="I537" s="2">
        <f t="shared" si="50"/>
        <v>153.2</v>
      </c>
      <c r="J537" s="4">
        <f t="shared" si="51"/>
        <v>17.85</v>
      </c>
      <c r="K537" s="9">
        <f t="shared" si="52"/>
        <v>10.3</v>
      </c>
      <c r="L537" s="1">
        <f t="shared" si="53"/>
        <v>-5</v>
      </c>
    </row>
    <row r="538" s="1" customFormat="1" spans="1:12">
      <c r="A538" s="2">
        <v>17.917</v>
      </c>
      <c r="B538" s="10" t="s">
        <v>188</v>
      </c>
      <c r="C538" s="4">
        <v>17.883</v>
      </c>
      <c r="D538" s="5">
        <v>151.8</v>
      </c>
      <c r="E538" s="4"/>
      <c r="F538" s="4"/>
      <c r="G538" s="2">
        <f t="shared" si="48"/>
        <v>17.883</v>
      </c>
      <c r="H538" s="11" t="str">
        <f t="shared" si="49"/>
        <v>3.522E-2</v>
      </c>
      <c r="I538" s="2">
        <f t="shared" si="50"/>
        <v>153.1</v>
      </c>
      <c r="J538" s="4">
        <f t="shared" si="51"/>
        <v>17.883</v>
      </c>
      <c r="K538" s="9">
        <f t="shared" si="52"/>
        <v>8.90000000000002</v>
      </c>
      <c r="L538" s="1">
        <f t="shared" si="53"/>
        <v>-5</v>
      </c>
    </row>
    <row r="539" s="1" customFormat="1" spans="1:12">
      <c r="A539" s="2">
        <v>17.95</v>
      </c>
      <c r="B539" s="10" t="s">
        <v>32</v>
      </c>
      <c r="C539" s="4">
        <v>17.917</v>
      </c>
      <c r="D539" s="5">
        <v>151.3</v>
      </c>
      <c r="E539" s="4"/>
      <c r="F539" s="4"/>
      <c r="G539" s="2">
        <f t="shared" si="48"/>
        <v>17.917</v>
      </c>
      <c r="H539" s="11" t="str">
        <f t="shared" si="49"/>
        <v>3.513E-2</v>
      </c>
      <c r="I539" s="2">
        <f t="shared" si="50"/>
        <v>151.8</v>
      </c>
      <c r="J539" s="4">
        <f t="shared" si="51"/>
        <v>17.917</v>
      </c>
      <c r="K539" s="9">
        <f t="shared" si="52"/>
        <v>8.00000000000002</v>
      </c>
      <c r="L539" s="1">
        <f t="shared" si="53"/>
        <v>-5</v>
      </c>
    </row>
    <row r="540" s="1" customFormat="1" spans="1:12">
      <c r="A540" s="2">
        <v>17.984</v>
      </c>
      <c r="B540" s="10" t="s">
        <v>38</v>
      </c>
      <c r="C540" s="4">
        <v>17.95</v>
      </c>
      <c r="D540" s="5">
        <v>149.5</v>
      </c>
      <c r="E540" s="4"/>
      <c r="F540" s="4"/>
      <c r="G540" s="2">
        <f t="shared" si="48"/>
        <v>17.95</v>
      </c>
      <c r="H540" s="11" t="str">
        <f t="shared" si="49"/>
        <v>3.501E-2</v>
      </c>
      <c r="I540" s="2">
        <f t="shared" si="50"/>
        <v>151.3</v>
      </c>
      <c r="J540" s="4">
        <f t="shared" si="51"/>
        <v>17.95</v>
      </c>
      <c r="K540" s="9">
        <f t="shared" si="52"/>
        <v>6.8</v>
      </c>
      <c r="L540" s="1">
        <f t="shared" si="53"/>
        <v>-5</v>
      </c>
    </row>
    <row r="541" s="1" customFormat="1" spans="1:12">
      <c r="A541" s="2">
        <v>18.017</v>
      </c>
      <c r="B541" s="10" t="s">
        <v>60</v>
      </c>
      <c r="C541" s="4">
        <v>17.984</v>
      </c>
      <c r="D541" s="5">
        <v>149</v>
      </c>
      <c r="E541" s="4"/>
      <c r="F541" s="4"/>
      <c r="G541" s="2">
        <f t="shared" si="48"/>
        <v>17.984</v>
      </c>
      <c r="H541" s="11" t="str">
        <f t="shared" si="49"/>
        <v>3.492E-2</v>
      </c>
      <c r="I541" s="2">
        <f t="shared" si="50"/>
        <v>149.5</v>
      </c>
      <c r="J541" s="4">
        <f t="shared" si="51"/>
        <v>17.984</v>
      </c>
      <c r="K541" s="9">
        <f t="shared" si="52"/>
        <v>5.9</v>
      </c>
      <c r="L541" s="1">
        <f t="shared" si="53"/>
        <v>-5</v>
      </c>
    </row>
    <row r="542" s="1" customFormat="1" spans="1:12">
      <c r="A542" s="2">
        <v>18.05</v>
      </c>
      <c r="B542" s="10" t="s">
        <v>171</v>
      </c>
      <c r="C542" s="4">
        <v>18.017</v>
      </c>
      <c r="D542" s="5">
        <v>148.6</v>
      </c>
      <c r="E542" s="4"/>
      <c r="F542" s="4"/>
      <c r="G542" s="2">
        <f t="shared" si="48"/>
        <v>18.017</v>
      </c>
      <c r="H542" s="11" t="str">
        <f t="shared" si="49"/>
        <v>3.483E-2</v>
      </c>
      <c r="I542" s="2">
        <f t="shared" si="50"/>
        <v>149</v>
      </c>
      <c r="J542" s="4">
        <f t="shared" si="51"/>
        <v>18.017</v>
      </c>
      <c r="K542" s="9">
        <f t="shared" si="52"/>
        <v>5</v>
      </c>
      <c r="L542" s="1">
        <f t="shared" si="53"/>
        <v>-5</v>
      </c>
    </row>
    <row r="543" s="1" customFormat="1" spans="1:12">
      <c r="A543" s="2">
        <v>18.084</v>
      </c>
      <c r="B543" s="10" t="s">
        <v>203</v>
      </c>
      <c r="C543" s="4">
        <v>18.05</v>
      </c>
      <c r="D543" s="5">
        <v>253.5</v>
      </c>
      <c r="E543" s="4"/>
      <c r="F543" s="4"/>
      <c r="G543" s="2">
        <f t="shared" si="48"/>
        <v>18.05</v>
      </c>
      <c r="H543" s="11" t="str">
        <f t="shared" si="49"/>
        <v>3.474E-2</v>
      </c>
      <c r="I543" s="2">
        <f t="shared" si="50"/>
        <v>148.6</v>
      </c>
      <c r="J543" s="4">
        <f t="shared" si="51"/>
        <v>18.05</v>
      </c>
      <c r="K543" s="9">
        <f t="shared" si="52"/>
        <v>4.10000000000001</v>
      </c>
      <c r="L543" s="1">
        <f t="shared" si="53"/>
        <v>-5</v>
      </c>
    </row>
    <row r="544" s="1" customFormat="1" spans="1:12">
      <c r="A544" s="2">
        <v>18.117</v>
      </c>
      <c r="B544" s="10" t="s">
        <v>59</v>
      </c>
      <c r="C544" s="4">
        <v>18.084</v>
      </c>
      <c r="D544" s="5">
        <v>253.9</v>
      </c>
      <c r="E544" s="4"/>
      <c r="F544" s="4"/>
      <c r="G544" s="2">
        <f t="shared" si="48"/>
        <v>18.084</v>
      </c>
      <c r="H544" s="11" t="str">
        <f t="shared" si="49"/>
        <v>3.460E-2</v>
      </c>
      <c r="I544" s="2">
        <f t="shared" si="50"/>
        <v>253.5</v>
      </c>
      <c r="J544" s="4">
        <f t="shared" si="51"/>
        <v>18.084</v>
      </c>
      <c r="K544" s="9">
        <f t="shared" si="52"/>
        <v>2.69999999999999</v>
      </c>
      <c r="L544" s="1">
        <f t="shared" si="53"/>
        <v>23</v>
      </c>
    </row>
    <row r="545" s="1" customFormat="1" spans="1:12">
      <c r="A545" s="2">
        <v>18.151</v>
      </c>
      <c r="B545" s="10" t="s">
        <v>216</v>
      </c>
      <c r="C545" s="4">
        <v>18.117</v>
      </c>
      <c r="D545" s="5">
        <v>253.9</v>
      </c>
      <c r="E545" s="4"/>
      <c r="F545" s="4"/>
      <c r="G545" s="2">
        <f t="shared" si="48"/>
        <v>18.117</v>
      </c>
      <c r="H545" s="11" t="str">
        <f t="shared" si="49"/>
        <v>3.452E-2</v>
      </c>
      <c r="I545" s="2">
        <f t="shared" si="50"/>
        <v>253.9</v>
      </c>
      <c r="J545" s="4">
        <f t="shared" si="51"/>
        <v>18.117</v>
      </c>
      <c r="K545" s="9">
        <f t="shared" si="52"/>
        <v>1.90000000000003</v>
      </c>
      <c r="L545" s="1">
        <f t="shared" si="53"/>
        <v>23</v>
      </c>
    </row>
    <row r="546" s="1" customFormat="1" spans="1:12">
      <c r="A546" s="2">
        <v>18.184</v>
      </c>
      <c r="B546" s="10" t="s">
        <v>10</v>
      </c>
      <c r="C546" s="4">
        <v>18.151</v>
      </c>
      <c r="D546" s="5">
        <v>253.9</v>
      </c>
      <c r="E546" s="4"/>
      <c r="F546" s="4"/>
      <c r="G546" s="2">
        <f t="shared" si="48"/>
        <v>18.151</v>
      </c>
      <c r="H546" s="11" t="str">
        <f t="shared" si="49"/>
        <v>3.446E-2</v>
      </c>
      <c r="I546" s="2">
        <f t="shared" si="50"/>
        <v>253.9</v>
      </c>
      <c r="J546" s="4">
        <f t="shared" si="51"/>
        <v>18.151</v>
      </c>
      <c r="K546" s="9">
        <f t="shared" si="52"/>
        <v>1.29999999999998</v>
      </c>
      <c r="L546" s="1">
        <f t="shared" si="53"/>
        <v>23</v>
      </c>
    </row>
    <row r="547" s="1" customFormat="1" spans="1:12">
      <c r="A547" s="2">
        <v>18.217</v>
      </c>
      <c r="B547" s="10" t="s">
        <v>19</v>
      </c>
      <c r="C547" s="4">
        <v>18.184</v>
      </c>
      <c r="D547" s="5">
        <v>253.8</v>
      </c>
      <c r="E547" s="4"/>
      <c r="F547" s="4"/>
      <c r="G547" s="2">
        <f t="shared" si="48"/>
        <v>18.184</v>
      </c>
      <c r="H547" s="11" t="str">
        <f t="shared" si="49"/>
        <v>3.434E-2</v>
      </c>
      <c r="I547" s="2">
        <f t="shared" si="50"/>
        <v>253.9</v>
      </c>
      <c r="J547" s="4">
        <f t="shared" si="51"/>
        <v>18.184</v>
      </c>
      <c r="K547" s="9">
        <f t="shared" si="52"/>
        <v>0.100000000000031</v>
      </c>
      <c r="L547" s="1">
        <f t="shared" si="53"/>
        <v>23</v>
      </c>
    </row>
    <row r="548" s="1" customFormat="1" spans="1:12">
      <c r="A548" s="2">
        <v>18.251</v>
      </c>
      <c r="B548" s="10" t="s">
        <v>16</v>
      </c>
      <c r="C548" s="4">
        <v>18.217</v>
      </c>
      <c r="D548" s="5">
        <v>253.8</v>
      </c>
      <c r="E548" s="4"/>
      <c r="F548" s="4"/>
      <c r="G548" s="2">
        <f t="shared" si="48"/>
        <v>18.217</v>
      </c>
      <c r="H548" s="11" t="str">
        <f t="shared" si="49"/>
        <v>3.428E-2</v>
      </c>
      <c r="I548" s="2">
        <f t="shared" si="50"/>
        <v>253.8</v>
      </c>
      <c r="J548" s="4">
        <f t="shared" si="51"/>
        <v>18.217</v>
      </c>
      <c r="K548" s="9">
        <f t="shared" si="52"/>
        <v>-0.500000000000014</v>
      </c>
      <c r="L548" s="1">
        <f t="shared" si="53"/>
        <v>23</v>
      </c>
    </row>
    <row r="549" s="1" customFormat="1" spans="1:12">
      <c r="A549" s="2">
        <v>18.284</v>
      </c>
      <c r="B549" s="10" t="s">
        <v>81</v>
      </c>
      <c r="C549" s="4">
        <v>18.251</v>
      </c>
      <c r="D549" s="5">
        <v>253.8</v>
      </c>
      <c r="E549" s="4"/>
      <c r="F549" s="4"/>
      <c r="G549" s="2">
        <f t="shared" si="48"/>
        <v>18.251</v>
      </c>
      <c r="H549" s="11" t="str">
        <f t="shared" si="49"/>
        <v>3.426E-2</v>
      </c>
      <c r="I549" s="2">
        <f t="shared" si="50"/>
        <v>253.8</v>
      </c>
      <c r="J549" s="4">
        <f t="shared" si="51"/>
        <v>18.251</v>
      </c>
      <c r="K549" s="9">
        <f t="shared" si="52"/>
        <v>-0.700000000000006</v>
      </c>
      <c r="L549" s="1">
        <f t="shared" si="53"/>
        <v>23</v>
      </c>
    </row>
    <row r="550" s="1" customFormat="1" spans="1:12">
      <c r="A550" s="2">
        <v>18.318</v>
      </c>
      <c r="B550" s="10" t="s">
        <v>81</v>
      </c>
      <c r="C550" s="4">
        <v>18.284</v>
      </c>
      <c r="D550" s="5">
        <v>253.8</v>
      </c>
      <c r="E550" s="4"/>
      <c r="F550" s="4"/>
      <c r="G550" s="2">
        <f t="shared" si="48"/>
        <v>18.284</v>
      </c>
      <c r="H550" s="11" t="str">
        <f t="shared" si="49"/>
        <v>3.425E-2</v>
      </c>
      <c r="I550" s="2">
        <f t="shared" si="50"/>
        <v>253.8</v>
      </c>
      <c r="J550" s="4">
        <f t="shared" si="51"/>
        <v>18.284</v>
      </c>
      <c r="K550" s="9">
        <f t="shared" si="52"/>
        <v>-0.799999999999967</v>
      </c>
      <c r="L550" s="1">
        <f t="shared" si="53"/>
        <v>23</v>
      </c>
    </row>
    <row r="551" s="1" customFormat="1" spans="1:12">
      <c r="A551" s="2">
        <v>18.351</v>
      </c>
      <c r="B551" s="10" t="s">
        <v>19</v>
      </c>
      <c r="C551" s="4">
        <v>18.318</v>
      </c>
      <c r="D551" s="5">
        <v>253.9</v>
      </c>
      <c r="E551" s="4"/>
      <c r="F551" s="4"/>
      <c r="G551" s="2">
        <f t="shared" si="48"/>
        <v>18.318</v>
      </c>
      <c r="H551" s="11" t="str">
        <f t="shared" si="49"/>
        <v>3.425E-2</v>
      </c>
      <c r="I551" s="2">
        <f t="shared" si="50"/>
        <v>253.8</v>
      </c>
      <c r="J551" s="4">
        <f t="shared" si="51"/>
        <v>18.318</v>
      </c>
      <c r="K551" s="9">
        <f t="shared" si="52"/>
        <v>-0.799999999999967</v>
      </c>
      <c r="L551" s="1">
        <f t="shared" si="53"/>
        <v>23</v>
      </c>
    </row>
    <row r="552" s="1" customFormat="1" spans="1:12">
      <c r="A552" s="2">
        <v>18.385</v>
      </c>
      <c r="B552" s="10" t="s">
        <v>20</v>
      </c>
      <c r="C552" s="4">
        <v>18.351</v>
      </c>
      <c r="D552" s="5">
        <v>253.9</v>
      </c>
      <c r="E552" s="4"/>
      <c r="F552" s="4"/>
      <c r="G552" s="2">
        <f t="shared" si="48"/>
        <v>18.351</v>
      </c>
      <c r="H552" s="11" t="str">
        <f t="shared" si="49"/>
        <v>3.428E-2</v>
      </c>
      <c r="I552" s="2">
        <f t="shared" si="50"/>
        <v>253.9</v>
      </c>
      <c r="J552" s="4">
        <f t="shared" si="51"/>
        <v>18.351</v>
      </c>
      <c r="K552" s="9">
        <f t="shared" si="52"/>
        <v>-0.500000000000014</v>
      </c>
      <c r="L552" s="1">
        <f t="shared" si="53"/>
        <v>23</v>
      </c>
    </row>
    <row r="553" s="1" customFormat="1" spans="1:12">
      <c r="A553" s="2">
        <v>18.418</v>
      </c>
      <c r="B553" s="10" t="s">
        <v>9</v>
      </c>
      <c r="C553" s="4">
        <v>18.385</v>
      </c>
      <c r="D553" s="5">
        <v>253.9</v>
      </c>
      <c r="E553" s="4"/>
      <c r="F553" s="4"/>
      <c r="G553" s="2">
        <f t="shared" si="48"/>
        <v>18.385</v>
      </c>
      <c r="H553" s="11" t="str">
        <f t="shared" si="49"/>
        <v>3.430E-2</v>
      </c>
      <c r="I553" s="2">
        <f t="shared" si="50"/>
        <v>253.9</v>
      </c>
      <c r="J553" s="4">
        <f t="shared" si="51"/>
        <v>18.385</v>
      </c>
      <c r="K553" s="9">
        <f t="shared" si="52"/>
        <v>-0.300000000000022</v>
      </c>
      <c r="L553" s="1">
        <f t="shared" si="53"/>
        <v>23</v>
      </c>
    </row>
    <row r="554" s="1" customFormat="1" spans="1:12">
      <c r="A554" s="2">
        <v>18.451</v>
      </c>
      <c r="B554" s="10" t="s">
        <v>21</v>
      </c>
      <c r="C554" s="4">
        <v>18.418</v>
      </c>
      <c r="D554" s="5">
        <v>253.9</v>
      </c>
      <c r="E554" s="4"/>
      <c r="F554" s="4"/>
      <c r="G554" s="2">
        <f t="shared" si="48"/>
        <v>18.418</v>
      </c>
      <c r="H554" s="11" t="str">
        <f t="shared" si="49"/>
        <v>3.433E-2</v>
      </c>
      <c r="I554" s="2">
        <f t="shared" si="50"/>
        <v>253.9</v>
      </c>
      <c r="J554" s="4">
        <f t="shared" si="51"/>
        <v>18.418</v>
      </c>
      <c r="K554" s="9">
        <f t="shared" si="52"/>
        <v>0</v>
      </c>
      <c r="L554" s="1">
        <f t="shared" si="53"/>
        <v>23</v>
      </c>
    </row>
    <row r="555" s="1" customFormat="1" spans="1:12">
      <c r="A555" s="2">
        <v>18.485</v>
      </c>
      <c r="B555" s="10" t="s">
        <v>23</v>
      </c>
      <c r="C555" s="4">
        <v>18.451</v>
      </c>
      <c r="D555" s="5">
        <v>253.9</v>
      </c>
      <c r="E555" s="4"/>
      <c r="F555" s="4"/>
      <c r="G555" s="2">
        <f t="shared" si="48"/>
        <v>18.451</v>
      </c>
      <c r="H555" s="11" t="str">
        <f t="shared" si="49"/>
        <v>3.437E-2</v>
      </c>
      <c r="I555" s="2">
        <f t="shared" si="50"/>
        <v>253.9</v>
      </c>
      <c r="J555" s="4">
        <f t="shared" si="51"/>
        <v>18.451</v>
      </c>
      <c r="K555" s="9">
        <f t="shared" si="52"/>
        <v>0.399999999999984</v>
      </c>
      <c r="L555" s="1">
        <f t="shared" si="53"/>
        <v>23</v>
      </c>
    </row>
    <row r="556" s="1" customFormat="1" spans="1:12">
      <c r="A556" s="2">
        <v>18.518</v>
      </c>
      <c r="B556" s="10" t="s">
        <v>25</v>
      </c>
      <c r="C556" s="4">
        <v>18.485</v>
      </c>
      <c r="D556" s="5">
        <v>253.9</v>
      </c>
      <c r="E556" s="4"/>
      <c r="F556" s="4"/>
      <c r="G556" s="2">
        <f t="shared" si="48"/>
        <v>18.485</v>
      </c>
      <c r="H556" s="11" t="str">
        <f t="shared" si="49"/>
        <v>3.442E-2</v>
      </c>
      <c r="I556" s="2">
        <f t="shared" si="50"/>
        <v>253.9</v>
      </c>
      <c r="J556" s="4">
        <f t="shared" si="51"/>
        <v>18.485</v>
      </c>
      <c r="K556" s="9">
        <f t="shared" si="52"/>
        <v>0.899999999999998</v>
      </c>
      <c r="L556" s="1">
        <f t="shared" si="53"/>
        <v>23</v>
      </c>
    </row>
    <row r="557" s="1" customFormat="1" spans="1:12">
      <c r="A557" s="2">
        <v>18.552</v>
      </c>
      <c r="B557" s="10" t="s">
        <v>140</v>
      </c>
      <c r="C557" s="4">
        <v>18.518</v>
      </c>
      <c r="D557" s="5">
        <v>253.9</v>
      </c>
      <c r="E557" s="4"/>
      <c r="F557" s="4"/>
      <c r="G557" s="2">
        <f t="shared" si="48"/>
        <v>18.518</v>
      </c>
      <c r="H557" s="11" t="str">
        <f t="shared" si="49"/>
        <v>3.447E-2</v>
      </c>
      <c r="I557" s="2">
        <f t="shared" si="50"/>
        <v>253.9</v>
      </c>
      <c r="J557" s="4">
        <f t="shared" si="51"/>
        <v>18.518</v>
      </c>
      <c r="K557" s="9">
        <f t="shared" si="52"/>
        <v>1.40000000000001</v>
      </c>
      <c r="L557" s="1">
        <f t="shared" si="53"/>
        <v>23</v>
      </c>
    </row>
    <row r="558" s="1" customFormat="1" spans="1:12">
      <c r="A558" s="2">
        <v>18.585</v>
      </c>
      <c r="B558" s="10" t="s">
        <v>217</v>
      </c>
      <c r="C558" s="4">
        <v>18.552</v>
      </c>
      <c r="D558" s="5">
        <v>253.9</v>
      </c>
      <c r="E558" s="4"/>
      <c r="F558" s="4"/>
      <c r="G558" s="2">
        <f t="shared" si="48"/>
        <v>18.552</v>
      </c>
      <c r="H558" s="11" t="str">
        <f t="shared" si="49"/>
        <v>3.454E-2</v>
      </c>
      <c r="I558" s="2">
        <f t="shared" si="50"/>
        <v>253.9</v>
      </c>
      <c r="J558" s="4">
        <f t="shared" si="51"/>
        <v>18.552</v>
      </c>
      <c r="K558" s="9">
        <f t="shared" si="52"/>
        <v>2.10000000000002</v>
      </c>
      <c r="L558" s="1">
        <f t="shared" si="53"/>
        <v>23</v>
      </c>
    </row>
    <row r="559" s="1" customFormat="1" spans="1:12">
      <c r="A559" s="2">
        <v>18.619</v>
      </c>
      <c r="B559" s="10" t="s">
        <v>145</v>
      </c>
      <c r="C559" s="4">
        <v>18.585</v>
      </c>
      <c r="D559" s="5">
        <v>253.9</v>
      </c>
      <c r="E559" s="4"/>
      <c r="F559" s="4"/>
      <c r="G559" s="2">
        <f t="shared" si="48"/>
        <v>18.585</v>
      </c>
      <c r="H559" s="11" t="str">
        <f t="shared" si="49"/>
        <v>3.467E-2</v>
      </c>
      <c r="I559" s="2">
        <f t="shared" si="50"/>
        <v>253.9</v>
      </c>
      <c r="J559" s="4">
        <f t="shared" si="51"/>
        <v>18.585</v>
      </c>
      <c r="K559" s="9">
        <f t="shared" si="52"/>
        <v>3.4</v>
      </c>
      <c r="L559" s="1">
        <f t="shared" si="53"/>
        <v>23</v>
      </c>
    </row>
    <row r="560" s="1" customFormat="1" spans="1:12">
      <c r="A560" s="2">
        <v>18.652</v>
      </c>
      <c r="B560" s="10" t="s">
        <v>192</v>
      </c>
      <c r="C560" s="4">
        <v>18.619</v>
      </c>
      <c r="D560" s="5">
        <v>253.9</v>
      </c>
      <c r="E560" s="4"/>
      <c r="F560" s="4"/>
      <c r="G560" s="2">
        <f t="shared" si="48"/>
        <v>18.619</v>
      </c>
      <c r="H560" s="11" t="str">
        <f t="shared" si="49"/>
        <v>3.479E-2</v>
      </c>
      <c r="I560" s="2">
        <f t="shared" si="50"/>
        <v>253.9</v>
      </c>
      <c r="J560" s="4">
        <f t="shared" si="51"/>
        <v>18.619</v>
      </c>
      <c r="K560" s="9">
        <f t="shared" si="52"/>
        <v>4.60000000000002</v>
      </c>
      <c r="L560" s="1">
        <f t="shared" si="53"/>
        <v>23</v>
      </c>
    </row>
    <row r="561" s="1" customFormat="1" spans="1:12">
      <c r="A561" s="2">
        <v>18.685</v>
      </c>
      <c r="B561" s="10" t="s">
        <v>33</v>
      </c>
      <c r="C561" s="4">
        <v>18.652</v>
      </c>
      <c r="D561" s="5">
        <v>253.9</v>
      </c>
      <c r="E561" s="4"/>
      <c r="F561" s="4"/>
      <c r="G561" s="2">
        <f t="shared" si="48"/>
        <v>18.652</v>
      </c>
      <c r="H561" s="11" t="str">
        <f t="shared" si="49"/>
        <v>3.495E-2</v>
      </c>
      <c r="I561" s="2">
        <f t="shared" si="50"/>
        <v>253.9</v>
      </c>
      <c r="J561" s="4">
        <f t="shared" si="51"/>
        <v>18.652</v>
      </c>
      <c r="K561" s="9">
        <f t="shared" si="52"/>
        <v>6.20000000000003</v>
      </c>
      <c r="L561" s="1">
        <f t="shared" si="53"/>
        <v>23</v>
      </c>
    </row>
    <row r="562" s="1" customFormat="1" spans="1:12">
      <c r="A562" s="2">
        <v>18.719</v>
      </c>
      <c r="B562" s="10" t="s">
        <v>218</v>
      </c>
      <c r="C562" s="4">
        <v>18.685</v>
      </c>
      <c r="D562" s="5">
        <v>253.9</v>
      </c>
      <c r="E562" s="4"/>
      <c r="F562" s="4"/>
      <c r="G562" s="2">
        <f t="shared" si="48"/>
        <v>18.685</v>
      </c>
      <c r="H562" s="11" t="str">
        <f t="shared" si="49"/>
        <v>3.504E-2</v>
      </c>
      <c r="I562" s="2">
        <f t="shared" si="50"/>
        <v>253.9</v>
      </c>
      <c r="J562" s="4">
        <f t="shared" si="51"/>
        <v>18.685</v>
      </c>
      <c r="K562" s="9">
        <f t="shared" si="52"/>
        <v>7.10000000000002</v>
      </c>
      <c r="L562" s="1">
        <f t="shared" si="53"/>
        <v>23</v>
      </c>
    </row>
    <row r="563" s="1" customFormat="1" spans="1:12">
      <c r="A563" s="2">
        <v>18.752</v>
      </c>
      <c r="B563" s="10" t="s">
        <v>199</v>
      </c>
      <c r="C563" s="4">
        <v>18.719</v>
      </c>
      <c r="D563" s="5">
        <v>253.9</v>
      </c>
      <c r="E563" s="4"/>
      <c r="F563" s="4"/>
      <c r="G563" s="2">
        <f t="shared" si="48"/>
        <v>18.719</v>
      </c>
      <c r="H563" s="11" t="str">
        <f t="shared" si="49"/>
        <v>3.516E-2</v>
      </c>
      <c r="I563" s="2">
        <f t="shared" si="50"/>
        <v>253.9</v>
      </c>
      <c r="J563" s="4">
        <f t="shared" si="51"/>
        <v>18.719</v>
      </c>
      <c r="K563" s="9">
        <f t="shared" si="52"/>
        <v>8.29999999999997</v>
      </c>
      <c r="L563" s="1">
        <f t="shared" si="53"/>
        <v>23</v>
      </c>
    </row>
    <row r="564" s="1" customFormat="1" spans="1:12">
      <c r="A564" s="2">
        <v>18.786</v>
      </c>
      <c r="B564" s="10" t="s">
        <v>91</v>
      </c>
      <c r="C564" s="4">
        <v>18.752</v>
      </c>
      <c r="D564" s="5">
        <v>253.9</v>
      </c>
      <c r="E564" s="4"/>
      <c r="F564" s="4"/>
      <c r="G564" s="2">
        <f t="shared" si="48"/>
        <v>18.752</v>
      </c>
      <c r="H564" s="11" t="str">
        <f t="shared" si="49"/>
        <v>3.529E-2</v>
      </c>
      <c r="I564" s="2">
        <f t="shared" si="50"/>
        <v>253.9</v>
      </c>
      <c r="J564" s="4">
        <f t="shared" si="51"/>
        <v>18.752</v>
      </c>
      <c r="K564" s="9">
        <f t="shared" si="52"/>
        <v>9.60000000000002</v>
      </c>
      <c r="L564" s="1">
        <f t="shared" si="53"/>
        <v>23</v>
      </c>
    </row>
    <row r="565" s="1" customFormat="1" spans="1:12">
      <c r="A565" s="2">
        <v>18.819</v>
      </c>
      <c r="B565" s="10" t="s">
        <v>75</v>
      </c>
      <c r="C565" s="4">
        <v>18.786</v>
      </c>
      <c r="D565" s="5">
        <v>253.9</v>
      </c>
      <c r="E565" s="4"/>
      <c r="F565" s="4"/>
      <c r="G565" s="2">
        <f t="shared" si="48"/>
        <v>18.786</v>
      </c>
      <c r="H565" s="11" t="str">
        <f t="shared" si="49"/>
        <v>3.539E-2</v>
      </c>
      <c r="I565" s="2">
        <f t="shared" si="50"/>
        <v>253.9</v>
      </c>
      <c r="J565" s="4">
        <f t="shared" si="51"/>
        <v>18.786</v>
      </c>
      <c r="K565" s="9">
        <f t="shared" si="52"/>
        <v>10.6</v>
      </c>
      <c r="L565" s="1">
        <f t="shared" si="53"/>
        <v>23</v>
      </c>
    </row>
    <row r="566" s="1" customFormat="1" spans="1:12">
      <c r="A566" s="2">
        <v>18.853</v>
      </c>
      <c r="B566" s="10" t="s">
        <v>105</v>
      </c>
      <c r="C566" s="4">
        <v>18.819</v>
      </c>
      <c r="D566" s="5">
        <v>253.5</v>
      </c>
      <c r="E566" s="4"/>
      <c r="F566" s="4"/>
      <c r="G566" s="2">
        <f t="shared" si="48"/>
        <v>18.819</v>
      </c>
      <c r="H566" s="11" t="str">
        <f t="shared" si="49"/>
        <v>3.548E-2</v>
      </c>
      <c r="I566" s="2">
        <f t="shared" si="50"/>
        <v>253.9</v>
      </c>
      <c r="J566" s="4">
        <f t="shared" si="51"/>
        <v>18.819</v>
      </c>
      <c r="K566" s="9">
        <f t="shared" si="52"/>
        <v>11.5</v>
      </c>
      <c r="L566" s="1">
        <f t="shared" si="53"/>
        <v>23</v>
      </c>
    </row>
    <row r="567" s="1" customFormat="1" spans="1:12">
      <c r="A567" s="2">
        <v>18.886</v>
      </c>
      <c r="B567" s="10" t="s">
        <v>210</v>
      </c>
      <c r="C567" s="4">
        <v>18.853</v>
      </c>
      <c r="D567" s="5">
        <v>148.3</v>
      </c>
      <c r="E567" s="4"/>
      <c r="F567" s="4"/>
      <c r="G567" s="2">
        <f t="shared" si="48"/>
        <v>18.853</v>
      </c>
      <c r="H567" s="11" t="str">
        <f t="shared" si="49"/>
        <v>3.559E-2</v>
      </c>
      <c r="I567" s="2">
        <f t="shared" si="50"/>
        <v>253.5</v>
      </c>
      <c r="J567" s="4">
        <f t="shared" si="51"/>
        <v>18.853</v>
      </c>
      <c r="K567" s="9">
        <f t="shared" si="52"/>
        <v>12.6</v>
      </c>
      <c r="L567" s="1">
        <f t="shared" si="53"/>
        <v>23</v>
      </c>
    </row>
    <row r="568" s="1" customFormat="1" spans="1:12">
      <c r="A568" s="2">
        <v>18.919</v>
      </c>
      <c r="B568" s="10" t="s">
        <v>73</v>
      </c>
      <c r="C568" s="4">
        <v>18.886</v>
      </c>
      <c r="D568" s="5">
        <v>169.1</v>
      </c>
      <c r="E568" s="4"/>
      <c r="F568" s="4"/>
      <c r="G568" s="2">
        <f t="shared" si="48"/>
        <v>18.886</v>
      </c>
      <c r="H568" s="11" t="str">
        <f t="shared" si="49"/>
        <v>3.566E-2</v>
      </c>
      <c r="I568" s="2">
        <f t="shared" si="50"/>
        <v>148.3</v>
      </c>
      <c r="J568" s="4">
        <f t="shared" si="51"/>
        <v>18.886</v>
      </c>
      <c r="K568" s="9">
        <f t="shared" si="52"/>
        <v>13.3</v>
      </c>
      <c r="L568" s="1">
        <f t="shared" si="53"/>
        <v>-5</v>
      </c>
    </row>
    <row r="569" s="1" customFormat="1" spans="1:12">
      <c r="A569" s="2">
        <v>18.953</v>
      </c>
      <c r="B569" s="10" t="s">
        <v>71</v>
      </c>
      <c r="C569" s="4">
        <v>18.919</v>
      </c>
      <c r="D569" s="5">
        <v>167.9</v>
      </c>
      <c r="E569" s="4"/>
      <c r="F569" s="4"/>
      <c r="G569" s="2">
        <f t="shared" si="48"/>
        <v>18.919</v>
      </c>
      <c r="H569" s="11" t="str">
        <f t="shared" si="49"/>
        <v>3.571E-2</v>
      </c>
      <c r="I569" s="2">
        <f t="shared" si="50"/>
        <v>169.1</v>
      </c>
      <c r="J569" s="4">
        <f t="shared" si="51"/>
        <v>18.919</v>
      </c>
      <c r="K569" s="9">
        <f t="shared" si="52"/>
        <v>13.8</v>
      </c>
      <c r="L569" s="1">
        <f t="shared" si="53"/>
        <v>-5</v>
      </c>
    </row>
    <row r="570" s="1" customFormat="1" spans="1:12">
      <c r="A570" s="2">
        <v>18.986</v>
      </c>
      <c r="B570" s="10" t="s">
        <v>67</v>
      </c>
      <c r="C570" s="4">
        <v>18.953</v>
      </c>
      <c r="D570" s="5">
        <v>168.1</v>
      </c>
      <c r="E570" s="4"/>
      <c r="F570" s="4"/>
      <c r="G570" s="2">
        <f t="shared" si="48"/>
        <v>18.953</v>
      </c>
      <c r="H570" s="11" t="str">
        <f t="shared" si="49"/>
        <v>3.583E-2</v>
      </c>
      <c r="I570" s="2">
        <f t="shared" si="50"/>
        <v>167.9</v>
      </c>
      <c r="J570" s="4">
        <f t="shared" si="51"/>
        <v>18.953</v>
      </c>
      <c r="K570" s="9">
        <f t="shared" si="52"/>
        <v>15</v>
      </c>
      <c r="L570" s="1">
        <f t="shared" si="53"/>
        <v>-5</v>
      </c>
    </row>
    <row r="571" s="1" customFormat="1" spans="1:12">
      <c r="A571" s="2">
        <v>19.02</v>
      </c>
      <c r="B571" s="10" t="s">
        <v>178</v>
      </c>
      <c r="C571" s="4">
        <v>18.986</v>
      </c>
      <c r="D571" s="5">
        <v>166.6</v>
      </c>
      <c r="E571" s="4"/>
      <c r="F571" s="4"/>
      <c r="G571" s="2">
        <f t="shared" si="48"/>
        <v>18.986</v>
      </c>
      <c r="H571" s="11" t="str">
        <f t="shared" si="49"/>
        <v>3.587E-2</v>
      </c>
      <c r="I571" s="2">
        <f t="shared" si="50"/>
        <v>168.1</v>
      </c>
      <c r="J571" s="4">
        <f t="shared" si="51"/>
        <v>18.986</v>
      </c>
      <c r="K571" s="9">
        <f t="shared" si="52"/>
        <v>15.4</v>
      </c>
      <c r="L571" s="1">
        <f t="shared" si="53"/>
        <v>-5</v>
      </c>
    </row>
    <row r="572" s="1" customFormat="1" spans="1:12">
      <c r="A572" s="2">
        <v>19.053</v>
      </c>
      <c r="B572" s="10" t="s">
        <v>178</v>
      </c>
      <c r="C572" s="4">
        <v>19.02</v>
      </c>
      <c r="D572" s="5">
        <v>165.1</v>
      </c>
      <c r="E572" s="4"/>
      <c r="F572" s="4"/>
      <c r="G572" s="2">
        <f t="shared" si="48"/>
        <v>19.02</v>
      </c>
      <c r="H572" s="11" t="str">
        <f t="shared" si="49"/>
        <v>3.588E-2</v>
      </c>
      <c r="I572" s="2">
        <f t="shared" si="50"/>
        <v>166.6</v>
      </c>
      <c r="J572" s="4">
        <f t="shared" si="51"/>
        <v>19.02</v>
      </c>
      <c r="K572" s="9">
        <f t="shared" si="52"/>
        <v>15.5</v>
      </c>
      <c r="L572" s="1">
        <f t="shared" si="53"/>
        <v>-5</v>
      </c>
    </row>
    <row r="573" s="1" customFormat="1" spans="1:12">
      <c r="A573" s="2">
        <v>19.087</v>
      </c>
      <c r="B573" s="10" t="s">
        <v>179</v>
      </c>
      <c r="C573" s="4">
        <v>19.053</v>
      </c>
      <c r="D573" s="5">
        <v>163.8</v>
      </c>
      <c r="E573" s="4"/>
      <c r="F573" s="4"/>
      <c r="G573" s="2">
        <f t="shared" si="48"/>
        <v>19.053</v>
      </c>
      <c r="H573" s="11" t="str">
        <f t="shared" si="49"/>
        <v>3.588E-2</v>
      </c>
      <c r="I573" s="2">
        <f t="shared" si="50"/>
        <v>165.1</v>
      </c>
      <c r="J573" s="4">
        <f t="shared" si="51"/>
        <v>19.053</v>
      </c>
      <c r="K573" s="9">
        <f t="shared" si="52"/>
        <v>15.5</v>
      </c>
      <c r="L573" s="1">
        <f t="shared" si="53"/>
        <v>-5</v>
      </c>
    </row>
    <row r="574" s="1" customFormat="1" spans="1:12">
      <c r="A574" s="2">
        <v>19.12</v>
      </c>
      <c r="B574" s="10" t="s">
        <v>180</v>
      </c>
      <c r="C574" s="4">
        <v>19.087</v>
      </c>
      <c r="D574" s="5">
        <v>163</v>
      </c>
      <c r="E574" s="4"/>
      <c r="F574" s="4"/>
      <c r="G574" s="2">
        <f t="shared" si="48"/>
        <v>19.087</v>
      </c>
      <c r="H574" s="11" t="str">
        <f t="shared" si="49"/>
        <v>3.586E-2</v>
      </c>
      <c r="I574" s="2">
        <f t="shared" si="50"/>
        <v>163.8</v>
      </c>
      <c r="J574" s="4">
        <f t="shared" si="51"/>
        <v>19.087</v>
      </c>
      <c r="K574" s="9">
        <f t="shared" si="52"/>
        <v>15.3</v>
      </c>
      <c r="L574" s="1">
        <f t="shared" si="53"/>
        <v>-5</v>
      </c>
    </row>
    <row r="575" s="1" customFormat="1" spans="1:12">
      <c r="A575" s="2">
        <v>19.153</v>
      </c>
      <c r="B575" s="10" t="s">
        <v>162</v>
      </c>
      <c r="C575" s="4">
        <v>19.12</v>
      </c>
      <c r="D575" s="5">
        <v>164.2</v>
      </c>
      <c r="E575" s="4"/>
      <c r="F575" s="4"/>
      <c r="G575" s="2">
        <f t="shared" si="48"/>
        <v>19.12</v>
      </c>
      <c r="H575" s="11" t="str">
        <f t="shared" si="49"/>
        <v>3.584E-2</v>
      </c>
      <c r="I575" s="2">
        <f t="shared" si="50"/>
        <v>163</v>
      </c>
      <c r="J575" s="4">
        <f t="shared" si="51"/>
        <v>19.12</v>
      </c>
      <c r="K575" s="9">
        <f t="shared" si="52"/>
        <v>15.1</v>
      </c>
      <c r="L575" s="1">
        <f t="shared" si="53"/>
        <v>-5</v>
      </c>
    </row>
    <row r="576" s="1" customFormat="1" spans="1:12">
      <c r="A576" s="2">
        <v>19.187</v>
      </c>
      <c r="B576" s="10" t="s">
        <v>219</v>
      </c>
      <c r="C576" s="4">
        <v>19.153</v>
      </c>
      <c r="D576" s="5">
        <v>162</v>
      </c>
      <c r="E576" s="4"/>
      <c r="F576" s="4"/>
      <c r="G576" s="2">
        <f t="shared" si="48"/>
        <v>19.153</v>
      </c>
      <c r="H576" s="11" t="str">
        <f t="shared" si="49"/>
        <v>3.580E-2</v>
      </c>
      <c r="I576" s="2">
        <f t="shared" si="50"/>
        <v>164.2</v>
      </c>
      <c r="J576" s="4">
        <f t="shared" si="51"/>
        <v>19.153</v>
      </c>
      <c r="K576" s="9">
        <f t="shared" si="52"/>
        <v>14.7</v>
      </c>
      <c r="L576" s="1">
        <f t="shared" si="53"/>
        <v>-5</v>
      </c>
    </row>
    <row r="577" s="1" customFormat="1" spans="1:12">
      <c r="A577" s="2">
        <v>19.22</v>
      </c>
      <c r="B577" s="10" t="s">
        <v>73</v>
      </c>
      <c r="C577" s="4">
        <v>19.187</v>
      </c>
      <c r="D577" s="5">
        <v>161.4</v>
      </c>
      <c r="E577" s="4"/>
      <c r="F577" s="4"/>
      <c r="G577" s="2">
        <f t="shared" si="48"/>
        <v>19.187</v>
      </c>
      <c r="H577" s="11" t="str">
        <f t="shared" si="49"/>
        <v>3.574E-2</v>
      </c>
      <c r="I577" s="2">
        <f t="shared" si="50"/>
        <v>162</v>
      </c>
      <c r="J577" s="4">
        <f t="shared" si="51"/>
        <v>19.187</v>
      </c>
      <c r="K577" s="9">
        <f t="shared" si="52"/>
        <v>14.1</v>
      </c>
      <c r="L577" s="1">
        <f t="shared" si="53"/>
        <v>-5</v>
      </c>
    </row>
    <row r="578" s="1" customFormat="1" spans="1:12">
      <c r="A578" s="2">
        <v>19.254</v>
      </c>
      <c r="B578" s="10" t="s">
        <v>212</v>
      </c>
      <c r="C578" s="4">
        <v>19.22</v>
      </c>
      <c r="D578" s="5">
        <v>160.3</v>
      </c>
      <c r="E578" s="4"/>
      <c r="F578" s="4"/>
      <c r="G578" s="2">
        <f t="shared" si="48"/>
        <v>19.22</v>
      </c>
      <c r="H578" s="11" t="str">
        <f t="shared" si="49"/>
        <v>3.571E-2</v>
      </c>
      <c r="I578" s="2">
        <f t="shared" si="50"/>
        <v>161.4</v>
      </c>
      <c r="J578" s="4">
        <f t="shared" si="51"/>
        <v>19.22</v>
      </c>
      <c r="K578" s="9">
        <f t="shared" si="52"/>
        <v>13.8</v>
      </c>
      <c r="L578" s="1">
        <f t="shared" si="53"/>
        <v>-5</v>
      </c>
    </row>
    <row r="579" s="1" customFormat="1" spans="1:12">
      <c r="A579" s="2">
        <v>19.287</v>
      </c>
      <c r="B579" s="10" t="s">
        <v>122</v>
      </c>
      <c r="C579" s="4">
        <v>19.254</v>
      </c>
      <c r="D579" s="5">
        <v>160.3</v>
      </c>
      <c r="E579" s="4"/>
      <c r="F579" s="4"/>
      <c r="G579" s="2">
        <f t="shared" si="48"/>
        <v>19.254</v>
      </c>
      <c r="H579" s="11" t="str">
        <f t="shared" si="49"/>
        <v>3.562E-2</v>
      </c>
      <c r="I579" s="2">
        <f t="shared" si="50"/>
        <v>160.3</v>
      </c>
      <c r="J579" s="4">
        <f t="shared" si="51"/>
        <v>19.254</v>
      </c>
      <c r="K579" s="9">
        <f t="shared" si="52"/>
        <v>12.9</v>
      </c>
      <c r="L579" s="1">
        <f t="shared" si="53"/>
        <v>-5</v>
      </c>
    </row>
    <row r="580" s="1" customFormat="1" spans="1:12">
      <c r="A580" s="2">
        <v>19.321</v>
      </c>
      <c r="B580" s="10" t="s">
        <v>91</v>
      </c>
      <c r="C580" s="4">
        <v>19.287</v>
      </c>
      <c r="D580" s="5">
        <v>158.3</v>
      </c>
      <c r="E580" s="4"/>
      <c r="F580" s="4"/>
      <c r="G580" s="2">
        <f t="shared" ref="G580:G643" si="54">A579</f>
        <v>19.287</v>
      </c>
      <c r="H580" s="11" t="str">
        <f t="shared" ref="H580:H643" si="55">B579</f>
        <v>3.549E-2</v>
      </c>
      <c r="I580" s="2">
        <f t="shared" ref="I580:I643" si="56">D579</f>
        <v>160.3</v>
      </c>
      <c r="J580" s="4">
        <f t="shared" ref="J580:J643" si="57">G580</f>
        <v>19.287</v>
      </c>
      <c r="K580" s="9">
        <f t="shared" ref="K580:K643" si="58">(H580-$H$4)*10000</f>
        <v>11.6</v>
      </c>
      <c r="L580" s="1">
        <f t="shared" si="53"/>
        <v>-5</v>
      </c>
    </row>
    <row r="581" s="1" customFormat="1" spans="1:12">
      <c r="A581" s="2">
        <v>19.354</v>
      </c>
      <c r="B581" s="10" t="s">
        <v>201</v>
      </c>
      <c r="C581" s="4">
        <v>19.321</v>
      </c>
      <c r="D581" s="5">
        <v>157.4</v>
      </c>
      <c r="E581" s="4"/>
      <c r="F581" s="4"/>
      <c r="G581" s="2">
        <f t="shared" si="54"/>
        <v>19.321</v>
      </c>
      <c r="H581" s="11" t="str">
        <f t="shared" si="55"/>
        <v>3.539E-2</v>
      </c>
      <c r="I581" s="2">
        <f t="shared" si="56"/>
        <v>158.3</v>
      </c>
      <c r="J581" s="4">
        <f t="shared" si="57"/>
        <v>19.321</v>
      </c>
      <c r="K581" s="9">
        <f t="shared" si="58"/>
        <v>10.6</v>
      </c>
      <c r="L581" s="1">
        <f t="shared" ref="L581:L644" si="59">IF(I581&lt;230,-5,23)</f>
        <v>-5</v>
      </c>
    </row>
    <row r="582" s="1" customFormat="1" spans="1:12">
      <c r="A582" s="2">
        <v>19.387</v>
      </c>
      <c r="B582" s="10" t="s">
        <v>138</v>
      </c>
      <c r="C582" s="4">
        <v>19.354</v>
      </c>
      <c r="D582" s="5">
        <v>156.6</v>
      </c>
      <c r="E582" s="4"/>
      <c r="F582" s="4"/>
      <c r="G582" s="2">
        <f t="shared" si="54"/>
        <v>19.354</v>
      </c>
      <c r="H582" s="11" t="str">
        <f t="shared" si="55"/>
        <v>3.521E-2</v>
      </c>
      <c r="I582" s="2">
        <f t="shared" si="56"/>
        <v>157.4</v>
      </c>
      <c r="J582" s="4">
        <f t="shared" si="57"/>
        <v>19.354</v>
      </c>
      <c r="K582" s="9">
        <f t="shared" si="58"/>
        <v>8.79999999999999</v>
      </c>
      <c r="L582" s="1">
        <f t="shared" si="59"/>
        <v>-5</v>
      </c>
    </row>
    <row r="583" s="1" customFormat="1" spans="1:12">
      <c r="A583" s="2">
        <v>19.421</v>
      </c>
      <c r="B583" s="10" t="s">
        <v>38</v>
      </c>
      <c r="C583" s="4">
        <v>19.387</v>
      </c>
      <c r="D583" s="5">
        <v>155.9</v>
      </c>
      <c r="E583" s="4"/>
      <c r="F583" s="4"/>
      <c r="G583" s="2">
        <f t="shared" si="54"/>
        <v>19.387</v>
      </c>
      <c r="H583" s="11" t="str">
        <f t="shared" si="55"/>
        <v>3.508E-2</v>
      </c>
      <c r="I583" s="2">
        <f t="shared" si="56"/>
        <v>156.6</v>
      </c>
      <c r="J583" s="4">
        <f t="shared" si="57"/>
        <v>19.387</v>
      </c>
      <c r="K583" s="9">
        <f t="shared" si="58"/>
        <v>7.50000000000001</v>
      </c>
      <c r="L583" s="1">
        <f t="shared" si="59"/>
        <v>-5</v>
      </c>
    </row>
    <row r="584" s="1" customFormat="1" spans="1:12">
      <c r="A584" s="2">
        <v>19.454</v>
      </c>
      <c r="B584" s="10" t="s">
        <v>205</v>
      </c>
      <c r="C584" s="4">
        <v>19.421</v>
      </c>
      <c r="D584" s="5">
        <v>155.7</v>
      </c>
      <c r="E584" s="4"/>
      <c r="F584" s="4"/>
      <c r="G584" s="2">
        <f t="shared" si="54"/>
        <v>19.421</v>
      </c>
      <c r="H584" s="11" t="str">
        <f t="shared" si="55"/>
        <v>3.492E-2</v>
      </c>
      <c r="I584" s="2">
        <f t="shared" si="56"/>
        <v>155.9</v>
      </c>
      <c r="J584" s="4">
        <f t="shared" si="57"/>
        <v>19.421</v>
      </c>
      <c r="K584" s="9">
        <f t="shared" si="58"/>
        <v>5.9</v>
      </c>
      <c r="L584" s="1">
        <f t="shared" si="59"/>
        <v>-5</v>
      </c>
    </row>
    <row r="585" s="1" customFormat="1" spans="1:12">
      <c r="A585" s="2">
        <v>19.488</v>
      </c>
      <c r="B585" s="10" t="s">
        <v>170</v>
      </c>
      <c r="C585" s="4">
        <v>19.454</v>
      </c>
      <c r="D585" s="5">
        <v>154.7</v>
      </c>
      <c r="E585" s="4"/>
      <c r="F585" s="4"/>
      <c r="G585" s="2">
        <f t="shared" si="54"/>
        <v>19.454</v>
      </c>
      <c r="H585" s="11" t="str">
        <f t="shared" si="55"/>
        <v>3.481E-2</v>
      </c>
      <c r="I585" s="2">
        <f t="shared" si="56"/>
        <v>155.7</v>
      </c>
      <c r="J585" s="4">
        <f t="shared" si="57"/>
        <v>19.454</v>
      </c>
      <c r="K585" s="9">
        <f t="shared" si="58"/>
        <v>4.80000000000001</v>
      </c>
      <c r="L585" s="1">
        <f t="shared" si="59"/>
        <v>-5</v>
      </c>
    </row>
    <row r="586" s="1" customFormat="1" spans="1:12">
      <c r="A586" s="2">
        <v>19.521</v>
      </c>
      <c r="B586" s="10" t="s">
        <v>220</v>
      </c>
      <c r="C586" s="4">
        <v>19.488</v>
      </c>
      <c r="D586" s="5">
        <v>153.3</v>
      </c>
      <c r="E586" s="4"/>
      <c r="F586" s="4"/>
      <c r="G586" s="2">
        <f t="shared" si="54"/>
        <v>19.488</v>
      </c>
      <c r="H586" s="11" t="str">
        <f t="shared" si="55"/>
        <v>3.469E-2</v>
      </c>
      <c r="I586" s="2">
        <f t="shared" si="56"/>
        <v>154.7</v>
      </c>
      <c r="J586" s="4">
        <f t="shared" si="57"/>
        <v>19.488</v>
      </c>
      <c r="K586" s="9">
        <f t="shared" si="58"/>
        <v>3.59999999999999</v>
      </c>
      <c r="L586" s="1">
        <f t="shared" si="59"/>
        <v>-5</v>
      </c>
    </row>
    <row r="587" s="1" customFormat="1" spans="1:12">
      <c r="A587" s="2">
        <v>19.555</v>
      </c>
      <c r="B587" s="10" t="s">
        <v>221</v>
      </c>
      <c r="C587" s="4">
        <v>19.521</v>
      </c>
      <c r="D587" s="5">
        <v>152.3</v>
      </c>
      <c r="E587" s="4"/>
      <c r="F587" s="4"/>
      <c r="G587" s="2">
        <f t="shared" si="54"/>
        <v>19.521</v>
      </c>
      <c r="H587" s="11" t="str">
        <f t="shared" si="55"/>
        <v>3.458E-2</v>
      </c>
      <c r="I587" s="2">
        <f t="shared" si="56"/>
        <v>153.3</v>
      </c>
      <c r="J587" s="4">
        <f t="shared" si="57"/>
        <v>19.521</v>
      </c>
      <c r="K587" s="9">
        <f t="shared" si="58"/>
        <v>2.5</v>
      </c>
      <c r="L587" s="1">
        <f t="shared" si="59"/>
        <v>-5</v>
      </c>
    </row>
    <row r="588" s="1" customFormat="1" spans="1:12">
      <c r="A588" s="2">
        <v>19.588</v>
      </c>
      <c r="B588" s="10" t="s">
        <v>222</v>
      </c>
      <c r="C588" s="4">
        <v>19.555</v>
      </c>
      <c r="D588" s="5">
        <v>151.4</v>
      </c>
      <c r="E588" s="4"/>
      <c r="F588" s="4"/>
      <c r="G588" s="2">
        <f t="shared" si="54"/>
        <v>19.555</v>
      </c>
      <c r="H588" s="11" t="str">
        <f t="shared" si="55"/>
        <v>3.448E-2</v>
      </c>
      <c r="I588" s="2">
        <f t="shared" si="56"/>
        <v>152.3</v>
      </c>
      <c r="J588" s="4">
        <f t="shared" si="57"/>
        <v>19.555</v>
      </c>
      <c r="K588" s="9">
        <f t="shared" si="58"/>
        <v>1.49999999999997</v>
      </c>
      <c r="L588" s="1">
        <f t="shared" si="59"/>
        <v>-5</v>
      </c>
    </row>
    <row r="589" s="1" customFormat="1" spans="1:12">
      <c r="A589" s="2">
        <v>19.621</v>
      </c>
      <c r="B589" s="10" t="s">
        <v>10</v>
      </c>
      <c r="C589" s="4">
        <v>19.588</v>
      </c>
      <c r="D589" s="5">
        <v>150.4</v>
      </c>
      <c r="E589" s="4"/>
      <c r="F589" s="4"/>
      <c r="G589" s="2">
        <f t="shared" si="54"/>
        <v>19.588</v>
      </c>
      <c r="H589" s="11" t="str">
        <f t="shared" si="55"/>
        <v>3.443E-2</v>
      </c>
      <c r="I589" s="2">
        <f t="shared" si="56"/>
        <v>151.4</v>
      </c>
      <c r="J589" s="4">
        <f t="shared" si="57"/>
        <v>19.588</v>
      </c>
      <c r="K589" s="9">
        <f t="shared" si="58"/>
        <v>1.00000000000003</v>
      </c>
      <c r="L589" s="1">
        <f t="shared" si="59"/>
        <v>-5</v>
      </c>
    </row>
    <row r="590" s="1" customFormat="1" spans="1:12">
      <c r="A590" s="2">
        <v>19.655</v>
      </c>
      <c r="B590" s="10" t="s">
        <v>14</v>
      </c>
      <c r="C590" s="4">
        <v>19.621</v>
      </c>
      <c r="D590" s="5">
        <v>148.9</v>
      </c>
      <c r="E590" s="4"/>
      <c r="F590" s="4"/>
      <c r="G590" s="2">
        <f t="shared" si="54"/>
        <v>19.621</v>
      </c>
      <c r="H590" s="11" t="str">
        <f t="shared" si="55"/>
        <v>3.434E-2</v>
      </c>
      <c r="I590" s="2">
        <f t="shared" si="56"/>
        <v>150.4</v>
      </c>
      <c r="J590" s="4">
        <f t="shared" si="57"/>
        <v>19.621</v>
      </c>
      <c r="K590" s="9">
        <f t="shared" si="58"/>
        <v>0.100000000000031</v>
      </c>
      <c r="L590" s="1">
        <f t="shared" si="59"/>
        <v>-5</v>
      </c>
    </row>
    <row r="591" s="1" customFormat="1" spans="1:12">
      <c r="A591" s="2">
        <v>19.688</v>
      </c>
      <c r="B591" s="10" t="s">
        <v>16</v>
      </c>
      <c r="C591" s="4">
        <v>19.655</v>
      </c>
      <c r="D591" s="5">
        <v>148.8</v>
      </c>
      <c r="E591" s="4"/>
      <c r="F591" s="4"/>
      <c r="G591" s="2">
        <f t="shared" si="54"/>
        <v>19.655</v>
      </c>
      <c r="H591" s="11" t="str">
        <f t="shared" si="55"/>
        <v>3.429E-2</v>
      </c>
      <c r="I591" s="2">
        <f t="shared" si="56"/>
        <v>148.9</v>
      </c>
      <c r="J591" s="4">
        <f t="shared" si="57"/>
        <v>19.655</v>
      </c>
      <c r="K591" s="9">
        <f t="shared" si="58"/>
        <v>-0.399999999999984</v>
      </c>
      <c r="L591" s="1">
        <f t="shared" si="59"/>
        <v>-5</v>
      </c>
    </row>
    <row r="592" s="1" customFormat="1" spans="1:12">
      <c r="A592" s="2">
        <v>19.722</v>
      </c>
      <c r="B592" s="10" t="s">
        <v>15</v>
      </c>
      <c r="C592" s="4">
        <v>19.688</v>
      </c>
      <c r="D592" s="5">
        <v>147.7</v>
      </c>
      <c r="E592" s="4"/>
      <c r="F592" s="4"/>
      <c r="G592" s="2">
        <f t="shared" si="54"/>
        <v>19.688</v>
      </c>
      <c r="H592" s="11" t="str">
        <f t="shared" si="55"/>
        <v>3.426E-2</v>
      </c>
      <c r="I592" s="2">
        <f t="shared" si="56"/>
        <v>148.8</v>
      </c>
      <c r="J592" s="4">
        <f t="shared" si="57"/>
        <v>19.688</v>
      </c>
      <c r="K592" s="9">
        <f t="shared" si="58"/>
        <v>-0.700000000000006</v>
      </c>
      <c r="L592" s="1">
        <f t="shared" si="59"/>
        <v>-5</v>
      </c>
    </row>
    <row r="593" s="1" customFormat="1" spans="1:12">
      <c r="A593" s="2">
        <v>19.755</v>
      </c>
      <c r="B593" s="10" t="s">
        <v>19</v>
      </c>
      <c r="C593" s="4">
        <v>19.722</v>
      </c>
      <c r="D593" s="5">
        <v>146.7</v>
      </c>
      <c r="E593" s="4"/>
      <c r="F593" s="4"/>
      <c r="G593" s="2">
        <f t="shared" si="54"/>
        <v>19.722</v>
      </c>
      <c r="H593" s="11" t="str">
        <f t="shared" si="55"/>
        <v>3.427E-2</v>
      </c>
      <c r="I593" s="2">
        <f t="shared" si="56"/>
        <v>147.7</v>
      </c>
      <c r="J593" s="4">
        <f t="shared" si="57"/>
        <v>19.722</v>
      </c>
      <c r="K593" s="9">
        <f t="shared" si="58"/>
        <v>-0.599999999999976</v>
      </c>
      <c r="L593" s="1">
        <f t="shared" si="59"/>
        <v>-5</v>
      </c>
    </row>
    <row r="594" s="1" customFormat="1" spans="1:12">
      <c r="A594" s="2">
        <v>19.789</v>
      </c>
      <c r="B594" s="10" t="s">
        <v>20</v>
      </c>
      <c r="C594" s="4">
        <v>19.755</v>
      </c>
      <c r="D594" s="5">
        <v>145.9</v>
      </c>
      <c r="E594" s="4"/>
      <c r="F594" s="4"/>
      <c r="G594" s="2">
        <f t="shared" si="54"/>
        <v>19.755</v>
      </c>
      <c r="H594" s="11" t="str">
        <f t="shared" si="55"/>
        <v>3.428E-2</v>
      </c>
      <c r="I594" s="2">
        <f t="shared" si="56"/>
        <v>146.7</v>
      </c>
      <c r="J594" s="4">
        <f t="shared" si="57"/>
        <v>19.755</v>
      </c>
      <c r="K594" s="9">
        <f t="shared" si="58"/>
        <v>-0.500000000000014</v>
      </c>
      <c r="L594" s="1">
        <f t="shared" si="59"/>
        <v>-5</v>
      </c>
    </row>
    <row r="595" s="1" customFormat="1" spans="1:12">
      <c r="A595" s="2">
        <v>19.822</v>
      </c>
      <c r="B595" s="10" t="s">
        <v>10</v>
      </c>
      <c r="C595" s="4">
        <v>19.789</v>
      </c>
      <c r="D595" s="5">
        <v>146.3</v>
      </c>
      <c r="E595" s="4"/>
      <c r="F595" s="4"/>
      <c r="G595" s="2">
        <f t="shared" si="54"/>
        <v>19.789</v>
      </c>
      <c r="H595" s="11" t="str">
        <f t="shared" si="55"/>
        <v>3.430E-2</v>
      </c>
      <c r="I595" s="2">
        <f t="shared" si="56"/>
        <v>145.9</v>
      </c>
      <c r="J595" s="4">
        <f t="shared" si="57"/>
        <v>19.789</v>
      </c>
      <c r="K595" s="9">
        <f t="shared" si="58"/>
        <v>-0.300000000000022</v>
      </c>
      <c r="L595" s="1">
        <f t="shared" si="59"/>
        <v>-5</v>
      </c>
    </row>
    <row r="596" s="1" customFormat="1" spans="1:12">
      <c r="A596" s="2">
        <v>19.855</v>
      </c>
      <c r="B596" s="10" t="s">
        <v>21</v>
      </c>
      <c r="C596" s="4">
        <v>19.822</v>
      </c>
      <c r="D596" s="5">
        <v>143.7</v>
      </c>
      <c r="E596" s="4"/>
      <c r="F596" s="4"/>
      <c r="G596" s="2">
        <f t="shared" si="54"/>
        <v>19.822</v>
      </c>
      <c r="H596" s="11" t="str">
        <f t="shared" si="55"/>
        <v>3.434E-2</v>
      </c>
      <c r="I596" s="2">
        <f t="shared" si="56"/>
        <v>146.3</v>
      </c>
      <c r="J596" s="4">
        <f t="shared" si="57"/>
        <v>19.822</v>
      </c>
      <c r="K596" s="9">
        <f t="shared" si="58"/>
        <v>0.100000000000031</v>
      </c>
      <c r="L596" s="1">
        <f t="shared" si="59"/>
        <v>-5</v>
      </c>
    </row>
    <row r="597" s="1" customFormat="1" spans="1:12">
      <c r="A597" s="2">
        <v>19.889</v>
      </c>
      <c r="B597" s="10" t="s">
        <v>43</v>
      </c>
      <c r="C597" s="4">
        <v>19.855</v>
      </c>
      <c r="D597" s="5">
        <v>143</v>
      </c>
      <c r="E597" s="4"/>
      <c r="F597" s="4"/>
      <c r="G597" s="2">
        <f t="shared" si="54"/>
        <v>19.855</v>
      </c>
      <c r="H597" s="11" t="str">
        <f t="shared" si="55"/>
        <v>3.437E-2</v>
      </c>
      <c r="I597" s="2">
        <f t="shared" si="56"/>
        <v>143.7</v>
      </c>
      <c r="J597" s="4">
        <f t="shared" si="57"/>
        <v>19.855</v>
      </c>
      <c r="K597" s="9">
        <f t="shared" si="58"/>
        <v>0.399999999999984</v>
      </c>
      <c r="L597" s="1">
        <f t="shared" si="59"/>
        <v>-5</v>
      </c>
    </row>
    <row r="598" s="1" customFormat="1" spans="1:12">
      <c r="A598" s="2">
        <v>19.922</v>
      </c>
      <c r="B598" s="10" t="s">
        <v>25</v>
      </c>
      <c r="C598" s="4">
        <v>19.889</v>
      </c>
      <c r="D598" s="5">
        <v>141.8</v>
      </c>
      <c r="E598" s="4"/>
      <c r="F598" s="4"/>
      <c r="G598" s="2">
        <f t="shared" si="54"/>
        <v>19.889</v>
      </c>
      <c r="H598" s="11" t="str">
        <f t="shared" si="55"/>
        <v>3.441E-2</v>
      </c>
      <c r="I598" s="2">
        <f t="shared" si="56"/>
        <v>143</v>
      </c>
      <c r="J598" s="4">
        <f t="shared" si="57"/>
        <v>19.889</v>
      </c>
      <c r="K598" s="9">
        <f t="shared" si="58"/>
        <v>0.800000000000037</v>
      </c>
      <c r="L598" s="1">
        <f t="shared" si="59"/>
        <v>-5</v>
      </c>
    </row>
    <row r="599" s="1" customFormat="1" spans="1:12">
      <c r="A599" s="2">
        <v>19.956</v>
      </c>
      <c r="B599" s="10" t="s">
        <v>223</v>
      </c>
      <c r="C599" s="4">
        <v>19.922</v>
      </c>
      <c r="D599" s="5">
        <v>140.8</v>
      </c>
      <c r="E599" s="4"/>
      <c r="F599" s="4"/>
      <c r="G599" s="2">
        <f t="shared" si="54"/>
        <v>19.922</v>
      </c>
      <c r="H599" s="11" t="str">
        <f t="shared" si="55"/>
        <v>3.447E-2</v>
      </c>
      <c r="I599" s="2">
        <f t="shared" si="56"/>
        <v>141.8</v>
      </c>
      <c r="J599" s="4">
        <f t="shared" si="57"/>
        <v>19.922</v>
      </c>
      <c r="K599" s="9">
        <f t="shared" si="58"/>
        <v>1.40000000000001</v>
      </c>
      <c r="L599" s="1">
        <f t="shared" si="59"/>
        <v>-5</v>
      </c>
    </row>
    <row r="600" s="1" customFormat="1" spans="1:12">
      <c r="A600" s="2">
        <v>19.989</v>
      </c>
      <c r="B600" s="10" t="s">
        <v>166</v>
      </c>
      <c r="C600" s="4">
        <v>19.956</v>
      </c>
      <c r="D600" s="5">
        <v>139.8</v>
      </c>
      <c r="E600" s="4"/>
      <c r="F600" s="4"/>
      <c r="G600" s="2">
        <f t="shared" si="54"/>
        <v>19.956</v>
      </c>
      <c r="H600" s="11" t="str">
        <f t="shared" si="55"/>
        <v>3.455E-2</v>
      </c>
      <c r="I600" s="2">
        <f t="shared" si="56"/>
        <v>140.8</v>
      </c>
      <c r="J600" s="4">
        <f t="shared" si="57"/>
        <v>19.956</v>
      </c>
      <c r="K600" s="9">
        <f t="shared" si="58"/>
        <v>2.19999999999998</v>
      </c>
      <c r="L600" s="1">
        <f t="shared" si="59"/>
        <v>-5</v>
      </c>
    </row>
    <row r="601" s="1" customFormat="1" spans="1:12">
      <c r="A601" s="2">
        <v>20.023</v>
      </c>
      <c r="B601" s="10" t="s">
        <v>29</v>
      </c>
      <c r="C601" s="4">
        <v>19.989</v>
      </c>
      <c r="D601" s="5">
        <v>138.4</v>
      </c>
      <c r="E601" s="4"/>
      <c r="F601" s="4"/>
      <c r="G601" s="2">
        <f t="shared" si="54"/>
        <v>19.989</v>
      </c>
      <c r="H601" s="11" t="str">
        <f t="shared" si="55"/>
        <v>3.465E-2</v>
      </c>
      <c r="I601" s="2">
        <f t="shared" si="56"/>
        <v>139.8</v>
      </c>
      <c r="J601" s="4">
        <f t="shared" si="57"/>
        <v>19.989</v>
      </c>
      <c r="K601" s="9">
        <f t="shared" si="58"/>
        <v>3.20000000000001</v>
      </c>
      <c r="L601" s="1">
        <f t="shared" si="59"/>
        <v>-5</v>
      </c>
    </row>
    <row r="602" s="1" customFormat="1" spans="1:12">
      <c r="A602" s="2">
        <v>20.056</v>
      </c>
      <c r="B602" s="10" t="s">
        <v>139</v>
      </c>
      <c r="C602" s="4">
        <v>20.023</v>
      </c>
      <c r="D602" s="5">
        <v>137.5</v>
      </c>
      <c r="E602" s="4"/>
      <c r="F602" s="4"/>
      <c r="G602" s="2">
        <f t="shared" si="54"/>
        <v>20.023</v>
      </c>
      <c r="H602" s="11" t="str">
        <f t="shared" si="55"/>
        <v>3.478E-2</v>
      </c>
      <c r="I602" s="2">
        <f t="shared" si="56"/>
        <v>138.4</v>
      </c>
      <c r="J602" s="4">
        <f t="shared" si="57"/>
        <v>20.023</v>
      </c>
      <c r="K602" s="9">
        <f t="shared" si="58"/>
        <v>4.49999999999999</v>
      </c>
      <c r="L602" s="1">
        <f t="shared" si="59"/>
        <v>-5</v>
      </c>
    </row>
    <row r="603" s="1" customFormat="1" spans="1:12">
      <c r="A603" s="2">
        <v>20.089</v>
      </c>
      <c r="B603" s="10" t="s">
        <v>190</v>
      </c>
      <c r="C603" s="4">
        <v>20.056</v>
      </c>
      <c r="D603" s="5">
        <v>136.5</v>
      </c>
      <c r="E603" s="4"/>
      <c r="F603" s="4"/>
      <c r="G603" s="2">
        <f t="shared" si="54"/>
        <v>20.056</v>
      </c>
      <c r="H603" s="11" t="str">
        <f t="shared" si="55"/>
        <v>3.485E-2</v>
      </c>
      <c r="I603" s="2">
        <f t="shared" si="56"/>
        <v>137.5</v>
      </c>
      <c r="J603" s="4">
        <f t="shared" si="57"/>
        <v>20.056</v>
      </c>
      <c r="K603" s="9">
        <f t="shared" si="58"/>
        <v>5.2</v>
      </c>
      <c r="L603" s="1">
        <f t="shared" si="59"/>
        <v>-5</v>
      </c>
    </row>
    <row r="604" s="1" customFormat="1" spans="1:12">
      <c r="A604" s="2">
        <v>20.123</v>
      </c>
      <c r="B604" s="10" t="s">
        <v>138</v>
      </c>
      <c r="C604" s="4">
        <v>20.089</v>
      </c>
      <c r="D604" s="5">
        <v>135.2</v>
      </c>
      <c r="E604" s="4"/>
      <c r="F604" s="4"/>
      <c r="G604" s="2">
        <f t="shared" si="54"/>
        <v>20.089</v>
      </c>
      <c r="H604" s="11" t="str">
        <f t="shared" si="55"/>
        <v>3.499E-2</v>
      </c>
      <c r="I604" s="2">
        <f t="shared" si="56"/>
        <v>136.5</v>
      </c>
      <c r="J604" s="4">
        <f t="shared" si="57"/>
        <v>20.089</v>
      </c>
      <c r="K604" s="9">
        <f t="shared" si="58"/>
        <v>6.60000000000001</v>
      </c>
      <c r="L604" s="1">
        <f t="shared" si="59"/>
        <v>-5</v>
      </c>
    </row>
    <row r="605" s="1" customFormat="1" spans="1:12">
      <c r="A605" s="2">
        <v>20.156</v>
      </c>
      <c r="B605" s="10" t="s">
        <v>107</v>
      </c>
      <c r="C605" s="4">
        <v>20.123</v>
      </c>
      <c r="D605" s="5">
        <v>135</v>
      </c>
      <c r="E605" s="4"/>
      <c r="F605" s="4"/>
      <c r="G605" s="2">
        <f t="shared" si="54"/>
        <v>20.123</v>
      </c>
      <c r="H605" s="11" t="str">
        <f t="shared" si="55"/>
        <v>3.508E-2</v>
      </c>
      <c r="I605" s="2">
        <f t="shared" si="56"/>
        <v>135.2</v>
      </c>
      <c r="J605" s="4">
        <f t="shared" si="57"/>
        <v>20.123</v>
      </c>
      <c r="K605" s="9">
        <f t="shared" si="58"/>
        <v>7.50000000000001</v>
      </c>
      <c r="L605" s="1">
        <f t="shared" si="59"/>
        <v>-5</v>
      </c>
    </row>
    <row r="606" s="1" customFormat="1" spans="1:12">
      <c r="A606" s="2">
        <v>20.19</v>
      </c>
      <c r="B606" s="10" t="s">
        <v>62</v>
      </c>
      <c r="C606" s="4">
        <v>20.156</v>
      </c>
      <c r="D606" s="5">
        <v>133.6</v>
      </c>
      <c r="E606" s="4"/>
      <c r="F606" s="4"/>
      <c r="G606" s="2">
        <f t="shared" si="54"/>
        <v>20.156</v>
      </c>
      <c r="H606" s="11" t="str">
        <f t="shared" si="55"/>
        <v>3.515E-2</v>
      </c>
      <c r="I606" s="2">
        <f t="shared" si="56"/>
        <v>135</v>
      </c>
      <c r="J606" s="4">
        <f t="shared" si="57"/>
        <v>20.156</v>
      </c>
      <c r="K606" s="9">
        <f t="shared" si="58"/>
        <v>8.20000000000001</v>
      </c>
      <c r="L606" s="1">
        <f t="shared" si="59"/>
        <v>-5</v>
      </c>
    </row>
    <row r="607" s="1" customFormat="1" spans="1:12">
      <c r="A607" s="2">
        <v>20.223</v>
      </c>
      <c r="B607" s="10" t="s">
        <v>224</v>
      </c>
      <c r="C607" s="4">
        <v>20.19</v>
      </c>
      <c r="D607" s="5">
        <v>132.7</v>
      </c>
      <c r="E607" s="4"/>
      <c r="F607" s="4"/>
      <c r="G607" s="2">
        <f t="shared" si="54"/>
        <v>20.19</v>
      </c>
      <c r="H607" s="11" t="str">
        <f t="shared" si="55"/>
        <v>3.527E-2</v>
      </c>
      <c r="I607" s="2">
        <f t="shared" si="56"/>
        <v>133.6</v>
      </c>
      <c r="J607" s="4">
        <f t="shared" si="57"/>
        <v>20.19</v>
      </c>
      <c r="K607" s="9">
        <f t="shared" si="58"/>
        <v>9.40000000000003</v>
      </c>
      <c r="L607" s="1">
        <f t="shared" si="59"/>
        <v>-5</v>
      </c>
    </row>
    <row r="608" s="1" customFormat="1" spans="1:12">
      <c r="A608" s="2">
        <v>20.257</v>
      </c>
      <c r="B608" s="10" t="s">
        <v>91</v>
      </c>
      <c r="C608" s="4">
        <v>20.223</v>
      </c>
      <c r="D608" s="5">
        <v>131.1</v>
      </c>
      <c r="E608" s="4"/>
      <c r="F608" s="4"/>
      <c r="G608" s="2">
        <f t="shared" si="54"/>
        <v>20.223</v>
      </c>
      <c r="H608" s="11" t="str">
        <f t="shared" si="55"/>
        <v>3.535E-2</v>
      </c>
      <c r="I608" s="2">
        <f t="shared" si="56"/>
        <v>132.7</v>
      </c>
      <c r="J608" s="4">
        <f t="shared" si="57"/>
        <v>20.223</v>
      </c>
      <c r="K608" s="9">
        <f t="shared" si="58"/>
        <v>10.2</v>
      </c>
      <c r="L608" s="1">
        <f t="shared" si="59"/>
        <v>-5</v>
      </c>
    </row>
    <row r="609" s="1" customFormat="1" spans="1:12">
      <c r="A609" s="2">
        <v>20.29</v>
      </c>
      <c r="B609" s="10" t="s">
        <v>185</v>
      </c>
      <c r="C609" s="4">
        <v>20.257</v>
      </c>
      <c r="D609" s="5">
        <v>130.5</v>
      </c>
      <c r="E609" s="4"/>
      <c r="F609" s="4"/>
      <c r="G609" s="2">
        <f t="shared" si="54"/>
        <v>20.257</v>
      </c>
      <c r="H609" s="11" t="str">
        <f t="shared" si="55"/>
        <v>3.539E-2</v>
      </c>
      <c r="I609" s="2">
        <f t="shared" si="56"/>
        <v>131.1</v>
      </c>
      <c r="J609" s="4">
        <f t="shared" si="57"/>
        <v>20.257</v>
      </c>
      <c r="K609" s="9">
        <f t="shared" si="58"/>
        <v>10.6</v>
      </c>
      <c r="L609" s="1">
        <f t="shared" si="59"/>
        <v>-5</v>
      </c>
    </row>
    <row r="610" s="1" customFormat="1" spans="1:12">
      <c r="A610" s="2">
        <v>20.323</v>
      </c>
      <c r="B610" s="10" t="s">
        <v>225</v>
      </c>
      <c r="C610" s="4">
        <v>20.29</v>
      </c>
      <c r="D610" s="5">
        <v>129.9</v>
      </c>
      <c r="E610" s="4"/>
      <c r="F610" s="4"/>
      <c r="G610" s="2">
        <f t="shared" si="54"/>
        <v>20.29</v>
      </c>
      <c r="H610" s="11" t="str">
        <f t="shared" si="55"/>
        <v>3.543E-2</v>
      </c>
      <c r="I610" s="2">
        <f t="shared" si="56"/>
        <v>130.5</v>
      </c>
      <c r="J610" s="4">
        <f t="shared" si="57"/>
        <v>20.29</v>
      </c>
      <c r="K610" s="9">
        <f t="shared" si="58"/>
        <v>11</v>
      </c>
      <c r="L610" s="1">
        <f t="shared" si="59"/>
        <v>-5</v>
      </c>
    </row>
    <row r="611" s="1" customFormat="1" spans="1:12">
      <c r="A611" s="2">
        <v>20.357</v>
      </c>
      <c r="B611" s="10" t="s">
        <v>213</v>
      </c>
      <c r="C611" s="4">
        <v>20.323</v>
      </c>
      <c r="D611" s="5">
        <v>128.1</v>
      </c>
      <c r="E611" s="4"/>
      <c r="F611" s="4"/>
      <c r="G611" s="2">
        <f t="shared" si="54"/>
        <v>20.323</v>
      </c>
      <c r="H611" s="11" t="str">
        <f t="shared" si="55"/>
        <v>3.550E-2</v>
      </c>
      <c r="I611" s="2">
        <f t="shared" si="56"/>
        <v>129.9</v>
      </c>
      <c r="J611" s="4">
        <f t="shared" si="57"/>
        <v>20.323</v>
      </c>
      <c r="K611" s="9">
        <f t="shared" si="58"/>
        <v>11.7</v>
      </c>
      <c r="L611" s="1">
        <f t="shared" si="59"/>
        <v>-5</v>
      </c>
    </row>
    <row r="612" s="1" customFormat="1" spans="1:12">
      <c r="A612" s="2">
        <v>20.39</v>
      </c>
      <c r="B612" s="10" t="s">
        <v>92</v>
      </c>
      <c r="C612" s="4">
        <v>20.357</v>
      </c>
      <c r="D612" s="5">
        <v>126.7</v>
      </c>
      <c r="E612" s="4"/>
      <c r="F612" s="4"/>
      <c r="G612" s="2">
        <f t="shared" si="54"/>
        <v>20.357</v>
      </c>
      <c r="H612" s="11" t="str">
        <f t="shared" si="55"/>
        <v>3.552E-2</v>
      </c>
      <c r="I612" s="2">
        <f t="shared" si="56"/>
        <v>128.1</v>
      </c>
      <c r="J612" s="4">
        <f t="shared" si="57"/>
        <v>20.357</v>
      </c>
      <c r="K612" s="9">
        <f t="shared" si="58"/>
        <v>11.9</v>
      </c>
      <c r="L612" s="1">
        <f t="shared" si="59"/>
        <v>-5</v>
      </c>
    </row>
    <row r="613" s="1" customFormat="1" spans="1:12">
      <c r="A613" s="2">
        <v>20.424</v>
      </c>
      <c r="B613" s="10" t="s">
        <v>92</v>
      </c>
      <c r="C613" s="4">
        <v>20.39</v>
      </c>
      <c r="D613" s="5">
        <v>126.4</v>
      </c>
      <c r="E613" s="4"/>
      <c r="F613" s="4"/>
      <c r="G613" s="2">
        <f t="shared" si="54"/>
        <v>20.39</v>
      </c>
      <c r="H613" s="11" t="str">
        <f t="shared" si="55"/>
        <v>3.554E-2</v>
      </c>
      <c r="I613" s="2">
        <f t="shared" si="56"/>
        <v>126.7</v>
      </c>
      <c r="J613" s="4">
        <f t="shared" si="57"/>
        <v>20.39</v>
      </c>
      <c r="K613" s="9">
        <f t="shared" si="58"/>
        <v>12.1</v>
      </c>
      <c r="L613" s="1">
        <f t="shared" si="59"/>
        <v>-5</v>
      </c>
    </row>
    <row r="614" s="1" customFormat="1" spans="1:12">
      <c r="A614" s="2">
        <v>20.457</v>
      </c>
      <c r="B614" s="10" t="s">
        <v>226</v>
      </c>
      <c r="C614" s="4">
        <v>20.424</v>
      </c>
      <c r="D614" s="5">
        <v>125</v>
      </c>
      <c r="E614" s="4"/>
      <c r="F614" s="4"/>
      <c r="G614" s="2">
        <f t="shared" si="54"/>
        <v>20.424</v>
      </c>
      <c r="H614" s="11" t="str">
        <f t="shared" si="55"/>
        <v>3.554E-2</v>
      </c>
      <c r="I614" s="2">
        <f t="shared" si="56"/>
        <v>126.4</v>
      </c>
      <c r="J614" s="4">
        <f t="shared" si="57"/>
        <v>20.424</v>
      </c>
      <c r="K614" s="9">
        <f t="shared" si="58"/>
        <v>12.1</v>
      </c>
      <c r="L614" s="1">
        <f t="shared" si="59"/>
        <v>-5</v>
      </c>
    </row>
    <row r="615" s="1" customFormat="1" spans="1:12">
      <c r="A615" s="2">
        <v>20.491</v>
      </c>
      <c r="B615" s="10" t="s">
        <v>75</v>
      </c>
      <c r="C615" s="4">
        <v>20.457</v>
      </c>
      <c r="D615" s="5">
        <v>124.1</v>
      </c>
      <c r="E615" s="4"/>
      <c r="F615" s="4"/>
      <c r="G615" s="2">
        <f t="shared" si="54"/>
        <v>20.457</v>
      </c>
      <c r="H615" s="11" t="str">
        <f t="shared" si="55"/>
        <v>3.551E-2</v>
      </c>
      <c r="I615" s="2">
        <f t="shared" si="56"/>
        <v>125</v>
      </c>
      <c r="J615" s="4">
        <f t="shared" si="57"/>
        <v>20.457</v>
      </c>
      <c r="K615" s="9">
        <f t="shared" si="58"/>
        <v>11.8</v>
      </c>
      <c r="L615" s="1">
        <f t="shared" si="59"/>
        <v>-5</v>
      </c>
    </row>
    <row r="616" s="1" customFormat="1" spans="1:12">
      <c r="A616" s="2">
        <v>20.524</v>
      </c>
      <c r="B616" s="10" t="s">
        <v>63</v>
      </c>
      <c r="C616" s="4">
        <v>20.491</v>
      </c>
      <c r="D616" s="5">
        <v>123.5</v>
      </c>
      <c r="E616" s="4"/>
      <c r="F616" s="4"/>
      <c r="G616" s="2">
        <f t="shared" si="54"/>
        <v>20.491</v>
      </c>
      <c r="H616" s="11" t="str">
        <f t="shared" si="55"/>
        <v>3.548E-2</v>
      </c>
      <c r="I616" s="2">
        <f t="shared" si="56"/>
        <v>124.1</v>
      </c>
      <c r="J616" s="4">
        <f t="shared" si="57"/>
        <v>20.491</v>
      </c>
      <c r="K616" s="9">
        <f t="shared" si="58"/>
        <v>11.5</v>
      </c>
      <c r="L616" s="1">
        <f t="shared" si="59"/>
        <v>-5</v>
      </c>
    </row>
    <row r="617" s="1" customFormat="1" spans="1:12">
      <c r="A617" s="2">
        <v>20.557</v>
      </c>
      <c r="B617" s="10" t="s">
        <v>227</v>
      </c>
      <c r="C617" s="4">
        <v>20.524</v>
      </c>
      <c r="D617" s="5">
        <v>121.5</v>
      </c>
      <c r="E617" s="4"/>
      <c r="F617" s="4"/>
      <c r="G617" s="2">
        <f t="shared" si="54"/>
        <v>20.524</v>
      </c>
      <c r="H617" s="11" t="str">
        <f t="shared" si="55"/>
        <v>3.542E-2</v>
      </c>
      <c r="I617" s="2">
        <f t="shared" si="56"/>
        <v>123.5</v>
      </c>
      <c r="J617" s="4">
        <f t="shared" si="57"/>
        <v>20.524</v>
      </c>
      <c r="K617" s="9">
        <f t="shared" si="58"/>
        <v>10.9</v>
      </c>
      <c r="L617" s="1">
        <f t="shared" si="59"/>
        <v>-5</v>
      </c>
    </row>
    <row r="618" s="1" customFormat="1" spans="1:12">
      <c r="A618" s="2">
        <v>20.591</v>
      </c>
      <c r="B618" s="10" t="s">
        <v>137</v>
      </c>
      <c r="C618" s="4">
        <v>20.557</v>
      </c>
      <c r="D618" s="5">
        <v>120.6</v>
      </c>
      <c r="E618" s="4"/>
      <c r="F618" s="4"/>
      <c r="G618" s="2">
        <f t="shared" si="54"/>
        <v>20.557</v>
      </c>
      <c r="H618" s="11" t="str">
        <f t="shared" si="55"/>
        <v>3.538E-2</v>
      </c>
      <c r="I618" s="2">
        <f t="shared" si="56"/>
        <v>121.5</v>
      </c>
      <c r="J618" s="4">
        <f t="shared" si="57"/>
        <v>20.557</v>
      </c>
      <c r="K618" s="9">
        <f t="shared" si="58"/>
        <v>10.5</v>
      </c>
      <c r="L618" s="1">
        <f t="shared" si="59"/>
        <v>-5</v>
      </c>
    </row>
    <row r="619" s="1" customFormat="1" spans="1:12">
      <c r="A619" s="2">
        <v>20.624</v>
      </c>
      <c r="B619" s="10" t="s">
        <v>188</v>
      </c>
      <c r="C619" s="4">
        <v>20.591</v>
      </c>
      <c r="D619" s="5">
        <v>120.2</v>
      </c>
      <c r="E619" s="4"/>
      <c r="F619" s="4"/>
      <c r="G619" s="2">
        <f t="shared" si="54"/>
        <v>20.591</v>
      </c>
      <c r="H619" s="11" t="str">
        <f t="shared" si="55"/>
        <v>3.524E-2</v>
      </c>
      <c r="I619" s="2">
        <f t="shared" si="56"/>
        <v>120.6</v>
      </c>
      <c r="J619" s="4">
        <f t="shared" si="57"/>
        <v>20.591</v>
      </c>
      <c r="K619" s="9">
        <f t="shared" si="58"/>
        <v>9.10000000000001</v>
      </c>
      <c r="L619" s="1">
        <f t="shared" si="59"/>
        <v>-5</v>
      </c>
    </row>
    <row r="620" s="1" customFormat="1" spans="1:12">
      <c r="A620" s="2">
        <v>20.658</v>
      </c>
      <c r="B620" s="10" t="s">
        <v>78</v>
      </c>
      <c r="C620" s="4">
        <v>20.624</v>
      </c>
      <c r="D620" s="5">
        <v>117.9</v>
      </c>
      <c r="E620" s="4"/>
      <c r="F620" s="4"/>
      <c r="G620" s="2">
        <f t="shared" si="54"/>
        <v>20.624</v>
      </c>
      <c r="H620" s="11" t="str">
        <f t="shared" si="55"/>
        <v>3.513E-2</v>
      </c>
      <c r="I620" s="2">
        <f t="shared" si="56"/>
        <v>120.2</v>
      </c>
      <c r="J620" s="4">
        <f t="shared" si="57"/>
        <v>20.624</v>
      </c>
      <c r="K620" s="9">
        <f t="shared" si="58"/>
        <v>8.00000000000002</v>
      </c>
      <c r="L620" s="1">
        <f t="shared" si="59"/>
        <v>-5</v>
      </c>
    </row>
    <row r="621" s="1" customFormat="1" spans="1:12">
      <c r="A621" s="2">
        <v>20.691</v>
      </c>
      <c r="B621" s="10" t="s">
        <v>194</v>
      </c>
      <c r="C621" s="4">
        <v>20.658</v>
      </c>
      <c r="D621" s="5">
        <v>116.5</v>
      </c>
      <c r="E621" s="4"/>
      <c r="F621" s="4"/>
      <c r="G621" s="2">
        <f t="shared" si="54"/>
        <v>20.658</v>
      </c>
      <c r="H621" s="11" t="str">
        <f t="shared" si="55"/>
        <v>3.503E-2</v>
      </c>
      <c r="I621" s="2">
        <f t="shared" si="56"/>
        <v>117.9</v>
      </c>
      <c r="J621" s="4">
        <f t="shared" si="57"/>
        <v>20.658</v>
      </c>
      <c r="K621" s="9">
        <f t="shared" si="58"/>
        <v>6.99999999999999</v>
      </c>
      <c r="L621" s="1">
        <f t="shared" si="59"/>
        <v>-5</v>
      </c>
    </row>
    <row r="622" s="1" customFormat="1" spans="1:12">
      <c r="A622" s="2">
        <v>20.724</v>
      </c>
      <c r="B622" s="10" t="s">
        <v>29</v>
      </c>
      <c r="C622" s="4">
        <v>20.691</v>
      </c>
      <c r="D622" s="5">
        <v>115.8</v>
      </c>
      <c r="E622" s="4"/>
      <c r="F622" s="4"/>
      <c r="G622" s="2">
        <f t="shared" si="54"/>
        <v>20.691</v>
      </c>
      <c r="H622" s="11" t="str">
        <f t="shared" si="55"/>
        <v>3.490E-2</v>
      </c>
      <c r="I622" s="2">
        <f t="shared" si="56"/>
        <v>116.5</v>
      </c>
      <c r="J622" s="4">
        <f t="shared" si="57"/>
        <v>20.691</v>
      </c>
      <c r="K622" s="9">
        <f t="shared" si="58"/>
        <v>5.70000000000001</v>
      </c>
      <c r="L622" s="1">
        <f t="shared" si="59"/>
        <v>-5</v>
      </c>
    </row>
    <row r="623" s="1" customFormat="1" spans="1:12">
      <c r="A623" s="2">
        <v>20.758</v>
      </c>
      <c r="B623" s="10" t="s">
        <v>203</v>
      </c>
      <c r="C623" s="4">
        <v>20.724</v>
      </c>
      <c r="D623" s="5">
        <v>114.3</v>
      </c>
      <c r="E623" s="4"/>
      <c r="F623" s="4"/>
      <c r="G623" s="2">
        <f t="shared" si="54"/>
        <v>20.724</v>
      </c>
      <c r="H623" s="11" t="str">
        <f t="shared" si="55"/>
        <v>3.478E-2</v>
      </c>
      <c r="I623" s="2">
        <f t="shared" si="56"/>
        <v>115.8</v>
      </c>
      <c r="J623" s="4">
        <f t="shared" si="57"/>
        <v>20.724</v>
      </c>
      <c r="K623" s="9">
        <f t="shared" si="58"/>
        <v>4.49999999999999</v>
      </c>
      <c r="L623" s="1">
        <f t="shared" si="59"/>
        <v>-5</v>
      </c>
    </row>
    <row r="624" s="1" customFormat="1" spans="1:12">
      <c r="A624" s="2">
        <v>20.791</v>
      </c>
      <c r="B624" s="10" t="s">
        <v>144</v>
      </c>
      <c r="C624" s="4">
        <v>20.758</v>
      </c>
      <c r="D624" s="5">
        <v>112.5</v>
      </c>
      <c r="E624" s="4"/>
      <c r="F624" s="4"/>
      <c r="G624" s="2">
        <f t="shared" si="54"/>
        <v>20.758</v>
      </c>
      <c r="H624" s="11" t="str">
        <f t="shared" si="55"/>
        <v>3.460E-2</v>
      </c>
      <c r="I624" s="2">
        <f t="shared" si="56"/>
        <v>114.3</v>
      </c>
      <c r="J624" s="4">
        <f t="shared" si="57"/>
        <v>20.758</v>
      </c>
      <c r="K624" s="9">
        <f t="shared" si="58"/>
        <v>2.69999999999999</v>
      </c>
      <c r="L624" s="1">
        <f t="shared" si="59"/>
        <v>-5</v>
      </c>
    </row>
    <row r="625" s="1" customFormat="1" spans="1:12">
      <c r="A625" s="2">
        <v>20.825</v>
      </c>
      <c r="B625" s="10" t="s">
        <v>23</v>
      </c>
      <c r="C625" s="4">
        <v>20.791</v>
      </c>
      <c r="D625" s="5">
        <v>112.7</v>
      </c>
      <c r="E625" s="4"/>
      <c r="F625" s="4"/>
      <c r="G625" s="2">
        <f t="shared" si="54"/>
        <v>20.791</v>
      </c>
      <c r="H625" s="11" t="str">
        <f t="shared" si="55"/>
        <v>3.449E-2</v>
      </c>
      <c r="I625" s="2">
        <f t="shared" si="56"/>
        <v>112.5</v>
      </c>
      <c r="J625" s="4">
        <f t="shared" si="57"/>
        <v>20.791</v>
      </c>
      <c r="K625" s="9">
        <f t="shared" si="58"/>
        <v>1.6</v>
      </c>
      <c r="L625" s="1">
        <f t="shared" si="59"/>
        <v>-5</v>
      </c>
    </row>
    <row r="626" s="1" customFormat="1" spans="1:12">
      <c r="A626" s="2">
        <v>20.858</v>
      </c>
      <c r="B626" s="10" t="s">
        <v>13</v>
      </c>
      <c r="C626" s="4">
        <v>20.825</v>
      </c>
      <c r="D626" s="5">
        <v>111.4</v>
      </c>
      <c r="E626" s="4"/>
      <c r="F626" s="4"/>
      <c r="G626" s="2">
        <f t="shared" si="54"/>
        <v>20.825</v>
      </c>
      <c r="H626" s="11" t="str">
        <f t="shared" si="55"/>
        <v>3.442E-2</v>
      </c>
      <c r="I626" s="2">
        <f t="shared" si="56"/>
        <v>112.7</v>
      </c>
      <c r="J626" s="4">
        <f t="shared" si="57"/>
        <v>20.825</v>
      </c>
      <c r="K626" s="9">
        <f t="shared" si="58"/>
        <v>0.899999999999998</v>
      </c>
      <c r="L626" s="1">
        <f t="shared" si="59"/>
        <v>-5</v>
      </c>
    </row>
    <row r="627" s="1" customFormat="1" spans="1:12">
      <c r="A627" s="2">
        <v>20.892</v>
      </c>
      <c r="B627" s="10" t="s">
        <v>17</v>
      </c>
      <c r="C627" s="4">
        <v>20.858</v>
      </c>
      <c r="D627" s="4">
        <v>108.9</v>
      </c>
      <c r="G627" s="2">
        <f t="shared" si="54"/>
        <v>20.858</v>
      </c>
      <c r="H627" s="11" t="str">
        <f t="shared" si="55"/>
        <v>3.431E-2</v>
      </c>
      <c r="I627" s="2">
        <f t="shared" si="56"/>
        <v>111.4</v>
      </c>
      <c r="J627" s="4">
        <f t="shared" si="57"/>
        <v>20.858</v>
      </c>
      <c r="K627" s="9">
        <f t="shared" si="58"/>
        <v>-0.199999999999992</v>
      </c>
      <c r="L627" s="1">
        <f t="shared" si="59"/>
        <v>-5</v>
      </c>
    </row>
    <row r="628" s="1" customFormat="1" spans="1:12">
      <c r="A628" s="2">
        <v>20.925</v>
      </c>
      <c r="B628" s="10" t="s">
        <v>142</v>
      </c>
      <c r="C628" s="4">
        <v>20.892</v>
      </c>
      <c r="D628" s="4">
        <v>108.7</v>
      </c>
      <c r="G628" s="2">
        <f t="shared" si="54"/>
        <v>20.892</v>
      </c>
      <c r="H628" s="11" t="str">
        <f t="shared" si="55"/>
        <v>3.423E-2</v>
      </c>
      <c r="I628" s="2">
        <f t="shared" si="56"/>
        <v>108.9</v>
      </c>
      <c r="J628" s="4">
        <f t="shared" si="57"/>
        <v>20.892</v>
      </c>
      <c r="K628" s="9">
        <f t="shared" si="58"/>
        <v>-1.00000000000003</v>
      </c>
      <c r="L628" s="1">
        <f t="shared" si="59"/>
        <v>-5</v>
      </c>
    </row>
    <row r="629" s="1" customFormat="1" spans="1:12">
      <c r="A629" s="2">
        <v>20.958</v>
      </c>
      <c r="B629" s="10" t="s">
        <v>228</v>
      </c>
      <c r="C629" s="4">
        <v>20.925</v>
      </c>
      <c r="D629" s="4">
        <v>108.2</v>
      </c>
      <c r="G629" s="2">
        <f t="shared" si="54"/>
        <v>20.925</v>
      </c>
      <c r="H629" s="11" t="str">
        <f t="shared" si="55"/>
        <v>3.418E-2</v>
      </c>
      <c r="I629" s="2">
        <f t="shared" si="56"/>
        <v>108.7</v>
      </c>
      <c r="J629" s="4">
        <f t="shared" si="57"/>
        <v>20.925</v>
      </c>
      <c r="K629" s="9">
        <f t="shared" si="58"/>
        <v>-1.49999999999997</v>
      </c>
      <c r="L629" s="1">
        <f t="shared" si="59"/>
        <v>-5</v>
      </c>
    </row>
    <row r="630" s="1" customFormat="1" spans="1:12">
      <c r="A630" s="2">
        <v>20.992</v>
      </c>
      <c r="B630" s="10" t="s">
        <v>56</v>
      </c>
      <c r="C630" s="4">
        <v>20.958</v>
      </c>
      <c r="D630" s="4">
        <v>106.6</v>
      </c>
      <c r="G630" s="2">
        <f t="shared" si="54"/>
        <v>20.958</v>
      </c>
      <c r="H630" s="11" t="str">
        <f t="shared" si="55"/>
        <v>3.407E-2</v>
      </c>
      <c r="I630" s="2">
        <f t="shared" si="56"/>
        <v>108.2</v>
      </c>
      <c r="J630" s="4">
        <f t="shared" si="57"/>
        <v>20.958</v>
      </c>
      <c r="K630" s="9">
        <f t="shared" si="58"/>
        <v>-2.59999999999996</v>
      </c>
      <c r="L630" s="1">
        <f t="shared" si="59"/>
        <v>-5</v>
      </c>
    </row>
    <row r="631" s="1" customFormat="1" spans="1:12">
      <c r="A631" s="2">
        <v>21.025</v>
      </c>
      <c r="B631" s="10" t="s">
        <v>83</v>
      </c>
      <c r="C631" s="4">
        <v>20.992</v>
      </c>
      <c r="D631" s="4">
        <v>104.8</v>
      </c>
      <c r="G631" s="2">
        <f t="shared" si="54"/>
        <v>20.992</v>
      </c>
      <c r="H631" s="11" t="str">
        <f t="shared" si="55"/>
        <v>3.402E-2</v>
      </c>
      <c r="I631" s="2">
        <f t="shared" si="56"/>
        <v>106.6</v>
      </c>
      <c r="J631" s="4">
        <f t="shared" si="57"/>
        <v>20.992</v>
      </c>
      <c r="K631" s="9">
        <f t="shared" si="58"/>
        <v>-3.09999999999998</v>
      </c>
      <c r="L631" s="1">
        <f t="shared" si="59"/>
        <v>-5</v>
      </c>
    </row>
    <row r="632" s="1" customFormat="1" spans="1:12">
      <c r="A632" s="2">
        <v>21.059</v>
      </c>
      <c r="B632" s="10" t="s">
        <v>83</v>
      </c>
      <c r="C632" s="4">
        <v>21.025</v>
      </c>
      <c r="D632" s="4">
        <v>103</v>
      </c>
      <c r="G632" s="2">
        <f t="shared" si="54"/>
        <v>21.025</v>
      </c>
      <c r="H632" s="11" t="str">
        <f t="shared" si="55"/>
        <v>3.400E-2</v>
      </c>
      <c r="I632" s="2">
        <f t="shared" si="56"/>
        <v>104.8</v>
      </c>
      <c r="J632" s="4">
        <f t="shared" si="57"/>
        <v>21.025</v>
      </c>
      <c r="K632" s="9">
        <f t="shared" si="58"/>
        <v>-3.29999999999997</v>
      </c>
      <c r="L632" s="1">
        <f t="shared" si="59"/>
        <v>-5</v>
      </c>
    </row>
    <row r="633" s="1" customFormat="1" spans="1:12">
      <c r="A633" s="2">
        <v>21.092</v>
      </c>
      <c r="B633" s="10" t="s">
        <v>56</v>
      </c>
      <c r="C633" s="4">
        <v>21.059</v>
      </c>
      <c r="D633" s="4">
        <v>100.9</v>
      </c>
      <c r="G633" s="2">
        <f t="shared" si="54"/>
        <v>21.059</v>
      </c>
      <c r="H633" s="11" t="str">
        <f t="shared" si="55"/>
        <v>3.400E-2</v>
      </c>
      <c r="I633" s="2">
        <f t="shared" si="56"/>
        <v>103</v>
      </c>
      <c r="J633" s="4">
        <f t="shared" si="57"/>
        <v>21.059</v>
      </c>
      <c r="K633" s="9">
        <f t="shared" si="58"/>
        <v>-3.29999999999997</v>
      </c>
      <c r="L633" s="1">
        <f t="shared" si="59"/>
        <v>-5</v>
      </c>
    </row>
    <row r="634" s="1" customFormat="1" spans="1:12">
      <c r="A634" s="2">
        <v>21.126</v>
      </c>
      <c r="B634" s="10" t="s">
        <v>229</v>
      </c>
      <c r="C634" s="4">
        <v>21.092</v>
      </c>
      <c r="D634" s="4">
        <v>100.8</v>
      </c>
      <c r="G634" s="2">
        <f t="shared" si="54"/>
        <v>21.092</v>
      </c>
      <c r="H634" s="11" t="str">
        <f t="shared" si="55"/>
        <v>3.402E-2</v>
      </c>
      <c r="I634" s="2">
        <f t="shared" si="56"/>
        <v>100.9</v>
      </c>
      <c r="J634" s="4">
        <f t="shared" si="57"/>
        <v>21.092</v>
      </c>
      <c r="K634" s="9">
        <f t="shared" si="58"/>
        <v>-3.09999999999998</v>
      </c>
      <c r="L634" s="1">
        <f t="shared" si="59"/>
        <v>-5</v>
      </c>
    </row>
    <row r="635" s="1" customFormat="1" spans="1:12">
      <c r="A635" s="2">
        <v>21.159</v>
      </c>
      <c r="B635" s="10" t="s">
        <v>230</v>
      </c>
      <c r="C635" s="4">
        <v>21.126</v>
      </c>
      <c r="D635" s="4">
        <v>98.6</v>
      </c>
      <c r="G635" s="2">
        <f t="shared" si="54"/>
        <v>21.126</v>
      </c>
      <c r="H635" s="11" t="str">
        <f t="shared" si="55"/>
        <v>3.405E-2</v>
      </c>
      <c r="I635" s="2">
        <f t="shared" si="56"/>
        <v>100.8</v>
      </c>
      <c r="J635" s="4">
        <f t="shared" si="57"/>
        <v>21.126</v>
      </c>
      <c r="K635" s="9">
        <f t="shared" si="58"/>
        <v>-2.80000000000002</v>
      </c>
      <c r="L635" s="1">
        <f t="shared" si="59"/>
        <v>-5</v>
      </c>
    </row>
    <row r="636" s="1" customFormat="1" spans="1:12">
      <c r="A636" s="2">
        <v>21.192</v>
      </c>
      <c r="B636" s="10" t="s">
        <v>57</v>
      </c>
      <c r="C636" s="4">
        <v>21.159</v>
      </c>
      <c r="D636" s="4">
        <v>98.2</v>
      </c>
      <c r="G636" s="2">
        <f t="shared" si="54"/>
        <v>21.159</v>
      </c>
      <c r="H636" s="11" t="str">
        <f t="shared" si="55"/>
        <v>3.409E-2</v>
      </c>
      <c r="I636" s="2">
        <f t="shared" si="56"/>
        <v>98.6</v>
      </c>
      <c r="J636" s="4">
        <f t="shared" si="57"/>
        <v>21.159</v>
      </c>
      <c r="K636" s="9">
        <f t="shared" si="58"/>
        <v>-2.39999999999997</v>
      </c>
      <c r="L636" s="1">
        <f t="shared" si="59"/>
        <v>-5</v>
      </c>
    </row>
    <row r="637" s="1" customFormat="1" spans="1:12">
      <c r="A637" s="2">
        <v>21.226</v>
      </c>
      <c r="B637" s="10" t="s">
        <v>142</v>
      </c>
      <c r="C637" s="4">
        <v>21.192</v>
      </c>
      <c r="D637" s="4">
        <v>97.8</v>
      </c>
      <c r="G637" s="2">
        <f t="shared" si="54"/>
        <v>21.192</v>
      </c>
      <c r="H637" s="11" t="str">
        <f t="shared" si="55"/>
        <v>3.413E-2</v>
      </c>
      <c r="I637" s="2">
        <f t="shared" si="56"/>
        <v>98.2</v>
      </c>
      <c r="J637" s="4">
        <f t="shared" si="57"/>
        <v>21.192</v>
      </c>
      <c r="K637" s="9">
        <f t="shared" si="58"/>
        <v>-1.99999999999999</v>
      </c>
      <c r="L637" s="1">
        <f t="shared" si="59"/>
        <v>-5</v>
      </c>
    </row>
    <row r="638" s="1" customFormat="1" spans="1:12">
      <c r="A638" s="2">
        <v>21.259</v>
      </c>
      <c r="B638" s="10" t="s">
        <v>18</v>
      </c>
      <c r="C638" s="4">
        <v>21.226</v>
      </c>
      <c r="D638" s="4">
        <v>94.8</v>
      </c>
      <c r="G638" s="2">
        <f t="shared" si="54"/>
        <v>21.226</v>
      </c>
      <c r="H638" s="11" t="str">
        <f t="shared" si="55"/>
        <v>3.418E-2</v>
      </c>
      <c r="I638" s="2">
        <f t="shared" si="56"/>
        <v>97.8</v>
      </c>
      <c r="J638" s="4">
        <f t="shared" si="57"/>
        <v>21.226</v>
      </c>
      <c r="K638" s="9">
        <f t="shared" si="58"/>
        <v>-1.49999999999997</v>
      </c>
      <c r="L638" s="1">
        <f t="shared" si="59"/>
        <v>-5</v>
      </c>
    </row>
    <row r="639" s="1" customFormat="1" spans="1:12">
      <c r="A639" s="2">
        <v>21.293</v>
      </c>
      <c r="B639" s="10" t="s">
        <v>12</v>
      </c>
      <c r="C639" s="4">
        <v>21.259</v>
      </c>
      <c r="D639" s="4">
        <v>94.3</v>
      </c>
      <c r="G639" s="2">
        <f t="shared" si="54"/>
        <v>21.259</v>
      </c>
      <c r="H639" s="11" t="str">
        <f t="shared" si="55"/>
        <v>3.424E-2</v>
      </c>
      <c r="I639" s="2">
        <f t="shared" si="56"/>
        <v>94.8</v>
      </c>
      <c r="J639" s="4">
        <f t="shared" si="57"/>
        <v>21.259</v>
      </c>
      <c r="K639" s="9">
        <f t="shared" si="58"/>
        <v>-0.899999999999998</v>
      </c>
      <c r="L639" s="1">
        <f t="shared" si="59"/>
        <v>-5</v>
      </c>
    </row>
    <row r="640" s="1" customFormat="1" spans="1:12">
      <c r="A640" s="2">
        <v>21.326</v>
      </c>
      <c r="B640" s="10" t="s">
        <v>24</v>
      </c>
      <c r="C640" s="4">
        <v>21.293</v>
      </c>
      <c r="D640" s="4">
        <v>92.3</v>
      </c>
      <c r="G640" s="2">
        <f t="shared" si="54"/>
        <v>21.293</v>
      </c>
      <c r="H640" s="11" t="str">
        <f t="shared" si="55"/>
        <v>3.435E-2</v>
      </c>
      <c r="I640" s="2">
        <f t="shared" si="56"/>
        <v>94.3</v>
      </c>
      <c r="J640" s="4">
        <f t="shared" si="57"/>
        <v>21.293</v>
      </c>
      <c r="K640" s="9">
        <f t="shared" si="58"/>
        <v>0.199999999999992</v>
      </c>
      <c r="L640" s="1">
        <f t="shared" si="59"/>
        <v>-5</v>
      </c>
    </row>
    <row r="641" s="1" customFormat="1" spans="1:12">
      <c r="A641" s="2">
        <v>21.36</v>
      </c>
      <c r="B641" s="10" t="s">
        <v>223</v>
      </c>
      <c r="C641" s="4">
        <v>21.326</v>
      </c>
      <c r="D641" s="4">
        <v>91.2</v>
      </c>
      <c r="G641" s="2">
        <f t="shared" si="54"/>
        <v>21.326</v>
      </c>
      <c r="H641" s="11" t="str">
        <f t="shared" si="55"/>
        <v>3.445E-2</v>
      </c>
      <c r="I641" s="2">
        <f t="shared" si="56"/>
        <v>92.3</v>
      </c>
      <c r="J641" s="4">
        <f t="shared" si="57"/>
        <v>21.326</v>
      </c>
      <c r="K641" s="9">
        <f t="shared" si="58"/>
        <v>1.20000000000002</v>
      </c>
      <c r="L641" s="1">
        <f t="shared" si="59"/>
        <v>-5</v>
      </c>
    </row>
    <row r="642" s="1" customFormat="1" spans="1:12">
      <c r="A642" s="2">
        <v>21.393</v>
      </c>
      <c r="B642" s="10" t="s">
        <v>204</v>
      </c>
      <c r="C642" s="4">
        <v>21.36</v>
      </c>
      <c r="D642" s="4">
        <v>90.5</v>
      </c>
      <c r="G642" s="2">
        <f t="shared" si="54"/>
        <v>21.36</v>
      </c>
      <c r="H642" s="11" t="str">
        <f t="shared" si="55"/>
        <v>3.455E-2</v>
      </c>
      <c r="I642" s="2">
        <f t="shared" si="56"/>
        <v>91.2</v>
      </c>
      <c r="J642" s="4">
        <f t="shared" si="57"/>
        <v>21.36</v>
      </c>
      <c r="K642" s="9">
        <f t="shared" si="58"/>
        <v>2.19999999999998</v>
      </c>
      <c r="L642" s="1">
        <f t="shared" si="59"/>
        <v>-5</v>
      </c>
    </row>
    <row r="643" s="1" customFormat="1" spans="1:12">
      <c r="A643" s="2">
        <v>21.426</v>
      </c>
      <c r="B643" s="10" t="s">
        <v>29</v>
      </c>
      <c r="C643" s="4">
        <v>21.393</v>
      </c>
      <c r="D643" s="4">
        <v>87.8</v>
      </c>
      <c r="G643" s="2">
        <f t="shared" si="54"/>
        <v>21.393</v>
      </c>
      <c r="H643" s="11" t="str">
        <f t="shared" si="55"/>
        <v>3.468E-2</v>
      </c>
      <c r="I643" s="2">
        <f t="shared" si="56"/>
        <v>90.5</v>
      </c>
      <c r="J643" s="4">
        <f t="shared" si="57"/>
        <v>21.393</v>
      </c>
      <c r="K643" s="9">
        <f t="shared" si="58"/>
        <v>3.50000000000003</v>
      </c>
      <c r="L643" s="1">
        <f t="shared" si="59"/>
        <v>-5</v>
      </c>
    </row>
    <row r="644" s="1" customFormat="1" spans="1:12">
      <c r="A644" s="2">
        <v>21.46</v>
      </c>
      <c r="B644" s="10" t="s">
        <v>231</v>
      </c>
      <c r="C644" s="4">
        <v>21.426</v>
      </c>
      <c r="D644" s="4">
        <v>87</v>
      </c>
      <c r="G644" s="2">
        <f t="shared" ref="G644:G707" si="60">A643</f>
        <v>21.426</v>
      </c>
      <c r="H644" s="11" t="str">
        <f t="shared" ref="H644:H707" si="61">B643</f>
        <v>3.478E-2</v>
      </c>
      <c r="I644" s="2">
        <f t="shared" ref="I644:I707" si="62">D643</f>
        <v>87.8</v>
      </c>
      <c r="J644" s="4">
        <f t="shared" ref="J644:J707" si="63">G644</f>
        <v>21.426</v>
      </c>
      <c r="K644" s="9">
        <f t="shared" ref="K644:K707" si="64">(H644-$H$4)*10000</f>
        <v>4.49999999999999</v>
      </c>
      <c r="L644" s="1">
        <f t="shared" si="59"/>
        <v>-5</v>
      </c>
    </row>
    <row r="645" s="1" customFormat="1" spans="1:12">
      <c r="A645" s="2">
        <v>21.493</v>
      </c>
      <c r="B645" s="10" t="s">
        <v>37</v>
      </c>
      <c r="C645" s="4">
        <v>21.46</v>
      </c>
      <c r="D645" s="4">
        <v>86.6</v>
      </c>
      <c r="G645" s="2">
        <f t="shared" si="60"/>
        <v>21.46</v>
      </c>
      <c r="H645" s="11" t="str">
        <f t="shared" si="61"/>
        <v>3.487E-2</v>
      </c>
      <c r="I645" s="2">
        <f t="shared" si="62"/>
        <v>87</v>
      </c>
      <c r="J645" s="4">
        <f t="shared" si="63"/>
        <v>21.46</v>
      </c>
      <c r="K645" s="9">
        <f t="shared" si="64"/>
        <v>5.39999999999999</v>
      </c>
      <c r="L645" s="1">
        <f t="shared" ref="L645:L708" si="65">IF(I645&lt;230,-5,23)</f>
        <v>-5</v>
      </c>
    </row>
    <row r="646" s="1" customFormat="1" spans="1:12">
      <c r="A646" s="2">
        <v>21.527</v>
      </c>
      <c r="B646" s="10" t="s">
        <v>78</v>
      </c>
      <c r="C646" s="4">
        <v>21.493</v>
      </c>
      <c r="D646" s="4">
        <v>86.2</v>
      </c>
      <c r="G646" s="2">
        <f t="shared" si="60"/>
        <v>21.493</v>
      </c>
      <c r="H646" s="11" t="str">
        <f t="shared" si="61"/>
        <v>3.496E-2</v>
      </c>
      <c r="I646" s="2">
        <f t="shared" si="62"/>
        <v>86.6</v>
      </c>
      <c r="J646" s="4">
        <f t="shared" si="63"/>
        <v>21.493</v>
      </c>
      <c r="K646" s="9">
        <f t="shared" si="64"/>
        <v>6.29999999999999</v>
      </c>
      <c r="L646" s="1">
        <f t="shared" si="65"/>
        <v>-5</v>
      </c>
    </row>
    <row r="647" s="1" customFormat="1" spans="1:12">
      <c r="A647" s="2">
        <v>21.56</v>
      </c>
      <c r="B647" s="10" t="s">
        <v>61</v>
      </c>
      <c r="C647" s="4">
        <v>21.527</v>
      </c>
      <c r="D647" s="4">
        <v>83.7</v>
      </c>
      <c r="G647" s="2">
        <f t="shared" si="60"/>
        <v>21.527</v>
      </c>
      <c r="H647" s="11" t="str">
        <f t="shared" si="61"/>
        <v>3.503E-2</v>
      </c>
      <c r="I647" s="2">
        <f t="shared" si="62"/>
        <v>86.2</v>
      </c>
      <c r="J647" s="4">
        <f t="shared" si="63"/>
        <v>21.527</v>
      </c>
      <c r="K647" s="9">
        <f t="shared" si="64"/>
        <v>6.99999999999999</v>
      </c>
      <c r="L647" s="1">
        <f t="shared" si="65"/>
        <v>-5</v>
      </c>
    </row>
    <row r="648" s="1" customFormat="1" spans="1:12">
      <c r="A648" s="2">
        <v>21.594</v>
      </c>
      <c r="B648" s="10" t="s">
        <v>197</v>
      </c>
      <c r="C648" s="4">
        <v>21.56</v>
      </c>
      <c r="D648" s="4">
        <v>83.2</v>
      </c>
      <c r="G648" s="2">
        <f t="shared" si="60"/>
        <v>21.56</v>
      </c>
      <c r="H648" s="11" t="str">
        <f t="shared" si="61"/>
        <v>3.509E-2</v>
      </c>
      <c r="I648" s="2">
        <f t="shared" si="62"/>
        <v>83.7</v>
      </c>
      <c r="J648" s="4">
        <f t="shared" si="63"/>
        <v>21.56</v>
      </c>
      <c r="K648" s="9">
        <f t="shared" si="64"/>
        <v>7.60000000000004</v>
      </c>
      <c r="L648" s="1">
        <f t="shared" si="65"/>
        <v>-5</v>
      </c>
    </row>
    <row r="649" s="1" customFormat="1" spans="1:12">
      <c r="A649" s="2">
        <v>21.627</v>
      </c>
      <c r="B649" s="10" t="s">
        <v>200</v>
      </c>
      <c r="C649" s="4">
        <v>21.594</v>
      </c>
      <c r="D649" s="4">
        <v>81.1</v>
      </c>
      <c r="G649" s="2">
        <f t="shared" si="60"/>
        <v>21.594</v>
      </c>
      <c r="H649" s="11" t="str">
        <f t="shared" si="61"/>
        <v>3.520E-2</v>
      </c>
      <c r="I649" s="2">
        <f t="shared" si="62"/>
        <v>83.2</v>
      </c>
      <c r="J649" s="4">
        <f t="shared" si="63"/>
        <v>21.594</v>
      </c>
      <c r="K649" s="9">
        <f t="shared" si="64"/>
        <v>8.70000000000003</v>
      </c>
      <c r="L649" s="1">
        <f t="shared" si="65"/>
        <v>-5</v>
      </c>
    </row>
    <row r="650" s="1" customFormat="1" spans="1:12">
      <c r="A650" s="2">
        <v>21.66</v>
      </c>
      <c r="B650" s="10" t="s">
        <v>62</v>
      </c>
      <c r="C650" s="4">
        <v>21.627</v>
      </c>
      <c r="D650" s="4">
        <v>81.1</v>
      </c>
      <c r="G650" s="2">
        <f t="shared" si="60"/>
        <v>21.627</v>
      </c>
      <c r="H650" s="11" t="str">
        <f t="shared" si="61"/>
        <v>3.526E-2</v>
      </c>
      <c r="I650" s="2">
        <f t="shared" si="62"/>
        <v>81.1</v>
      </c>
      <c r="J650" s="4">
        <f t="shared" si="63"/>
        <v>21.627</v>
      </c>
      <c r="K650" s="9">
        <f t="shared" si="64"/>
        <v>9.3</v>
      </c>
      <c r="L650" s="1">
        <f t="shared" si="65"/>
        <v>-5</v>
      </c>
    </row>
    <row r="651" s="1" customFormat="1" spans="1:12">
      <c r="A651" s="2">
        <v>21.694</v>
      </c>
      <c r="B651" s="10" t="s">
        <v>174</v>
      </c>
      <c r="C651" s="4">
        <v>21.66</v>
      </c>
      <c r="D651" s="4">
        <v>79.9</v>
      </c>
      <c r="G651" s="2">
        <f t="shared" si="60"/>
        <v>21.66</v>
      </c>
      <c r="H651" s="11" t="str">
        <f t="shared" si="61"/>
        <v>3.527E-2</v>
      </c>
      <c r="I651" s="2">
        <f t="shared" si="62"/>
        <v>81.1</v>
      </c>
      <c r="J651" s="4">
        <f t="shared" si="63"/>
        <v>21.66</v>
      </c>
      <c r="K651" s="9">
        <f t="shared" si="64"/>
        <v>9.40000000000003</v>
      </c>
      <c r="L651" s="1">
        <f t="shared" si="65"/>
        <v>-5</v>
      </c>
    </row>
    <row r="652" s="1" customFormat="1" spans="1:12">
      <c r="A652" s="2">
        <v>21.727</v>
      </c>
      <c r="B652" s="10" t="s">
        <v>200</v>
      </c>
      <c r="C652" s="4">
        <v>21.694</v>
      </c>
      <c r="D652" s="4">
        <v>79.3</v>
      </c>
      <c r="G652" s="2">
        <f t="shared" si="60"/>
        <v>21.694</v>
      </c>
      <c r="H652" s="11" t="str">
        <f t="shared" si="61"/>
        <v>3.528E-2</v>
      </c>
      <c r="I652" s="2">
        <f t="shared" si="62"/>
        <v>79.9</v>
      </c>
      <c r="J652" s="4">
        <f t="shared" si="63"/>
        <v>21.694</v>
      </c>
      <c r="K652" s="9">
        <f t="shared" si="64"/>
        <v>9.49999999999999</v>
      </c>
      <c r="L652" s="1">
        <f t="shared" si="65"/>
        <v>-5</v>
      </c>
    </row>
    <row r="653" s="1" customFormat="1" spans="1:12">
      <c r="A653" s="2">
        <v>21.761</v>
      </c>
      <c r="B653" s="10" t="s">
        <v>137</v>
      </c>
      <c r="C653" s="4">
        <v>21.727</v>
      </c>
      <c r="D653" s="4">
        <v>78.1</v>
      </c>
      <c r="G653" s="2">
        <f t="shared" si="60"/>
        <v>21.727</v>
      </c>
      <c r="H653" s="11" t="str">
        <f t="shared" si="61"/>
        <v>3.526E-2</v>
      </c>
      <c r="I653" s="2">
        <f t="shared" si="62"/>
        <v>79.3</v>
      </c>
      <c r="J653" s="4">
        <f t="shared" si="63"/>
        <v>21.727</v>
      </c>
      <c r="K653" s="9">
        <f t="shared" si="64"/>
        <v>9.3</v>
      </c>
      <c r="L653" s="1">
        <f t="shared" si="65"/>
        <v>-5</v>
      </c>
    </row>
    <row r="654" s="1" customFormat="1" spans="1:12">
      <c r="A654" s="2">
        <v>21.794</v>
      </c>
      <c r="B654" s="10" t="s">
        <v>201</v>
      </c>
      <c r="C654" s="4">
        <v>21.761</v>
      </c>
      <c r="D654" s="4">
        <v>77.1</v>
      </c>
      <c r="G654" s="2">
        <f t="shared" si="60"/>
        <v>21.761</v>
      </c>
      <c r="H654" s="11" t="str">
        <f t="shared" si="61"/>
        <v>3.524E-2</v>
      </c>
      <c r="I654" s="2">
        <f t="shared" si="62"/>
        <v>78.1</v>
      </c>
      <c r="J654" s="4">
        <f t="shared" si="63"/>
        <v>21.761</v>
      </c>
      <c r="K654" s="9">
        <f t="shared" si="64"/>
        <v>9.10000000000001</v>
      </c>
      <c r="L654" s="1">
        <f t="shared" si="65"/>
        <v>-5</v>
      </c>
    </row>
    <row r="655" s="1" customFormat="1" spans="1:12">
      <c r="A655" s="2">
        <v>21.828</v>
      </c>
      <c r="B655" s="10" t="s">
        <v>77</v>
      </c>
      <c r="C655" s="4">
        <v>21.794</v>
      </c>
      <c r="D655" s="4">
        <v>76.8</v>
      </c>
      <c r="G655" s="2">
        <f t="shared" si="60"/>
        <v>21.794</v>
      </c>
      <c r="H655" s="11" t="str">
        <f t="shared" si="61"/>
        <v>3.521E-2</v>
      </c>
      <c r="I655" s="2">
        <f t="shared" si="62"/>
        <v>77.1</v>
      </c>
      <c r="J655" s="4">
        <f t="shared" si="63"/>
        <v>21.794</v>
      </c>
      <c r="K655" s="9">
        <f t="shared" si="64"/>
        <v>8.79999999999999</v>
      </c>
      <c r="L655" s="1">
        <f t="shared" si="65"/>
        <v>-5</v>
      </c>
    </row>
    <row r="656" s="1" customFormat="1" spans="1:12">
      <c r="A656" s="2">
        <v>21.861</v>
      </c>
      <c r="B656" s="10" t="s">
        <v>232</v>
      </c>
      <c r="C656" s="4">
        <v>21.828</v>
      </c>
      <c r="D656" s="4">
        <v>74.9</v>
      </c>
      <c r="G656" s="2">
        <f t="shared" si="60"/>
        <v>21.828</v>
      </c>
      <c r="H656" s="11" t="str">
        <f t="shared" si="61"/>
        <v>3.517E-2</v>
      </c>
      <c r="I656" s="2">
        <f t="shared" si="62"/>
        <v>76.8</v>
      </c>
      <c r="J656" s="4">
        <f t="shared" si="63"/>
        <v>21.828</v>
      </c>
      <c r="K656" s="9">
        <f t="shared" si="64"/>
        <v>8.4</v>
      </c>
      <c r="L656" s="1">
        <f t="shared" si="65"/>
        <v>-5</v>
      </c>
    </row>
    <row r="657" s="1" customFormat="1" spans="1:12">
      <c r="A657" s="2">
        <v>21.894</v>
      </c>
      <c r="B657" s="10" t="s">
        <v>191</v>
      </c>
      <c r="C657" s="4">
        <v>21.861</v>
      </c>
      <c r="D657" s="4">
        <v>74.5</v>
      </c>
      <c r="G657" s="2">
        <f t="shared" si="60"/>
        <v>21.861</v>
      </c>
      <c r="H657" s="11" t="str">
        <f t="shared" si="61"/>
        <v>3.512E-2</v>
      </c>
      <c r="I657" s="2">
        <f t="shared" si="62"/>
        <v>74.9</v>
      </c>
      <c r="J657" s="4">
        <f t="shared" si="63"/>
        <v>21.861</v>
      </c>
      <c r="K657" s="9">
        <f t="shared" si="64"/>
        <v>7.89999999999999</v>
      </c>
      <c r="L657" s="1">
        <f t="shared" si="65"/>
        <v>-5</v>
      </c>
    </row>
    <row r="658" s="1" customFormat="1" spans="1:12">
      <c r="A658" s="2">
        <v>21.928</v>
      </c>
      <c r="B658" s="10" t="s">
        <v>31</v>
      </c>
      <c r="C658" s="4">
        <v>21.894</v>
      </c>
      <c r="D658" s="4">
        <v>74.3</v>
      </c>
      <c r="G658" s="2">
        <f t="shared" si="60"/>
        <v>21.894</v>
      </c>
      <c r="H658" s="11" t="str">
        <f t="shared" si="61"/>
        <v>3.507E-2</v>
      </c>
      <c r="I658" s="2">
        <f t="shared" si="62"/>
        <v>74.5</v>
      </c>
      <c r="J658" s="4">
        <f t="shared" si="63"/>
        <v>21.894</v>
      </c>
      <c r="K658" s="9">
        <f t="shared" si="64"/>
        <v>7.39999999999998</v>
      </c>
      <c r="L658" s="1">
        <f t="shared" si="65"/>
        <v>-5</v>
      </c>
    </row>
    <row r="659" s="1" customFormat="1" spans="1:12">
      <c r="A659" s="2">
        <v>21.961</v>
      </c>
      <c r="B659" s="10" t="s">
        <v>30</v>
      </c>
      <c r="C659" s="4">
        <v>21.928</v>
      </c>
      <c r="D659" s="4">
        <v>74.1</v>
      </c>
      <c r="G659" s="2">
        <f t="shared" si="60"/>
        <v>21.928</v>
      </c>
      <c r="H659" s="11" t="str">
        <f t="shared" si="61"/>
        <v>3.494E-2</v>
      </c>
      <c r="I659" s="2">
        <f t="shared" si="62"/>
        <v>74.3</v>
      </c>
      <c r="J659" s="4">
        <f t="shared" si="63"/>
        <v>21.928</v>
      </c>
      <c r="K659" s="9">
        <f t="shared" si="64"/>
        <v>6.09999999999999</v>
      </c>
      <c r="L659" s="1">
        <f t="shared" si="65"/>
        <v>-5</v>
      </c>
    </row>
    <row r="660" s="1" customFormat="1" spans="1:12">
      <c r="A660" s="2">
        <v>21.995</v>
      </c>
      <c r="B660" s="10" t="s">
        <v>202</v>
      </c>
      <c r="C660" s="4">
        <v>21.961</v>
      </c>
      <c r="D660" s="4">
        <v>73.6</v>
      </c>
      <c r="G660" s="2">
        <f t="shared" si="60"/>
        <v>21.961</v>
      </c>
      <c r="H660" s="11" t="str">
        <f t="shared" si="61"/>
        <v>3.484E-2</v>
      </c>
      <c r="I660" s="2">
        <f t="shared" si="62"/>
        <v>74.1</v>
      </c>
      <c r="J660" s="4">
        <f t="shared" si="63"/>
        <v>21.961</v>
      </c>
      <c r="K660" s="9">
        <f t="shared" si="64"/>
        <v>5.10000000000004</v>
      </c>
      <c r="L660" s="1">
        <f t="shared" si="65"/>
        <v>-5</v>
      </c>
    </row>
    <row r="661" s="1" customFormat="1" spans="1:12">
      <c r="A661" s="2">
        <v>22.028</v>
      </c>
      <c r="B661" s="10" t="s">
        <v>168</v>
      </c>
      <c r="C661" s="4">
        <v>21.995</v>
      </c>
      <c r="D661" s="4">
        <v>72.9</v>
      </c>
      <c r="G661" s="2">
        <f t="shared" si="60"/>
        <v>21.995</v>
      </c>
      <c r="H661" s="11" t="str">
        <f t="shared" si="61"/>
        <v>3.475E-2</v>
      </c>
      <c r="I661" s="2">
        <f t="shared" si="62"/>
        <v>73.6</v>
      </c>
      <c r="J661" s="4">
        <f t="shared" si="63"/>
        <v>21.995</v>
      </c>
      <c r="K661" s="9">
        <f t="shared" si="64"/>
        <v>4.20000000000004</v>
      </c>
      <c r="L661" s="1">
        <f t="shared" si="65"/>
        <v>-5</v>
      </c>
    </row>
    <row r="662" s="1" customFormat="1" spans="1:12">
      <c r="A662" s="2">
        <v>22.062</v>
      </c>
      <c r="B662" s="10" t="s">
        <v>144</v>
      </c>
      <c r="C662" s="4">
        <v>22.028</v>
      </c>
      <c r="D662" s="4">
        <v>72.3</v>
      </c>
      <c r="G662" s="2">
        <f t="shared" si="60"/>
        <v>22.028</v>
      </c>
      <c r="H662" s="11" t="str">
        <f t="shared" si="61"/>
        <v>3.459E-2</v>
      </c>
      <c r="I662" s="2">
        <f t="shared" si="62"/>
        <v>72.9</v>
      </c>
      <c r="J662" s="4">
        <f t="shared" si="63"/>
        <v>22.028</v>
      </c>
      <c r="K662" s="9">
        <f t="shared" si="64"/>
        <v>2.60000000000003</v>
      </c>
      <c r="L662" s="1">
        <f t="shared" si="65"/>
        <v>-5</v>
      </c>
    </row>
    <row r="663" s="1" customFormat="1" spans="1:12">
      <c r="A663" s="2">
        <v>22.095</v>
      </c>
      <c r="B663" s="10" t="s">
        <v>22</v>
      </c>
      <c r="C663" s="4">
        <v>22.062</v>
      </c>
      <c r="D663" s="4">
        <v>71.9</v>
      </c>
      <c r="G663" s="2">
        <f t="shared" si="60"/>
        <v>22.062</v>
      </c>
      <c r="H663" s="11" t="str">
        <f t="shared" si="61"/>
        <v>3.449E-2</v>
      </c>
      <c r="I663" s="2">
        <f t="shared" si="62"/>
        <v>72.3</v>
      </c>
      <c r="J663" s="4">
        <f t="shared" si="63"/>
        <v>22.062</v>
      </c>
      <c r="K663" s="9">
        <f t="shared" si="64"/>
        <v>1.6</v>
      </c>
      <c r="L663" s="1">
        <f t="shared" si="65"/>
        <v>-5</v>
      </c>
    </row>
    <row r="664" s="1" customFormat="1" spans="1:12">
      <c r="A664" s="2">
        <v>22.128</v>
      </c>
      <c r="B664" s="10" t="s">
        <v>14</v>
      </c>
      <c r="C664" s="4">
        <v>22.095</v>
      </c>
      <c r="D664" s="4">
        <v>71.7</v>
      </c>
      <c r="G664" s="2">
        <f t="shared" si="60"/>
        <v>22.095</v>
      </c>
      <c r="H664" s="11" t="str">
        <f t="shared" si="61"/>
        <v>3.439E-2</v>
      </c>
      <c r="I664" s="2">
        <f t="shared" si="62"/>
        <v>71.9</v>
      </c>
      <c r="J664" s="4">
        <f t="shared" si="63"/>
        <v>22.095</v>
      </c>
      <c r="K664" s="9">
        <f t="shared" si="64"/>
        <v>0.599999999999976</v>
      </c>
      <c r="L664" s="1">
        <f t="shared" si="65"/>
        <v>-5</v>
      </c>
    </row>
    <row r="665" s="1" customFormat="1" spans="1:12">
      <c r="A665" s="2">
        <v>22.162</v>
      </c>
      <c r="B665" s="10" t="s">
        <v>44</v>
      </c>
      <c r="C665" s="4">
        <v>22.128</v>
      </c>
      <c r="D665" s="4">
        <v>71.4</v>
      </c>
      <c r="G665" s="2">
        <f t="shared" si="60"/>
        <v>22.128</v>
      </c>
      <c r="H665" s="11" t="str">
        <f t="shared" si="61"/>
        <v>3.429E-2</v>
      </c>
      <c r="I665" s="2">
        <f t="shared" si="62"/>
        <v>71.7</v>
      </c>
      <c r="J665" s="4">
        <f t="shared" si="63"/>
        <v>22.128</v>
      </c>
      <c r="K665" s="9">
        <f t="shared" si="64"/>
        <v>-0.399999999999984</v>
      </c>
      <c r="L665" s="1">
        <f t="shared" si="65"/>
        <v>-5</v>
      </c>
    </row>
    <row r="666" s="1" customFormat="1" spans="1:12">
      <c r="A666" s="2">
        <v>22.195</v>
      </c>
      <c r="B666" s="10" t="s">
        <v>117</v>
      </c>
      <c r="C666" s="4">
        <v>22.162</v>
      </c>
      <c r="D666" s="4">
        <v>70.7</v>
      </c>
      <c r="G666" s="2">
        <f t="shared" si="60"/>
        <v>22.162</v>
      </c>
      <c r="H666" s="11" t="str">
        <f t="shared" si="61"/>
        <v>3.422E-2</v>
      </c>
      <c r="I666" s="2">
        <f t="shared" si="62"/>
        <v>71.4</v>
      </c>
      <c r="J666" s="4">
        <f t="shared" si="63"/>
        <v>22.162</v>
      </c>
      <c r="K666" s="9">
        <f t="shared" si="64"/>
        <v>-1.09999999999999</v>
      </c>
      <c r="L666" s="1">
        <f t="shared" si="65"/>
        <v>-5</v>
      </c>
    </row>
    <row r="667" s="1" customFormat="1" spans="1:12">
      <c r="A667" s="2">
        <v>22.229</v>
      </c>
      <c r="B667" s="10" t="s">
        <v>83</v>
      </c>
      <c r="C667" s="4">
        <v>22.195</v>
      </c>
      <c r="D667" s="4">
        <v>70.2</v>
      </c>
      <c r="G667" s="2">
        <f t="shared" si="60"/>
        <v>22.195</v>
      </c>
      <c r="H667" s="11" t="str">
        <f t="shared" si="61"/>
        <v>3.412E-2</v>
      </c>
      <c r="I667" s="2">
        <f t="shared" si="62"/>
        <v>70.7</v>
      </c>
      <c r="J667" s="4">
        <f t="shared" si="63"/>
        <v>22.195</v>
      </c>
      <c r="K667" s="9">
        <f t="shared" si="64"/>
        <v>-2.10000000000002</v>
      </c>
      <c r="L667" s="1">
        <f t="shared" si="65"/>
        <v>-5</v>
      </c>
    </row>
    <row r="668" s="1" customFormat="1" spans="1:12">
      <c r="A668" s="2">
        <v>22.262</v>
      </c>
      <c r="B668" s="10" t="s">
        <v>115</v>
      </c>
      <c r="C668" s="4">
        <v>22.229</v>
      </c>
      <c r="D668" s="4">
        <v>70.2</v>
      </c>
      <c r="G668" s="2">
        <f t="shared" si="60"/>
        <v>22.229</v>
      </c>
      <c r="H668" s="11" t="str">
        <f t="shared" si="61"/>
        <v>3.400E-2</v>
      </c>
      <c r="I668" s="2">
        <f t="shared" si="62"/>
        <v>70.2</v>
      </c>
      <c r="J668" s="4">
        <f t="shared" si="63"/>
        <v>22.229</v>
      </c>
      <c r="K668" s="9">
        <f t="shared" si="64"/>
        <v>-3.29999999999997</v>
      </c>
      <c r="L668" s="1">
        <f t="shared" si="65"/>
        <v>-5</v>
      </c>
    </row>
    <row r="669" s="1" customFormat="1" spans="1:12">
      <c r="A669" s="2">
        <v>22.296</v>
      </c>
      <c r="B669" s="10" t="s">
        <v>84</v>
      </c>
      <c r="C669" s="4">
        <v>22.262</v>
      </c>
      <c r="D669" s="4">
        <v>70.2</v>
      </c>
      <c r="G669" s="2">
        <f t="shared" si="60"/>
        <v>22.262</v>
      </c>
      <c r="H669" s="11" t="str">
        <f t="shared" si="61"/>
        <v>3.396E-2</v>
      </c>
      <c r="I669" s="2">
        <f t="shared" si="62"/>
        <v>70.2</v>
      </c>
      <c r="J669" s="4">
        <f t="shared" si="63"/>
        <v>22.262</v>
      </c>
      <c r="K669" s="9">
        <f t="shared" si="64"/>
        <v>-3.70000000000002</v>
      </c>
      <c r="L669" s="1">
        <f t="shared" si="65"/>
        <v>-5</v>
      </c>
    </row>
    <row r="670" s="1" customFormat="1" spans="1:12">
      <c r="A670" s="2">
        <v>22.329</v>
      </c>
      <c r="B670" s="10" t="s">
        <v>84</v>
      </c>
      <c r="C670" s="4">
        <v>22.296</v>
      </c>
      <c r="D670" s="4">
        <v>69.4</v>
      </c>
      <c r="G670" s="2">
        <f t="shared" si="60"/>
        <v>22.296</v>
      </c>
      <c r="H670" s="11" t="str">
        <f t="shared" si="61"/>
        <v>3.393E-2</v>
      </c>
      <c r="I670" s="2">
        <f t="shared" si="62"/>
        <v>70.2</v>
      </c>
      <c r="J670" s="4">
        <f t="shared" si="63"/>
        <v>22.296</v>
      </c>
      <c r="K670" s="9">
        <f t="shared" si="64"/>
        <v>-3.99999999999998</v>
      </c>
      <c r="L670" s="1">
        <f t="shared" si="65"/>
        <v>-5</v>
      </c>
    </row>
    <row r="671" s="1" customFormat="1" spans="1:12">
      <c r="A671" s="2">
        <v>22.362</v>
      </c>
      <c r="B671" s="10" t="s">
        <v>84</v>
      </c>
      <c r="C671" s="4">
        <v>22.329</v>
      </c>
      <c r="D671" s="4">
        <v>69.4</v>
      </c>
      <c r="G671" s="2">
        <f t="shared" si="60"/>
        <v>22.329</v>
      </c>
      <c r="H671" s="11" t="str">
        <f t="shared" si="61"/>
        <v>3.393E-2</v>
      </c>
      <c r="I671" s="2">
        <f t="shared" si="62"/>
        <v>69.4</v>
      </c>
      <c r="J671" s="4">
        <f t="shared" si="63"/>
        <v>22.329</v>
      </c>
      <c r="K671" s="9">
        <f t="shared" si="64"/>
        <v>-3.99999999999998</v>
      </c>
      <c r="L671" s="1">
        <f t="shared" si="65"/>
        <v>-5</v>
      </c>
    </row>
    <row r="672" s="1" customFormat="1" spans="1:12">
      <c r="A672" s="2">
        <v>22.396</v>
      </c>
      <c r="B672" s="10" t="s">
        <v>115</v>
      </c>
      <c r="C672" s="4">
        <v>22.362</v>
      </c>
      <c r="D672" s="4">
        <v>69.6</v>
      </c>
      <c r="G672" s="2">
        <f t="shared" si="60"/>
        <v>22.362</v>
      </c>
      <c r="H672" s="11" t="str">
        <f t="shared" si="61"/>
        <v>3.393E-2</v>
      </c>
      <c r="I672" s="2">
        <f t="shared" si="62"/>
        <v>69.4</v>
      </c>
      <c r="J672" s="4">
        <f t="shared" si="63"/>
        <v>22.362</v>
      </c>
      <c r="K672" s="9">
        <f t="shared" si="64"/>
        <v>-3.99999999999998</v>
      </c>
      <c r="L672" s="1">
        <f t="shared" si="65"/>
        <v>-5</v>
      </c>
    </row>
    <row r="673" s="1" customFormat="1" spans="1:12">
      <c r="A673" s="2">
        <v>22.429</v>
      </c>
      <c r="B673" s="10" t="s">
        <v>233</v>
      </c>
      <c r="C673" s="4">
        <v>22.396</v>
      </c>
      <c r="D673" s="4">
        <v>69.5</v>
      </c>
      <c r="G673" s="2">
        <f t="shared" si="60"/>
        <v>22.396</v>
      </c>
      <c r="H673" s="11" t="str">
        <f t="shared" si="61"/>
        <v>3.396E-2</v>
      </c>
      <c r="I673" s="2">
        <f t="shared" si="62"/>
        <v>69.6</v>
      </c>
      <c r="J673" s="4">
        <f t="shared" si="63"/>
        <v>22.396</v>
      </c>
      <c r="K673" s="9">
        <f t="shared" si="64"/>
        <v>-3.70000000000002</v>
      </c>
      <c r="L673" s="1">
        <f t="shared" si="65"/>
        <v>-5</v>
      </c>
    </row>
    <row r="674" s="1" customFormat="1" spans="1:12">
      <c r="A674" s="2">
        <v>22.463</v>
      </c>
      <c r="B674" s="10" t="s">
        <v>234</v>
      </c>
      <c r="C674" s="4">
        <v>22.429</v>
      </c>
      <c r="D674" s="4">
        <v>68.8</v>
      </c>
      <c r="G674" s="2">
        <f t="shared" si="60"/>
        <v>22.429</v>
      </c>
      <c r="H674" s="11" t="str">
        <f t="shared" si="61"/>
        <v>3.399E-2</v>
      </c>
      <c r="I674" s="2">
        <f t="shared" si="62"/>
        <v>69.5</v>
      </c>
      <c r="J674" s="4">
        <f t="shared" si="63"/>
        <v>22.429</v>
      </c>
      <c r="K674" s="9">
        <f t="shared" si="64"/>
        <v>-3.4</v>
      </c>
      <c r="L674" s="1">
        <f t="shared" si="65"/>
        <v>-5</v>
      </c>
    </row>
    <row r="675" s="1" customFormat="1" spans="1:12">
      <c r="A675" s="2">
        <v>22.496</v>
      </c>
      <c r="B675" s="10" t="s">
        <v>228</v>
      </c>
      <c r="C675" s="4">
        <v>22.463</v>
      </c>
      <c r="D675" s="4">
        <v>69.3</v>
      </c>
      <c r="G675" s="2">
        <f t="shared" si="60"/>
        <v>22.463</v>
      </c>
      <c r="H675" s="11" t="str">
        <f t="shared" si="61"/>
        <v>3.404E-2</v>
      </c>
      <c r="I675" s="2">
        <f t="shared" si="62"/>
        <v>68.8</v>
      </c>
      <c r="J675" s="4">
        <f t="shared" si="63"/>
        <v>22.463</v>
      </c>
      <c r="K675" s="9">
        <f t="shared" si="64"/>
        <v>-2.89999999999999</v>
      </c>
      <c r="L675" s="1">
        <f t="shared" si="65"/>
        <v>-5</v>
      </c>
    </row>
    <row r="676" s="1" customFormat="1" spans="1:12">
      <c r="A676" s="2">
        <v>22.53</v>
      </c>
      <c r="B676" s="10" t="s">
        <v>57</v>
      </c>
      <c r="C676" s="4">
        <v>22.496</v>
      </c>
      <c r="D676" s="4">
        <v>68.9</v>
      </c>
      <c r="G676" s="2">
        <f t="shared" si="60"/>
        <v>22.496</v>
      </c>
      <c r="H676" s="11" t="str">
        <f t="shared" si="61"/>
        <v>3.407E-2</v>
      </c>
      <c r="I676" s="2">
        <f t="shared" si="62"/>
        <v>69.3</v>
      </c>
      <c r="J676" s="4">
        <f t="shared" si="63"/>
        <v>22.496</v>
      </c>
      <c r="K676" s="9">
        <f t="shared" si="64"/>
        <v>-2.59999999999996</v>
      </c>
      <c r="L676" s="1">
        <f t="shared" si="65"/>
        <v>-5</v>
      </c>
    </row>
    <row r="677" s="1" customFormat="1" spans="1:12">
      <c r="A677" s="2">
        <v>22.563</v>
      </c>
      <c r="B677" s="10" t="s">
        <v>235</v>
      </c>
      <c r="C677" s="4">
        <v>22.53</v>
      </c>
      <c r="D677" s="4">
        <v>68.6</v>
      </c>
      <c r="G677" s="2">
        <f t="shared" si="60"/>
        <v>22.53</v>
      </c>
      <c r="H677" s="11" t="str">
        <f t="shared" si="61"/>
        <v>3.413E-2</v>
      </c>
      <c r="I677" s="2">
        <f t="shared" si="62"/>
        <v>68.9</v>
      </c>
      <c r="J677" s="4">
        <f t="shared" si="63"/>
        <v>22.53</v>
      </c>
      <c r="K677" s="9">
        <f t="shared" si="64"/>
        <v>-1.99999999999999</v>
      </c>
      <c r="L677" s="1">
        <f t="shared" si="65"/>
        <v>-5</v>
      </c>
    </row>
    <row r="678" s="1" customFormat="1" spans="1:12">
      <c r="A678" s="2">
        <v>22.596</v>
      </c>
      <c r="B678" s="10" t="s">
        <v>9</v>
      </c>
      <c r="C678" s="4">
        <v>22.563</v>
      </c>
      <c r="D678" s="4">
        <v>69.3</v>
      </c>
      <c r="G678" s="2">
        <f t="shared" si="60"/>
        <v>22.563</v>
      </c>
      <c r="H678" s="11" t="str">
        <f t="shared" si="61"/>
        <v>3.420E-2</v>
      </c>
      <c r="I678" s="2">
        <f t="shared" si="62"/>
        <v>68.6</v>
      </c>
      <c r="J678" s="4">
        <f t="shared" si="63"/>
        <v>22.563</v>
      </c>
      <c r="K678" s="9">
        <f t="shared" si="64"/>
        <v>-1.29999999999998</v>
      </c>
      <c r="L678" s="1">
        <f t="shared" si="65"/>
        <v>-5</v>
      </c>
    </row>
    <row r="679" s="1" customFormat="1" spans="1:12">
      <c r="A679" s="2">
        <v>22.63</v>
      </c>
      <c r="B679" s="10" t="s">
        <v>236</v>
      </c>
      <c r="C679" s="4">
        <v>22.596</v>
      </c>
      <c r="D679" s="4">
        <v>68.8</v>
      </c>
      <c r="G679" s="2">
        <f t="shared" si="60"/>
        <v>22.596</v>
      </c>
      <c r="H679" s="11" t="str">
        <f t="shared" si="61"/>
        <v>3.433E-2</v>
      </c>
      <c r="I679" s="2">
        <f t="shared" si="62"/>
        <v>69.3</v>
      </c>
      <c r="J679" s="4">
        <f t="shared" si="63"/>
        <v>22.596</v>
      </c>
      <c r="K679" s="9">
        <f t="shared" si="64"/>
        <v>0</v>
      </c>
      <c r="L679" s="1">
        <f t="shared" si="65"/>
        <v>-5</v>
      </c>
    </row>
    <row r="680" s="1" customFormat="1" spans="1:12">
      <c r="A680" s="2">
        <v>22.663</v>
      </c>
      <c r="B680" s="10" t="s">
        <v>221</v>
      </c>
      <c r="C680" s="4">
        <v>22.63</v>
      </c>
      <c r="D680" s="4">
        <v>68.6</v>
      </c>
      <c r="G680" s="2">
        <f t="shared" si="60"/>
        <v>22.63</v>
      </c>
      <c r="H680" s="11" t="str">
        <f t="shared" si="61"/>
        <v>3.438E-2</v>
      </c>
      <c r="I680" s="2">
        <f t="shared" si="62"/>
        <v>68.8</v>
      </c>
      <c r="J680" s="4">
        <f t="shared" si="63"/>
        <v>22.63</v>
      </c>
      <c r="K680" s="9">
        <f t="shared" si="64"/>
        <v>0.500000000000014</v>
      </c>
      <c r="L680" s="1">
        <f t="shared" si="65"/>
        <v>-5</v>
      </c>
    </row>
    <row r="681" s="1" customFormat="1" spans="1:12">
      <c r="A681" s="2">
        <v>22.697</v>
      </c>
      <c r="B681" s="10" t="s">
        <v>223</v>
      </c>
      <c r="C681" s="4">
        <v>22.663</v>
      </c>
      <c r="D681" s="4">
        <v>68.5</v>
      </c>
      <c r="G681" s="2">
        <f t="shared" si="60"/>
        <v>22.663</v>
      </c>
      <c r="H681" s="11" t="str">
        <f t="shared" si="61"/>
        <v>3.448E-2</v>
      </c>
      <c r="I681" s="2">
        <f t="shared" si="62"/>
        <v>68.6</v>
      </c>
      <c r="J681" s="4">
        <f t="shared" si="63"/>
        <v>22.663</v>
      </c>
      <c r="K681" s="9">
        <f t="shared" si="64"/>
        <v>1.49999999999997</v>
      </c>
      <c r="L681" s="1">
        <f t="shared" si="65"/>
        <v>-5</v>
      </c>
    </row>
    <row r="682" s="1" customFormat="1" spans="1:12">
      <c r="A682" s="2">
        <v>22.73</v>
      </c>
      <c r="B682" s="10" t="s">
        <v>170</v>
      </c>
      <c r="C682" s="4">
        <v>22.697</v>
      </c>
      <c r="D682" s="4">
        <v>69.2</v>
      </c>
      <c r="G682" s="2">
        <f t="shared" si="60"/>
        <v>22.697</v>
      </c>
      <c r="H682" s="11" t="str">
        <f t="shared" si="61"/>
        <v>3.455E-2</v>
      </c>
      <c r="I682" s="2">
        <f t="shared" si="62"/>
        <v>68.5</v>
      </c>
      <c r="J682" s="4">
        <f t="shared" si="63"/>
        <v>22.697</v>
      </c>
      <c r="K682" s="9">
        <f t="shared" si="64"/>
        <v>2.19999999999998</v>
      </c>
      <c r="L682" s="1">
        <f t="shared" si="65"/>
        <v>-5</v>
      </c>
    </row>
    <row r="683" s="1" customFormat="1" spans="1:12">
      <c r="A683" s="2">
        <v>22.764</v>
      </c>
      <c r="B683" s="10" t="s">
        <v>172</v>
      </c>
      <c r="C683" s="4">
        <v>22.73</v>
      </c>
      <c r="D683" s="4">
        <v>68.5</v>
      </c>
      <c r="G683" s="2">
        <f t="shared" si="60"/>
        <v>22.73</v>
      </c>
      <c r="H683" s="11" t="str">
        <f t="shared" si="61"/>
        <v>3.469E-2</v>
      </c>
      <c r="I683" s="2">
        <f t="shared" si="62"/>
        <v>69.2</v>
      </c>
      <c r="J683" s="4">
        <f t="shared" si="63"/>
        <v>22.73</v>
      </c>
      <c r="K683" s="9">
        <f t="shared" si="64"/>
        <v>3.59999999999999</v>
      </c>
      <c r="L683" s="1">
        <f t="shared" si="65"/>
        <v>-5</v>
      </c>
    </row>
    <row r="684" s="1" customFormat="1" spans="1:12">
      <c r="A684" s="2">
        <v>22.797</v>
      </c>
      <c r="B684" s="10" t="s">
        <v>139</v>
      </c>
      <c r="C684" s="4">
        <v>22.764</v>
      </c>
      <c r="D684" s="4">
        <v>68.4</v>
      </c>
      <c r="G684" s="2">
        <f t="shared" si="60"/>
        <v>22.764</v>
      </c>
      <c r="H684" s="11" t="str">
        <f t="shared" si="61"/>
        <v>3.477E-2</v>
      </c>
      <c r="I684" s="2">
        <f t="shared" si="62"/>
        <v>68.5</v>
      </c>
      <c r="J684" s="4">
        <f t="shared" si="63"/>
        <v>22.764</v>
      </c>
      <c r="K684" s="9">
        <f t="shared" si="64"/>
        <v>4.40000000000003</v>
      </c>
      <c r="L684" s="1">
        <f t="shared" si="65"/>
        <v>-5</v>
      </c>
    </row>
    <row r="685" s="1" customFormat="1" spans="1:12">
      <c r="A685" s="2">
        <v>22.83</v>
      </c>
      <c r="B685" s="10" t="s">
        <v>37</v>
      </c>
      <c r="C685" s="4">
        <v>22.797</v>
      </c>
      <c r="D685" s="4">
        <v>68.5</v>
      </c>
      <c r="G685" s="2">
        <f t="shared" si="60"/>
        <v>22.797</v>
      </c>
      <c r="H685" s="11" t="str">
        <f t="shared" si="61"/>
        <v>3.485E-2</v>
      </c>
      <c r="I685" s="2">
        <f t="shared" si="62"/>
        <v>68.4</v>
      </c>
      <c r="J685" s="4">
        <f t="shared" si="63"/>
        <v>22.797</v>
      </c>
      <c r="K685" s="9">
        <f t="shared" si="64"/>
        <v>5.2</v>
      </c>
      <c r="L685" s="1">
        <f t="shared" si="65"/>
        <v>-5</v>
      </c>
    </row>
    <row r="686" s="1" customFormat="1" spans="1:12">
      <c r="A686" s="2">
        <v>22.864</v>
      </c>
      <c r="B686" s="10" t="s">
        <v>34</v>
      </c>
      <c r="C686" s="4">
        <v>22.83</v>
      </c>
      <c r="D686" s="4">
        <v>68.5</v>
      </c>
      <c r="G686" s="2">
        <f t="shared" si="60"/>
        <v>22.83</v>
      </c>
      <c r="H686" s="11" t="str">
        <f t="shared" si="61"/>
        <v>3.496E-2</v>
      </c>
      <c r="I686" s="2">
        <f t="shared" si="62"/>
        <v>68.5</v>
      </c>
      <c r="J686" s="4">
        <f t="shared" si="63"/>
        <v>22.83</v>
      </c>
      <c r="K686" s="9">
        <f t="shared" si="64"/>
        <v>6.29999999999999</v>
      </c>
      <c r="L686" s="1">
        <f t="shared" si="65"/>
        <v>-5</v>
      </c>
    </row>
    <row r="687" s="1" customFormat="1" spans="1:12">
      <c r="A687" s="2">
        <v>22.897</v>
      </c>
      <c r="B687" s="10" t="s">
        <v>33</v>
      </c>
      <c r="C687" s="4">
        <v>22.864</v>
      </c>
      <c r="D687" s="4">
        <v>68.3</v>
      </c>
      <c r="G687" s="2">
        <f t="shared" si="60"/>
        <v>22.864</v>
      </c>
      <c r="H687" s="11" t="str">
        <f t="shared" si="61"/>
        <v>3.502E-2</v>
      </c>
      <c r="I687" s="2">
        <f t="shared" si="62"/>
        <v>68.5</v>
      </c>
      <c r="J687" s="4">
        <f t="shared" si="63"/>
        <v>22.864</v>
      </c>
      <c r="K687" s="9">
        <f t="shared" si="64"/>
        <v>6.90000000000003</v>
      </c>
      <c r="L687" s="1">
        <f t="shared" si="65"/>
        <v>-5</v>
      </c>
    </row>
    <row r="688" s="1" customFormat="1" spans="1:12">
      <c r="A688" s="2">
        <v>22.931</v>
      </c>
      <c r="B688" s="10" t="s">
        <v>165</v>
      </c>
      <c r="C688" s="4">
        <v>22.897</v>
      </c>
      <c r="D688" s="4">
        <v>68.6</v>
      </c>
      <c r="G688" s="2">
        <f t="shared" si="60"/>
        <v>22.897</v>
      </c>
      <c r="H688" s="11" t="str">
        <f t="shared" si="61"/>
        <v>3.504E-2</v>
      </c>
      <c r="I688" s="2">
        <f t="shared" si="62"/>
        <v>68.3</v>
      </c>
      <c r="J688" s="4">
        <f t="shared" si="63"/>
        <v>22.897</v>
      </c>
      <c r="K688" s="9">
        <f t="shared" si="64"/>
        <v>7.10000000000002</v>
      </c>
      <c r="L688" s="1">
        <f t="shared" si="65"/>
        <v>-5</v>
      </c>
    </row>
    <row r="689" s="1" customFormat="1" spans="1:12">
      <c r="A689" s="2">
        <v>22.964</v>
      </c>
      <c r="B689" s="10" t="s">
        <v>165</v>
      </c>
      <c r="C689" s="4">
        <v>22.931</v>
      </c>
      <c r="D689" s="4">
        <v>68.4</v>
      </c>
      <c r="G689" s="2">
        <f t="shared" si="60"/>
        <v>22.931</v>
      </c>
      <c r="H689" s="11" t="str">
        <f t="shared" si="61"/>
        <v>3.505E-2</v>
      </c>
      <c r="I689" s="2">
        <f t="shared" si="62"/>
        <v>68.6</v>
      </c>
      <c r="J689" s="4">
        <f t="shared" si="63"/>
        <v>22.931</v>
      </c>
      <c r="K689" s="9">
        <f t="shared" si="64"/>
        <v>7.19999999999998</v>
      </c>
      <c r="L689" s="1">
        <f t="shared" si="65"/>
        <v>-5</v>
      </c>
    </row>
    <row r="690" s="1" customFormat="1" spans="1:12">
      <c r="A690" s="2">
        <v>22.998</v>
      </c>
      <c r="B690" s="10" t="s">
        <v>165</v>
      </c>
      <c r="C690" s="4">
        <v>22.964</v>
      </c>
      <c r="D690" s="4">
        <v>68.7</v>
      </c>
      <c r="G690" s="2">
        <f t="shared" si="60"/>
        <v>22.964</v>
      </c>
      <c r="H690" s="11" t="str">
        <f t="shared" si="61"/>
        <v>3.505E-2</v>
      </c>
      <c r="I690" s="2">
        <f t="shared" si="62"/>
        <v>68.4</v>
      </c>
      <c r="J690" s="4">
        <f t="shared" si="63"/>
        <v>22.964</v>
      </c>
      <c r="K690" s="9">
        <f t="shared" si="64"/>
        <v>7.19999999999998</v>
      </c>
      <c r="L690" s="1">
        <f t="shared" si="65"/>
        <v>-5</v>
      </c>
    </row>
    <row r="691" s="1" customFormat="1" spans="1:12">
      <c r="A691" s="2">
        <v>23.031</v>
      </c>
      <c r="B691" s="10" t="s">
        <v>34</v>
      </c>
      <c r="C691" s="4">
        <v>22.998</v>
      </c>
      <c r="D691" s="4">
        <v>68.6</v>
      </c>
      <c r="G691" s="2">
        <f t="shared" si="60"/>
        <v>22.998</v>
      </c>
      <c r="H691" s="11" t="str">
        <f t="shared" si="61"/>
        <v>3.505E-2</v>
      </c>
      <c r="I691" s="2">
        <f t="shared" si="62"/>
        <v>68.7</v>
      </c>
      <c r="J691" s="4">
        <f t="shared" si="63"/>
        <v>22.998</v>
      </c>
      <c r="K691" s="9">
        <f t="shared" si="64"/>
        <v>7.19999999999998</v>
      </c>
      <c r="L691" s="1">
        <f t="shared" si="65"/>
        <v>-5</v>
      </c>
    </row>
    <row r="692" s="1" customFormat="1" spans="1:12">
      <c r="A692" s="2">
        <v>23.064</v>
      </c>
      <c r="B692" s="10" t="s">
        <v>190</v>
      </c>
      <c r="C692" s="4">
        <v>23.031</v>
      </c>
      <c r="D692" s="4">
        <v>68.3</v>
      </c>
      <c r="G692" s="2">
        <f t="shared" si="60"/>
        <v>23.031</v>
      </c>
      <c r="H692" s="11" t="str">
        <f t="shared" si="61"/>
        <v>3.502E-2</v>
      </c>
      <c r="I692" s="2">
        <f t="shared" si="62"/>
        <v>68.6</v>
      </c>
      <c r="J692" s="4">
        <f t="shared" si="63"/>
        <v>23.031</v>
      </c>
      <c r="K692" s="9">
        <f t="shared" si="64"/>
        <v>6.90000000000003</v>
      </c>
      <c r="L692" s="1">
        <f t="shared" si="65"/>
        <v>-5</v>
      </c>
    </row>
    <row r="693" s="1" customFormat="1" spans="1:12">
      <c r="A693" s="2">
        <v>23.098</v>
      </c>
      <c r="B693" s="10" t="s">
        <v>37</v>
      </c>
      <c r="C693" s="4">
        <v>23.064</v>
      </c>
      <c r="D693" s="4">
        <v>68.3</v>
      </c>
      <c r="G693" s="2">
        <f t="shared" si="60"/>
        <v>23.064</v>
      </c>
      <c r="H693" s="11" t="str">
        <f t="shared" si="61"/>
        <v>3.499E-2</v>
      </c>
      <c r="I693" s="2">
        <f t="shared" si="62"/>
        <v>68.3</v>
      </c>
      <c r="J693" s="4">
        <f t="shared" si="63"/>
        <v>23.064</v>
      </c>
      <c r="K693" s="9">
        <f t="shared" si="64"/>
        <v>6.60000000000001</v>
      </c>
      <c r="L693" s="1">
        <f t="shared" si="65"/>
        <v>-5</v>
      </c>
    </row>
    <row r="694" s="1" customFormat="1" spans="1:12">
      <c r="A694" s="2">
        <v>23.131</v>
      </c>
      <c r="B694" s="10" t="s">
        <v>189</v>
      </c>
      <c r="C694" s="4">
        <v>23.098</v>
      </c>
      <c r="D694" s="4">
        <v>68.3</v>
      </c>
      <c r="G694" s="2">
        <f t="shared" si="60"/>
        <v>23.098</v>
      </c>
      <c r="H694" s="11" t="str">
        <f t="shared" si="61"/>
        <v>3.496E-2</v>
      </c>
      <c r="I694" s="2">
        <f t="shared" si="62"/>
        <v>68.3</v>
      </c>
      <c r="J694" s="4">
        <f t="shared" si="63"/>
        <v>23.098</v>
      </c>
      <c r="K694" s="9">
        <f t="shared" si="64"/>
        <v>6.29999999999999</v>
      </c>
      <c r="L694" s="1">
        <f t="shared" si="65"/>
        <v>-5</v>
      </c>
    </row>
    <row r="695" s="1" customFormat="1" spans="1:12">
      <c r="A695" s="2">
        <v>23.165</v>
      </c>
      <c r="B695" s="10" t="s">
        <v>39</v>
      </c>
      <c r="C695" s="4">
        <v>23.131</v>
      </c>
      <c r="D695" s="4">
        <v>68.6</v>
      </c>
      <c r="G695" s="2">
        <f t="shared" si="60"/>
        <v>23.131</v>
      </c>
      <c r="H695" s="11" t="str">
        <f t="shared" si="61"/>
        <v>3.493E-2</v>
      </c>
      <c r="I695" s="2">
        <f t="shared" si="62"/>
        <v>68.3</v>
      </c>
      <c r="J695" s="4">
        <f t="shared" si="63"/>
        <v>23.131</v>
      </c>
      <c r="K695" s="9">
        <f t="shared" si="64"/>
        <v>6.00000000000003</v>
      </c>
      <c r="L695" s="1">
        <f t="shared" si="65"/>
        <v>-5</v>
      </c>
    </row>
    <row r="696" s="1" customFormat="1" spans="1:12">
      <c r="A696" s="2">
        <v>23.198</v>
      </c>
      <c r="B696" s="10" t="s">
        <v>139</v>
      </c>
      <c r="C696" s="4">
        <v>23.165</v>
      </c>
      <c r="D696" s="4">
        <v>68.3</v>
      </c>
      <c r="G696" s="2">
        <f t="shared" si="60"/>
        <v>23.165</v>
      </c>
      <c r="H696" s="11" t="str">
        <f t="shared" si="61"/>
        <v>3.489E-2</v>
      </c>
      <c r="I696" s="2">
        <f t="shared" si="62"/>
        <v>68.6</v>
      </c>
      <c r="J696" s="4">
        <f t="shared" si="63"/>
        <v>23.165</v>
      </c>
      <c r="K696" s="9">
        <f t="shared" si="64"/>
        <v>5.59999999999998</v>
      </c>
      <c r="L696" s="1">
        <f t="shared" si="65"/>
        <v>-5</v>
      </c>
    </row>
    <row r="697" s="1" customFormat="1" spans="1:12">
      <c r="A697" s="2">
        <v>23.231</v>
      </c>
      <c r="B697" s="10" t="s">
        <v>172</v>
      </c>
      <c r="C697" s="4">
        <v>23.198</v>
      </c>
      <c r="D697" s="4">
        <v>68.2</v>
      </c>
      <c r="G697" s="2">
        <f t="shared" si="60"/>
        <v>23.198</v>
      </c>
      <c r="H697" s="11" t="str">
        <f t="shared" si="61"/>
        <v>3.485E-2</v>
      </c>
      <c r="I697" s="2">
        <f t="shared" si="62"/>
        <v>68.3</v>
      </c>
      <c r="J697" s="4">
        <f t="shared" si="63"/>
        <v>23.198</v>
      </c>
      <c r="K697" s="9">
        <f t="shared" si="64"/>
        <v>5.2</v>
      </c>
      <c r="L697" s="1">
        <f t="shared" si="65"/>
        <v>-5</v>
      </c>
    </row>
    <row r="698" s="1" customFormat="1" spans="1:12">
      <c r="A698" s="2">
        <v>23.265</v>
      </c>
      <c r="B698" s="10" t="s">
        <v>237</v>
      </c>
      <c r="C698" s="4">
        <v>23.231</v>
      </c>
      <c r="D698" s="4">
        <v>68.3</v>
      </c>
      <c r="G698" s="2">
        <f t="shared" si="60"/>
        <v>23.231</v>
      </c>
      <c r="H698" s="11" t="str">
        <f t="shared" si="61"/>
        <v>3.477E-2</v>
      </c>
      <c r="I698" s="2">
        <f t="shared" si="62"/>
        <v>68.2</v>
      </c>
      <c r="J698" s="4">
        <f t="shared" si="63"/>
        <v>23.231</v>
      </c>
      <c r="K698" s="9">
        <f t="shared" si="64"/>
        <v>4.40000000000003</v>
      </c>
      <c r="L698" s="1">
        <f t="shared" si="65"/>
        <v>-5</v>
      </c>
    </row>
    <row r="699" s="1" customFormat="1" spans="1:12">
      <c r="A699" s="2">
        <v>23.298</v>
      </c>
      <c r="B699" s="10" t="s">
        <v>140</v>
      </c>
      <c r="C699" s="4">
        <v>23.265</v>
      </c>
      <c r="D699" s="4">
        <v>68.3</v>
      </c>
      <c r="G699" s="2">
        <f t="shared" si="60"/>
        <v>23.265</v>
      </c>
      <c r="H699" s="11" t="str">
        <f t="shared" si="61"/>
        <v>3.464E-2</v>
      </c>
      <c r="I699" s="2">
        <f t="shared" si="62"/>
        <v>68.3</v>
      </c>
      <c r="J699" s="4">
        <f t="shared" si="63"/>
        <v>23.265</v>
      </c>
      <c r="K699" s="9">
        <f t="shared" si="64"/>
        <v>3.09999999999998</v>
      </c>
      <c r="L699" s="1">
        <f t="shared" si="65"/>
        <v>-5</v>
      </c>
    </row>
    <row r="700" s="1" customFormat="1" spans="1:12">
      <c r="A700" s="2">
        <v>23.332</v>
      </c>
      <c r="B700" s="10" t="s">
        <v>216</v>
      </c>
      <c r="C700" s="4">
        <v>23.298</v>
      </c>
      <c r="D700" s="4">
        <v>68</v>
      </c>
      <c r="G700" s="2">
        <f t="shared" si="60"/>
        <v>23.298</v>
      </c>
      <c r="H700" s="11" t="str">
        <f t="shared" si="61"/>
        <v>3.454E-2</v>
      </c>
      <c r="I700" s="2">
        <f t="shared" si="62"/>
        <v>68.3</v>
      </c>
      <c r="J700" s="4">
        <f t="shared" si="63"/>
        <v>23.298</v>
      </c>
      <c r="K700" s="9">
        <f t="shared" si="64"/>
        <v>2.10000000000002</v>
      </c>
      <c r="L700" s="1">
        <f t="shared" si="65"/>
        <v>-5</v>
      </c>
    </row>
    <row r="701" s="1" customFormat="1" spans="1:12">
      <c r="A701" s="2">
        <v>23.365</v>
      </c>
      <c r="B701" s="10" t="s">
        <v>13</v>
      </c>
      <c r="C701" s="4">
        <v>23.332</v>
      </c>
      <c r="D701" s="4">
        <v>68.2</v>
      </c>
      <c r="G701" s="2">
        <f t="shared" si="60"/>
        <v>23.332</v>
      </c>
      <c r="H701" s="11" t="str">
        <f t="shared" si="61"/>
        <v>3.446E-2</v>
      </c>
      <c r="I701" s="2">
        <f t="shared" si="62"/>
        <v>68</v>
      </c>
      <c r="J701" s="4">
        <f t="shared" si="63"/>
        <v>23.332</v>
      </c>
      <c r="K701" s="9">
        <f t="shared" si="64"/>
        <v>1.29999999999998</v>
      </c>
      <c r="L701" s="1">
        <f t="shared" si="65"/>
        <v>-5</v>
      </c>
    </row>
    <row r="702" s="1" customFormat="1" spans="1:12">
      <c r="A702" s="2">
        <v>23.399</v>
      </c>
      <c r="B702" s="10" t="s">
        <v>17</v>
      </c>
      <c r="C702" s="4">
        <v>23.365</v>
      </c>
      <c r="D702" s="4">
        <v>68.3</v>
      </c>
      <c r="G702" s="2">
        <f t="shared" si="60"/>
        <v>23.365</v>
      </c>
      <c r="H702" s="11" t="str">
        <f t="shared" si="61"/>
        <v>3.431E-2</v>
      </c>
      <c r="I702" s="2">
        <f t="shared" si="62"/>
        <v>68.2</v>
      </c>
      <c r="J702" s="4">
        <f t="shared" si="63"/>
        <v>23.365</v>
      </c>
      <c r="K702" s="9">
        <f t="shared" si="64"/>
        <v>-0.199999999999992</v>
      </c>
      <c r="L702" s="1">
        <f t="shared" si="65"/>
        <v>-5</v>
      </c>
    </row>
    <row r="703" s="1" customFormat="1" spans="1:12">
      <c r="A703" s="2">
        <v>23.432</v>
      </c>
      <c r="B703" s="10" t="s">
        <v>238</v>
      </c>
      <c r="C703" s="4">
        <v>23.399</v>
      </c>
      <c r="D703" s="4">
        <v>68</v>
      </c>
      <c r="G703" s="2">
        <f t="shared" si="60"/>
        <v>23.399</v>
      </c>
      <c r="H703" s="11" t="str">
        <f t="shared" si="61"/>
        <v>3.423E-2</v>
      </c>
      <c r="I703" s="2">
        <f t="shared" si="62"/>
        <v>68.3</v>
      </c>
      <c r="J703" s="4">
        <f t="shared" si="63"/>
        <v>23.399</v>
      </c>
      <c r="K703" s="9">
        <f t="shared" si="64"/>
        <v>-1.00000000000003</v>
      </c>
      <c r="L703" s="1">
        <f t="shared" si="65"/>
        <v>-5</v>
      </c>
    </row>
    <row r="704" s="1" customFormat="1" spans="1:12">
      <c r="A704" s="2">
        <v>23.465</v>
      </c>
      <c r="B704" s="10" t="s">
        <v>83</v>
      </c>
      <c r="C704" s="4">
        <v>23.432</v>
      </c>
      <c r="D704" s="4">
        <v>68.6</v>
      </c>
      <c r="G704" s="2">
        <f t="shared" si="60"/>
        <v>23.432</v>
      </c>
      <c r="H704" s="11" t="str">
        <f t="shared" si="61"/>
        <v>3.416E-2</v>
      </c>
      <c r="I704" s="2">
        <f t="shared" si="62"/>
        <v>68</v>
      </c>
      <c r="J704" s="4">
        <f t="shared" si="63"/>
        <v>23.432</v>
      </c>
      <c r="K704" s="9">
        <f t="shared" si="64"/>
        <v>-1.69999999999997</v>
      </c>
      <c r="L704" s="1">
        <f t="shared" si="65"/>
        <v>-5</v>
      </c>
    </row>
    <row r="705" s="1" customFormat="1" spans="1:12">
      <c r="A705" s="2">
        <v>23.499</v>
      </c>
      <c r="B705" s="10" t="s">
        <v>112</v>
      </c>
      <c r="C705" s="4">
        <v>23.465</v>
      </c>
      <c r="D705" s="4">
        <v>68.2</v>
      </c>
      <c r="G705" s="2">
        <f t="shared" si="60"/>
        <v>23.465</v>
      </c>
      <c r="H705" s="11" t="str">
        <f t="shared" si="61"/>
        <v>3.400E-2</v>
      </c>
      <c r="I705" s="2">
        <f t="shared" si="62"/>
        <v>68.6</v>
      </c>
      <c r="J705" s="4">
        <f t="shared" si="63"/>
        <v>23.465</v>
      </c>
      <c r="K705" s="9">
        <f t="shared" si="64"/>
        <v>-3.29999999999997</v>
      </c>
      <c r="L705" s="1">
        <f t="shared" si="65"/>
        <v>-5</v>
      </c>
    </row>
    <row r="706" s="1" customFormat="1" spans="1:12">
      <c r="A706" s="2">
        <v>23.532</v>
      </c>
      <c r="B706" s="10" t="s">
        <v>239</v>
      </c>
      <c r="C706" s="4">
        <v>23.499</v>
      </c>
      <c r="D706" s="4">
        <v>68.2</v>
      </c>
      <c r="G706" s="2">
        <f t="shared" si="60"/>
        <v>23.499</v>
      </c>
      <c r="H706" s="11" t="str">
        <f t="shared" si="61"/>
        <v>3.391E-2</v>
      </c>
      <c r="I706" s="2">
        <f t="shared" si="62"/>
        <v>68.2</v>
      </c>
      <c r="J706" s="4">
        <f t="shared" si="63"/>
        <v>23.499</v>
      </c>
      <c r="K706" s="9">
        <f t="shared" si="64"/>
        <v>-4.19999999999997</v>
      </c>
      <c r="L706" s="1">
        <f t="shared" si="65"/>
        <v>-5</v>
      </c>
    </row>
    <row r="707" s="1" customFormat="1" spans="1:12">
      <c r="A707" s="2">
        <v>23.566</v>
      </c>
      <c r="B707" s="10" t="s">
        <v>50</v>
      </c>
      <c r="C707" s="4">
        <v>23.532</v>
      </c>
      <c r="D707" s="4">
        <v>68.7</v>
      </c>
      <c r="G707" s="2">
        <f t="shared" si="60"/>
        <v>23.532</v>
      </c>
      <c r="H707" s="11" t="str">
        <f t="shared" si="61"/>
        <v>3.387E-2</v>
      </c>
      <c r="I707" s="2">
        <f t="shared" si="62"/>
        <v>68.2</v>
      </c>
      <c r="J707" s="4">
        <f t="shared" si="63"/>
        <v>23.532</v>
      </c>
      <c r="K707" s="9">
        <f t="shared" si="64"/>
        <v>-4.60000000000002</v>
      </c>
      <c r="L707" s="1">
        <f t="shared" si="65"/>
        <v>-5</v>
      </c>
    </row>
    <row r="708" s="1" customFormat="1" spans="1:12">
      <c r="A708" s="2">
        <v>23.599</v>
      </c>
      <c r="B708" s="10" t="s">
        <v>52</v>
      </c>
      <c r="C708" s="4">
        <v>23.566</v>
      </c>
      <c r="D708" s="4">
        <v>68</v>
      </c>
      <c r="G708" s="2">
        <f t="shared" ref="G708:G771" si="66">A707</f>
        <v>23.566</v>
      </c>
      <c r="H708" s="11" t="str">
        <f t="shared" ref="H708:H771" si="67">B707</f>
        <v>3.377E-2</v>
      </c>
      <c r="I708" s="2">
        <f t="shared" ref="I708:I771" si="68">D707</f>
        <v>68.7</v>
      </c>
      <c r="J708" s="4">
        <f t="shared" ref="J708:J771" si="69">G708</f>
        <v>23.566</v>
      </c>
      <c r="K708" s="9">
        <f t="shared" ref="K708:K771" si="70">(H708-$H$4)*10000</f>
        <v>-5.59999999999998</v>
      </c>
      <c r="L708" s="1">
        <f t="shared" si="65"/>
        <v>-5</v>
      </c>
    </row>
    <row r="709" s="1" customFormat="1" spans="1:12">
      <c r="A709" s="2">
        <v>23.633</v>
      </c>
      <c r="B709" s="10" t="s">
        <v>240</v>
      </c>
      <c r="C709" s="4">
        <v>23.599</v>
      </c>
      <c r="D709" s="4">
        <v>68.3</v>
      </c>
      <c r="G709" s="2">
        <f t="shared" si="66"/>
        <v>23.599</v>
      </c>
      <c r="H709" s="11" t="str">
        <f t="shared" si="67"/>
        <v>3.372E-2</v>
      </c>
      <c r="I709" s="2">
        <f t="shared" si="68"/>
        <v>68</v>
      </c>
      <c r="J709" s="4">
        <f t="shared" si="69"/>
        <v>23.599</v>
      </c>
      <c r="K709" s="9">
        <f t="shared" si="70"/>
        <v>-6.09999999999999</v>
      </c>
      <c r="L709" s="1">
        <f t="shared" ref="L709:L772" si="71">IF(I709&lt;230,-5,23)</f>
        <v>-5</v>
      </c>
    </row>
    <row r="710" s="1" customFormat="1" spans="1:12">
      <c r="A710" s="2">
        <v>23.666</v>
      </c>
      <c r="B710" s="10" t="s">
        <v>241</v>
      </c>
      <c r="C710" s="4">
        <v>23.633</v>
      </c>
      <c r="D710" s="4">
        <v>68.3</v>
      </c>
      <c r="G710" s="2">
        <f t="shared" si="66"/>
        <v>23.633</v>
      </c>
      <c r="H710" s="11" t="str">
        <f t="shared" si="67"/>
        <v>3.370E-2</v>
      </c>
      <c r="I710" s="2">
        <f t="shared" si="68"/>
        <v>68.3</v>
      </c>
      <c r="J710" s="4">
        <f t="shared" si="69"/>
        <v>23.633</v>
      </c>
      <c r="K710" s="9">
        <f t="shared" si="70"/>
        <v>-6.29999999999999</v>
      </c>
      <c r="L710" s="1">
        <f t="shared" si="71"/>
        <v>-5</v>
      </c>
    </row>
    <row r="711" s="1" customFormat="1" spans="1:12">
      <c r="A711" s="2">
        <v>23.699</v>
      </c>
      <c r="B711" s="10" t="s">
        <v>240</v>
      </c>
      <c r="C711" s="4">
        <v>23.666</v>
      </c>
      <c r="D711" s="4">
        <v>68.3</v>
      </c>
      <c r="G711" s="2">
        <f t="shared" si="66"/>
        <v>23.666</v>
      </c>
      <c r="H711" s="11" t="str">
        <f t="shared" si="67"/>
        <v>3.369E-2</v>
      </c>
      <c r="I711" s="2">
        <f t="shared" si="68"/>
        <v>68.3</v>
      </c>
      <c r="J711" s="4">
        <f t="shared" si="69"/>
        <v>23.666</v>
      </c>
      <c r="K711" s="9">
        <f t="shared" si="70"/>
        <v>-6.40000000000002</v>
      </c>
      <c r="L711" s="1">
        <f t="shared" si="71"/>
        <v>-5</v>
      </c>
    </row>
    <row r="712" s="1" customFormat="1" spans="1:12">
      <c r="A712" s="2">
        <v>23.733</v>
      </c>
      <c r="B712" s="10" t="s">
        <v>51</v>
      </c>
      <c r="C712" s="4">
        <v>23.699</v>
      </c>
      <c r="D712" s="4">
        <v>68.2</v>
      </c>
      <c r="G712" s="2">
        <f t="shared" si="66"/>
        <v>23.699</v>
      </c>
      <c r="H712" s="11" t="str">
        <f t="shared" si="67"/>
        <v>3.370E-2</v>
      </c>
      <c r="I712" s="2">
        <f t="shared" si="68"/>
        <v>68.3</v>
      </c>
      <c r="J712" s="4">
        <f t="shared" si="69"/>
        <v>23.699</v>
      </c>
      <c r="K712" s="9">
        <f t="shared" si="70"/>
        <v>-6.29999999999999</v>
      </c>
      <c r="L712" s="1">
        <f t="shared" si="71"/>
        <v>-5</v>
      </c>
    </row>
    <row r="713" s="1" customFormat="1" spans="1:12">
      <c r="A713" s="2">
        <v>23.766</v>
      </c>
      <c r="B713" s="10" t="s">
        <v>53</v>
      </c>
      <c r="C713" s="4">
        <v>23.733</v>
      </c>
      <c r="D713" s="4">
        <v>68.1</v>
      </c>
      <c r="G713" s="2">
        <f t="shared" si="66"/>
        <v>23.733</v>
      </c>
      <c r="H713" s="11" t="str">
        <f t="shared" si="67"/>
        <v>3.373E-2</v>
      </c>
      <c r="I713" s="2">
        <f t="shared" si="68"/>
        <v>68.2</v>
      </c>
      <c r="J713" s="4">
        <f t="shared" si="69"/>
        <v>23.733</v>
      </c>
      <c r="K713" s="9">
        <f t="shared" si="70"/>
        <v>-5.99999999999996</v>
      </c>
      <c r="L713" s="1">
        <f t="shared" si="71"/>
        <v>-5</v>
      </c>
    </row>
    <row r="714" s="1" customFormat="1" spans="1:12">
      <c r="A714" s="2">
        <v>23.8</v>
      </c>
      <c r="B714" s="10" t="s">
        <v>86</v>
      </c>
      <c r="C714" s="4">
        <v>23.766</v>
      </c>
      <c r="D714" s="4">
        <v>67.9</v>
      </c>
      <c r="G714" s="2">
        <f t="shared" si="66"/>
        <v>23.766</v>
      </c>
      <c r="H714" s="11" t="str">
        <f t="shared" si="67"/>
        <v>3.375E-2</v>
      </c>
      <c r="I714" s="2">
        <f t="shared" si="68"/>
        <v>68.1</v>
      </c>
      <c r="J714" s="4">
        <f t="shared" si="69"/>
        <v>23.766</v>
      </c>
      <c r="K714" s="9">
        <f t="shared" si="70"/>
        <v>-5.79999999999997</v>
      </c>
      <c r="L714" s="1">
        <f t="shared" si="71"/>
        <v>-5</v>
      </c>
    </row>
    <row r="715" s="1" customFormat="1" spans="1:12">
      <c r="A715" s="2">
        <v>23.833</v>
      </c>
      <c r="B715" s="10" t="s">
        <v>55</v>
      </c>
      <c r="C715" s="4">
        <v>23.8</v>
      </c>
      <c r="D715" s="4">
        <v>68.1</v>
      </c>
      <c r="G715" s="2">
        <f t="shared" si="66"/>
        <v>23.8</v>
      </c>
      <c r="H715" s="11" t="str">
        <f t="shared" si="67"/>
        <v>3.379E-2</v>
      </c>
      <c r="I715" s="2">
        <f t="shared" si="68"/>
        <v>67.9</v>
      </c>
      <c r="J715" s="4">
        <f t="shared" si="69"/>
        <v>23.8</v>
      </c>
      <c r="K715" s="9">
        <f t="shared" si="70"/>
        <v>-5.39999999999999</v>
      </c>
      <c r="L715" s="1">
        <f t="shared" si="71"/>
        <v>-5</v>
      </c>
    </row>
    <row r="716" s="1" customFormat="1" spans="1:12">
      <c r="A716" s="2">
        <v>23.867</v>
      </c>
      <c r="B716" s="10" t="s">
        <v>113</v>
      </c>
      <c r="C716" s="4">
        <v>23.833</v>
      </c>
      <c r="D716" s="4">
        <v>67.6</v>
      </c>
      <c r="G716" s="2">
        <f t="shared" si="66"/>
        <v>23.833</v>
      </c>
      <c r="H716" s="11" t="str">
        <f t="shared" si="67"/>
        <v>3.383E-2</v>
      </c>
      <c r="I716" s="2">
        <f t="shared" si="68"/>
        <v>68.1</v>
      </c>
      <c r="J716" s="4">
        <f t="shared" si="69"/>
        <v>23.833</v>
      </c>
      <c r="K716" s="9">
        <f t="shared" si="70"/>
        <v>-5</v>
      </c>
      <c r="L716" s="1">
        <f t="shared" si="71"/>
        <v>-5</v>
      </c>
    </row>
    <row r="717" s="1" customFormat="1" spans="1:12">
      <c r="A717" s="2">
        <v>23.9</v>
      </c>
      <c r="B717" s="10" t="s">
        <v>234</v>
      </c>
      <c r="C717" s="4">
        <v>23.867</v>
      </c>
      <c r="D717" s="4">
        <v>67.9</v>
      </c>
      <c r="G717" s="2">
        <f t="shared" si="66"/>
        <v>23.867</v>
      </c>
      <c r="H717" s="11" t="str">
        <f t="shared" si="67"/>
        <v>3.389E-2</v>
      </c>
      <c r="I717" s="2">
        <f t="shared" si="68"/>
        <v>67.6</v>
      </c>
      <c r="J717" s="4">
        <f t="shared" si="69"/>
        <v>23.867</v>
      </c>
      <c r="K717" s="9">
        <f t="shared" si="70"/>
        <v>-4.39999999999996</v>
      </c>
      <c r="L717" s="1">
        <f t="shared" si="71"/>
        <v>-5</v>
      </c>
    </row>
    <row r="718" s="1" customFormat="1" spans="1:12">
      <c r="A718" s="2">
        <v>23.933</v>
      </c>
      <c r="B718" s="10" t="s">
        <v>45</v>
      </c>
      <c r="C718" s="4">
        <v>23.9</v>
      </c>
      <c r="D718" s="4">
        <v>67.6</v>
      </c>
      <c r="G718" s="2">
        <f t="shared" si="66"/>
        <v>23.9</v>
      </c>
      <c r="H718" s="11" t="str">
        <f t="shared" si="67"/>
        <v>3.404E-2</v>
      </c>
      <c r="I718" s="2">
        <f t="shared" si="68"/>
        <v>67.9</v>
      </c>
      <c r="J718" s="4">
        <f t="shared" si="69"/>
        <v>23.9</v>
      </c>
      <c r="K718" s="9">
        <f t="shared" si="70"/>
        <v>-2.89999999999999</v>
      </c>
      <c r="L718" s="1">
        <f t="shared" si="71"/>
        <v>-5</v>
      </c>
    </row>
    <row r="719" s="1" customFormat="1" spans="1:12">
      <c r="A719" s="2">
        <v>23.967</v>
      </c>
      <c r="B719" s="10" t="s">
        <v>242</v>
      </c>
      <c r="C719" s="4">
        <v>23.933</v>
      </c>
      <c r="D719" s="4">
        <v>67.8</v>
      </c>
      <c r="G719" s="2">
        <f t="shared" si="66"/>
        <v>23.933</v>
      </c>
      <c r="H719" s="11" t="str">
        <f t="shared" si="67"/>
        <v>3.415E-2</v>
      </c>
      <c r="I719" s="2">
        <f t="shared" si="68"/>
        <v>67.6</v>
      </c>
      <c r="J719" s="4">
        <f t="shared" si="69"/>
        <v>23.933</v>
      </c>
      <c r="K719" s="9">
        <f t="shared" si="70"/>
        <v>-1.8</v>
      </c>
      <c r="L719" s="1">
        <f t="shared" si="71"/>
        <v>-5</v>
      </c>
    </row>
    <row r="720" s="1" customFormat="1" spans="1:12">
      <c r="A720" s="2">
        <v>24</v>
      </c>
      <c r="B720" s="10" t="s">
        <v>12</v>
      </c>
      <c r="C720" s="4">
        <v>23.967</v>
      </c>
      <c r="D720" s="4">
        <v>67.5</v>
      </c>
      <c r="G720" s="2">
        <f t="shared" si="66"/>
        <v>23.967</v>
      </c>
      <c r="H720" s="11" t="str">
        <f t="shared" si="67"/>
        <v>3.421E-2</v>
      </c>
      <c r="I720" s="2">
        <f t="shared" si="68"/>
        <v>67.8</v>
      </c>
      <c r="J720" s="4">
        <f t="shared" si="69"/>
        <v>23.967</v>
      </c>
      <c r="K720" s="9">
        <f t="shared" si="70"/>
        <v>-1.20000000000002</v>
      </c>
      <c r="L720" s="1">
        <f t="shared" si="71"/>
        <v>-5</v>
      </c>
    </row>
    <row r="721" s="1" customFormat="1" spans="1:12">
      <c r="A721" s="2">
        <v>24.034</v>
      </c>
      <c r="B721" s="10" t="s">
        <v>141</v>
      </c>
      <c r="C721" s="4">
        <v>24</v>
      </c>
      <c r="D721" s="4">
        <v>67.3</v>
      </c>
      <c r="G721" s="2">
        <f t="shared" si="66"/>
        <v>24</v>
      </c>
      <c r="H721" s="11" t="str">
        <f t="shared" si="67"/>
        <v>3.435E-2</v>
      </c>
      <c r="I721" s="2">
        <f t="shared" si="68"/>
        <v>67.5</v>
      </c>
      <c r="J721" s="4">
        <f t="shared" si="69"/>
        <v>24</v>
      </c>
      <c r="K721" s="9">
        <f t="shared" si="70"/>
        <v>0.199999999999992</v>
      </c>
      <c r="L721" s="1">
        <f t="shared" si="71"/>
        <v>-5</v>
      </c>
    </row>
    <row r="722" s="1" customFormat="1" spans="1:12">
      <c r="A722" s="2">
        <v>24.067</v>
      </c>
      <c r="B722" s="10" t="s">
        <v>140</v>
      </c>
      <c r="C722" s="4">
        <v>24.034</v>
      </c>
      <c r="D722" s="4">
        <v>67.1</v>
      </c>
      <c r="G722" s="2">
        <f t="shared" si="66"/>
        <v>24.034</v>
      </c>
      <c r="H722" s="11" t="str">
        <f t="shared" si="67"/>
        <v>3.444E-2</v>
      </c>
      <c r="I722" s="2">
        <f t="shared" si="68"/>
        <v>67.3</v>
      </c>
      <c r="J722" s="4">
        <f t="shared" si="69"/>
        <v>24.034</v>
      </c>
      <c r="K722" s="9">
        <f t="shared" si="70"/>
        <v>1.09999999999999</v>
      </c>
      <c r="L722" s="1">
        <f t="shared" si="71"/>
        <v>-5</v>
      </c>
    </row>
    <row r="723" s="1" customFormat="1" spans="1:12">
      <c r="A723" s="2">
        <v>24.101</v>
      </c>
      <c r="B723" s="10" t="s">
        <v>217</v>
      </c>
      <c r="C723" s="4">
        <v>24.067</v>
      </c>
      <c r="D723" s="4">
        <v>66.4</v>
      </c>
      <c r="G723" s="2">
        <f t="shared" si="66"/>
        <v>24.067</v>
      </c>
      <c r="H723" s="11" t="str">
        <f t="shared" si="67"/>
        <v>3.454E-2</v>
      </c>
      <c r="I723" s="2">
        <f t="shared" si="68"/>
        <v>67.1</v>
      </c>
      <c r="J723" s="4">
        <f t="shared" si="69"/>
        <v>24.067</v>
      </c>
      <c r="K723" s="9">
        <f t="shared" si="70"/>
        <v>2.10000000000002</v>
      </c>
      <c r="L723" s="1">
        <f t="shared" si="71"/>
        <v>-5</v>
      </c>
    </row>
    <row r="724" s="1" customFormat="1" spans="1:12">
      <c r="A724" s="2">
        <v>24.134</v>
      </c>
      <c r="B724" s="10" t="s">
        <v>171</v>
      </c>
      <c r="C724" s="4">
        <v>24.101</v>
      </c>
      <c r="D724" s="4">
        <v>66.6</v>
      </c>
      <c r="G724" s="2">
        <f t="shared" si="66"/>
        <v>24.101</v>
      </c>
      <c r="H724" s="11" t="str">
        <f t="shared" si="67"/>
        <v>3.467E-2</v>
      </c>
      <c r="I724" s="2">
        <f t="shared" si="68"/>
        <v>66.4</v>
      </c>
      <c r="J724" s="4">
        <f t="shared" si="69"/>
        <v>24.101</v>
      </c>
      <c r="K724" s="9">
        <f t="shared" si="70"/>
        <v>3.4</v>
      </c>
      <c r="L724" s="1">
        <f t="shared" si="71"/>
        <v>-5</v>
      </c>
    </row>
    <row r="725" s="1" customFormat="1" spans="1:12">
      <c r="A725" s="2">
        <v>24.167</v>
      </c>
      <c r="B725" s="10" t="s">
        <v>145</v>
      </c>
      <c r="C725" s="4">
        <v>24.134</v>
      </c>
      <c r="D725" s="4">
        <v>65.8</v>
      </c>
      <c r="G725" s="2">
        <f t="shared" si="66"/>
        <v>24.134</v>
      </c>
      <c r="H725" s="11" t="str">
        <f t="shared" si="67"/>
        <v>3.474E-2</v>
      </c>
      <c r="I725" s="2">
        <f t="shared" si="68"/>
        <v>66.6</v>
      </c>
      <c r="J725" s="4">
        <f t="shared" si="69"/>
        <v>24.134</v>
      </c>
      <c r="K725" s="9">
        <f t="shared" si="70"/>
        <v>4.10000000000001</v>
      </c>
      <c r="L725" s="1">
        <f t="shared" si="71"/>
        <v>-5</v>
      </c>
    </row>
    <row r="726" s="1" customFormat="1" spans="1:12">
      <c r="A726" s="2">
        <v>24.201</v>
      </c>
      <c r="B726" s="10" t="s">
        <v>38</v>
      </c>
      <c r="C726" s="4">
        <v>24.167</v>
      </c>
      <c r="D726" s="4">
        <v>65.7</v>
      </c>
      <c r="G726" s="2">
        <f t="shared" si="66"/>
        <v>24.167</v>
      </c>
      <c r="H726" s="11" t="str">
        <f t="shared" si="67"/>
        <v>3.479E-2</v>
      </c>
      <c r="I726" s="2">
        <f t="shared" si="68"/>
        <v>65.8</v>
      </c>
      <c r="J726" s="4">
        <f t="shared" si="69"/>
        <v>24.167</v>
      </c>
      <c r="K726" s="9">
        <f t="shared" si="70"/>
        <v>4.60000000000002</v>
      </c>
      <c r="L726" s="1">
        <f t="shared" si="71"/>
        <v>-5</v>
      </c>
    </row>
    <row r="727" s="1" customFormat="1" spans="1:12">
      <c r="A727" s="2">
        <v>24.234</v>
      </c>
      <c r="B727" s="10" t="s">
        <v>192</v>
      </c>
      <c r="C727" s="4">
        <v>24.201</v>
      </c>
      <c r="D727" s="4">
        <v>65.2</v>
      </c>
      <c r="G727" s="2">
        <f t="shared" si="66"/>
        <v>24.201</v>
      </c>
      <c r="H727" s="11" t="str">
        <f t="shared" si="67"/>
        <v>3.492E-2</v>
      </c>
      <c r="I727" s="2">
        <f t="shared" si="68"/>
        <v>65.7</v>
      </c>
      <c r="J727" s="4">
        <f t="shared" si="69"/>
        <v>24.201</v>
      </c>
      <c r="K727" s="9">
        <f t="shared" si="70"/>
        <v>5.9</v>
      </c>
      <c r="L727" s="1">
        <f t="shared" si="71"/>
        <v>-5</v>
      </c>
    </row>
    <row r="728" s="1" customFormat="1" spans="1:12">
      <c r="A728" s="2">
        <v>24.268</v>
      </c>
      <c r="B728" s="10" t="s">
        <v>36</v>
      </c>
      <c r="C728" s="4">
        <v>24.234</v>
      </c>
      <c r="D728" s="4">
        <v>65.2</v>
      </c>
      <c r="G728" s="2">
        <f t="shared" si="66"/>
        <v>24.234</v>
      </c>
      <c r="H728" s="11" t="str">
        <f t="shared" si="67"/>
        <v>3.495E-2</v>
      </c>
      <c r="I728" s="2">
        <f t="shared" si="68"/>
        <v>65.2</v>
      </c>
      <c r="J728" s="4">
        <f t="shared" si="69"/>
        <v>24.234</v>
      </c>
      <c r="K728" s="9">
        <f t="shared" si="70"/>
        <v>6.20000000000003</v>
      </c>
      <c r="L728" s="1">
        <f t="shared" si="71"/>
        <v>-5</v>
      </c>
    </row>
    <row r="729" s="1" customFormat="1" spans="1:12">
      <c r="A729" s="2">
        <v>24.301</v>
      </c>
      <c r="B729" s="10" t="s">
        <v>36</v>
      </c>
      <c r="C729" s="4">
        <v>24.268</v>
      </c>
      <c r="D729" s="4">
        <v>64.3</v>
      </c>
      <c r="G729" s="2">
        <f t="shared" si="66"/>
        <v>24.268</v>
      </c>
      <c r="H729" s="11" t="str">
        <f t="shared" si="67"/>
        <v>3.498E-2</v>
      </c>
      <c r="I729" s="2">
        <f t="shared" si="68"/>
        <v>65.2</v>
      </c>
      <c r="J729" s="4">
        <f t="shared" si="69"/>
        <v>24.268</v>
      </c>
      <c r="K729" s="9">
        <f t="shared" si="70"/>
        <v>6.49999999999998</v>
      </c>
      <c r="L729" s="1">
        <f t="shared" si="71"/>
        <v>-5</v>
      </c>
    </row>
    <row r="730" s="1" customFormat="1" spans="1:12">
      <c r="A730" s="2">
        <v>24.335</v>
      </c>
      <c r="B730" s="10" t="s">
        <v>108</v>
      </c>
      <c r="C730" s="4">
        <v>24.301</v>
      </c>
      <c r="D730" s="4">
        <v>64.5</v>
      </c>
      <c r="G730" s="2">
        <f t="shared" si="66"/>
        <v>24.301</v>
      </c>
      <c r="H730" s="11" t="str">
        <f t="shared" si="67"/>
        <v>3.498E-2</v>
      </c>
      <c r="I730" s="2">
        <f t="shared" si="68"/>
        <v>64.3</v>
      </c>
      <c r="J730" s="4">
        <f t="shared" si="69"/>
        <v>24.301</v>
      </c>
      <c r="K730" s="9">
        <f t="shared" si="70"/>
        <v>6.49999999999998</v>
      </c>
      <c r="L730" s="1">
        <f t="shared" si="71"/>
        <v>-5</v>
      </c>
    </row>
    <row r="731" s="1" customFormat="1" spans="1:12">
      <c r="A731" s="2">
        <v>24.368</v>
      </c>
      <c r="B731" s="10" t="s">
        <v>108</v>
      </c>
      <c r="C731" s="4">
        <v>24.335</v>
      </c>
      <c r="D731" s="4">
        <v>63.5</v>
      </c>
      <c r="G731" s="2">
        <f t="shared" si="66"/>
        <v>24.335</v>
      </c>
      <c r="H731" s="11" t="str">
        <f t="shared" si="67"/>
        <v>3.497E-2</v>
      </c>
      <c r="I731" s="2">
        <f t="shared" si="68"/>
        <v>64.5</v>
      </c>
      <c r="J731" s="4">
        <f t="shared" si="69"/>
        <v>24.335</v>
      </c>
      <c r="K731" s="9">
        <f t="shared" si="70"/>
        <v>6.40000000000002</v>
      </c>
      <c r="L731" s="1">
        <f t="shared" si="71"/>
        <v>-5</v>
      </c>
    </row>
    <row r="732" s="1" customFormat="1" spans="1:12">
      <c r="A732" s="2">
        <v>24.401</v>
      </c>
      <c r="B732" s="10" t="s">
        <v>31</v>
      </c>
      <c r="C732" s="4">
        <v>24.368</v>
      </c>
      <c r="D732" s="4">
        <v>62.7</v>
      </c>
      <c r="G732" s="2">
        <f t="shared" si="66"/>
        <v>24.368</v>
      </c>
      <c r="H732" s="11" t="str">
        <f t="shared" si="67"/>
        <v>3.497E-2</v>
      </c>
      <c r="I732" s="2">
        <f t="shared" si="68"/>
        <v>63.5</v>
      </c>
      <c r="J732" s="4">
        <f t="shared" si="69"/>
        <v>24.368</v>
      </c>
      <c r="K732" s="9">
        <f t="shared" si="70"/>
        <v>6.40000000000002</v>
      </c>
      <c r="L732" s="1">
        <f t="shared" si="71"/>
        <v>-5</v>
      </c>
    </row>
    <row r="733" s="1" customFormat="1" spans="1:12">
      <c r="A733" s="2">
        <v>24.435</v>
      </c>
      <c r="B733" s="10" t="s">
        <v>38</v>
      </c>
      <c r="C733" s="4">
        <v>24.401</v>
      </c>
      <c r="D733" s="4">
        <v>62.5</v>
      </c>
      <c r="G733" s="2">
        <f t="shared" si="66"/>
        <v>24.401</v>
      </c>
      <c r="H733" s="11" t="str">
        <f t="shared" si="67"/>
        <v>3.494E-2</v>
      </c>
      <c r="I733" s="2">
        <f t="shared" si="68"/>
        <v>62.7</v>
      </c>
      <c r="J733" s="4">
        <f t="shared" si="69"/>
        <v>24.401</v>
      </c>
      <c r="K733" s="9">
        <f t="shared" si="70"/>
        <v>6.09999999999999</v>
      </c>
      <c r="L733" s="1">
        <f t="shared" si="71"/>
        <v>-5</v>
      </c>
    </row>
    <row r="734" s="1" customFormat="1" spans="1:12">
      <c r="A734" s="2">
        <v>24.468</v>
      </c>
      <c r="B734" s="10" t="s">
        <v>39</v>
      </c>
      <c r="C734" s="4">
        <v>24.435</v>
      </c>
      <c r="D734" s="4">
        <v>61.9</v>
      </c>
      <c r="G734" s="2">
        <f t="shared" si="66"/>
        <v>24.435</v>
      </c>
      <c r="H734" s="11" t="str">
        <f t="shared" si="67"/>
        <v>3.492E-2</v>
      </c>
      <c r="I734" s="2">
        <f t="shared" si="68"/>
        <v>62.5</v>
      </c>
      <c r="J734" s="4">
        <f t="shared" si="69"/>
        <v>24.435</v>
      </c>
      <c r="K734" s="9">
        <f t="shared" si="70"/>
        <v>5.9</v>
      </c>
      <c r="L734" s="1">
        <f t="shared" si="71"/>
        <v>-5</v>
      </c>
    </row>
    <row r="735" s="1" customFormat="1" spans="1:12">
      <c r="A735" s="2">
        <v>24.502</v>
      </c>
      <c r="B735" s="10" t="s">
        <v>60</v>
      </c>
      <c r="C735" s="4">
        <v>24.468</v>
      </c>
      <c r="D735" s="4">
        <v>61.7</v>
      </c>
      <c r="G735" s="2">
        <f t="shared" si="66"/>
        <v>24.468</v>
      </c>
      <c r="H735" s="11" t="str">
        <f t="shared" si="67"/>
        <v>3.489E-2</v>
      </c>
      <c r="I735" s="2">
        <f t="shared" si="68"/>
        <v>61.9</v>
      </c>
      <c r="J735" s="4">
        <f t="shared" si="69"/>
        <v>24.468</v>
      </c>
      <c r="K735" s="9">
        <f t="shared" si="70"/>
        <v>5.59999999999998</v>
      </c>
      <c r="L735" s="1">
        <f t="shared" si="71"/>
        <v>-5</v>
      </c>
    </row>
    <row r="736" s="1" customFormat="1" spans="1:12">
      <c r="A736" s="2">
        <v>24.535</v>
      </c>
      <c r="B736" s="10" t="s">
        <v>243</v>
      </c>
      <c r="C736" s="4">
        <v>24.502</v>
      </c>
      <c r="D736" s="4">
        <v>60.9</v>
      </c>
      <c r="G736" s="2">
        <f t="shared" si="66"/>
        <v>24.502</v>
      </c>
      <c r="H736" s="11" t="str">
        <f t="shared" si="67"/>
        <v>3.483E-2</v>
      </c>
      <c r="I736" s="2">
        <f t="shared" si="68"/>
        <v>61.7</v>
      </c>
      <c r="J736" s="4">
        <f t="shared" si="69"/>
        <v>24.502</v>
      </c>
      <c r="K736" s="9">
        <f t="shared" si="70"/>
        <v>5</v>
      </c>
      <c r="L736" s="1">
        <f t="shared" si="71"/>
        <v>-5</v>
      </c>
    </row>
    <row r="737" s="1" customFormat="1" spans="1:12">
      <c r="A737" s="2">
        <v>24.569</v>
      </c>
      <c r="B737" s="10" t="s">
        <v>80</v>
      </c>
      <c r="C737" s="4">
        <v>24.535</v>
      </c>
      <c r="D737" s="4">
        <v>60.7</v>
      </c>
      <c r="G737" s="2">
        <f t="shared" si="66"/>
        <v>24.535</v>
      </c>
      <c r="H737" s="11" t="str">
        <f t="shared" si="67"/>
        <v>3.480E-2</v>
      </c>
      <c r="I737" s="2">
        <f t="shared" si="68"/>
        <v>60.9</v>
      </c>
      <c r="J737" s="4">
        <f t="shared" si="69"/>
        <v>24.535</v>
      </c>
      <c r="K737" s="9">
        <f t="shared" si="70"/>
        <v>4.69999999999998</v>
      </c>
      <c r="L737" s="1">
        <f t="shared" si="71"/>
        <v>-5</v>
      </c>
    </row>
    <row r="738" s="1" customFormat="1" spans="1:12">
      <c r="A738" s="2">
        <v>24.602</v>
      </c>
      <c r="B738" s="10" t="s">
        <v>220</v>
      </c>
      <c r="C738" s="4">
        <v>24.569</v>
      </c>
      <c r="D738" s="4">
        <v>60.1</v>
      </c>
      <c r="G738" s="2">
        <f t="shared" si="66"/>
        <v>24.569</v>
      </c>
      <c r="H738" s="11" t="str">
        <f t="shared" si="67"/>
        <v>3.472E-2</v>
      </c>
      <c r="I738" s="2">
        <f t="shared" si="68"/>
        <v>60.7</v>
      </c>
      <c r="J738" s="4">
        <f t="shared" si="69"/>
        <v>24.569</v>
      </c>
      <c r="K738" s="9">
        <f t="shared" si="70"/>
        <v>3.90000000000001</v>
      </c>
      <c r="L738" s="1">
        <f t="shared" si="71"/>
        <v>-5</v>
      </c>
    </row>
    <row r="739" s="1" customFormat="1" spans="1:12">
      <c r="A739" s="2">
        <v>24.635</v>
      </c>
      <c r="B739" s="10" t="s">
        <v>42</v>
      </c>
      <c r="C739" s="4">
        <v>24.602</v>
      </c>
      <c r="D739" s="4">
        <v>59.3</v>
      </c>
      <c r="G739" s="2">
        <f t="shared" si="66"/>
        <v>24.602</v>
      </c>
      <c r="H739" s="11" t="str">
        <f t="shared" si="67"/>
        <v>3.458E-2</v>
      </c>
      <c r="I739" s="2">
        <f t="shared" si="68"/>
        <v>60.1</v>
      </c>
      <c r="J739" s="4">
        <f t="shared" si="69"/>
        <v>24.602</v>
      </c>
      <c r="K739" s="9">
        <f t="shared" si="70"/>
        <v>2.5</v>
      </c>
      <c r="L739" s="1">
        <f t="shared" si="71"/>
        <v>-5</v>
      </c>
    </row>
    <row r="740" s="1" customFormat="1" spans="1:12">
      <c r="A740" s="2">
        <v>24.669</v>
      </c>
      <c r="B740" s="10" t="s">
        <v>43</v>
      </c>
      <c r="C740" s="4">
        <v>24.635</v>
      </c>
      <c r="D740" s="4">
        <v>59</v>
      </c>
      <c r="G740" s="2">
        <f t="shared" si="66"/>
        <v>24.635</v>
      </c>
      <c r="H740" s="11" t="str">
        <f t="shared" si="67"/>
        <v>3.450E-2</v>
      </c>
      <c r="I740" s="2">
        <f t="shared" si="68"/>
        <v>59.3</v>
      </c>
      <c r="J740" s="4">
        <f t="shared" si="69"/>
        <v>24.635</v>
      </c>
      <c r="K740" s="9">
        <f t="shared" si="70"/>
        <v>1.70000000000003</v>
      </c>
      <c r="L740" s="1">
        <f t="shared" si="71"/>
        <v>-5</v>
      </c>
    </row>
    <row r="741" s="1" customFormat="1" spans="1:12">
      <c r="A741" s="2">
        <v>24.702</v>
      </c>
      <c r="B741" s="10" t="s">
        <v>20</v>
      </c>
      <c r="C741" s="4">
        <v>24.669</v>
      </c>
      <c r="D741" s="4">
        <v>58.3</v>
      </c>
      <c r="G741" s="2">
        <f t="shared" si="66"/>
        <v>24.669</v>
      </c>
      <c r="H741" s="11" t="str">
        <f t="shared" si="67"/>
        <v>3.441E-2</v>
      </c>
      <c r="I741" s="2">
        <f t="shared" si="68"/>
        <v>59</v>
      </c>
      <c r="J741" s="4">
        <f t="shared" si="69"/>
        <v>24.669</v>
      </c>
      <c r="K741" s="9">
        <f t="shared" si="70"/>
        <v>0.800000000000037</v>
      </c>
      <c r="L741" s="1">
        <f t="shared" si="71"/>
        <v>-5</v>
      </c>
    </row>
    <row r="742" s="1" customFormat="1" spans="1:12">
      <c r="A742" s="2">
        <v>24.736</v>
      </c>
      <c r="B742" s="10" t="s">
        <v>242</v>
      </c>
      <c r="C742" s="4">
        <v>24.702</v>
      </c>
      <c r="D742" s="4">
        <v>57.8</v>
      </c>
      <c r="G742" s="2">
        <f t="shared" si="66"/>
        <v>24.702</v>
      </c>
      <c r="H742" s="11" t="str">
        <f t="shared" si="67"/>
        <v>3.430E-2</v>
      </c>
      <c r="I742" s="2">
        <f t="shared" si="68"/>
        <v>58.3</v>
      </c>
      <c r="J742" s="4">
        <f t="shared" si="69"/>
        <v>24.702</v>
      </c>
      <c r="K742" s="9">
        <f t="shared" si="70"/>
        <v>-0.300000000000022</v>
      </c>
      <c r="L742" s="1">
        <f t="shared" si="71"/>
        <v>-5</v>
      </c>
    </row>
    <row r="743" s="1" customFormat="1" spans="1:12">
      <c r="A743" s="2">
        <v>24.769</v>
      </c>
      <c r="B743" s="10" t="s">
        <v>244</v>
      </c>
      <c r="C743" s="4">
        <v>24.736</v>
      </c>
      <c r="D743" s="4">
        <v>58</v>
      </c>
      <c r="G743" s="2">
        <f t="shared" si="66"/>
        <v>24.736</v>
      </c>
      <c r="H743" s="11" t="str">
        <f t="shared" si="67"/>
        <v>3.421E-2</v>
      </c>
      <c r="I743" s="2">
        <f t="shared" si="68"/>
        <v>57.8</v>
      </c>
      <c r="J743" s="4">
        <f t="shared" si="69"/>
        <v>24.736</v>
      </c>
      <c r="K743" s="9">
        <f t="shared" si="70"/>
        <v>-1.20000000000002</v>
      </c>
      <c r="L743" s="1">
        <f t="shared" si="71"/>
        <v>-5</v>
      </c>
    </row>
    <row r="744" s="1" customFormat="1" spans="1:12">
      <c r="A744" s="2">
        <v>24.803</v>
      </c>
      <c r="B744" s="10" t="s">
        <v>245</v>
      </c>
      <c r="C744" s="4">
        <v>24.769</v>
      </c>
      <c r="D744" s="4">
        <v>57.1</v>
      </c>
      <c r="G744" s="2">
        <f t="shared" si="66"/>
        <v>24.769</v>
      </c>
      <c r="H744" s="11" t="str">
        <f t="shared" si="67"/>
        <v>3.411E-2</v>
      </c>
      <c r="I744" s="2">
        <f t="shared" si="68"/>
        <v>58</v>
      </c>
      <c r="J744" s="4">
        <f t="shared" si="69"/>
        <v>24.769</v>
      </c>
      <c r="K744" s="9">
        <f t="shared" si="70"/>
        <v>-2.19999999999998</v>
      </c>
      <c r="L744" s="1">
        <f t="shared" si="71"/>
        <v>-5</v>
      </c>
    </row>
    <row r="745" s="1" customFormat="1" spans="1:12">
      <c r="A745" s="2">
        <v>24.836</v>
      </c>
      <c r="B745" s="10" t="s">
        <v>112</v>
      </c>
      <c r="C745" s="4">
        <v>24.803</v>
      </c>
      <c r="D745" s="4">
        <v>56.3</v>
      </c>
      <c r="G745" s="2">
        <f t="shared" si="66"/>
        <v>24.803</v>
      </c>
      <c r="H745" s="11" t="str">
        <f t="shared" si="67"/>
        <v>3.398E-2</v>
      </c>
      <c r="I745" s="2">
        <f t="shared" si="68"/>
        <v>57.1</v>
      </c>
      <c r="J745" s="4">
        <f t="shared" si="69"/>
        <v>24.803</v>
      </c>
      <c r="K745" s="9">
        <f t="shared" si="70"/>
        <v>-3.49999999999996</v>
      </c>
      <c r="L745" s="1">
        <f t="shared" si="71"/>
        <v>-5</v>
      </c>
    </row>
    <row r="746" s="1" customFormat="1" spans="1:12">
      <c r="A746" s="2">
        <v>24.869</v>
      </c>
      <c r="B746" s="10" t="s">
        <v>239</v>
      </c>
      <c r="C746" s="4">
        <v>24.836</v>
      </c>
      <c r="D746" s="4">
        <v>56.2</v>
      </c>
      <c r="G746" s="2">
        <f t="shared" si="66"/>
        <v>24.836</v>
      </c>
      <c r="H746" s="11" t="str">
        <f t="shared" si="67"/>
        <v>3.391E-2</v>
      </c>
      <c r="I746" s="2">
        <f t="shared" si="68"/>
        <v>56.3</v>
      </c>
      <c r="J746" s="4">
        <f t="shared" si="69"/>
        <v>24.836</v>
      </c>
      <c r="K746" s="9">
        <f t="shared" si="70"/>
        <v>-4.19999999999997</v>
      </c>
      <c r="L746" s="1">
        <f t="shared" si="71"/>
        <v>-5</v>
      </c>
    </row>
    <row r="747" s="1" customFormat="1" spans="1:12">
      <c r="A747" s="2">
        <v>24.903</v>
      </c>
      <c r="B747" s="10" t="s">
        <v>54</v>
      </c>
      <c r="C747" s="4">
        <v>24.869</v>
      </c>
      <c r="D747" s="4">
        <v>55.4</v>
      </c>
      <c r="G747" s="2">
        <f t="shared" si="66"/>
        <v>24.869</v>
      </c>
      <c r="H747" s="11" t="str">
        <f t="shared" si="67"/>
        <v>3.387E-2</v>
      </c>
      <c r="I747" s="2">
        <f t="shared" si="68"/>
        <v>56.2</v>
      </c>
      <c r="J747" s="4">
        <f t="shared" si="69"/>
        <v>24.869</v>
      </c>
      <c r="K747" s="9">
        <f t="shared" si="70"/>
        <v>-4.60000000000002</v>
      </c>
      <c r="L747" s="1">
        <f t="shared" si="71"/>
        <v>-5</v>
      </c>
    </row>
    <row r="748" s="1" customFormat="1" spans="1:12">
      <c r="A748" s="2">
        <v>24.936</v>
      </c>
      <c r="B748" s="10" t="s">
        <v>246</v>
      </c>
      <c r="C748" s="4">
        <v>24.903</v>
      </c>
      <c r="D748" s="4">
        <v>54.9</v>
      </c>
      <c r="G748" s="2">
        <f t="shared" si="66"/>
        <v>24.903</v>
      </c>
      <c r="H748" s="11" t="str">
        <f t="shared" si="67"/>
        <v>3.378E-2</v>
      </c>
      <c r="I748" s="2">
        <f t="shared" si="68"/>
        <v>55.4</v>
      </c>
      <c r="J748" s="4">
        <f t="shared" si="69"/>
        <v>24.903</v>
      </c>
      <c r="K748" s="9">
        <f t="shared" si="70"/>
        <v>-5.50000000000002</v>
      </c>
      <c r="L748" s="1">
        <f t="shared" si="71"/>
        <v>-5</v>
      </c>
    </row>
    <row r="749" s="1" customFormat="1" spans="1:12">
      <c r="A749" s="2">
        <v>24.97</v>
      </c>
      <c r="B749" s="10" t="s">
        <v>51</v>
      </c>
      <c r="C749" s="4">
        <v>24.936</v>
      </c>
      <c r="D749" s="4">
        <v>54.8</v>
      </c>
      <c r="G749" s="2">
        <f t="shared" si="66"/>
        <v>24.936</v>
      </c>
      <c r="H749" s="11" t="str">
        <f t="shared" si="67"/>
        <v>3.374E-2</v>
      </c>
      <c r="I749" s="2">
        <f t="shared" si="68"/>
        <v>54.9</v>
      </c>
      <c r="J749" s="4">
        <f t="shared" si="69"/>
        <v>24.936</v>
      </c>
      <c r="K749" s="9">
        <f t="shared" si="70"/>
        <v>-5.9</v>
      </c>
      <c r="L749" s="1">
        <f t="shared" si="71"/>
        <v>-5</v>
      </c>
    </row>
    <row r="750" s="1" customFormat="1" spans="1:12">
      <c r="A750" s="2">
        <v>25.003</v>
      </c>
      <c r="B750" s="10" t="s">
        <v>247</v>
      </c>
      <c r="C750" s="4">
        <v>24.97</v>
      </c>
      <c r="D750" s="4">
        <v>54.5</v>
      </c>
      <c r="G750" s="2">
        <f t="shared" si="66"/>
        <v>24.97</v>
      </c>
      <c r="H750" s="11" t="str">
        <f t="shared" si="67"/>
        <v>3.373E-2</v>
      </c>
      <c r="I750" s="2">
        <f t="shared" si="68"/>
        <v>54.8</v>
      </c>
      <c r="J750" s="4">
        <f t="shared" si="69"/>
        <v>24.97</v>
      </c>
      <c r="K750" s="9">
        <f t="shared" si="70"/>
        <v>-5.99999999999996</v>
      </c>
      <c r="L750" s="1">
        <f t="shared" si="71"/>
        <v>-5</v>
      </c>
    </row>
    <row r="751" s="1" customFormat="1" spans="1:12">
      <c r="A751" s="2">
        <v>25.037</v>
      </c>
      <c r="B751" s="10" t="s">
        <v>246</v>
      </c>
      <c r="C751" s="4">
        <v>25.003</v>
      </c>
      <c r="D751" s="4">
        <v>54</v>
      </c>
      <c r="G751" s="2">
        <f t="shared" si="66"/>
        <v>25.003</v>
      </c>
      <c r="H751" s="11" t="str">
        <f t="shared" si="67"/>
        <v>3.371E-2</v>
      </c>
      <c r="I751" s="2">
        <f t="shared" si="68"/>
        <v>54.5</v>
      </c>
      <c r="J751" s="4">
        <f t="shared" si="69"/>
        <v>25.003</v>
      </c>
      <c r="K751" s="9">
        <f t="shared" si="70"/>
        <v>-6.20000000000003</v>
      </c>
      <c r="L751" s="1">
        <f t="shared" si="71"/>
        <v>-5</v>
      </c>
    </row>
    <row r="752" s="1" customFormat="1" spans="1:12">
      <c r="A752" s="2">
        <v>25.07</v>
      </c>
      <c r="B752" s="10" t="s">
        <v>53</v>
      </c>
      <c r="C752" s="4">
        <v>25.037</v>
      </c>
      <c r="D752" s="4">
        <v>53.3</v>
      </c>
      <c r="G752" s="2">
        <f t="shared" si="66"/>
        <v>25.037</v>
      </c>
      <c r="H752" s="11" t="str">
        <f t="shared" si="67"/>
        <v>3.374E-2</v>
      </c>
      <c r="I752" s="2">
        <f t="shared" si="68"/>
        <v>54</v>
      </c>
      <c r="J752" s="4">
        <f t="shared" si="69"/>
        <v>25.037</v>
      </c>
      <c r="K752" s="9">
        <f t="shared" si="70"/>
        <v>-5.9</v>
      </c>
      <c r="L752" s="1">
        <f t="shared" si="71"/>
        <v>-5</v>
      </c>
    </row>
    <row r="753" s="1" customFormat="1" spans="1:12">
      <c r="A753" s="2">
        <v>25.103</v>
      </c>
      <c r="B753" s="10" t="s">
        <v>50</v>
      </c>
      <c r="C753" s="4">
        <v>25.07</v>
      </c>
      <c r="D753" s="4">
        <v>53</v>
      </c>
      <c r="G753" s="2">
        <f t="shared" si="66"/>
        <v>25.07</v>
      </c>
      <c r="H753" s="11" t="str">
        <f t="shared" si="67"/>
        <v>3.375E-2</v>
      </c>
      <c r="I753" s="2">
        <f t="shared" si="68"/>
        <v>53.3</v>
      </c>
      <c r="J753" s="4">
        <f t="shared" si="69"/>
        <v>25.07</v>
      </c>
      <c r="K753" s="9">
        <f t="shared" si="70"/>
        <v>-5.79999999999997</v>
      </c>
      <c r="L753" s="1">
        <f t="shared" si="71"/>
        <v>-5</v>
      </c>
    </row>
    <row r="754" s="1" customFormat="1" spans="1:12">
      <c r="A754" s="2">
        <v>25.137</v>
      </c>
      <c r="B754" s="10" t="s">
        <v>248</v>
      </c>
      <c r="C754" s="4">
        <v>25.103</v>
      </c>
      <c r="D754" s="4">
        <v>53</v>
      </c>
      <c r="G754" s="2">
        <f t="shared" si="66"/>
        <v>25.103</v>
      </c>
      <c r="H754" s="11" t="str">
        <f t="shared" si="67"/>
        <v>3.377E-2</v>
      </c>
      <c r="I754" s="2">
        <f t="shared" si="68"/>
        <v>53</v>
      </c>
      <c r="J754" s="4">
        <f t="shared" si="69"/>
        <v>25.103</v>
      </c>
      <c r="K754" s="9">
        <f t="shared" si="70"/>
        <v>-5.59999999999998</v>
      </c>
      <c r="L754" s="1">
        <f t="shared" si="71"/>
        <v>-5</v>
      </c>
    </row>
    <row r="755" s="1" customFormat="1" spans="1:12">
      <c r="A755" s="2">
        <v>25.17</v>
      </c>
      <c r="B755" s="10" t="s">
        <v>239</v>
      </c>
      <c r="C755" s="4">
        <v>25.137</v>
      </c>
      <c r="D755" s="4">
        <v>52.6</v>
      </c>
      <c r="G755" s="2">
        <f t="shared" si="66"/>
        <v>25.137</v>
      </c>
      <c r="H755" s="11" t="str">
        <f t="shared" si="67"/>
        <v>3.381E-2</v>
      </c>
      <c r="I755" s="2">
        <f t="shared" si="68"/>
        <v>53</v>
      </c>
      <c r="J755" s="4">
        <f t="shared" si="69"/>
        <v>25.137</v>
      </c>
      <c r="K755" s="9">
        <f t="shared" si="70"/>
        <v>-5.2</v>
      </c>
      <c r="L755" s="1">
        <f t="shared" si="71"/>
        <v>-5</v>
      </c>
    </row>
    <row r="756" s="1" customFormat="1" spans="1:12">
      <c r="A756" s="2">
        <v>25.204</v>
      </c>
      <c r="B756" s="10" t="s">
        <v>84</v>
      </c>
      <c r="C756" s="4">
        <v>25.17</v>
      </c>
      <c r="D756" s="4">
        <v>51.9</v>
      </c>
      <c r="G756" s="2">
        <f t="shared" si="66"/>
        <v>25.17</v>
      </c>
      <c r="H756" s="11" t="str">
        <f t="shared" si="67"/>
        <v>3.387E-2</v>
      </c>
      <c r="I756" s="2">
        <f t="shared" si="68"/>
        <v>52.6</v>
      </c>
      <c r="J756" s="4">
        <f t="shared" si="69"/>
        <v>25.17</v>
      </c>
      <c r="K756" s="9">
        <f t="shared" si="70"/>
        <v>-4.60000000000002</v>
      </c>
      <c r="L756" s="1">
        <f t="shared" si="71"/>
        <v>-5</v>
      </c>
    </row>
    <row r="757" s="1" customFormat="1" spans="1:12">
      <c r="A757" s="2">
        <v>25.237</v>
      </c>
      <c r="B757" s="10" t="s">
        <v>228</v>
      </c>
      <c r="C757" s="4">
        <v>25.204</v>
      </c>
      <c r="D757" s="4">
        <v>51.9</v>
      </c>
      <c r="G757" s="2">
        <f t="shared" si="66"/>
        <v>25.204</v>
      </c>
      <c r="H757" s="11" t="str">
        <f t="shared" si="67"/>
        <v>3.393E-2</v>
      </c>
      <c r="I757" s="2">
        <f t="shared" si="68"/>
        <v>51.9</v>
      </c>
      <c r="J757" s="4">
        <f t="shared" si="69"/>
        <v>25.204</v>
      </c>
      <c r="K757" s="9">
        <f t="shared" si="70"/>
        <v>-3.99999999999998</v>
      </c>
      <c r="L757" s="1">
        <f t="shared" si="71"/>
        <v>-5</v>
      </c>
    </row>
    <row r="758" s="1" customFormat="1" spans="1:12">
      <c r="A758" s="2">
        <v>25.271</v>
      </c>
      <c r="B758" s="10" t="s">
        <v>249</v>
      </c>
      <c r="C758" s="4">
        <v>25.237</v>
      </c>
      <c r="D758" s="4">
        <v>51.8</v>
      </c>
      <c r="G758" s="2">
        <f t="shared" si="66"/>
        <v>25.237</v>
      </c>
      <c r="H758" s="11" t="str">
        <f t="shared" si="67"/>
        <v>3.407E-2</v>
      </c>
      <c r="I758" s="2">
        <f t="shared" si="68"/>
        <v>51.9</v>
      </c>
      <c r="J758" s="4">
        <f t="shared" si="69"/>
        <v>25.237</v>
      </c>
      <c r="K758" s="9">
        <f t="shared" si="70"/>
        <v>-2.59999999999996</v>
      </c>
      <c r="L758" s="1">
        <f t="shared" si="71"/>
        <v>-5</v>
      </c>
    </row>
    <row r="759" s="1" customFormat="1" spans="1:12">
      <c r="A759" s="2">
        <v>25.304</v>
      </c>
      <c r="B759" s="10" t="s">
        <v>17</v>
      </c>
      <c r="C759" s="4">
        <v>25.271</v>
      </c>
      <c r="D759" s="4">
        <v>51.3</v>
      </c>
      <c r="G759" s="2">
        <f t="shared" si="66"/>
        <v>25.271</v>
      </c>
      <c r="H759" s="11" t="str">
        <f t="shared" si="67"/>
        <v>3.417E-2</v>
      </c>
      <c r="I759" s="2">
        <f t="shared" si="68"/>
        <v>51.8</v>
      </c>
      <c r="J759" s="4">
        <f t="shared" si="69"/>
        <v>25.271</v>
      </c>
      <c r="K759" s="9">
        <f t="shared" si="70"/>
        <v>-1.6</v>
      </c>
      <c r="L759" s="1">
        <f t="shared" si="71"/>
        <v>-5</v>
      </c>
    </row>
    <row r="760" s="1" customFormat="1" spans="1:12">
      <c r="A760" s="2">
        <v>25.337</v>
      </c>
      <c r="B760" s="10" t="s">
        <v>143</v>
      </c>
      <c r="C760" s="4">
        <v>25.304</v>
      </c>
      <c r="D760" s="4">
        <v>50.4</v>
      </c>
      <c r="G760" s="2">
        <f t="shared" si="66"/>
        <v>25.304</v>
      </c>
      <c r="H760" s="11" t="str">
        <f t="shared" si="67"/>
        <v>3.423E-2</v>
      </c>
      <c r="I760" s="2">
        <f t="shared" si="68"/>
        <v>51.3</v>
      </c>
      <c r="J760" s="4">
        <f t="shared" si="69"/>
        <v>25.304</v>
      </c>
      <c r="K760" s="9">
        <f t="shared" si="70"/>
        <v>-1.00000000000003</v>
      </c>
      <c r="L760" s="1">
        <f t="shared" si="71"/>
        <v>-5</v>
      </c>
    </row>
    <row r="761" s="1" customFormat="1" spans="1:12">
      <c r="A761" s="2">
        <v>25.371</v>
      </c>
      <c r="B761" s="10" t="s">
        <v>24</v>
      </c>
      <c r="C761" s="4">
        <v>25.337</v>
      </c>
      <c r="D761" s="4">
        <v>50.1</v>
      </c>
      <c r="G761" s="2">
        <f t="shared" si="66"/>
        <v>25.337</v>
      </c>
      <c r="H761" s="11" t="str">
        <f t="shared" si="67"/>
        <v>3.436E-2</v>
      </c>
      <c r="I761" s="2">
        <f t="shared" si="68"/>
        <v>50.4</v>
      </c>
      <c r="J761" s="4">
        <f t="shared" si="69"/>
        <v>25.337</v>
      </c>
      <c r="K761" s="9">
        <f t="shared" si="70"/>
        <v>0.300000000000022</v>
      </c>
      <c r="L761" s="1">
        <f t="shared" si="71"/>
        <v>-5</v>
      </c>
    </row>
    <row r="762" s="1" customFormat="1" spans="1:12">
      <c r="A762" s="2">
        <v>25.404</v>
      </c>
      <c r="B762" s="10" t="s">
        <v>167</v>
      </c>
      <c r="C762" s="4">
        <v>25.371</v>
      </c>
      <c r="D762" s="4">
        <v>50.4</v>
      </c>
      <c r="G762" s="2">
        <f t="shared" si="66"/>
        <v>25.371</v>
      </c>
      <c r="H762" s="11" t="str">
        <f t="shared" si="67"/>
        <v>3.445E-2</v>
      </c>
      <c r="I762" s="2">
        <f t="shared" si="68"/>
        <v>50.1</v>
      </c>
      <c r="J762" s="4">
        <f t="shared" si="69"/>
        <v>25.371</v>
      </c>
      <c r="K762" s="9">
        <f t="shared" si="70"/>
        <v>1.20000000000002</v>
      </c>
      <c r="L762" s="1">
        <f t="shared" si="71"/>
        <v>-5</v>
      </c>
    </row>
    <row r="763" s="1" customFormat="1" spans="1:12">
      <c r="A763" s="2">
        <v>25.438</v>
      </c>
      <c r="B763" s="10" t="s">
        <v>40</v>
      </c>
      <c r="C763" s="4">
        <v>25.404</v>
      </c>
      <c r="D763" s="4">
        <v>50</v>
      </c>
      <c r="G763" s="2">
        <f t="shared" si="66"/>
        <v>25.404</v>
      </c>
      <c r="H763" s="11" t="str">
        <f t="shared" si="67"/>
        <v>3.453E-2</v>
      </c>
      <c r="I763" s="2">
        <f t="shared" si="68"/>
        <v>50.4</v>
      </c>
      <c r="J763" s="4">
        <f t="shared" si="69"/>
        <v>25.404</v>
      </c>
      <c r="K763" s="9">
        <f t="shared" si="70"/>
        <v>1.99999999999999</v>
      </c>
      <c r="L763" s="1">
        <f t="shared" si="71"/>
        <v>-5</v>
      </c>
    </row>
    <row r="764" s="1" customFormat="1" spans="1:12">
      <c r="A764" s="2">
        <v>25.471</v>
      </c>
      <c r="B764" s="10" t="s">
        <v>171</v>
      </c>
      <c r="C764" s="4">
        <v>25.438</v>
      </c>
      <c r="D764" s="4">
        <v>49.4</v>
      </c>
      <c r="G764" s="2">
        <f t="shared" si="66"/>
        <v>25.438</v>
      </c>
      <c r="H764" s="11" t="str">
        <f t="shared" si="67"/>
        <v>3.466E-2</v>
      </c>
      <c r="I764" s="2">
        <f t="shared" si="68"/>
        <v>50</v>
      </c>
      <c r="J764" s="4">
        <f t="shared" si="69"/>
        <v>25.438</v>
      </c>
      <c r="K764" s="9">
        <f t="shared" si="70"/>
        <v>3.30000000000004</v>
      </c>
      <c r="L764" s="1">
        <f t="shared" si="71"/>
        <v>-5</v>
      </c>
    </row>
    <row r="765" s="1" customFormat="1" spans="1:12">
      <c r="A765" s="2">
        <v>25.504</v>
      </c>
      <c r="B765" s="10" t="s">
        <v>243</v>
      </c>
      <c r="C765" s="4">
        <v>25.471</v>
      </c>
      <c r="D765" s="4">
        <v>50.1</v>
      </c>
      <c r="G765" s="2">
        <f t="shared" si="66"/>
        <v>25.471</v>
      </c>
      <c r="H765" s="11" t="str">
        <f t="shared" si="67"/>
        <v>3.474E-2</v>
      </c>
      <c r="I765" s="2">
        <f t="shared" si="68"/>
        <v>49.4</v>
      </c>
      <c r="J765" s="4">
        <f t="shared" si="69"/>
        <v>25.471</v>
      </c>
      <c r="K765" s="9">
        <f t="shared" si="70"/>
        <v>4.10000000000001</v>
      </c>
      <c r="L765" s="1">
        <f t="shared" si="71"/>
        <v>-5</v>
      </c>
    </row>
    <row r="766" s="1" customFormat="1" spans="1:12">
      <c r="A766" s="2">
        <v>25.538</v>
      </c>
      <c r="B766" s="10" t="s">
        <v>194</v>
      </c>
      <c r="C766" s="4">
        <v>25.504</v>
      </c>
      <c r="D766" s="4">
        <v>49.2</v>
      </c>
      <c r="G766" s="2">
        <f t="shared" si="66"/>
        <v>25.504</v>
      </c>
      <c r="H766" s="11" t="str">
        <f t="shared" si="67"/>
        <v>3.480E-2</v>
      </c>
      <c r="I766" s="2">
        <f t="shared" si="68"/>
        <v>50.1</v>
      </c>
      <c r="J766" s="4">
        <f t="shared" si="69"/>
        <v>25.504</v>
      </c>
      <c r="K766" s="9">
        <f t="shared" si="70"/>
        <v>4.69999999999998</v>
      </c>
      <c r="L766" s="1">
        <f t="shared" si="71"/>
        <v>-5</v>
      </c>
    </row>
    <row r="767" s="1" customFormat="1" spans="1:12">
      <c r="A767" s="2">
        <v>25.571</v>
      </c>
      <c r="B767" s="10" t="s">
        <v>31</v>
      </c>
      <c r="C767" s="4">
        <v>25.538</v>
      </c>
      <c r="D767" s="4">
        <v>49.1</v>
      </c>
      <c r="G767" s="2">
        <f t="shared" si="66"/>
        <v>25.538</v>
      </c>
      <c r="H767" s="11" t="str">
        <f t="shared" si="67"/>
        <v>3.490E-2</v>
      </c>
      <c r="I767" s="2">
        <f t="shared" si="68"/>
        <v>49.2</v>
      </c>
      <c r="J767" s="4">
        <f t="shared" si="69"/>
        <v>25.538</v>
      </c>
      <c r="K767" s="9">
        <f t="shared" si="70"/>
        <v>5.70000000000001</v>
      </c>
      <c r="L767" s="1">
        <f t="shared" si="71"/>
        <v>-5</v>
      </c>
    </row>
    <row r="768" s="1" customFormat="1" spans="1:12">
      <c r="A768" s="2">
        <v>25.605</v>
      </c>
      <c r="B768" s="10" t="s">
        <v>37</v>
      </c>
      <c r="C768" s="4">
        <v>25.571</v>
      </c>
      <c r="D768" s="4">
        <v>49.2</v>
      </c>
      <c r="G768" s="2">
        <f t="shared" si="66"/>
        <v>25.571</v>
      </c>
      <c r="H768" s="11" t="str">
        <f t="shared" si="67"/>
        <v>3.494E-2</v>
      </c>
      <c r="I768" s="2">
        <f t="shared" si="68"/>
        <v>49.1</v>
      </c>
      <c r="J768" s="4">
        <f t="shared" si="69"/>
        <v>25.571</v>
      </c>
      <c r="K768" s="9">
        <f t="shared" si="70"/>
        <v>6.09999999999999</v>
      </c>
      <c r="L768" s="1">
        <f t="shared" si="71"/>
        <v>-5</v>
      </c>
    </row>
    <row r="769" s="1" customFormat="1" spans="1:12">
      <c r="A769" s="2">
        <v>25.638</v>
      </c>
      <c r="B769" s="10" t="s">
        <v>108</v>
      </c>
      <c r="C769" s="4">
        <v>25.605</v>
      </c>
      <c r="D769" s="4">
        <v>48.8</v>
      </c>
      <c r="G769" s="2">
        <f t="shared" si="66"/>
        <v>25.605</v>
      </c>
      <c r="H769" s="11" t="str">
        <f t="shared" si="67"/>
        <v>3.496E-2</v>
      </c>
      <c r="I769" s="2">
        <f t="shared" si="68"/>
        <v>49.2</v>
      </c>
      <c r="J769" s="4">
        <f t="shared" si="69"/>
        <v>25.605</v>
      </c>
      <c r="K769" s="9">
        <f t="shared" si="70"/>
        <v>6.29999999999999</v>
      </c>
      <c r="L769" s="1">
        <f t="shared" si="71"/>
        <v>-5</v>
      </c>
    </row>
    <row r="770" s="1" customFormat="1" spans="1:12">
      <c r="A770" s="2">
        <v>25.672</v>
      </c>
      <c r="B770" s="10" t="s">
        <v>192</v>
      </c>
      <c r="C770" s="4">
        <v>25.638</v>
      </c>
      <c r="D770" s="4">
        <v>48.5</v>
      </c>
      <c r="G770" s="2">
        <f t="shared" si="66"/>
        <v>25.638</v>
      </c>
      <c r="H770" s="11" t="str">
        <f t="shared" si="67"/>
        <v>3.497E-2</v>
      </c>
      <c r="I770" s="2">
        <f t="shared" si="68"/>
        <v>48.8</v>
      </c>
      <c r="J770" s="4">
        <f t="shared" si="69"/>
        <v>25.638</v>
      </c>
      <c r="K770" s="9">
        <f t="shared" si="70"/>
        <v>6.40000000000002</v>
      </c>
      <c r="L770" s="1">
        <f t="shared" si="71"/>
        <v>-5</v>
      </c>
    </row>
    <row r="771" s="1" customFormat="1" spans="1:12">
      <c r="A771" s="2">
        <v>25.705</v>
      </c>
      <c r="B771" s="10" t="s">
        <v>31</v>
      </c>
      <c r="C771" s="4">
        <v>25.672</v>
      </c>
      <c r="D771" s="4">
        <v>48.8</v>
      </c>
      <c r="G771" s="2">
        <f t="shared" si="66"/>
        <v>25.672</v>
      </c>
      <c r="H771" s="11" t="str">
        <f t="shared" si="67"/>
        <v>3.495E-2</v>
      </c>
      <c r="I771" s="2">
        <f t="shared" si="68"/>
        <v>48.5</v>
      </c>
      <c r="J771" s="4">
        <f t="shared" si="69"/>
        <v>25.672</v>
      </c>
      <c r="K771" s="9">
        <f t="shared" si="70"/>
        <v>6.20000000000003</v>
      </c>
      <c r="L771" s="1">
        <f t="shared" si="71"/>
        <v>-5</v>
      </c>
    </row>
    <row r="772" s="1" customFormat="1" spans="1:12">
      <c r="A772" s="2">
        <v>25.738</v>
      </c>
      <c r="B772" s="10" t="s">
        <v>38</v>
      </c>
      <c r="C772" s="4">
        <v>25.705</v>
      </c>
      <c r="D772" s="4">
        <v>48.5</v>
      </c>
      <c r="G772" s="2">
        <f t="shared" ref="G772:G835" si="72">A771</f>
        <v>25.705</v>
      </c>
      <c r="H772" s="11" t="str">
        <f t="shared" ref="H772:H835" si="73">B771</f>
        <v>3.494E-2</v>
      </c>
      <c r="I772" s="2">
        <f t="shared" ref="I772:I835" si="74">D771</f>
        <v>48.8</v>
      </c>
      <c r="J772" s="4">
        <f t="shared" ref="J772:J835" si="75">G772</f>
        <v>25.705</v>
      </c>
      <c r="K772" s="9">
        <f t="shared" ref="K772:K835" si="76">(H772-$H$4)*10000</f>
        <v>6.09999999999999</v>
      </c>
      <c r="L772" s="1">
        <f t="shared" si="71"/>
        <v>-5</v>
      </c>
    </row>
    <row r="773" s="1" customFormat="1" spans="1:12">
      <c r="A773" s="2">
        <v>25.772</v>
      </c>
      <c r="B773" s="10" t="s">
        <v>39</v>
      </c>
      <c r="C773" s="4">
        <v>25.738</v>
      </c>
      <c r="D773" s="4">
        <v>48.5</v>
      </c>
      <c r="G773" s="2">
        <f t="shared" si="72"/>
        <v>25.738</v>
      </c>
      <c r="H773" s="11" t="str">
        <f t="shared" si="73"/>
        <v>3.492E-2</v>
      </c>
      <c r="I773" s="2">
        <f t="shared" si="74"/>
        <v>48.5</v>
      </c>
      <c r="J773" s="4">
        <f t="shared" si="75"/>
        <v>25.738</v>
      </c>
      <c r="K773" s="9">
        <f t="shared" si="76"/>
        <v>5.9</v>
      </c>
      <c r="L773" s="1">
        <f t="shared" ref="L773:L836" si="77">IF(I773&lt;230,-5,23)</f>
        <v>-5</v>
      </c>
    </row>
    <row r="774" s="1" customFormat="1" spans="1:12">
      <c r="A774" s="2">
        <v>25.805</v>
      </c>
      <c r="B774" s="10" t="s">
        <v>139</v>
      </c>
      <c r="C774" s="4">
        <v>25.772</v>
      </c>
      <c r="D774" s="4">
        <v>48.3</v>
      </c>
      <c r="G774" s="2">
        <f t="shared" si="72"/>
        <v>25.772</v>
      </c>
      <c r="H774" s="11" t="str">
        <f t="shared" si="73"/>
        <v>3.489E-2</v>
      </c>
      <c r="I774" s="2">
        <f t="shared" si="74"/>
        <v>48.5</v>
      </c>
      <c r="J774" s="4">
        <f t="shared" si="75"/>
        <v>25.772</v>
      </c>
      <c r="K774" s="9">
        <f t="shared" si="76"/>
        <v>5.59999999999998</v>
      </c>
      <c r="L774" s="1">
        <f t="shared" si="77"/>
        <v>-5</v>
      </c>
    </row>
    <row r="775" s="1" customFormat="1" spans="1:12">
      <c r="A775" s="2">
        <v>25.839</v>
      </c>
      <c r="B775" s="10" t="s">
        <v>145</v>
      </c>
      <c r="C775" s="4">
        <v>25.805</v>
      </c>
      <c r="D775" s="4">
        <v>48</v>
      </c>
      <c r="G775" s="2">
        <f t="shared" si="72"/>
        <v>25.805</v>
      </c>
      <c r="H775" s="11" t="str">
        <f t="shared" si="73"/>
        <v>3.485E-2</v>
      </c>
      <c r="I775" s="2">
        <f t="shared" si="74"/>
        <v>48.3</v>
      </c>
      <c r="J775" s="4">
        <f t="shared" si="75"/>
        <v>25.805</v>
      </c>
      <c r="K775" s="9">
        <f t="shared" si="76"/>
        <v>5.2</v>
      </c>
      <c r="L775" s="1">
        <f t="shared" si="77"/>
        <v>-5</v>
      </c>
    </row>
    <row r="776" s="1" customFormat="1" spans="1:12">
      <c r="A776" s="2">
        <v>25.872</v>
      </c>
      <c r="B776" s="10" t="s">
        <v>250</v>
      </c>
      <c r="C776" s="4">
        <v>25.839</v>
      </c>
      <c r="D776" s="4">
        <v>47.4</v>
      </c>
      <c r="G776" s="2">
        <f t="shared" si="72"/>
        <v>25.839</v>
      </c>
      <c r="H776" s="11" t="str">
        <f t="shared" si="73"/>
        <v>3.479E-2</v>
      </c>
      <c r="I776" s="2">
        <f t="shared" si="74"/>
        <v>48</v>
      </c>
      <c r="J776" s="4">
        <f t="shared" si="75"/>
        <v>25.839</v>
      </c>
      <c r="K776" s="9">
        <f t="shared" si="76"/>
        <v>4.60000000000002</v>
      </c>
      <c r="L776" s="1">
        <f t="shared" si="77"/>
        <v>-5</v>
      </c>
    </row>
    <row r="777" s="1" customFormat="1" spans="1:12">
      <c r="A777" s="2">
        <v>25.906</v>
      </c>
      <c r="B777" s="10" t="s">
        <v>169</v>
      </c>
      <c r="C777" s="4">
        <v>25.872</v>
      </c>
      <c r="D777" s="4">
        <v>48.2</v>
      </c>
      <c r="G777" s="2">
        <f t="shared" si="72"/>
        <v>25.872</v>
      </c>
      <c r="H777" s="11" t="str">
        <f t="shared" si="73"/>
        <v>3.473E-2</v>
      </c>
      <c r="I777" s="2">
        <f t="shared" si="74"/>
        <v>47.4</v>
      </c>
      <c r="J777" s="4">
        <f t="shared" si="75"/>
        <v>25.872</v>
      </c>
      <c r="K777" s="9">
        <f t="shared" si="76"/>
        <v>3.99999999999998</v>
      </c>
      <c r="L777" s="1">
        <f t="shared" si="77"/>
        <v>-5</v>
      </c>
    </row>
    <row r="778" s="1" customFormat="1" spans="1:12">
      <c r="A778" s="2">
        <v>25.939</v>
      </c>
      <c r="B778" s="10" t="s">
        <v>26</v>
      </c>
      <c r="C778" s="4">
        <v>25.906</v>
      </c>
      <c r="D778" s="4">
        <v>48.1</v>
      </c>
      <c r="G778" s="2">
        <f t="shared" si="72"/>
        <v>25.906</v>
      </c>
      <c r="H778" s="11" t="str">
        <f t="shared" si="73"/>
        <v>3.461E-2</v>
      </c>
      <c r="I778" s="2">
        <f t="shared" si="74"/>
        <v>48.2</v>
      </c>
      <c r="J778" s="4">
        <f t="shared" si="75"/>
        <v>25.906</v>
      </c>
      <c r="K778" s="9">
        <f t="shared" si="76"/>
        <v>2.80000000000002</v>
      </c>
      <c r="L778" s="1">
        <f t="shared" si="77"/>
        <v>-5</v>
      </c>
    </row>
    <row r="779" s="1" customFormat="1" spans="1:12">
      <c r="A779" s="2">
        <v>25.972</v>
      </c>
      <c r="B779" s="10" t="s">
        <v>43</v>
      </c>
      <c r="C779" s="4">
        <v>25.939</v>
      </c>
      <c r="D779" s="4">
        <v>48.1</v>
      </c>
      <c r="G779" s="2">
        <f t="shared" si="72"/>
        <v>25.939</v>
      </c>
      <c r="H779" s="11" t="str">
        <f t="shared" si="73"/>
        <v>3.451E-2</v>
      </c>
      <c r="I779" s="2">
        <f t="shared" si="74"/>
        <v>48.1</v>
      </c>
      <c r="J779" s="4">
        <f t="shared" si="75"/>
        <v>25.939</v>
      </c>
      <c r="K779" s="9">
        <f t="shared" si="76"/>
        <v>1.8</v>
      </c>
      <c r="L779" s="1">
        <f t="shared" si="77"/>
        <v>-5</v>
      </c>
    </row>
    <row r="780" s="1" customFormat="1" spans="1:12">
      <c r="A780" s="2">
        <v>26.006</v>
      </c>
      <c r="B780" s="10" t="s">
        <v>14</v>
      </c>
      <c r="C780" s="4">
        <v>25.972</v>
      </c>
      <c r="D780" s="4">
        <v>47.9</v>
      </c>
      <c r="G780" s="2">
        <f t="shared" si="72"/>
        <v>25.972</v>
      </c>
      <c r="H780" s="11" t="str">
        <f t="shared" si="73"/>
        <v>3.441E-2</v>
      </c>
      <c r="I780" s="2">
        <f t="shared" si="74"/>
        <v>48.1</v>
      </c>
      <c r="J780" s="4">
        <f t="shared" si="75"/>
        <v>25.972</v>
      </c>
      <c r="K780" s="9">
        <f t="shared" si="76"/>
        <v>0.800000000000037</v>
      </c>
      <c r="L780" s="1">
        <f t="shared" si="77"/>
        <v>-5</v>
      </c>
    </row>
    <row r="781" s="1" customFormat="1" spans="1:12">
      <c r="A781" s="2">
        <v>26.039</v>
      </c>
      <c r="B781" s="10" t="s">
        <v>44</v>
      </c>
      <c r="C781" s="4">
        <v>26.006</v>
      </c>
      <c r="D781" s="4">
        <v>47.5</v>
      </c>
      <c r="G781" s="2">
        <f t="shared" si="72"/>
        <v>26.006</v>
      </c>
      <c r="H781" s="11" t="str">
        <f t="shared" si="73"/>
        <v>3.429E-2</v>
      </c>
      <c r="I781" s="2">
        <f t="shared" si="74"/>
        <v>47.9</v>
      </c>
      <c r="J781" s="4">
        <f t="shared" si="75"/>
        <v>26.006</v>
      </c>
      <c r="K781" s="9">
        <f t="shared" si="76"/>
        <v>-0.399999999999984</v>
      </c>
      <c r="L781" s="1">
        <f t="shared" si="77"/>
        <v>-5</v>
      </c>
    </row>
    <row r="782" s="1" customFormat="1" spans="1:12">
      <c r="A782" s="2">
        <v>26.073</v>
      </c>
      <c r="B782" s="10" t="s">
        <v>117</v>
      </c>
      <c r="C782" s="4">
        <v>26.039</v>
      </c>
      <c r="D782" s="4">
        <v>47.6</v>
      </c>
      <c r="G782" s="2">
        <f t="shared" si="72"/>
        <v>26.039</v>
      </c>
      <c r="H782" s="11" t="str">
        <f t="shared" si="73"/>
        <v>3.422E-2</v>
      </c>
      <c r="I782" s="2">
        <f t="shared" si="74"/>
        <v>47.5</v>
      </c>
      <c r="J782" s="4">
        <f t="shared" si="75"/>
        <v>26.039</v>
      </c>
      <c r="K782" s="9">
        <f t="shared" si="76"/>
        <v>-1.09999999999999</v>
      </c>
      <c r="L782" s="1">
        <f t="shared" si="77"/>
        <v>-5</v>
      </c>
    </row>
    <row r="783" s="1" customFormat="1" spans="1:12">
      <c r="A783" s="2">
        <v>26.106</v>
      </c>
      <c r="B783" s="10" t="s">
        <v>83</v>
      </c>
      <c r="C783" s="4">
        <v>26.073</v>
      </c>
      <c r="D783" s="4">
        <v>47.7</v>
      </c>
      <c r="G783" s="2">
        <f t="shared" si="72"/>
        <v>26.073</v>
      </c>
      <c r="H783" s="11" t="str">
        <f t="shared" si="73"/>
        <v>3.412E-2</v>
      </c>
      <c r="I783" s="2">
        <f t="shared" si="74"/>
        <v>47.6</v>
      </c>
      <c r="J783" s="4">
        <f t="shared" si="75"/>
        <v>26.073</v>
      </c>
      <c r="K783" s="9">
        <f t="shared" si="76"/>
        <v>-2.10000000000002</v>
      </c>
      <c r="L783" s="1">
        <f t="shared" si="77"/>
        <v>-5</v>
      </c>
    </row>
    <row r="784" s="1" customFormat="1" spans="1:12">
      <c r="A784" s="2">
        <v>26.14</v>
      </c>
      <c r="B784" s="10" t="s">
        <v>114</v>
      </c>
      <c r="C784" s="4">
        <v>26.106</v>
      </c>
      <c r="D784" s="4">
        <v>48.2</v>
      </c>
      <c r="G784" s="2">
        <f t="shared" si="72"/>
        <v>26.106</v>
      </c>
      <c r="H784" s="11" t="str">
        <f t="shared" si="73"/>
        <v>3.400E-2</v>
      </c>
      <c r="I784" s="2">
        <f t="shared" si="74"/>
        <v>47.7</v>
      </c>
      <c r="J784" s="4">
        <f t="shared" si="75"/>
        <v>26.106</v>
      </c>
      <c r="K784" s="9">
        <f t="shared" si="76"/>
        <v>-3.29999999999997</v>
      </c>
      <c r="L784" s="1">
        <f t="shared" si="77"/>
        <v>-5</v>
      </c>
    </row>
    <row r="785" s="1" customFormat="1" spans="1:12">
      <c r="A785" s="2">
        <v>26.173</v>
      </c>
      <c r="B785" s="10" t="s">
        <v>85</v>
      </c>
      <c r="C785" s="4">
        <v>26.14</v>
      </c>
      <c r="D785" s="4">
        <v>47.7</v>
      </c>
      <c r="G785" s="2">
        <f t="shared" si="72"/>
        <v>26.14</v>
      </c>
      <c r="H785" s="11" t="str">
        <f t="shared" si="73"/>
        <v>3.392E-2</v>
      </c>
      <c r="I785" s="2">
        <f t="shared" si="74"/>
        <v>48.2</v>
      </c>
      <c r="J785" s="4">
        <f t="shared" si="75"/>
        <v>26.14</v>
      </c>
      <c r="K785" s="9">
        <f t="shared" si="76"/>
        <v>-4.10000000000001</v>
      </c>
      <c r="L785" s="1">
        <f t="shared" si="77"/>
        <v>-5</v>
      </c>
    </row>
    <row r="786" s="1" customFormat="1" spans="1:12">
      <c r="A786" s="2">
        <v>26.206</v>
      </c>
      <c r="B786" s="10" t="s">
        <v>54</v>
      </c>
      <c r="C786" s="4">
        <v>26.173</v>
      </c>
      <c r="D786" s="4">
        <v>48</v>
      </c>
      <c r="G786" s="2">
        <f t="shared" si="72"/>
        <v>26.173</v>
      </c>
      <c r="H786" s="11" t="str">
        <f t="shared" si="73"/>
        <v>3.388E-2</v>
      </c>
      <c r="I786" s="2">
        <f t="shared" si="74"/>
        <v>47.7</v>
      </c>
      <c r="J786" s="4">
        <f t="shared" si="75"/>
        <v>26.173</v>
      </c>
      <c r="K786" s="9">
        <f t="shared" si="76"/>
        <v>-4.49999999999999</v>
      </c>
      <c r="L786" s="1">
        <f t="shared" si="77"/>
        <v>-5</v>
      </c>
    </row>
    <row r="787" s="1" customFormat="1" spans="1:12">
      <c r="A787" s="2">
        <v>26.24</v>
      </c>
      <c r="B787" s="10" t="s">
        <v>51</v>
      </c>
      <c r="C787" s="4">
        <v>26.206</v>
      </c>
      <c r="D787" s="4">
        <v>47.9</v>
      </c>
      <c r="G787" s="2">
        <f t="shared" si="72"/>
        <v>26.206</v>
      </c>
      <c r="H787" s="11" t="str">
        <f t="shared" si="73"/>
        <v>3.378E-2</v>
      </c>
      <c r="I787" s="2">
        <f t="shared" si="74"/>
        <v>48</v>
      </c>
      <c r="J787" s="4">
        <f t="shared" si="75"/>
        <v>26.206</v>
      </c>
      <c r="K787" s="9">
        <f t="shared" si="76"/>
        <v>-5.50000000000002</v>
      </c>
      <c r="L787" s="1">
        <f t="shared" si="77"/>
        <v>-5</v>
      </c>
    </row>
    <row r="788" s="1" customFormat="1" spans="1:12">
      <c r="A788" s="2">
        <v>26.273</v>
      </c>
      <c r="B788" s="10" t="s">
        <v>52</v>
      </c>
      <c r="C788" s="4">
        <v>26.24</v>
      </c>
      <c r="D788" s="4">
        <v>48.1</v>
      </c>
      <c r="G788" s="2">
        <f t="shared" si="72"/>
        <v>26.24</v>
      </c>
      <c r="H788" s="11" t="str">
        <f t="shared" si="73"/>
        <v>3.373E-2</v>
      </c>
      <c r="I788" s="2">
        <f t="shared" si="74"/>
        <v>47.9</v>
      </c>
      <c r="J788" s="4">
        <f t="shared" si="75"/>
        <v>26.24</v>
      </c>
      <c r="K788" s="9">
        <f t="shared" si="76"/>
        <v>-5.99999999999996</v>
      </c>
      <c r="L788" s="1">
        <f t="shared" si="77"/>
        <v>-5</v>
      </c>
    </row>
    <row r="789" s="1" customFormat="1" spans="1:12">
      <c r="A789" s="2">
        <v>26.307</v>
      </c>
      <c r="B789" s="10" t="s">
        <v>240</v>
      </c>
      <c r="C789" s="4">
        <v>26.273</v>
      </c>
      <c r="D789" s="4">
        <v>47.8</v>
      </c>
      <c r="G789" s="2">
        <f t="shared" si="72"/>
        <v>26.273</v>
      </c>
      <c r="H789" s="11" t="str">
        <f t="shared" si="73"/>
        <v>3.372E-2</v>
      </c>
      <c r="I789" s="2">
        <f t="shared" si="74"/>
        <v>48.1</v>
      </c>
      <c r="J789" s="4">
        <f t="shared" si="75"/>
        <v>26.273</v>
      </c>
      <c r="K789" s="9">
        <f t="shared" si="76"/>
        <v>-6.09999999999999</v>
      </c>
      <c r="L789" s="1">
        <f t="shared" si="77"/>
        <v>-5</v>
      </c>
    </row>
    <row r="790" s="1" customFormat="1" spans="1:12">
      <c r="A790" s="2">
        <v>26.34</v>
      </c>
      <c r="B790" s="10" t="s">
        <v>52</v>
      </c>
      <c r="C790" s="4">
        <v>26.307</v>
      </c>
      <c r="D790" s="4">
        <v>47.4</v>
      </c>
      <c r="G790" s="2">
        <f t="shared" si="72"/>
        <v>26.307</v>
      </c>
      <c r="H790" s="11" t="str">
        <f t="shared" si="73"/>
        <v>3.370E-2</v>
      </c>
      <c r="I790" s="2">
        <f t="shared" si="74"/>
        <v>47.8</v>
      </c>
      <c r="J790" s="4">
        <f t="shared" si="75"/>
        <v>26.307</v>
      </c>
      <c r="K790" s="9">
        <f t="shared" si="76"/>
        <v>-6.29999999999999</v>
      </c>
      <c r="L790" s="1">
        <f t="shared" si="77"/>
        <v>-5</v>
      </c>
    </row>
    <row r="791" s="1" customFormat="1" spans="1:12">
      <c r="A791" s="2">
        <v>26.374</v>
      </c>
      <c r="B791" s="10" t="s">
        <v>51</v>
      </c>
      <c r="C791" s="4">
        <v>26.34</v>
      </c>
      <c r="D791" s="4">
        <v>47.8</v>
      </c>
      <c r="G791" s="2">
        <f t="shared" si="72"/>
        <v>26.34</v>
      </c>
      <c r="H791" s="11" t="str">
        <f t="shared" si="73"/>
        <v>3.372E-2</v>
      </c>
      <c r="I791" s="2">
        <f t="shared" si="74"/>
        <v>47.4</v>
      </c>
      <c r="J791" s="4">
        <f t="shared" si="75"/>
        <v>26.34</v>
      </c>
      <c r="K791" s="9">
        <f t="shared" si="76"/>
        <v>-6.09999999999999</v>
      </c>
      <c r="L791" s="1">
        <f t="shared" si="77"/>
        <v>-5</v>
      </c>
    </row>
    <row r="792" s="1" customFormat="1" spans="1:12">
      <c r="A792" s="2">
        <v>26.407</v>
      </c>
      <c r="B792" s="10" t="s">
        <v>87</v>
      </c>
      <c r="C792" s="4">
        <v>26.374</v>
      </c>
      <c r="D792" s="4">
        <v>48</v>
      </c>
      <c r="G792" s="2">
        <f t="shared" si="72"/>
        <v>26.374</v>
      </c>
      <c r="H792" s="11" t="str">
        <f t="shared" si="73"/>
        <v>3.373E-2</v>
      </c>
      <c r="I792" s="2">
        <f t="shared" si="74"/>
        <v>47.8</v>
      </c>
      <c r="J792" s="4">
        <f t="shared" si="75"/>
        <v>26.374</v>
      </c>
      <c r="K792" s="9">
        <f t="shared" si="76"/>
        <v>-5.99999999999996</v>
      </c>
      <c r="L792" s="1">
        <f t="shared" si="77"/>
        <v>-5</v>
      </c>
    </row>
    <row r="793" s="1" customFormat="1" spans="1:12">
      <c r="A793" s="2">
        <v>26.44</v>
      </c>
      <c r="B793" s="10" t="s">
        <v>251</v>
      </c>
      <c r="C793" s="4">
        <v>26.407</v>
      </c>
      <c r="D793" s="4">
        <v>47.4</v>
      </c>
      <c r="G793" s="2">
        <f t="shared" si="72"/>
        <v>26.407</v>
      </c>
      <c r="H793" s="11" t="str">
        <f t="shared" si="73"/>
        <v>3.376E-2</v>
      </c>
      <c r="I793" s="2">
        <f t="shared" si="74"/>
        <v>48</v>
      </c>
      <c r="J793" s="4">
        <f t="shared" si="75"/>
        <v>26.407</v>
      </c>
      <c r="K793" s="9">
        <f t="shared" si="76"/>
        <v>-5.70000000000001</v>
      </c>
      <c r="L793" s="1">
        <f t="shared" si="77"/>
        <v>-5</v>
      </c>
    </row>
    <row r="794" s="1" customFormat="1" spans="1:12">
      <c r="A794" s="2">
        <v>26.474</v>
      </c>
      <c r="B794" s="10" t="s">
        <v>252</v>
      </c>
      <c r="C794" s="4">
        <v>26.44</v>
      </c>
      <c r="D794" s="4">
        <v>48.2</v>
      </c>
      <c r="G794" s="2">
        <f t="shared" si="72"/>
        <v>26.44</v>
      </c>
      <c r="H794" s="11" t="str">
        <f t="shared" si="73"/>
        <v>3.380E-2</v>
      </c>
      <c r="I794" s="2">
        <f t="shared" si="74"/>
        <v>47.4</v>
      </c>
      <c r="J794" s="4">
        <f t="shared" si="75"/>
        <v>26.44</v>
      </c>
      <c r="K794" s="9">
        <f t="shared" si="76"/>
        <v>-5.30000000000003</v>
      </c>
      <c r="L794" s="1">
        <f t="shared" si="77"/>
        <v>-5</v>
      </c>
    </row>
    <row r="795" s="1" customFormat="1" spans="1:12">
      <c r="A795" s="2">
        <v>26.507</v>
      </c>
      <c r="B795" s="10" t="s">
        <v>48</v>
      </c>
      <c r="C795" s="4">
        <v>26.474</v>
      </c>
      <c r="D795" s="4">
        <v>47.9</v>
      </c>
      <c r="G795" s="2">
        <f t="shared" si="72"/>
        <v>26.474</v>
      </c>
      <c r="H795" s="11" t="str">
        <f t="shared" si="73"/>
        <v>3.384E-2</v>
      </c>
      <c r="I795" s="2">
        <f t="shared" si="74"/>
        <v>48.2</v>
      </c>
      <c r="J795" s="4">
        <f t="shared" si="75"/>
        <v>26.474</v>
      </c>
      <c r="K795" s="9">
        <f t="shared" si="76"/>
        <v>-4.89999999999997</v>
      </c>
      <c r="L795" s="1">
        <f t="shared" si="77"/>
        <v>-5</v>
      </c>
    </row>
    <row r="796" s="1" customFormat="1" spans="1:12">
      <c r="A796" s="2">
        <v>26.541</v>
      </c>
      <c r="B796" s="10" t="s">
        <v>229</v>
      </c>
      <c r="C796" s="4">
        <v>26.507</v>
      </c>
      <c r="D796" s="4">
        <v>48</v>
      </c>
      <c r="G796" s="2">
        <f t="shared" si="72"/>
        <v>26.507</v>
      </c>
      <c r="H796" s="11" t="str">
        <f t="shared" si="73"/>
        <v>3.390E-2</v>
      </c>
      <c r="I796" s="2">
        <f t="shared" si="74"/>
        <v>47.9</v>
      </c>
      <c r="J796" s="4">
        <f t="shared" si="75"/>
        <v>26.507</v>
      </c>
      <c r="K796" s="9">
        <f t="shared" si="76"/>
        <v>-4.3</v>
      </c>
      <c r="L796" s="1">
        <f t="shared" si="77"/>
        <v>-5</v>
      </c>
    </row>
    <row r="797" s="1" customFormat="1" spans="1:12">
      <c r="A797" s="2">
        <v>26.574</v>
      </c>
      <c r="B797" s="10" t="s">
        <v>82</v>
      </c>
      <c r="C797" s="4">
        <v>26.541</v>
      </c>
      <c r="D797" s="4">
        <v>47.7</v>
      </c>
      <c r="G797" s="2">
        <f t="shared" si="72"/>
        <v>26.541</v>
      </c>
      <c r="H797" s="11" t="str">
        <f t="shared" si="73"/>
        <v>3.405E-2</v>
      </c>
      <c r="I797" s="2">
        <f t="shared" si="74"/>
        <v>48</v>
      </c>
      <c r="J797" s="4">
        <f t="shared" si="75"/>
        <v>26.541</v>
      </c>
      <c r="K797" s="9">
        <f t="shared" si="76"/>
        <v>-2.80000000000002</v>
      </c>
      <c r="L797" s="1">
        <f t="shared" si="77"/>
        <v>-5</v>
      </c>
    </row>
    <row r="798" s="1" customFormat="1" spans="1:12">
      <c r="A798" s="2">
        <v>26.608</v>
      </c>
      <c r="B798" s="10" t="s">
        <v>44</v>
      </c>
      <c r="C798" s="4">
        <v>26.574</v>
      </c>
      <c r="D798" s="4">
        <v>47.5</v>
      </c>
      <c r="G798" s="2">
        <f t="shared" si="72"/>
        <v>26.574</v>
      </c>
      <c r="H798" s="11" t="str">
        <f t="shared" si="73"/>
        <v>3.414E-2</v>
      </c>
      <c r="I798" s="2">
        <f t="shared" si="74"/>
        <v>47.7</v>
      </c>
      <c r="J798" s="4">
        <f t="shared" si="75"/>
        <v>26.574</v>
      </c>
      <c r="K798" s="9">
        <f t="shared" si="76"/>
        <v>-1.90000000000003</v>
      </c>
      <c r="L798" s="1">
        <f t="shared" si="77"/>
        <v>-5</v>
      </c>
    </row>
    <row r="799" s="1" customFormat="1" spans="1:12">
      <c r="A799" s="2">
        <v>26.641</v>
      </c>
      <c r="B799" s="10" t="s">
        <v>9</v>
      </c>
      <c r="C799" s="4">
        <v>26.608</v>
      </c>
      <c r="D799" s="4">
        <v>47.9</v>
      </c>
      <c r="G799" s="2">
        <f t="shared" si="72"/>
        <v>26.608</v>
      </c>
      <c r="H799" s="11" t="str">
        <f t="shared" si="73"/>
        <v>3.422E-2</v>
      </c>
      <c r="I799" s="2">
        <f t="shared" si="74"/>
        <v>47.5</v>
      </c>
      <c r="J799" s="4">
        <f t="shared" si="75"/>
        <v>26.608</v>
      </c>
      <c r="K799" s="9">
        <f t="shared" si="76"/>
        <v>-1.09999999999999</v>
      </c>
      <c r="L799" s="1">
        <f t="shared" si="77"/>
        <v>-5</v>
      </c>
    </row>
    <row r="800" s="1" customFormat="1" spans="1:12">
      <c r="A800" s="2">
        <v>26.674</v>
      </c>
      <c r="B800" s="10" t="s">
        <v>222</v>
      </c>
      <c r="C800" s="4">
        <v>26.641</v>
      </c>
      <c r="D800" s="4">
        <v>47.5</v>
      </c>
      <c r="G800" s="2">
        <f t="shared" si="72"/>
        <v>26.641</v>
      </c>
      <c r="H800" s="11" t="str">
        <f t="shared" si="73"/>
        <v>3.433E-2</v>
      </c>
      <c r="I800" s="2">
        <f t="shared" si="74"/>
        <v>47.9</v>
      </c>
      <c r="J800" s="4">
        <f t="shared" si="75"/>
        <v>26.641</v>
      </c>
      <c r="K800" s="9">
        <f t="shared" si="76"/>
        <v>0</v>
      </c>
      <c r="L800" s="1">
        <f t="shared" si="77"/>
        <v>-5</v>
      </c>
    </row>
    <row r="801" s="1" customFormat="1" spans="1:12">
      <c r="A801" s="2">
        <v>26.708</v>
      </c>
      <c r="B801" s="10" t="s">
        <v>59</v>
      </c>
      <c r="C801" s="4">
        <v>26.674</v>
      </c>
      <c r="D801" s="4">
        <v>47.8</v>
      </c>
      <c r="G801" s="2">
        <f t="shared" si="72"/>
        <v>26.674</v>
      </c>
      <c r="H801" s="11" t="str">
        <f t="shared" si="73"/>
        <v>3.443E-2</v>
      </c>
      <c r="I801" s="2">
        <f t="shared" si="74"/>
        <v>47.5</v>
      </c>
      <c r="J801" s="4">
        <f t="shared" si="75"/>
        <v>26.674</v>
      </c>
      <c r="K801" s="9">
        <f t="shared" si="76"/>
        <v>1.00000000000003</v>
      </c>
      <c r="L801" s="1">
        <f t="shared" si="77"/>
        <v>-5</v>
      </c>
    </row>
    <row r="802" s="1" customFormat="1" spans="1:12">
      <c r="A802" s="2">
        <v>26.741</v>
      </c>
      <c r="B802" s="10" t="s">
        <v>237</v>
      </c>
      <c r="C802" s="4">
        <v>26.708</v>
      </c>
      <c r="D802" s="4">
        <v>47.7</v>
      </c>
      <c r="G802" s="2">
        <f t="shared" si="72"/>
        <v>26.708</v>
      </c>
      <c r="H802" s="11" t="str">
        <f t="shared" si="73"/>
        <v>3.452E-2</v>
      </c>
      <c r="I802" s="2">
        <f t="shared" si="74"/>
        <v>47.8</v>
      </c>
      <c r="J802" s="4">
        <f t="shared" si="75"/>
        <v>26.708</v>
      </c>
      <c r="K802" s="9">
        <f t="shared" si="76"/>
        <v>1.90000000000003</v>
      </c>
      <c r="L802" s="1">
        <f t="shared" si="77"/>
        <v>-5</v>
      </c>
    </row>
    <row r="803" s="1" customFormat="1" spans="1:12">
      <c r="A803" s="2">
        <v>26.775</v>
      </c>
      <c r="B803" s="10" t="s">
        <v>80</v>
      </c>
      <c r="C803" s="4">
        <v>26.741</v>
      </c>
      <c r="D803" s="4">
        <v>48.1</v>
      </c>
      <c r="G803" s="2">
        <f t="shared" si="72"/>
        <v>26.741</v>
      </c>
      <c r="H803" s="11" t="str">
        <f t="shared" si="73"/>
        <v>3.464E-2</v>
      </c>
      <c r="I803" s="2">
        <f t="shared" si="74"/>
        <v>47.7</v>
      </c>
      <c r="J803" s="4">
        <f t="shared" si="75"/>
        <v>26.741</v>
      </c>
      <c r="K803" s="9">
        <f t="shared" si="76"/>
        <v>3.09999999999998</v>
      </c>
      <c r="L803" s="1">
        <f t="shared" si="77"/>
        <v>-5</v>
      </c>
    </row>
    <row r="804" s="1" customFormat="1" spans="1:12">
      <c r="A804" s="2">
        <v>26.808</v>
      </c>
      <c r="B804" s="10" t="s">
        <v>29</v>
      </c>
      <c r="C804" s="4">
        <v>26.775</v>
      </c>
      <c r="D804" s="4">
        <v>47.4</v>
      </c>
      <c r="G804" s="2">
        <f t="shared" si="72"/>
        <v>26.775</v>
      </c>
      <c r="H804" s="11" t="str">
        <f t="shared" si="73"/>
        <v>3.472E-2</v>
      </c>
      <c r="I804" s="2">
        <f t="shared" si="74"/>
        <v>48.1</v>
      </c>
      <c r="J804" s="4">
        <f t="shared" si="75"/>
        <v>26.775</v>
      </c>
      <c r="K804" s="9">
        <f t="shared" si="76"/>
        <v>3.90000000000001</v>
      </c>
      <c r="L804" s="1">
        <f t="shared" si="77"/>
        <v>-5</v>
      </c>
    </row>
    <row r="805" s="1" customFormat="1" spans="1:12">
      <c r="A805" s="2">
        <v>26.842</v>
      </c>
      <c r="B805" s="10" t="s">
        <v>205</v>
      </c>
      <c r="C805" s="4">
        <v>26.808</v>
      </c>
      <c r="D805" s="4">
        <v>48</v>
      </c>
      <c r="G805" s="2">
        <f t="shared" si="72"/>
        <v>26.808</v>
      </c>
      <c r="H805" s="11" t="str">
        <f t="shared" si="73"/>
        <v>3.478E-2</v>
      </c>
      <c r="I805" s="2">
        <f t="shared" si="74"/>
        <v>47.4</v>
      </c>
      <c r="J805" s="4">
        <f t="shared" si="75"/>
        <v>26.808</v>
      </c>
      <c r="K805" s="9">
        <f t="shared" si="76"/>
        <v>4.49999999999999</v>
      </c>
      <c r="L805" s="1">
        <f t="shared" si="77"/>
        <v>-5</v>
      </c>
    </row>
    <row r="806" s="1" customFormat="1" spans="1:12">
      <c r="A806" s="2">
        <v>26.875</v>
      </c>
      <c r="B806" s="10" t="s">
        <v>39</v>
      </c>
      <c r="C806" s="4">
        <v>26.842</v>
      </c>
      <c r="D806" s="4">
        <v>48.3</v>
      </c>
      <c r="G806" s="2">
        <f t="shared" si="72"/>
        <v>26.842</v>
      </c>
      <c r="H806" s="11" t="str">
        <f t="shared" si="73"/>
        <v>3.481E-2</v>
      </c>
      <c r="I806" s="2">
        <f t="shared" si="74"/>
        <v>48</v>
      </c>
      <c r="J806" s="4">
        <f t="shared" si="75"/>
        <v>26.842</v>
      </c>
      <c r="K806" s="9">
        <f t="shared" si="76"/>
        <v>4.80000000000001</v>
      </c>
      <c r="L806" s="1">
        <f t="shared" si="77"/>
        <v>-5</v>
      </c>
    </row>
    <row r="807" s="1" customFormat="1" spans="1:12">
      <c r="A807" s="2">
        <v>26.908</v>
      </c>
      <c r="B807" s="10" t="s">
        <v>192</v>
      </c>
      <c r="C807" s="4">
        <v>26.875</v>
      </c>
      <c r="D807" s="4">
        <v>47.7</v>
      </c>
      <c r="G807" s="2">
        <f t="shared" si="72"/>
        <v>26.875</v>
      </c>
      <c r="H807" s="11" t="str">
        <f t="shared" si="73"/>
        <v>3.489E-2</v>
      </c>
      <c r="I807" s="2">
        <f t="shared" si="74"/>
        <v>48.3</v>
      </c>
      <c r="J807" s="4">
        <f t="shared" si="75"/>
        <v>26.875</v>
      </c>
      <c r="K807" s="9">
        <f t="shared" si="76"/>
        <v>5.59999999999998</v>
      </c>
      <c r="L807" s="1">
        <f t="shared" si="77"/>
        <v>-5</v>
      </c>
    </row>
    <row r="808" s="1" customFormat="1" spans="1:12">
      <c r="A808" s="2">
        <v>26.942</v>
      </c>
      <c r="B808" s="10" t="s">
        <v>37</v>
      </c>
      <c r="C808" s="4">
        <v>26.908</v>
      </c>
      <c r="D808" s="4">
        <v>47.9</v>
      </c>
      <c r="G808" s="2">
        <f t="shared" si="72"/>
        <v>26.908</v>
      </c>
      <c r="H808" s="11" t="str">
        <f t="shared" si="73"/>
        <v>3.495E-2</v>
      </c>
      <c r="I808" s="2">
        <f t="shared" si="74"/>
        <v>47.7</v>
      </c>
      <c r="J808" s="4">
        <f t="shared" si="75"/>
        <v>26.908</v>
      </c>
      <c r="K808" s="9">
        <f t="shared" si="76"/>
        <v>6.20000000000003</v>
      </c>
      <c r="L808" s="1">
        <f t="shared" si="77"/>
        <v>-5</v>
      </c>
    </row>
    <row r="809" s="1" customFormat="1" spans="1:12">
      <c r="A809" s="2">
        <v>26.975</v>
      </c>
      <c r="B809" s="10" t="s">
        <v>192</v>
      </c>
      <c r="C809" s="4">
        <v>26.942</v>
      </c>
      <c r="D809" s="4">
        <v>47.8</v>
      </c>
      <c r="G809" s="2">
        <f t="shared" si="72"/>
        <v>26.942</v>
      </c>
      <c r="H809" s="11" t="str">
        <f t="shared" si="73"/>
        <v>3.496E-2</v>
      </c>
      <c r="I809" s="2">
        <f t="shared" si="74"/>
        <v>47.9</v>
      </c>
      <c r="J809" s="4">
        <f t="shared" si="75"/>
        <v>26.942</v>
      </c>
      <c r="K809" s="9">
        <f t="shared" si="76"/>
        <v>6.29999999999999</v>
      </c>
      <c r="L809" s="1">
        <f t="shared" si="77"/>
        <v>-5</v>
      </c>
    </row>
    <row r="810" s="1" customFormat="1" spans="1:12">
      <c r="A810" s="2">
        <v>27.009</v>
      </c>
      <c r="B810" s="10" t="s">
        <v>31</v>
      </c>
      <c r="C810" s="4">
        <v>26.975</v>
      </c>
      <c r="D810" s="4">
        <v>48.1</v>
      </c>
      <c r="G810" s="2">
        <f t="shared" si="72"/>
        <v>26.975</v>
      </c>
      <c r="H810" s="11" t="str">
        <f t="shared" si="73"/>
        <v>3.495E-2</v>
      </c>
      <c r="I810" s="2">
        <f t="shared" si="74"/>
        <v>47.8</v>
      </c>
      <c r="J810" s="4">
        <f t="shared" si="75"/>
        <v>26.975</v>
      </c>
      <c r="K810" s="9">
        <f t="shared" si="76"/>
        <v>6.20000000000003</v>
      </c>
      <c r="L810" s="1">
        <f t="shared" si="77"/>
        <v>-5</v>
      </c>
    </row>
    <row r="811" s="1" customFormat="1" spans="1:12">
      <c r="A811" s="2">
        <v>27.042</v>
      </c>
      <c r="B811" s="10" t="s">
        <v>38</v>
      </c>
      <c r="C811" s="4">
        <v>27.009</v>
      </c>
      <c r="D811" s="4">
        <v>47.5</v>
      </c>
      <c r="G811" s="2">
        <f t="shared" si="72"/>
        <v>27.009</v>
      </c>
      <c r="H811" s="11" t="str">
        <f t="shared" si="73"/>
        <v>3.494E-2</v>
      </c>
      <c r="I811" s="2">
        <f t="shared" si="74"/>
        <v>48.1</v>
      </c>
      <c r="J811" s="4">
        <f t="shared" si="75"/>
        <v>27.009</v>
      </c>
      <c r="K811" s="9">
        <f t="shared" si="76"/>
        <v>6.09999999999999</v>
      </c>
      <c r="L811" s="1">
        <f t="shared" si="77"/>
        <v>-5</v>
      </c>
    </row>
    <row r="812" s="1" customFormat="1" spans="1:12">
      <c r="A812" s="2">
        <v>27.076</v>
      </c>
      <c r="B812" s="10" t="s">
        <v>195</v>
      </c>
      <c r="C812" s="4">
        <v>27.042</v>
      </c>
      <c r="D812" s="4">
        <v>47.8</v>
      </c>
      <c r="G812" s="2">
        <f t="shared" si="72"/>
        <v>27.042</v>
      </c>
      <c r="H812" s="11" t="str">
        <f t="shared" si="73"/>
        <v>3.492E-2</v>
      </c>
      <c r="I812" s="2">
        <f t="shared" si="74"/>
        <v>47.5</v>
      </c>
      <c r="J812" s="4">
        <f t="shared" si="75"/>
        <v>27.042</v>
      </c>
      <c r="K812" s="9">
        <f t="shared" si="76"/>
        <v>5.9</v>
      </c>
      <c r="L812" s="1">
        <f t="shared" si="77"/>
        <v>-5</v>
      </c>
    </row>
    <row r="813" s="1" customFormat="1" spans="1:12">
      <c r="A813" s="2">
        <v>27.109</v>
      </c>
      <c r="B813" s="10" t="s">
        <v>30</v>
      </c>
      <c r="C813" s="4">
        <v>27.076</v>
      </c>
      <c r="D813" s="4">
        <v>48</v>
      </c>
      <c r="G813" s="2">
        <f t="shared" si="72"/>
        <v>27.076</v>
      </c>
      <c r="H813" s="11" t="str">
        <f t="shared" si="73"/>
        <v>3.488E-2</v>
      </c>
      <c r="I813" s="2">
        <f t="shared" si="74"/>
        <v>47.8</v>
      </c>
      <c r="J813" s="4">
        <f t="shared" si="75"/>
        <v>27.076</v>
      </c>
      <c r="K813" s="9">
        <f t="shared" si="76"/>
        <v>5.50000000000002</v>
      </c>
      <c r="L813" s="1">
        <f t="shared" si="77"/>
        <v>-5</v>
      </c>
    </row>
    <row r="814" s="1" customFormat="1" spans="1:12">
      <c r="A814" s="2">
        <v>27.142</v>
      </c>
      <c r="B814" s="10" t="s">
        <v>243</v>
      </c>
      <c r="C814" s="4">
        <v>27.109</v>
      </c>
      <c r="D814" s="4">
        <v>48.2</v>
      </c>
      <c r="G814" s="2">
        <f t="shared" si="72"/>
        <v>27.109</v>
      </c>
      <c r="H814" s="11" t="str">
        <f t="shared" si="73"/>
        <v>3.484E-2</v>
      </c>
      <c r="I814" s="2">
        <f t="shared" si="74"/>
        <v>48</v>
      </c>
      <c r="J814" s="4">
        <f t="shared" si="75"/>
        <v>27.109</v>
      </c>
      <c r="K814" s="9">
        <f t="shared" si="76"/>
        <v>5.10000000000004</v>
      </c>
      <c r="L814" s="1">
        <f t="shared" si="77"/>
        <v>-5</v>
      </c>
    </row>
    <row r="815" s="1" customFormat="1" spans="1:12">
      <c r="A815" s="2">
        <v>27.176</v>
      </c>
      <c r="B815" s="10" t="s">
        <v>80</v>
      </c>
      <c r="C815" s="4">
        <v>27.142</v>
      </c>
      <c r="D815" s="4">
        <v>47.7</v>
      </c>
      <c r="G815" s="2">
        <f t="shared" si="72"/>
        <v>27.142</v>
      </c>
      <c r="H815" s="11" t="str">
        <f t="shared" si="73"/>
        <v>3.480E-2</v>
      </c>
      <c r="I815" s="2">
        <f t="shared" si="74"/>
        <v>48.2</v>
      </c>
      <c r="J815" s="4">
        <f t="shared" si="75"/>
        <v>27.142</v>
      </c>
      <c r="K815" s="9">
        <f t="shared" si="76"/>
        <v>4.69999999999998</v>
      </c>
      <c r="L815" s="1">
        <f t="shared" si="77"/>
        <v>-5</v>
      </c>
    </row>
    <row r="816" s="1" customFormat="1" spans="1:12">
      <c r="A816" s="2">
        <v>27.209</v>
      </c>
      <c r="B816" s="10" t="s">
        <v>203</v>
      </c>
      <c r="C816" s="4">
        <v>27.176</v>
      </c>
      <c r="D816" s="4">
        <v>47.6</v>
      </c>
      <c r="G816" s="2">
        <f t="shared" si="72"/>
        <v>27.176</v>
      </c>
      <c r="H816" s="11" t="str">
        <f t="shared" si="73"/>
        <v>3.472E-2</v>
      </c>
      <c r="I816" s="2">
        <f t="shared" si="74"/>
        <v>47.7</v>
      </c>
      <c r="J816" s="4">
        <f t="shared" si="75"/>
        <v>27.176</v>
      </c>
      <c r="K816" s="9">
        <f t="shared" si="76"/>
        <v>3.90000000000001</v>
      </c>
      <c r="L816" s="1">
        <f t="shared" si="77"/>
        <v>-5</v>
      </c>
    </row>
    <row r="817" s="1" customFormat="1" spans="1:12">
      <c r="A817" s="2">
        <v>27.243</v>
      </c>
      <c r="B817" s="10" t="s">
        <v>26</v>
      </c>
      <c r="C817" s="4">
        <v>27.209</v>
      </c>
      <c r="D817" s="4">
        <v>48.1</v>
      </c>
      <c r="G817" s="2">
        <f t="shared" si="72"/>
        <v>27.209</v>
      </c>
      <c r="H817" s="11" t="str">
        <f t="shared" si="73"/>
        <v>3.460E-2</v>
      </c>
      <c r="I817" s="2">
        <f t="shared" si="74"/>
        <v>47.6</v>
      </c>
      <c r="J817" s="4">
        <f t="shared" si="75"/>
        <v>27.209</v>
      </c>
      <c r="K817" s="9">
        <f t="shared" si="76"/>
        <v>2.69999999999999</v>
      </c>
      <c r="L817" s="1">
        <f t="shared" si="77"/>
        <v>-5</v>
      </c>
    </row>
    <row r="818" s="1" customFormat="1" spans="1:12">
      <c r="A818" s="2">
        <v>27.276</v>
      </c>
      <c r="B818" s="10" t="s">
        <v>23</v>
      </c>
      <c r="C818" s="4">
        <v>27.243</v>
      </c>
      <c r="D818" s="4">
        <v>47.8</v>
      </c>
      <c r="G818" s="2">
        <f t="shared" si="72"/>
        <v>27.243</v>
      </c>
      <c r="H818" s="11" t="str">
        <f t="shared" si="73"/>
        <v>3.451E-2</v>
      </c>
      <c r="I818" s="2">
        <f t="shared" si="74"/>
        <v>48.1</v>
      </c>
      <c r="J818" s="4">
        <f t="shared" si="75"/>
        <v>27.243</v>
      </c>
      <c r="K818" s="9">
        <f t="shared" si="76"/>
        <v>1.8</v>
      </c>
      <c r="L818" s="1">
        <f t="shared" si="77"/>
        <v>-5</v>
      </c>
    </row>
    <row r="819" s="1" customFormat="1" spans="1:12">
      <c r="A819" s="2">
        <v>27.31</v>
      </c>
      <c r="B819" s="10" t="s">
        <v>20</v>
      </c>
      <c r="C819" s="4">
        <v>27.276</v>
      </c>
      <c r="D819" s="4">
        <v>47.6</v>
      </c>
      <c r="G819" s="2">
        <f t="shared" si="72"/>
        <v>27.276</v>
      </c>
      <c r="H819" s="11" t="str">
        <f t="shared" si="73"/>
        <v>3.442E-2</v>
      </c>
      <c r="I819" s="2">
        <f t="shared" si="74"/>
        <v>47.8</v>
      </c>
      <c r="J819" s="4">
        <f t="shared" si="75"/>
        <v>27.276</v>
      </c>
      <c r="K819" s="9">
        <f t="shared" si="76"/>
        <v>0.899999999999998</v>
      </c>
      <c r="L819" s="1">
        <f t="shared" si="77"/>
        <v>-5</v>
      </c>
    </row>
    <row r="820" s="1" customFormat="1" spans="1:12">
      <c r="A820" s="2">
        <v>27.343</v>
      </c>
      <c r="B820" s="10" t="s">
        <v>44</v>
      </c>
      <c r="C820" s="4">
        <v>27.31</v>
      </c>
      <c r="D820" s="4">
        <v>47.8</v>
      </c>
      <c r="G820" s="2">
        <f t="shared" si="72"/>
        <v>27.31</v>
      </c>
      <c r="H820" s="11" t="str">
        <f t="shared" si="73"/>
        <v>3.430E-2</v>
      </c>
      <c r="I820" s="2">
        <f t="shared" si="74"/>
        <v>47.6</v>
      </c>
      <c r="J820" s="4">
        <f t="shared" si="75"/>
        <v>27.31</v>
      </c>
      <c r="K820" s="9">
        <f t="shared" si="76"/>
        <v>-0.300000000000022</v>
      </c>
      <c r="L820" s="1">
        <f t="shared" si="77"/>
        <v>-5</v>
      </c>
    </row>
    <row r="821" s="1" customFormat="1" spans="1:12">
      <c r="A821" s="2">
        <v>27.376</v>
      </c>
      <c r="B821" s="10" t="s">
        <v>82</v>
      </c>
      <c r="C821" s="4">
        <v>27.343</v>
      </c>
      <c r="D821" s="4">
        <v>47.5</v>
      </c>
      <c r="G821" s="2">
        <f t="shared" si="72"/>
        <v>27.343</v>
      </c>
      <c r="H821" s="11" t="str">
        <f t="shared" si="73"/>
        <v>3.422E-2</v>
      </c>
      <c r="I821" s="2">
        <f t="shared" si="74"/>
        <v>47.8</v>
      </c>
      <c r="J821" s="4">
        <f t="shared" si="75"/>
        <v>27.343</v>
      </c>
      <c r="K821" s="9">
        <f t="shared" si="76"/>
        <v>-1.09999999999999</v>
      </c>
      <c r="L821" s="1">
        <f t="shared" si="77"/>
        <v>-5</v>
      </c>
    </row>
    <row r="822" s="1" customFormat="1" spans="1:12">
      <c r="A822" s="2">
        <v>27.41</v>
      </c>
      <c r="B822" s="10" t="s">
        <v>46</v>
      </c>
      <c r="C822" s="4">
        <v>27.376</v>
      </c>
      <c r="D822" s="4">
        <v>47.7</v>
      </c>
      <c r="G822" s="2">
        <f t="shared" si="72"/>
        <v>27.376</v>
      </c>
      <c r="H822" s="11" t="str">
        <f t="shared" si="73"/>
        <v>3.414E-2</v>
      </c>
      <c r="I822" s="2">
        <f t="shared" si="74"/>
        <v>47.5</v>
      </c>
      <c r="J822" s="4">
        <f t="shared" si="75"/>
        <v>27.376</v>
      </c>
      <c r="K822" s="9">
        <f t="shared" si="76"/>
        <v>-1.90000000000003</v>
      </c>
      <c r="L822" s="1">
        <f t="shared" si="77"/>
        <v>-5</v>
      </c>
    </row>
    <row r="823" s="1" customFormat="1" spans="1:12">
      <c r="A823" s="2">
        <v>27.443</v>
      </c>
      <c r="B823" s="10" t="s">
        <v>47</v>
      </c>
      <c r="C823" s="4">
        <v>27.41</v>
      </c>
      <c r="D823" s="4">
        <v>47.9</v>
      </c>
      <c r="G823" s="2">
        <f t="shared" si="72"/>
        <v>27.41</v>
      </c>
      <c r="H823" s="11" t="str">
        <f t="shared" si="73"/>
        <v>3.401E-2</v>
      </c>
      <c r="I823" s="2">
        <f t="shared" si="74"/>
        <v>47.7</v>
      </c>
      <c r="J823" s="4">
        <f t="shared" si="75"/>
        <v>27.41</v>
      </c>
      <c r="K823" s="9">
        <f t="shared" si="76"/>
        <v>-3.20000000000001</v>
      </c>
      <c r="L823" s="1">
        <f t="shared" si="77"/>
        <v>-5</v>
      </c>
    </row>
    <row r="824" s="1" customFormat="1" spans="1:12">
      <c r="A824" s="2">
        <v>27.477</v>
      </c>
      <c r="B824" s="10" t="s">
        <v>113</v>
      </c>
      <c r="C824" s="4">
        <v>27.443</v>
      </c>
      <c r="D824" s="4">
        <v>47.3</v>
      </c>
      <c r="G824" s="2">
        <f t="shared" si="72"/>
        <v>27.443</v>
      </c>
      <c r="H824" s="11" t="str">
        <f t="shared" si="73"/>
        <v>3.394E-2</v>
      </c>
      <c r="I824" s="2">
        <f t="shared" si="74"/>
        <v>47.9</v>
      </c>
      <c r="J824" s="4">
        <f t="shared" si="75"/>
        <v>27.443</v>
      </c>
      <c r="K824" s="9">
        <f t="shared" si="76"/>
        <v>-3.90000000000001</v>
      </c>
      <c r="L824" s="1">
        <f t="shared" si="77"/>
        <v>-5</v>
      </c>
    </row>
    <row r="825" s="1" customFormat="1" spans="1:12">
      <c r="A825" s="2">
        <v>27.51</v>
      </c>
      <c r="B825" s="10" t="s">
        <v>239</v>
      </c>
      <c r="C825" s="4">
        <v>27.477</v>
      </c>
      <c r="D825" s="4">
        <v>47.7</v>
      </c>
      <c r="G825" s="2">
        <f t="shared" si="72"/>
        <v>27.477</v>
      </c>
      <c r="H825" s="11" t="str">
        <f t="shared" si="73"/>
        <v>3.389E-2</v>
      </c>
      <c r="I825" s="2">
        <f t="shared" si="74"/>
        <v>47.3</v>
      </c>
      <c r="J825" s="4">
        <f t="shared" si="75"/>
        <v>27.477</v>
      </c>
      <c r="K825" s="9">
        <f t="shared" si="76"/>
        <v>-4.39999999999996</v>
      </c>
      <c r="L825" s="1">
        <f t="shared" si="77"/>
        <v>-5</v>
      </c>
    </row>
    <row r="826" s="1" customFormat="1" spans="1:12">
      <c r="A826" s="2">
        <v>27.544</v>
      </c>
      <c r="B826" s="10" t="s">
        <v>54</v>
      </c>
      <c r="C826" s="4">
        <v>27.51</v>
      </c>
      <c r="D826" s="4">
        <v>47.3</v>
      </c>
      <c r="G826" s="2">
        <f t="shared" si="72"/>
        <v>27.51</v>
      </c>
      <c r="H826" s="11" t="str">
        <f t="shared" si="73"/>
        <v>3.387E-2</v>
      </c>
      <c r="I826" s="2">
        <f t="shared" si="74"/>
        <v>47.7</v>
      </c>
      <c r="J826" s="4">
        <f t="shared" si="75"/>
        <v>27.51</v>
      </c>
      <c r="K826" s="9">
        <f t="shared" si="76"/>
        <v>-4.60000000000002</v>
      </c>
      <c r="L826" s="1">
        <f t="shared" si="77"/>
        <v>-5</v>
      </c>
    </row>
    <row r="827" s="1" customFormat="1" spans="1:12">
      <c r="A827" s="2">
        <v>27.577</v>
      </c>
      <c r="B827" s="10" t="s">
        <v>51</v>
      </c>
      <c r="C827" s="4">
        <v>27.544</v>
      </c>
      <c r="D827" s="4">
        <v>48.2</v>
      </c>
      <c r="G827" s="2">
        <f t="shared" si="72"/>
        <v>27.544</v>
      </c>
      <c r="H827" s="11" t="str">
        <f t="shared" si="73"/>
        <v>3.378E-2</v>
      </c>
      <c r="I827" s="2">
        <f t="shared" si="74"/>
        <v>47.3</v>
      </c>
      <c r="J827" s="4">
        <f t="shared" si="75"/>
        <v>27.544</v>
      </c>
      <c r="K827" s="9">
        <f t="shared" si="76"/>
        <v>-5.50000000000002</v>
      </c>
      <c r="L827" s="1">
        <f t="shared" si="77"/>
        <v>-5</v>
      </c>
    </row>
    <row r="828" s="1" customFormat="1" spans="1:12">
      <c r="A828" s="2">
        <v>27.61</v>
      </c>
      <c r="B828" s="10" t="s">
        <v>52</v>
      </c>
      <c r="C828" s="4">
        <v>27.577</v>
      </c>
      <c r="D828" s="4">
        <v>47.8</v>
      </c>
      <c r="G828" s="2">
        <f t="shared" si="72"/>
        <v>27.577</v>
      </c>
      <c r="H828" s="11" t="str">
        <f t="shared" si="73"/>
        <v>3.373E-2</v>
      </c>
      <c r="I828" s="2">
        <f t="shared" si="74"/>
        <v>48.2</v>
      </c>
      <c r="J828" s="4">
        <f t="shared" si="75"/>
        <v>27.577</v>
      </c>
      <c r="K828" s="9">
        <f t="shared" si="76"/>
        <v>-5.99999999999996</v>
      </c>
      <c r="L828" s="1">
        <f t="shared" si="77"/>
        <v>-5</v>
      </c>
    </row>
    <row r="829" s="1" customFormat="1" spans="1:12">
      <c r="A829" s="2">
        <v>27.644</v>
      </c>
      <c r="B829" s="10" t="s">
        <v>52</v>
      </c>
      <c r="C829" s="4">
        <v>27.61</v>
      </c>
      <c r="D829" s="4">
        <v>47.6</v>
      </c>
      <c r="G829" s="2">
        <f t="shared" si="72"/>
        <v>27.61</v>
      </c>
      <c r="H829" s="11" t="str">
        <f t="shared" si="73"/>
        <v>3.372E-2</v>
      </c>
      <c r="I829" s="2">
        <f t="shared" si="74"/>
        <v>47.8</v>
      </c>
      <c r="J829" s="4">
        <f t="shared" si="75"/>
        <v>27.61</v>
      </c>
      <c r="K829" s="9">
        <f t="shared" si="76"/>
        <v>-6.09999999999999</v>
      </c>
      <c r="L829" s="1">
        <f t="shared" si="77"/>
        <v>-5</v>
      </c>
    </row>
    <row r="830" s="1" customFormat="1" spans="1:12">
      <c r="A830" s="2">
        <v>27.677</v>
      </c>
      <c r="B830" s="10" t="s">
        <v>246</v>
      </c>
      <c r="C830" s="4">
        <v>27.644</v>
      </c>
      <c r="D830" s="4">
        <v>47.4</v>
      </c>
      <c r="G830" s="2">
        <f t="shared" si="72"/>
        <v>27.644</v>
      </c>
      <c r="H830" s="11" t="str">
        <f t="shared" si="73"/>
        <v>3.372E-2</v>
      </c>
      <c r="I830" s="2">
        <f t="shared" si="74"/>
        <v>47.6</v>
      </c>
      <c r="J830" s="4">
        <f t="shared" si="75"/>
        <v>27.644</v>
      </c>
      <c r="K830" s="9">
        <f t="shared" si="76"/>
        <v>-6.09999999999999</v>
      </c>
      <c r="L830" s="1">
        <f t="shared" si="77"/>
        <v>-5</v>
      </c>
    </row>
    <row r="831" s="1" customFormat="1" spans="1:12">
      <c r="A831" s="2">
        <v>27.711</v>
      </c>
      <c r="B831" s="10" t="s">
        <v>50</v>
      </c>
      <c r="C831" s="4">
        <v>27.677</v>
      </c>
      <c r="D831" s="4">
        <v>47.6</v>
      </c>
      <c r="G831" s="2">
        <f t="shared" si="72"/>
        <v>27.677</v>
      </c>
      <c r="H831" s="11" t="str">
        <f t="shared" si="73"/>
        <v>3.374E-2</v>
      </c>
      <c r="I831" s="2">
        <f t="shared" si="74"/>
        <v>47.4</v>
      </c>
      <c r="J831" s="4">
        <f t="shared" si="75"/>
        <v>27.677</v>
      </c>
      <c r="K831" s="9">
        <f t="shared" si="76"/>
        <v>-5.9</v>
      </c>
      <c r="L831" s="1">
        <f t="shared" si="77"/>
        <v>-5</v>
      </c>
    </row>
    <row r="832" s="1" customFormat="1" spans="1:12">
      <c r="A832" s="2">
        <v>27.744</v>
      </c>
      <c r="B832" s="10" t="s">
        <v>86</v>
      </c>
      <c r="C832" s="4">
        <v>27.711</v>
      </c>
      <c r="D832" s="4">
        <v>48.1</v>
      </c>
      <c r="G832" s="2">
        <f t="shared" si="72"/>
        <v>27.711</v>
      </c>
      <c r="H832" s="11" t="str">
        <f t="shared" si="73"/>
        <v>3.377E-2</v>
      </c>
      <c r="I832" s="2">
        <f t="shared" si="74"/>
        <v>47.6</v>
      </c>
      <c r="J832" s="4">
        <f t="shared" si="75"/>
        <v>27.711</v>
      </c>
      <c r="K832" s="9">
        <f t="shared" si="76"/>
        <v>-5.59999999999998</v>
      </c>
      <c r="L832" s="1">
        <f t="shared" si="77"/>
        <v>-5</v>
      </c>
    </row>
    <row r="833" s="1" customFormat="1" spans="1:12">
      <c r="A833" s="2">
        <v>27.778</v>
      </c>
      <c r="B833" s="10" t="s">
        <v>55</v>
      </c>
      <c r="C833" s="4">
        <v>27.744</v>
      </c>
      <c r="D833" s="4">
        <v>47.8</v>
      </c>
      <c r="G833" s="2">
        <f t="shared" si="72"/>
        <v>27.744</v>
      </c>
      <c r="H833" s="11" t="str">
        <f t="shared" si="73"/>
        <v>3.379E-2</v>
      </c>
      <c r="I833" s="2">
        <f t="shared" si="74"/>
        <v>48.1</v>
      </c>
      <c r="J833" s="4">
        <f t="shared" si="75"/>
        <v>27.744</v>
      </c>
      <c r="K833" s="9">
        <f t="shared" si="76"/>
        <v>-5.39999999999999</v>
      </c>
      <c r="L833" s="1">
        <f t="shared" si="77"/>
        <v>-5</v>
      </c>
    </row>
    <row r="834" s="1" customFormat="1" spans="1:12">
      <c r="A834" s="2">
        <v>27.811</v>
      </c>
      <c r="B834" s="10" t="s">
        <v>48</v>
      </c>
      <c r="C834" s="4">
        <v>27.778</v>
      </c>
      <c r="D834" s="4">
        <v>47.9</v>
      </c>
      <c r="G834" s="2">
        <f t="shared" si="72"/>
        <v>27.778</v>
      </c>
      <c r="H834" s="11" t="str">
        <f t="shared" si="73"/>
        <v>3.383E-2</v>
      </c>
      <c r="I834" s="2">
        <f t="shared" si="74"/>
        <v>47.8</v>
      </c>
      <c r="J834" s="4">
        <f t="shared" si="75"/>
        <v>27.778</v>
      </c>
      <c r="K834" s="9">
        <f t="shared" si="76"/>
        <v>-5</v>
      </c>
      <c r="L834" s="1">
        <f t="shared" si="77"/>
        <v>-5</v>
      </c>
    </row>
    <row r="835" s="1" customFormat="1" spans="1:12">
      <c r="A835" s="2">
        <v>27.844</v>
      </c>
      <c r="B835" s="10" t="s">
        <v>56</v>
      </c>
      <c r="C835" s="4">
        <v>27.811</v>
      </c>
      <c r="D835" s="4">
        <v>47.9</v>
      </c>
      <c r="G835" s="2">
        <f t="shared" si="72"/>
        <v>27.811</v>
      </c>
      <c r="H835" s="11" t="str">
        <f t="shared" si="73"/>
        <v>3.390E-2</v>
      </c>
      <c r="I835" s="2">
        <f t="shared" si="74"/>
        <v>47.9</v>
      </c>
      <c r="J835" s="4">
        <f t="shared" si="75"/>
        <v>27.811</v>
      </c>
      <c r="K835" s="9">
        <f t="shared" si="76"/>
        <v>-4.3</v>
      </c>
      <c r="L835" s="1">
        <f t="shared" si="77"/>
        <v>-5</v>
      </c>
    </row>
    <row r="836" s="1" customFormat="1" spans="1:12">
      <c r="A836" s="2">
        <v>27.878</v>
      </c>
      <c r="B836" s="10" t="s">
        <v>244</v>
      </c>
      <c r="C836" s="4">
        <v>27.844</v>
      </c>
      <c r="D836" s="4">
        <v>47.5</v>
      </c>
      <c r="G836" s="2">
        <f t="shared" ref="G836:G887" si="78">A835</f>
        <v>27.844</v>
      </c>
      <c r="H836" s="11" t="str">
        <f t="shared" ref="H836:H887" si="79">B835</f>
        <v>3.402E-2</v>
      </c>
      <c r="I836" s="2">
        <f t="shared" ref="I836:I887" si="80">D835</f>
        <v>47.9</v>
      </c>
      <c r="J836" s="4">
        <f t="shared" ref="J836:J887" si="81">G836</f>
        <v>27.844</v>
      </c>
      <c r="K836" s="9">
        <f t="shared" ref="K836:K887" si="82">(H836-$H$4)*10000</f>
        <v>-3.09999999999998</v>
      </c>
      <c r="L836" s="1">
        <f t="shared" si="77"/>
        <v>-5</v>
      </c>
    </row>
    <row r="837" s="1" customFormat="1" spans="1:12">
      <c r="A837" s="2">
        <v>27.911</v>
      </c>
      <c r="B837" s="10" t="s">
        <v>242</v>
      </c>
      <c r="C837" s="4">
        <v>27.878</v>
      </c>
      <c r="D837" s="4">
        <v>47.4</v>
      </c>
      <c r="G837" s="2">
        <f t="shared" si="78"/>
        <v>27.878</v>
      </c>
      <c r="H837" s="11" t="str">
        <f t="shared" si="79"/>
        <v>3.411E-2</v>
      </c>
      <c r="I837" s="2">
        <f t="shared" si="80"/>
        <v>47.5</v>
      </c>
      <c r="J837" s="4">
        <f t="shared" si="81"/>
        <v>27.878</v>
      </c>
      <c r="K837" s="9">
        <f t="shared" si="82"/>
        <v>-2.19999999999998</v>
      </c>
      <c r="L837" s="1">
        <f t="shared" ref="L837:L900" si="83">IF(I837&lt;230,-5,23)</f>
        <v>-5</v>
      </c>
    </row>
    <row r="838" s="1" customFormat="1" spans="1:12">
      <c r="A838" s="2">
        <v>27.945</v>
      </c>
      <c r="B838" s="10" t="s">
        <v>13</v>
      </c>
      <c r="C838" s="4">
        <v>27.911</v>
      </c>
      <c r="D838" s="4">
        <v>47.4</v>
      </c>
      <c r="G838" s="2">
        <f t="shared" si="78"/>
        <v>27.911</v>
      </c>
      <c r="H838" s="11" t="str">
        <f t="shared" si="79"/>
        <v>3.421E-2</v>
      </c>
      <c r="I838" s="2">
        <f t="shared" si="80"/>
        <v>47.4</v>
      </c>
      <c r="J838" s="4">
        <f t="shared" si="81"/>
        <v>27.911</v>
      </c>
      <c r="K838" s="9">
        <f t="shared" si="82"/>
        <v>-1.20000000000002</v>
      </c>
      <c r="L838" s="1">
        <f t="shared" si="83"/>
        <v>-5</v>
      </c>
    </row>
    <row r="839" s="1" customFormat="1" spans="1:12">
      <c r="A839" s="2">
        <v>27.978</v>
      </c>
      <c r="B839" s="10" t="s">
        <v>43</v>
      </c>
      <c r="C839" s="4">
        <v>27.945</v>
      </c>
      <c r="D839" s="4">
        <v>47.4</v>
      </c>
      <c r="G839" s="2">
        <f t="shared" si="78"/>
        <v>27.945</v>
      </c>
      <c r="H839" s="11" t="str">
        <f t="shared" si="79"/>
        <v>3.431E-2</v>
      </c>
      <c r="I839" s="2">
        <f t="shared" si="80"/>
        <v>47.4</v>
      </c>
      <c r="J839" s="4">
        <f t="shared" si="81"/>
        <v>27.945</v>
      </c>
      <c r="K839" s="9">
        <f t="shared" si="82"/>
        <v>-0.199999999999992</v>
      </c>
      <c r="L839" s="1">
        <f t="shared" si="83"/>
        <v>-5</v>
      </c>
    </row>
    <row r="840" s="1" customFormat="1" spans="1:12">
      <c r="A840" s="2">
        <v>28.011</v>
      </c>
      <c r="B840" s="10" t="s">
        <v>144</v>
      </c>
      <c r="C840" s="4">
        <v>27.978</v>
      </c>
      <c r="D840" s="4">
        <v>47.1</v>
      </c>
      <c r="G840" s="2">
        <f t="shared" si="78"/>
        <v>27.978</v>
      </c>
      <c r="H840" s="11" t="str">
        <f t="shared" si="79"/>
        <v>3.441E-2</v>
      </c>
      <c r="I840" s="2">
        <f t="shared" si="80"/>
        <v>47.4</v>
      </c>
      <c r="J840" s="4">
        <f t="shared" si="81"/>
        <v>27.978</v>
      </c>
      <c r="K840" s="9">
        <f t="shared" si="82"/>
        <v>0.800000000000037</v>
      </c>
      <c r="L840" s="1">
        <f t="shared" si="83"/>
        <v>-5</v>
      </c>
    </row>
    <row r="841" s="1" customFormat="1" spans="1:12">
      <c r="A841" s="2">
        <v>28.045</v>
      </c>
      <c r="B841" s="10" t="s">
        <v>27</v>
      </c>
      <c r="C841" s="4">
        <v>28.011</v>
      </c>
      <c r="D841" s="4">
        <v>47.4</v>
      </c>
      <c r="G841" s="2">
        <f t="shared" si="78"/>
        <v>28.011</v>
      </c>
      <c r="H841" s="11" t="str">
        <f t="shared" si="79"/>
        <v>3.449E-2</v>
      </c>
      <c r="I841" s="2">
        <f t="shared" si="80"/>
        <v>47.1</v>
      </c>
      <c r="J841" s="4">
        <f t="shared" si="81"/>
        <v>28.011</v>
      </c>
      <c r="K841" s="9">
        <f t="shared" si="82"/>
        <v>1.6</v>
      </c>
      <c r="L841" s="1">
        <f t="shared" si="83"/>
        <v>-5</v>
      </c>
    </row>
    <row r="842" s="1" customFormat="1" spans="1:12">
      <c r="A842" s="2">
        <v>28.078</v>
      </c>
      <c r="B842" s="10" t="s">
        <v>119</v>
      </c>
      <c r="C842" s="4">
        <v>28.045</v>
      </c>
      <c r="D842" s="4">
        <v>47.6</v>
      </c>
      <c r="G842" s="2">
        <f t="shared" si="78"/>
        <v>28.045</v>
      </c>
      <c r="H842" s="11" t="str">
        <f t="shared" si="79"/>
        <v>3.463E-2</v>
      </c>
      <c r="I842" s="2">
        <f t="shared" si="80"/>
        <v>47.4</v>
      </c>
      <c r="J842" s="4">
        <f t="shared" si="81"/>
        <v>28.045</v>
      </c>
      <c r="K842" s="9">
        <f t="shared" si="82"/>
        <v>3.00000000000002</v>
      </c>
      <c r="L842" s="1">
        <f t="shared" si="83"/>
        <v>-5</v>
      </c>
    </row>
    <row r="843" s="1" customFormat="1" spans="1:12">
      <c r="A843" s="2">
        <v>28.112</v>
      </c>
      <c r="B843" s="10" t="s">
        <v>172</v>
      </c>
      <c r="C843" s="4">
        <v>28.078</v>
      </c>
      <c r="D843" s="4">
        <v>47</v>
      </c>
      <c r="G843" s="2">
        <f t="shared" si="78"/>
        <v>28.078</v>
      </c>
      <c r="H843" s="11" t="str">
        <f t="shared" si="79"/>
        <v>3.471E-2</v>
      </c>
      <c r="I843" s="2">
        <f t="shared" si="80"/>
        <v>47.6</v>
      </c>
      <c r="J843" s="4">
        <f t="shared" si="81"/>
        <v>28.078</v>
      </c>
      <c r="K843" s="9">
        <f t="shared" si="82"/>
        <v>3.79999999999998</v>
      </c>
      <c r="L843" s="1">
        <f t="shared" si="83"/>
        <v>-5</v>
      </c>
    </row>
    <row r="844" s="1" customFormat="1" spans="1:12">
      <c r="A844" s="2">
        <v>28.145</v>
      </c>
      <c r="B844" s="10" t="s">
        <v>243</v>
      </c>
      <c r="C844" s="4">
        <v>28.112</v>
      </c>
      <c r="D844" s="4">
        <v>47.7</v>
      </c>
      <c r="G844" s="2">
        <f t="shared" si="78"/>
        <v>28.112</v>
      </c>
      <c r="H844" s="11" t="str">
        <f t="shared" si="79"/>
        <v>3.477E-2</v>
      </c>
      <c r="I844" s="2">
        <f t="shared" si="80"/>
        <v>47</v>
      </c>
      <c r="J844" s="4">
        <f t="shared" si="81"/>
        <v>28.112</v>
      </c>
      <c r="K844" s="9">
        <f t="shared" si="82"/>
        <v>4.40000000000003</v>
      </c>
      <c r="L844" s="1">
        <f t="shared" si="83"/>
        <v>-5</v>
      </c>
    </row>
    <row r="845" s="1" customFormat="1" spans="1:12">
      <c r="A845" s="2">
        <v>28.179</v>
      </c>
      <c r="B845" s="10" t="s">
        <v>194</v>
      </c>
      <c r="C845" s="4">
        <v>28.145</v>
      </c>
      <c r="D845" s="4">
        <v>47.7</v>
      </c>
      <c r="G845" s="2">
        <f t="shared" si="78"/>
        <v>28.145</v>
      </c>
      <c r="H845" s="11" t="str">
        <f t="shared" si="79"/>
        <v>3.480E-2</v>
      </c>
      <c r="I845" s="2">
        <f t="shared" si="80"/>
        <v>47.7</v>
      </c>
      <c r="J845" s="4">
        <f t="shared" si="81"/>
        <v>28.145</v>
      </c>
      <c r="K845" s="9">
        <f t="shared" si="82"/>
        <v>4.69999999999998</v>
      </c>
      <c r="L845" s="1">
        <f t="shared" si="83"/>
        <v>-5</v>
      </c>
    </row>
    <row r="846" s="1" customFormat="1" spans="1:12">
      <c r="A846" s="2">
        <v>28.212</v>
      </c>
      <c r="B846" s="10" t="s">
        <v>31</v>
      </c>
      <c r="C846" s="4">
        <v>28.179</v>
      </c>
      <c r="D846" s="4">
        <v>48.2</v>
      </c>
      <c r="G846" s="2">
        <f t="shared" si="78"/>
        <v>28.179</v>
      </c>
      <c r="H846" s="11" t="str">
        <f t="shared" si="79"/>
        <v>3.490E-2</v>
      </c>
      <c r="I846" s="2">
        <f t="shared" si="80"/>
        <v>47.7</v>
      </c>
      <c r="J846" s="4">
        <f t="shared" si="81"/>
        <v>28.179</v>
      </c>
      <c r="K846" s="9">
        <f t="shared" si="82"/>
        <v>5.70000000000001</v>
      </c>
      <c r="L846" s="1">
        <f t="shared" si="83"/>
        <v>-5</v>
      </c>
    </row>
    <row r="847" s="1" customFormat="1" spans="1:12">
      <c r="A847" s="2">
        <v>28.245</v>
      </c>
      <c r="B847" s="10" t="s">
        <v>37</v>
      </c>
      <c r="C847" s="4">
        <v>28.212</v>
      </c>
      <c r="D847" s="4">
        <v>47.7</v>
      </c>
      <c r="G847" s="2">
        <f t="shared" si="78"/>
        <v>28.212</v>
      </c>
      <c r="H847" s="11" t="str">
        <f t="shared" si="79"/>
        <v>3.494E-2</v>
      </c>
      <c r="I847" s="2">
        <f t="shared" si="80"/>
        <v>48.2</v>
      </c>
      <c r="J847" s="4">
        <f t="shared" si="81"/>
        <v>28.212</v>
      </c>
      <c r="K847" s="9">
        <f t="shared" si="82"/>
        <v>6.09999999999999</v>
      </c>
      <c r="L847" s="1">
        <f t="shared" si="83"/>
        <v>-5</v>
      </c>
    </row>
    <row r="848" s="1" customFormat="1" spans="1:12">
      <c r="A848" s="2">
        <v>28.279</v>
      </c>
      <c r="B848" s="10" t="s">
        <v>192</v>
      </c>
      <c r="C848" s="4">
        <v>28.245</v>
      </c>
      <c r="D848" s="4">
        <v>48</v>
      </c>
      <c r="G848" s="2">
        <f t="shared" si="78"/>
        <v>28.245</v>
      </c>
      <c r="H848" s="11" t="str">
        <f t="shared" si="79"/>
        <v>3.496E-2</v>
      </c>
      <c r="I848" s="2">
        <f t="shared" si="80"/>
        <v>47.7</v>
      </c>
      <c r="J848" s="4">
        <f t="shared" si="81"/>
        <v>28.245</v>
      </c>
      <c r="K848" s="9">
        <f t="shared" si="82"/>
        <v>6.29999999999999</v>
      </c>
      <c r="L848" s="1">
        <f t="shared" si="83"/>
        <v>-5</v>
      </c>
    </row>
    <row r="849" s="1" customFormat="1" spans="1:12">
      <c r="A849" s="2">
        <v>28.312</v>
      </c>
      <c r="B849" s="10" t="s">
        <v>31</v>
      </c>
      <c r="C849" s="4">
        <v>28.279</v>
      </c>
      <c r="D849" s="4">
        <v>47.7</v>
      </c>
      <c r="G849" s="2">
        <f t="shared" si="78"/>
        <v>28.279</v>
      </c>
      <c r="H849" s="11" t="str">
        <f t="shared" si="79"/>
        <v>3.495E-2</v>
      </c>
      <c r="I849" s="2">
        <f t="shared" si="80"/>
        <v>48</v>
      </c>
      <c r="J849" s="4">
        <f t="shared" si="81"/>
        <v>28.279</v>
      </c>
      <c r="K849" s="9">
        <f t="shared" si="82"/>
        <v>6.20000000000003</v>
      </c>
      <c r="L849" s="1">
        <f t="shared" si="83"/>
        <v>-5</v>
      </c>
    </row>
    <row r="850" s="1" customFormat="1" spans="1:12">
      <c r="A850" s="2">
        <v>28.346</v>
      </c>
      <c r="B850" s="10" t="s">
        <v>38</v>
      </c>
      <c r="C850" s="4">
        <v>28.312</v>
      </c>
      <c r="D850" s="4">
        <v>47.7</v>
      </c>
      <c r="G850" s="2">
        <f t="shared" si="78"/>
        <v>28.312</v>
      </c>
      <c r="H850" s="11" t="str">
        <f t="shared" si="79"/>
        <v>3.494E-2</v>
      </c>
      <c r="I850" s="2">
        <f t="shared" si="80"/>
        <v>47.7</v>
      </c>
      <c r="J850" s="4">
        <f t="shared" si="81"/>
        <v>28.312</v>
      </c>
      <c r="K850" s="9">
        <f t="shared" si="82"/>
        <v>6.09999999999999</v>
      </c>
      <c r="L850" s="1">
        <f t="shared" si="83"/>
        <v>-5</v>
      </c>
    </row>
    <row r="851" s="1" customFormat="1" spans="1:12">
      <c r="A851" s="2">
        <v>28.379</v>
      </c>
      <c r="B851" s="10" t="s">
        <v>39</v>
      </c>
      <c r="C851" s="4">
        <v>28.346</v>
      </c>
      <c r="D851" s="4">
        <v>47.7</v>
      </c>
      <c r="G851" s="2">
        <f t="shared" si="78"/>
        <v>28.346</v>
      </c>
      <c r="H851" s="11" t="str">
        <f t="shared" si="79"/>
        <v>3.492E-2</v>
      </c>
      <c r="I851" s="2">
        <f t="shared" si="80"/>
        <v>47.7</v>
      </c>
      <c r="J851" s="4">
        <f t="shared" si="81"/>
        <v>28.346</v>
      </c>
      <c r="K851" s="9">
        <f t="shared" si="82"/>
        <v>5.9</v>
      </c>
      <c r="L851" s="1">
        <f t="shared" si="83"/>
        <v>-5</v>
      </c>
    </row>
    <row r="852" s="1" customFormat="1" spans="1:12">
      <c r="A852" s="2">
        <v>28.413</v>
      </c>
      <c r="B852" s="10" t="s">
        <v>79</v>
      </c>
      <c r="C852" s="4">
        <v>28.379</v>
      </c>
      <c r="D852" s="4">
        <v>47.6</v>
      </c>
      <c r="G852" s="2">
        <f t="shared" si="78"/>
        <v>28.379</v>
      </c>
      <c r="H852" s="11" t="str">
        <f t="shared" si="79"/>
        <v>3.489E-2</v>
      </c>
      <c r="I852" s="2">
        <f t="shared" si="80"/>
        <v>47.7</v>
      </c>
      <c r="J852" s="4">
        <f t="shared" si="81"/>
        <v>28.379</v>
      </c>
      <c r="K852" s="9">
        <f t="shared" si="82"/>
        <v>5.59999999999998</v>
      </c>
      <c r="L852" s="1">
        <f t="shared" si="83"/>
        <v>-5</v>
      </c>
    </row>
    <row r="853" s="1" customFormat="1" spans="1:12">
      <c r="A853" s="2">
        <v>28.446</v>
      </c>
      <c r="B853" s="10" t="s">
        <v>205</v>
      </c>
      <c r="C853" s="4">
        <v>28.413</v>
      </c>
      <c r="D853" s="4">
        <v>47.5</v>
      </c>
      <c r="G853" s="2">
        <f t="shared" si="78"/>
        <v>28.413</v>
      </c>
      <c r="H853" s="11" t="str">
        <f t="shared" si="79"/>
        <v>3.486E-2</v>
      </c>
      <c r="I853" s="2">
        <f t="shared" si="80"/>
        <v>47.6</v>
      </c>
      <c r="J853" s="4">
        <f t="shared" si="81"/>
        <v>28.413</v>
      </c>
      <c r="K853" s="9">
        <f t="shared" si="82"/>
        <v>5.30000000000003</v>
      </c>
      <c r="L853" s="1">
        <f t="shared" si="83"/>
        <v>-5</v>
      </c>
    </row>
    <row r="854" s="1" customFormat="1" spans="1:12">
      <c r="A854" s="2">
        <v>28.479</v>
      </c>
      <c r="B854" s="10" t="s">
        <v>202</v>
      </c>
      <c r="C854" s="4">
        <v>28.446</v>
      </c>
      <c r="D854" s="4">
        <v>48</v>
      </c>
      <c r="G854" s="2">
        <f t="shared" si="78"/>
        <v>28.446</v>
      </c>
      <c r="H854" s="11" t="str">
        <f t="shared" si="79"/>
        <v>3.481E-2</v>
      </c>
      <c r="I854" s="2">
        <f t="shared" si="80"/>
        <v>47.5</v>
      </c>
      <c r="J854" s="4">
        <f t="shared" si="81"/>
        <v>28.446</v>
      </c>
      <c r="K854" s="9">
        <f t="shared" si="82"/>
        <v>4.80000000000001</v>
      </c>
      <c r="L854" s="1">
        <f t="shared" si="83"/>
        <v>-5</v>
      </c>
    </row>
    <row r="855" s="1" customFormat="1" spans="1:12">
      <c r="A855" s="2">
        <v>28.513</v>
      </c>
      <c r="B855" s="10" t="s">
        <v>89</v>
      </c>
      <c r="C855" s="4">
        <v>28.479</v>
      </c>
      <c r="D855" s="4">
        <v>47.6</v>
      </c>
      <c r="G855" s="2">
        <f t="shared" si="78"/>
        <v>28.479</v>
      </c>
      <c r="H855" s="11" t="str">
        <f t="shared" si="79"/>
        <v>3.475E-2</v>
      </c>
      <c r="I855" s="2">
        <f t="shared" si="80"/>
        <v>48</v>
      </c>
      <c r="J855" s="4">
        <f t="shared" si="81"/>
        <v>28.479</v>
      </c>
      <c r="K855" s="9">
        <f t="shared" si="82"/>
        <v>4.20000000000004</v>
      </c>
      <c r="L855" s="1">
        <f t="shared" si="83"/>
        <v>-5</v>
      </c>
    </row>
    <row r="856" s="1" customFormat="1" spans="1:12">
      <c r="A856" s="2">
        <v>28.546</v>
      </c>
      <c r="B856" s="10" t="s">
        <v>59</v>
      </c>
      <c r="C856" s="4">
        <v>28.513</v>
      </c>
      <c r="D856" s="4">
        <v>47.4</v>
      </c>
      <c r="G856" s="2">
        <f t="shared" si="78"/>
        <v>28.513</v>
      </c>
      <c r="H856" s="11" t="str">
        <f t="shared" si="79"/>
        <v>3.462E-2</v>
      </c>
      <c r="I856" s="2">
        <f t="shared" si="80"/>
        <v>47.6</v>
      </c>
      <c r="J856" s="4">
        <f t="shared" si="81"/>
        <v>28.513</v>
      </c>
      <c r="K856" s="9">
        <f t="shared" si="82"/>
        <v>2.89999999999999</v>
      </c>
      <c r="L856" s="1">
        <f t="shared" si="83"/>
        <v>-5</v>
      </c>
    </row>
    <row r="857" s="1" customFormat="1" spans="1:12">
      <c r="A857" s="2">
        <v>28.58</v>
      </c>
      <c r="B857" s="10" t="s">
        <v>23</v>
      </c>
      <c r="C857" s="4">
        <v>28.546</v>
      </c>
      <c r="D857" s="4">
        <v>48.1</v>
      </c>
      <c r="G857" s="2">
        <f t="shared" si="78"/>
        <v>28.546</v>
      </c>
      <c r="H857" s="11" t="str">
        <f t="shared" si="79"/>
        <v>3.452E-2</v>
      </c>
      <c r="I857" s="2">
        <f t="shared" si="80"/>
        <v>47.4</v>
      </c>
      <c r="J857" s="4">
        <f t="shared" si="81"/>
        <v>28.546</v>
      </c>
      <c r="K857" s="9">
        <f t="shared" si="82"/>
        <v>1.90000000000003</v>
      </c>
      <c r="L857" s="1">
        <f t="shared" si="83"/>
        <v>-5</v>
      </c>
    </row>
    <row r="858" s="1" customFormat="1" spans="1:12">
      <c r="A858" s="2">
        <v>28.613</v>
      </c>
      <c r="B858" s="10" t="s">
        <v>11</v>
      </c>
      <c r="C858" s="4">
        <v>28.58</v>
      </c>
      <c r="D858" s="4">
        <v>47.9</v>
      </c>
      <c r="G858" s="2">
        <f t="shared" si="78"/>
        <v>28.58</v>
      </c>
      <c r="H858" s="11" t="str">
        <f t="shared" si="79"/>
        <v>3.442E-2</v>
      </c>
      <c r="I858" s="2">
        <f t="shared" si="80"/>
        <v>48.1</v>
      </c>
      <c r="J858" s="4">
        <f t="shared" si="81"/>
        <v>28.58</v>
      </c>
      <c r="K858" s="9">
        <f t="shared" si="82"/>
        <v>0.899999999999998</v>
      </c>
      <c r="L858" s="1">
        <f t="shared" si="83"/>
        <v>-5</v>
      </c>
    </row>
    <row r="859" s="1" customFormat="1" spans="1:12">
      <c r="A859" s="2">
        <v>28.647</v>
      </c>
      <c r="B859" s="10" t="s">
        <v>17</v>
      </c>
      <c r="C859" s="4">
        <v>28.613</v>
      </c>
      <c r="D859" s="4">
        <v>47.7</v>
      </c>
      <c r="G859" s="2">
        <f t="shared" si="78"/>
        <v>28.613</v>
      </c>
      <c r="H859" s="11" t="str">
        <f t="shared" si="79"/>
        <v>3.432E-2</v>
      </c>
      <c r="I859" s="2">
        <f t="shared" si="80"/>
        <v>47.9</v>
      </c>
      <c r="J859" s="4">
        <f t="shared" si="81"/>
        <v>28.613</v>
      </c>
      <c r="K859" s="9">
        <f t="shared" si="82"/>
        <v>-0.0999999999999612</v>
      </c>
      <c r="L859" s="1">
        <f t="shared" si="83"/>
        <v>-5</v>
      </c>
    </row>
    <row r="860" s="1" customFormat="1" spans="1:12">
      <c r="A860" s="2">
        <v>28.68</v>
      </c>
      <c r="B860" s="10" t="s">
        <v>45</v>
      </c>
      <c r="C860" s="4">
        <v>28.647</v>
      </c>
      <c r="D860" s="4">
        <v>47.5</v>
      </c>
      <c r="G860" s="2">
        <f t="shared" si="78"/>
        <v>28.647</v>
      </c>
      <c r="H860" s="11" t="str">
        <f t="shared" si="79"/>
        <v>3.423E-2</v>
      </c>
      <c r="I860" s="2">
        <f t="shared" si="80"/>
        <v>47.7</v>
      </c>
      <c r="J860" s="4">
        <f t="shared" si="81"/>
        <v>28.647</v>
      </c>
      <c r="K860" s="9">
        <f t="shared" si="82"/>
        <v>-1.00000000000003</v>
      </c>
      <c r="L860" s="1">
        <f t="shared" si="83"/>
        <v>-5</v>
      </c>
    </row>
    <row r="861" s="1" customFormat="1" spans="1:12">
      <c r="A861" s="2">
        <v>28.713</v>
      </c>
      <c r="B861" s="10" t="s">
        <v>56</v>
      </c>
      <c r="C861" s="4">
        <v>28.68</v>
      </c>
      <c r="D861" s="4">
        <v>48.4</v>
      </c>
      <c r="G861" s="2">
        <f t="shared" si="78"/>
        <v>28.68</v>
      </c>
      <c r="H861" s="11" t="str">
        <f t="shared" si="79"/>
        <v>3.415E-2</v>
      </c>
      <c r="I861" s="2">
        <f t="shared" si="80"/>
        <v>47.5</v>
      </c>
      <c r="J861" s="4">
        <f t="shared" si="81"/>
        <v>28.68</v>
      </c>
      <c r="K861" s="9">
        <f t="shared" si="82"/>
        <v>-1.8</v>
      </c>
      <c r="L861" s="1">
        <f t="shared" si="83"/>
        <v>-5</v>
      </c>
    </row>
    <row r="862" s="1" customFormat="1" spans="1:12">
      <c r="A862" s="2">
        <v>28.747</v>
      </c>
      <c r="B862" s="10" t="s">
        <v>47</v>
      </c>
      <c r="C862" s="4">
        <v>28.713</v>
      </c>
      <c r="D862" s="4">
        <v>48</v>
      </c>
      <c r="G862" s="2">
        <f t="shared" si="78"/>
        <v>28.713</v>
      </c>
      <c r="H862" s="11" t="str">
        <f t="shared" si="79"/>
        <v>3.402E-2</v>
      </c>
      <c r="I862" s="2">
        <f t="shared" si="80"/>
        <v>48.4</v>
      </c>
      <c r="J862" s="4">
        <f t="shared" si="81"/>
        <v>28.713</v>
      </c>
      <c r="K862" s="9">
        <f t="shared" si="82"/>
        <v>-3.09999999999998</v>
      </c>
      <c r="L862" s="1">
        <f t="shared" si="83"/>
        <v>-5</v>
      </c>
    </row>
    <row r="863" s="1" customFormat="1" spans="1:12">
      <c r="A863" s="2">
        <v>28.78</v>
      </c>
      <c r="B863" s="10" t="s">
        <v>85</v>
      </c>
      <c r="C863" s="4">
        <v>28.747</v>
      </c>
      <c r="D863" s="4">
        <v>47.3</v>
      </c>
      <c r="G863" s="2">
        <f t="shared" si="78"/>
        <v>28.747</v>
      </c>
      <c r="H863" s="11" t="str">
        <f t="shared" si="79"/>
        <v>3.394E-2</v>
      </c>
      <c r="I863" s="2">
        <f t="shared" si="80"/>
        <v>48</v>
      </c>
      <c r="J863" s="4">
        <f t="shared" si="81"/>
        <v>28.747</v>
      </c>
      <c r="K863" s="9">
        <f t="shared" si="82"/>
        <v>-3.90000000000001</v>
      </c>
      <c r="L863" s="1">
        <f t="shared" si="83"/>
        <v>-5</v>
      </c>
    </row>
    <row r="864" s="1" customFormat="1" spans="1:12">
      <c r="A864" s="2">
        <v>28.814</v>
      </c>
      <c r="B864" s="10" t="s">
        <v>253</v>
      </c>
      <c r="C864" s="4">
        <v>28.78</v>
      </c>
      <c r="D864" s="4">
        <v>47.7</v>
      </c>
      <c r="G864" s="2">
        <f t="shared" si="78"/>
        <v>28.78</v>
      </c>
      <c r="H864" s="11" t="str">
        <f t="shared" si="79"/>
        <v>3.388E-2</v>
      </c>
      <c r="I864" s="2">
        <f t="shared" si="80"/>
        <v>47.3</v>
      </c>
      <c r="J864" s="4">
        <f t="shared" si="81"/>
        <v>28.78</v>
      </c>
      <c r="K864" s="9">
        <f t="shared" si="82"/>
        <v>-4.49999999999999</v>
      </c>
      <c r="L864" s="1">
        <f t="shared" si="83"/>
        <v>-5</v>
      </c>
    </row>
    <row r="865" s="1" customFormat="1" spans="1:12">
      <c r="A865" s="2">
        <v>28.847</v>
      </c>
      <c r="B865" s="10" t="s">
        <v>50</v>
      </c>
      <c r="C865" s="4">
        <v>28.814</v>
      </c>
      <c r="D865" s="4">
        <v>47.7</v>
      </c>
      <c r="G865" s="2">
        <f t="shared" si="78"/>
        <v>28.814</v>
      </c>
      <c r="H865" s="11" t="str">
        <f t="shared" si="79"/>
        <v>3.385E-2</v>
      </c>
      <c r="I865" s="2">
        <f t="shared" si="80"/>
        <v>47.7</v>
      </c>
      <c r="J865" s="4">
        <f t="shared" si="81"/>
        <v>28.814</v>
      </c>
      <c r="K865" s="9">
        <f t="shared" si="82"/>
        <v>-4.80000000000001</v>
      </c>
      <c r="L865" s="1">
        <f t="shared" si="83"/>
        <v>-5</v>
      </c>
    </row>
    <row r="866" s="1" customFormat="1" spans="1:12">
      <c r="A866" s="2">
        <v>28.881</v>
      </c>
      <c r="B866" s="10" t="s">
        <v>246</v>
      </c>
      <c r="C866" s="4">
        <v>28.847</v>
      </c>
      <c r="D866" s="4">
        <v>48.1</v>
      </c>
      <c r="G866" s="2">
        <f t="shared" si="78"/>
        <v>28.847</v>
      </c>
      <c r="H866" s="11" t="str">
        <f t="shared" si="79"/>
        <v>3.377E-2</v>
      </c>
      <c r="I866" s="2">
        <f t="shared" si="80"/>
        <v>47.7</v>
      </c>
      <c r="J866" s="4">
        <f t="shared" si="81"/>
        <v>28.847</v>
      </c>
      <c r="K866" s="9">
        <f t="shared" si="82"/>
        <v>-5.59999999999998</v>
      </c>
      <c r="L866" s="1">
        <f t="shared" si="83"/>
        <v>-5</v>
      </c>
    </row>
    <row r="867" s="1" customFormat="1" spans="1:12">
      <c r="A867" s="2">
        <v>28.914</v>
      </c>
      <c r="B867" s="10" t="s">
        <v>52</v>
      </c>
      <c r="C867" s="4">
        <v>28.881</v>
      </c>
      <c r="D867" s="4">
        <v>47.7</v>
      </c>
      <c r="G867" s="2">
        <f t="shared" si="78"/>
        <v>28.881</v>
      </c>
      <c r="H867" s="11" t="str">
        <f t="shared" si="79"/>
        <v>3.374E-2</v>
      </c>
      <c r="I867" s="2">
        <f t="shared" si="80"/>
        <v>48.1</v>
      </c>
      <c r="J867" s="4">
        <f t="shared" si="81"/>
        <v>28.881</v>
      </c>
      <c r="K867" s="9">
        <f t="shared" si="82"/>
        <v>-5.9</v>
      </c>
      <c r="L867" s="1">
        <f t="shared" si="83"/>
        <v>-5</v>
      </c>
    </row>
    <row r="868" s="1" customFormat="1" spans="1:12">
      <c r="A868" s="2">
        <v>28.947</v>
      </c>
      <c r="B868" s="10" t="s">
        <v>52</v>
      </c>
      <c r="C868" s="4">
        <v>28.914</v>
      </c>
      <c r="D868" s="4">
        <v>47.6</v>
      </c>
      <c r="G868" s="2">
        <f t="shared" si="78"/>
        <v>28.914</v>
      </c>
      <c r="H868" s="11" t="str">
        <f t="shared" si="79"/>
        <v>3.372E-2</v>
      </c>
      <c r="I868" s="2">
        <f t="shared" si="80"/>
        <v>47.7</v>
      </c>
      <c r="J868" s="4">
        <f t="shared" si="81"/>
        <v>28.914</v>
      </c>
      <c r="K868" s="9">
        <f t="shared" si="82"/>
        <v>-6.09999999999999</v>
      </c>
      <c r="L868" s="1">
        <f t="shared" si="83"/>
        <v>-5</v>
      </c>
    </row>
    <row r="869" s="1" customFormat="1" spans="1:12">
      <c r="A869" s="2">
        <v>28.981</v>
      </c>
      <c r="B869" s="10" t="s">
        <v>51</v>
      </c>
      <c r="C869" s="4">
        <v>28.947</v>
      </c>
      <c r="D869" s="4">
        <v>48.3</v>
      </c>
      <c r="G869" s="2">
        <f t="shared" si="78"/>
        <v>28.947</v>
      </c>
      <c r="H869" s="11" t="str">
        <f t="shared" si="79"/>
        <v>3.372E-2</v>
      </c>
      <c r="I869" s="2">
        <f t="shared" si="80"/>
        <v>47.6</v>
      </c>
      <c r="J869" s="4">
        <f t="shared" si="81"/>
        <v>28.947</v>
      </c>
      <c r="K869" s="9">
        <f t="shared" si="82"/>
        <v>-6.09999999999999</v>
      </c>
      <c r="L869" s="1">
        <f t="shared" si="83"/>
        <v>-5</v>
      </c>
    </row>
    <row r="870" s="1" customFormat="1" spans="1:12">
      <c r="A870" s="2">
        <v>29.014</v>
      </c>
      <c r="B870" s="10" t="s">
        <v>87</v>
      </c>
      <c r="C870" s="4">
        <v>28.981</v>
      </c>
      <c r="D870" s="4">
        <v>47.7</v>
      </c>
      <c r="G870" s="2">
        <f t="shared" si="78"/>
        <v>28.981</v>
      </c>
      <c r="H870" s="11" t="str">
        <f t="shared" si="79"/>
        <v>3.373E-2</v>
      </c>
      <c r="I870" s="2">
        <f t="shared" si="80"/>
        <v>48.3</v>
      </c>
      <c r="J870" s="4">
        <f t="shared" si="81"/>
        <v>28.981</v>
      </c>
      <c r="K870" s="9">
        <f t="shared" si="82"/>
        <v>-5.99999999999996</v>
      </c>
      <c r="L870" s="1">
        <f t="shared" si="83"/>
        <v>-5</v>
      </c>
    </row>
    <row r="871" s="1" customFormat="1" spans="1:12">
      <c r="A871" s="2">
        <v>29.048</v>
      </c>
      <c r="B871" s="10" t="s">
        <v>86</v>
      </c>
      <c r="C871" s="4">
        <v>29.014</v>
      </c>
      <c r="D871" s="4">
        <v>47.9</v>
      </c>
      <c r="G871" s="2">
        <f t="shared" si="78"/>
        <v>29.014</v>
      </c>
      <c r="H871" s="11" t="str">
        <f t="shared" si="79"/>
        <v>3.376E-2</v>
      </c>
      <c r="I871" s="2">
        <f t="shared" si="80"/>
        <v>47.7</v>
      </c>
      <c r="J871" s="4">
        <f t="shared" si="81"/>
        <v>29.014</v>
      </c>
      <c r="K871" s="9">
        <f t="shared" si="82"/>
        <v>-5.70000000000001</v>
      </c>
      <c r="L871" s="1">
        <f t="shared" si="83"/>
        <v>-5</v>
      </c>
    </row>
    <row r="872" s="1" customFormat="1" spans="1:12">
      <c r="A872" s="2">
        <v>29.081</v>
      </c>
      <c r="B872" s="10" t="s">
        <v>254</v>
      </c>
      <c r="C872" s="4">
        <v>29.048</v>
      </c>
      <c r="D872" s="4">
        <v>47.7</v>
      </c>
      <c r="G872" s="2">
        <f t="shared" si="78"/>
        <v>29.048</v>
      </c>
      <c r="H872" s="11" t="str">
        <f t="shared" si="79"/>
        <v>3.379E-2</v>
      </c>
      <c r="I872" s="2">
        <f t="shared" si="80"/>
        <v>47.9</v>
      </c>
      <c r="J872" s="4">
        <f t="shared" si="81"/>
        <v>29.048</v>
      </c>
      <c r="K872" s="9">
        <f t="shared" si="82"/>
        <v>-5.39999999999999</v>
      </c>
      <c r="L872" s="1">
        <f t="shared" si="83"/>
        <v>-5</v>
      </c>
    </row>
    <row r="873" s="1" customFormat="1" spans="1:12">
      <c r="A873" s="2">
        <v>29.115</v>
      </c>
      <c r="B873" s="10" t="s">
        <v>239</v>
      </c>
      <c r="C873" s="4">
        <v>29.081</v>
      </c>
      <c r="D873" s="4">
        <v>48.2</v>
      </c>
      <c r="G873" s="2">
        <f t="shared" si="78"/>
        <v>29.081</v>
      </c>
      <c r="H873" s="11" t="str">
        <f t="shared" si="79"/>
        <v>3.382E-2</v>
      </c>
      <c r="I873" s="2">
        <f t="shared" si="80"/>
        <v>47.7</v>
      </c>
      <c r="J873" s="4">
        <f t="shared" si="81"/>
        <v>29.081</v>
      </c>
      <c r="K873" s="9">
        <f t="shared" si="82"/>
        <v>-5.09999999999997</v>
      </c>
      <c r="L873" s="1">
        <f t="shared" si="83"/>
        <v>-5</v>
      </c>
    </row>
    <row r="874" s="1" customFormat="1" spans="1:12">
      <c r="A874" s="2">
        <v>29.148</v>
      </c>
      <c r="B874" s="10" t="s">
        <v>114</v>
      </c>
      <c r="C874" s="4">
        <v>29.115</v>
      </c>
      <c r="D874" s="4">
        <v>47.8</v>
      </c>
      <c r="G874" s="2">
        <f t="shared" si="78"/>
        <v>29.115</v>
      </c>
      <c r="H874" s="11" t="str">
        <f t="shared" si="79"/>
        <v>3.387E-2</v>
      </c>
      <c r="I874" s="2">
        <f t="shared" si="80"/>
        <v>48.2</v>
      </c>
      <c r="J874" s="4">
        <f t="shared" si="81"/>
        <v>29.115</v>
      </c>
      <c r="K874" s="9">
        <f t="shared" si="82"/>
        <v>-4.60000000000002</v>
      </c>
      <c r="L874" s="1">
        <f t="shared" si="83"/>
        <v>-5</v>
      </c>
    </row>
    <row r="875" s="1" customFormat="1" spans="1:12">
      <c r="A875" s="2">
        <v>29.181</v>
      </c>
      <c r="B875" s="10" t="s">
        <v>228</v>
      </c>
      <c r="C875" s="4">
        <v>29.148</v>
      </c>
      <c r="D875" s="4">
        <v>47</v>
      </c>
      <c r="G875" s="2">
        <f t="shared" si="78"/>
        <v>29.148</v>
      </c>
      <c r="H875" s="11" t="str">
        <f t="shared" si="79"/>
        <v>3.392E-2</v>
      </c>
      <c r="I875" s="2">
        <f t="shared" si="80"/>
        <v>47.8</v>
      </c>
      <c r="J875" s="4">
        <f t="shared" si="81"/>
        <v>29.148</v>
      </c>
      <c r="K875" s="9">
        <f t="shared" si="82"/>
        <v>-4.10000000000001</v>
      </c>
      <c r="L875" s="1">
        <f t="shared" si="83"/>
        <v>-5</v>
      </c>
    </row>
    <row r="876" s="1" customFormat="1" spans="1:12">
      <c r="A876" s="2">
        <v>29.215</v>
      </c>
      <c r="B876" s="10" t="s">
        <v>45</v>
      </c>
      <c r="C876" s="4">
        <v>29.181</v>
      </c>
      <c r="D876" s="4">
        <v>47.5</v>
      </c>
      <c r="G876" s="2">
        <f t="shared" si="78"/>
        <v>29.181</v>
      </c>
      <c r="H876" s="11" t="str">
        <f t="shared" si="79"/>
        <v>3.407E-2</v>
      </c>
      <c r="I876" s="2">
        <f t="shared" si="80"/>
        <v>47</v>
      </c>
      <c r="J876" s="4">
        <f t="shared" si="81"/>
        <v>29.181</v>
      </c>
      <c r="K876" s="9">
        <f t="shared" si="82"/>
        <v>-2.59999999999996</v>
      </c>
      <c r="L876" s="1">
        <f t="shared" si="83"/>
        <v>-5</v>
      </c>
    </row>
    <row r="877" s="1" customFormat="1" spans="1:12">
      <c r="A877" s="2">
        <v>29.248</v>
      </c>
      <c r="B877" s="10" t="s">
        <v>44</v>
      </c>
      <c r="C877" s="4">
        <v>29.215</v>
      </c>
      <c r="D877" s="4">
        <v>48</v>
      </c>
      <c r="G877" s="2">
        <f t="shared" si="78"/>
        <v>29.215</v>
      </c>
      <c r="H877" s="11" t="str">
        <f t="shared" si="79"/>
        <v>3.415E-2</v>
      </c>
      <c r="I877" s="2">
        <f t="shared" si="80"/>
        <v>47.5</v>
      </c>
      <c r="J877" s="4">
        <f t="shared" si="81"/>
        <v>29.215</v>
      </c>
      <c r="K877" s="9">
        <f t="shared" si="82"/>
        <v>-1.8</v>
      </c>
      <c r="L877" s="1">
        <f t="shared" si="83"/>
        <v>-5</v>
      </c>
    </row>
    <row r="878" s="1" customFormat="1" spans="1:12">
      <c r="A878" s="2">
        <v>29.282</v>
      </c>
      <c r="B878" s="10" t="s">
        <v>10</v>
      </c>
      <c r="C878" s="4">
        <v>29.248</v>
      </c>
      <c r="D878" s="4">
        <v>48.1</v>
      </c>
      <c r="G878" s="2">
        <f t="shared" si="78"/>
        <v>29.248</v>
      </c>
      <c r="H878" s="11" t="str">
        <f t="shared" si="79"/>
        <v>3.422E-2</v>
      </c>
      <c r="I878" s="2">
        <f t="shared" si="80"/>
        <v>48</v>
      </c>
      <c r="J878" s="4">
        <f t="shared" si="81"/>
        <v>29.248</v>
      </c>
      <c r="K878" s="9">
        <f t="shared" si="82"/>
        <v>-1.09999999999999</v>
      </c>
      <c r="L878" s="1">
        <f t="shared" si="83"/>
        <v>-5</v>
      </c>
    </row>
    <row r="879" s="1" customFormat="1" spans="1:12">
      <c r="A879" s="2">
        <v>29.315</v>
      </c>
      <c r="B879" s="10" t="s">
        <v>222</v>
      </c>
      <c r="C879" s="4">
        <v>29.282</v>
      </c>
      <c r="D879" s="4">
        <v>47.9</v>
      </c>
      <c r="G879" s="2">
        <f t="shared" si="78"/>
        <v>29.282</v>
      </c>
      <c r="H879" s="11" t="str">
        <f t="shared" si="79"/>
        <v>3.434E-2</v>
      </c>
      <c r="I879" s="2">
        <f t="shared" si="80"/>
        <v>48.1</v>
      </c>
      <c r="J879" s="4">
        <f t="shared" si="81"/>
        <v>29.282</v>
      </c>
      <c r="K879" s="9">
        <f t="shared" si="82"/>
        <v>0.100000000000031</v>
      </c>
      <c r="L879" s="1">
        <f t="shared" si="83"/>
        <v>-5</v>
      </c>
    </row>
    <row r="880" s="1" customFormat="1" spans="1:12">
      <c r="A880" s="2">
        <v>29.349</v>
      </c>
      <c r="B880" s="10" t="s">
        <v>42</v>
      </c>
      <c r="C880" s="4">
        <v>29.315</v>
      </c>
      <c r="D880" s="4">
        <v>47.7</v>
      </c>
      <c r="G880" s="2">
        <f t="shared" si="78"/>
        <v>29.315</v>
      </c>
      <c r="H880" s="11" t="str">
        <f t="shared" si="79"/>
        <v>3.443E-2</v>
      </c>
      <c r="I880" s="2">
        <f t="shared" si="80"/>
        <v>47.9</v>
      </c>
      <c r="J880" s="4">
        <f t="shared" si="81"/>
        <v>29.315</v>
      </c>
      <c r="K880" s="9">
        <f t="shared" si="82"/>
        <v>1.00000000000003</v>
      </c>
      <c r="L880" s="1">
        <f t="shared" si="83"/>
        <v>-5</v>
      </c>
    </row>
    <row r="881" s="1" customFormat="1" spans="1:12">
      <c r="A881" s="2">
        <v>29.382</v>
      </c>
      <c r="B881" s="10" t="s">
        <v>237</v>
      </c>
      <c r="C881" s="4">
        <v>29.349</v>
      </c>
      <c r="D881" s="4">
        <v>48.1</v>
      </c>
      <c r="G881" s="2">
        <f t="shared" si="78"/>
        <v>29.349</v>
      </c>
      <c r="H881" s="11" t="str">
        <f t="shared" si="79"/>
        <v>3.450E-2</v>
      </c>
      <c r="I881" s="2">
        <f t="shared" si="80"/>
        <v>47.7</v>
      </c>
      <c r="J881" s="4">
        <f t="shared" si="81"/>
        <v>29.349</v>
      </c>
      <c r="K881" s="9">
        <f t="shared" si="82"/>
        <v>1.70000000000003</v>
      </c>
      <c r="L881" s="1">
        <f t="shared" si="83"/>
        <v>-5</v>
      </c>
    </row>
    <row r="882" s="1" customFormat="1" spans="1:12">
      <c r="A882" s="2">
        <v>29.415</v>
      </c>
      <c r="B882" s="10" t="s">
        <v>119</v>
      </c>
      <c r="C882" s="4">
        <v>29.382</v>
      </c>
      <c r="D882" s="4">
        <v>47.6</v>
      </c>
      <c r="G882" s="2">
        <f t="shared" si="78"/>
        <v>29.382</v>
      </c>
      <c r="H882" s="11" t="str">
        <f t="shared" si="79"/>
        <v>3.464E-2</v>
      </c>
      <c r="I882" s="2">
        <f t="shared" si="80"/>
        <v>48.1</v>
      </c>
      <c r="J882" s="4">
        <f t="shared" si="81"/>
        <v>29.382</v>
      </c>
      <c r="K882" s="9">
        <f t="shared" si="82"/>
        <v>3.09999999999998</v>
      </c>
      <c r="L882" s="1">
        <f t="shared" si="83"/>
        <v>-5</v>
      </c>
    </row>
    <row r="883" s="1" customFormat="1" spans="1:12">
      <c r="A883" s="2">
        <v>29.449</v>
      </c>
      <c r="B883" s="10" t="s">
        <v>202</v>
      </c>
      <c r="C883" s="4">
        <v>29.415</v>
      </c>
      <c r="D883" s="4">
        <v>48.1</v>
      </c>
      <c r="G883" s="2">
        <f t="shared" si="78"/>
        <v>29.415</v>
      </c>
      <c r="H883" s="11" t="str">
        <f t="shared" si="79"/>
        <v>3.471E-2</v>
      </c>
      <c r="I883" s="2">
        <f t="shared" si="80"/>
        <v>47.6</v>
      </c>
      <c r="J883" s="4">
        <f t="shared" si="81"/>
        <v>29.415</v>
      </c>
      <c r="K883" s="9">
        <f t="shared" si="82"/>
        <v>3.79999999999998</v>
      </c>
      <c r="L883" s="1">
        <f t="shared" si="83"/>
        <v>-5</v>
      </c>
    </row>
    <row r="884" s="1" customFormat="1" spans="1:12">
      <c r="A884" s="2">
        <v>29.482</v>
      </c>
      <c r="B884" s="10" t="s">
        <v>202</v>
      </c>
      <c r="C884" s="4">
        <v>29.449</v>
      </c>
      <c r="D884" s="4">
        <v>47.3</v>
      </c>
      <c r="G884" s="2">
        <f t="shared" si="78"/>
        <v>29.449</v>
      </c>
      <c r="H884" s="11" t="str">
        <f t="shared" si="79"/>
        <v>3.475E-2</v>
      </c>
      <c r="I884" s="2">
        <f t="shared" si="80"/>
        <v>48.1</v>
      </c>
      <c r="J884" s="4">
        <f t="shared" si="81"/>
        <v>29.449</v>
      </c>
      <c r="K884" s="9">
        <f t="shared" si="82"/>
        <v>4.20000000000004</v>
      </c>
      <c r="L884" s="1">
        <f t="shared" si="83"/>
        <v>-5</v>
      </c>
    </row>
    <row r="885" s="1" customFormat="1" spans="1:12">
      <c r="A885" s="2">
        <v>29.516</v>
      </c>
      <c r="B885" s="10" t="s">
        <v>29</v>
      </c>
      <c r="C885" s="4">
        <v>29.482</v>
      </c>
      <c r="D885" s="4">
        <v>47.6</v>
      </c>
      <c r="G885" s="2">
        <f t="shared" si="78"/>
        <v>29.482</v>
      </c>
      <c r="H885" s="11" t="str">
        <f t="shared" si="79"/>
        <v>3.475E-2</v>
      </c>
      <c r="I885" s="2">
        <f t="shared" si="80"/>
        <v>47.3</v>
      </c>
      <c r="J885" s="4">
        <f t="shared" si="81"/>
        <v>29.482</v>
      </c>
      <c r="K885" s="9">
        <f t="shared" si="82"/>
        <v>4.20000000000004</v>
      </c>
      <c r="L885" s="1">
        <f t="shared" si="83"/>
        <v>-5</v>
      </c>
    </row>
    <row r="886" s="1" customFormat="1" spans="1:12">
      <c r="A886" s="2">
        <v>29.549</v>
      </c>
      <c r="B886" s="10" t="s">
        <v>109</v>
      </c>
      <c r="C886" s="4">
        <v>29.516</v>
      </c>
      <c r="D886" s="4">
        <v>47.9</v>
      </c>
      <c r="G886" s="2">
        <f t="shared" si="78"/>
        <v>29.516</v>
      </c>
      <c r="H886" s="11" t="str">
        <f t="shared" si="79"/>
        <v>3.478E-2</v>
      </c>
      <c r="I886" s="2">
        <f t="shared" si="80"/>
        <v>47.6</v>
      </c>
      <c r="J886" s="4">
        <f t="shared" si="81"/>
        <v>29.516</v>
      </c>
      <c r="K886" s="9">
        <f t="shared" si="82"/>
        <v>4.49999999999999</v>
      </c>
      <c r="L886" s="1">
        <f t="shared" si="83"/>
        <v>-5</v>
      </c>
    </row>
    <row r="887" s="1" customFormat="1" spans="1:12">
      <c r="A887" s="2">
        <v>29.583</v>
      </c>
      <c r="B887" s="10" t="s">
        <v>171</v>
      </c>
      <c r="C887" s="4">
        <v>29.549</v>
      </c>
      <c r="D887" s="4">
        <v>47.3</v>
      </c>
      <c r="G887" s="2">
        <f t="shared" si="78"/>
        <v>29.549</v>
      </c>
      <c r="H887" s="11" t="str">
        <f t="shared" si="79"/>
        <v>3.476E-2</v>
      </c>
      <c r="I887" s="2">
        <f t="shared" si="80"/>
        <v>47.9</v>
      </c>
      <c r="J887" s="4">
        <f t="shared" si="81"/>
        <v>29.549</v>
      </c>
      <c r="K887" s="9">
        <f t="shared" si="82"/>
        <v>4.3</v>
      </c>
      <c r="L887" s="1">
        <f t="shared" si="83"/>
        <v>-5</v>
      </c>
    </row>
    <row r="888" s="1" customFormat="1" spans="1:12">
      <c r="A888" s="2">
        <v>29.616</v>
      </c>
      <c r="B888" s="10" t="s">
        <v>119</v>
      </c>
      <c r="C888" s="4">
        <v>29.583</v>
      </c>
      <c r="D888" s="4">
        <v>47.8</v>
      </c>
      <c r="G888" s="2">
        <f t="shared" ref="G888:G934" si="84">A887</f>
        <v>29.583</v>
      </c>
      <c r="H888" s="11" t="str">
        <f t="shared" ref="H888:H934" si="85">B887</f>
        <v>3.474E-2</v>
      </c>
      <c r="I888" s="2">
        <f t="shared" ref="I888:I934" si="86">D887</f>
        <v>47.3</v>
      </c>
      <c r="J888" s="4">
        <f t="shared" ref="J888:J934" si="87">G888</f>
        <v>29.583</v>
      </c>
      <c r="K888" s="9">
        <f t="shared" ref="K888:K934" si="88">(H888-$H$4)*10000</f>
        <v>4.10000000000001</v>
      </c>
      <c r="L888" s="1">
        <f t="shared" si="83"/>
        <v>-5</v>
      </c>
    </row>
    <row r="889" s="1" customFormat="1" spans="1:12">
      <c r="A889" s="2">
        <v>29.649</v>
      </c>
      <c r="B889" s="10" t="s">
        <v>217</v>
      </c>
      <c r="C889" s="4">
        <v>29.616</v>
      </c>
      <c r="D889" s="4">
        <v>47.6</v>
      </c>
      <c r="G889" s="2">
        <f t="shared" si="84"/>
        <v>29.616</v>
      </c>
      <c r="H889" s="11" t="str">
        <f t="shared" si="85"/>
        <v>3.471E-2</v>
      </c>
      <c r="I889" s="2">
        <f t="shared" si="86"/>
        <v>47.8</v>
      </c>
      <c r="J889" s="4">
        <f t="shared" si="87"/>
        <v>29.616</v>
      </c>
      <c r="K889" s="9">
        <f t="shared" si="88"/>
        <v>3.79999999999998</v>
      </c>
      <c r="L889" s="1">
        <f t="shared" si="83"/>
        <v>-5</v>
      </c>
    </row>
    <row r="890" s="1" customFormat="1" spans="1:12">
      <c r="A890" s="2">
        <v>29.683</v>
      </c>
      <c r="B890" s="10" t="s">
        <v>40</v>
      </c>
      <c r="C890" s="4">
        <v>29.649</v>
      </c>
      <c r="D890" s="4">
        <v>47.9</v>
      </c>
      <c r="G890" s="2">
        <f t="shared" si="84"/>
        <v>29.649</v>
      </c>
      <c r="H890" s="11" t="str">
        <f t="shared" si="85"/>
        <v>3.467E-2</v>
      </c>
      <c r="I890" s="2">
        <f t="shared" si="86"/>
        <v>47.6</v>
      </c>
      <c r="J890" s="4">
        <f t="shared" si="87"/>
        <v>29.649</v>
      </c>
      <c r="K890" s="9">
        <f t="shared" si="88"/>
        <v>3.4</v>
      </c>
      <c r="L890" s="1">
        <f t="shared" si="83"/>
        <v>-5</v>
      </c>
    </row>
    <row r="891" s="1" customFormat="1" spans="1:12">
      <c r="A891" s="2">
        <v>29.716</v>
      </c>
      <c r="B891" s="10" t="s">
        <v>169</v>
      </c>
      <c r="C891" s="4">
        <v>29.683</v>
      </c>
      <c r="D891" s="4">
        <v>47.5</v>
      </c>
      <c r="G891" s="2">
        <f t="shared" si="84"/>
        <v>29.683</v>
      </c>
      <c r="H891" s="11" t="str">
        <f t="shared" si="85"/>
        <v>3.466E-2</v>
      </c>
      <c r="I891" s="2">
        <f t="shared" si="86"/>
        <v>47.9</v>
      </c>
      <c r="J891" s="4">
        <f t="shared" si="87"/>
        <v>29.683</v>
      </c>
      <c r="K891" s="9">
        <f t="shared" si="88"/>
        <v>3.30000000000004</v>
      </c>
      <c r="L891" s="1">
        <f t="shared" si="83"/>
        <v>-5</v>
      </c>
    </row>
    <row r="892" s="1" customFormat="1" spans="1:12">
      <c r="A892" s="2">
        <v>29.75</v>
      </c>
      <c r="B892" s="10" t="s">
        <v>220</v>
      </c>
      <c r="C892" s="4">
        <v>29.716</v>
      </c>
      <c r="D892" s="4">
        <v>47.7</v>
      </c>
      <c r="G892" s="2">
        <f t="shared" si="84"/>
        <v>29.716</v>
      </c>
      <c r="H892" s="11" t="str">
        <f t="shared" si="85"/>
        <v>3.461E-2</v>
      </c>
      <c r="I892" s="2">
        <f t="shared" si="86"/>
        <v>47.5</v>
      </c>
      <c r="J892" s="4">
        <f t="shared" si="87"/>
        <v>29.716</v>
      </c>
      <c r="K892" s="9">
        <f t="shared" si="88"/>
        <v>2.80000000000002</v>
      </c>
      <c r="L892" s="1">
        <f t="shared" si="83"/>
        <v>-5</v>
      </c>
    </row>
    <row r="893" s="1" customFormat="1" spans="1:12">
      <c r="A893" s="2">
        <v>29.783</v>
      </c>
      <c r="B893" s="10" t="s">
        <v>167</v>
      </c>
      <c r="C893" s="4">
        <v>29.75</v>
      </c>
      <c r="D893" s="4">
        <v>47.4</v>
      </c>
      <c r="G893" s="2">
        <f t="shared" si="84"/>
        <v>29.75</v>
      </c>
      <c r="H893" s="11" t="str">
        <f t="shared" si="85"/>
        <v>3.458E-2</v>
      </c>
      <c r="I893" s="2">
        <f t="shared" si="86"/>
        <v>47.7</v>
      </c>
      <c r="J893" s="4">
        <f t="shared" si="87"/>
        <v>29.75</v>
      </c>
      <c r="K893" s="9">
        <f t="shared" si="88"/>
        <v>2.5</v>
      </c>
      <c r="L893" s="1">
        <f t="shared" si="83"/>
        <v>-5</v>
      </c>
    </row>
    <row r="894" s="1" customFormat="1" spans="1:12">
      <c r="A894" s="2">
        <v>29.817</v>
      </c>
      <c r="B894" s="10" t="s">
        <v>216</v>
      </c>
      <c r="C894" s="4">
        <v>29.783</v>
      </c>
      <c r="D894" s="4">
        <v>47.6</v>
      </c>
      <c r="G894" s="2">
        <f t="shared" si="84"/>
        <v>29.783</v>
      </c>
      <c r="H894" s="11" t="str">
        <f t="shared" si="85"/>
        <v>3.453E-2</v>
      </c>
      <c r="I894" s="2">
        <f t="shared" si="86"/>
        <v>47.4</v>
      </c>
      <c r="J894" s="4">
        <f t="shared" si="87"/>
        <v>29.783</v>
      </c>
      <c r="K894" s="9">
        <f t="shared" si="88"/>
        <v>1.99999999999999</v>
      </c>
      <c r="L894" s="1">
        <f t="shared" si="83"/>
        <v>-5</v>
      </c>
    </row>
    <row r="895" s="1" customFormat="1" spans="1:12">
      <c r="A895" s="2">
        <v>29.85</v>
      </c>
      <c r="B895" s="10" t="s">
        <v>143</v>
      </c>
      <c r="C895" s="4">
        <v>29.817</v>
      </c>
      <c r="D895" s="4">
        <v>47.7</v>
      </c>
      <c r="G895" s="2">
        <f t="shared" si="84"/>
        <v>29.817</v>
      </c>
      <c r="H895" s="11" t="str">
        <f t="shared" si="85"/>
        <v>3.446E-2</v>
      </c>
      <c r="I895" s="2">
        <f t="shared" si="86"/>
        <v>47.6</v>
      </c>
      <c r="J895" s="4">
        <f t="shared" si="87"/>
        <v>29.817</v>
      </c>
      <c r="K895" s="9">
        <f t="shared" si="88"/>
        <v>1.29999999999998</v>
      </c>
      <c r="L895" s="1">
        <f t="shared" si="83"/>
        <v>-5</v>
      </c>
    </row>
    <row r="896" s="1" customFormat="1" spans="1:12">
      <c r="A896" s="2">
        <v>29.883</v>
      </c>
      <c r="B896" s="10" t="s">
        <v>81</v>
      </c>
      <c r="C896" s="4">
        <v>29.85</v>
      </c>
      <c r="D896" s="4">
        <v>47.9</v>
      </c>
      <c r="G896" s="2">
        <f t="shared" si="84"/>
        <v>29.85</v>
      </c>
      <c r="H896" s="11" t="str">
        <f t="shared" si="85"/>
        <v>3.436E-2</v>
      </c>
      <c r="I896" s="2">
        <f t="shared" si="86"/>
        <v>47.7</v>
      </c>
      <c r="J896" s="4">
        <f t="shared" si="87"/>
        <v>29.85</v>
      </c>
      <c r="K896" s="9">
        <f t="shared" si="88"/>
        <v>0.300000000000022</v>
      </c>
      <c r="L896" s="1">
        <f t="shared" si="83"/>
        <v>-5</v>
      </c>
    </row>
    <row r="897" s="1" customFormat="1" spans="1:12">
      <c r="A897" s="2">
        <v>29.917</v>
      </c>
      <c r="B897" s="10" t="s">
        <v>235</v>
      </c>
      <c r="C897" s="4">
        <v>29.883</v>
      </c>
      <c r="D897" s="4">
        <v>47.6</v>
      </c>
      <c r="G897" s="2">
        <f t="shared" si="84"/>
        <v>29.883</v>
      </c>
      <c r="H897" s="11" t="str">
        <f t="shared" si="85"/>
        <v>3.425E-2</v>
      </c>
      <c r="I897" s="2">
        <f t="shared" si="86"/>
        <v>47.9</v>
      </c>
      <c r="J897" s="4">
        <f t="shared" si="87"/>
        <v>29.883</v>
      </c>
      <c r="K897" s="9">
        <f t="shared" si="88"/>
        <v>-0.799999999999967</v>
      </c>
      <c r="L897" s="1">
        <f t="shared" si="83"/>
        <v>-5</v>
      </c>
    </row>
    <row r="898" s="1" customFormat="1" spans="1:12">
      <c r="A898" s="2">
        <v>29.95</v>
      </c>
      <c r="B898" s="10" t="s">
        <v>82</v>
      </c>
      <c r="C898" s="4">
        <v>29.917</v>
      </c>
      <c r="D898" s="4">
        <v>48</v>
      </c>
      <c r="G898" s="2">
        <f t="shared" si="84"/>
        <v>29.917</v>
      </c>
      <c r="H898" s="11" t="str">
        <f t="shared" si="85"/>
        <v>3.420E-2</v>
      </c>
      <c r="I898" s="2">
        <f t="shared" si="86"/>
        <v>47.6</v>
      </c>
      <c r="J898" s="4">
        <f t="shared" si="87"/>
        <v>29.917</v>
      </c>
      <c r="K898" s="9">
        <f t="shared" si="88"/>
        <v>-1.29999999999998</v>
      </c>
      <c r="L898" s="1">
        <f t="shared" si="83"/>
        <v>-5</v>
      </c>
    </row>
    <row r="899" s="1" customFormat="1" spans="1:12">
      <c r="A899" s="2">
        <v>29.984</v>
      </c>
      <c r="B899" s="10" t="s">
        <v>56</v>
      </c>
      <c r="C899" s="4">
        <v>29.95</v>
      </c>
      <c r="D899" s="4">
        <v>48.2</v>
      </c>
      <c r="G899" s="2">
        <f t="shared" si="84"/>
        <v>29.95</v>
      </c>
      <c r="H899" s="11" t="str">
        <f t="shared" si="85"/>
        <v>3.414E-2</v>
      </c>
      <c r="I899" s="2">
        <f t="shared" si="86"/>
        <v>48</v>
      </c>
      <c r="J899" s="4">
        <f t="shared" si="87"/>
        <v>29.95</v>
      </c>
      <c r="K899" s="9">
        <f t="shared" si="88"/>
        <v>-1.90000000000003</v>
      </c>
      <c r="L899" s="1">
        <f t="shared" si="83"/>
        <v>-5</v>
      </c>
    </row>
    <row r="900" s="1" customFormat="1" spans="1:12">
      <c r="A900" s="2">
        <v>30.017</v>
      </c>
      <c r="B900" s="10" t="s">
        <v>114</v>
      </c>
      <c r="C900" s="4">
        <v>29.984</v>
      </c>
      <c r="D900" s="4">
        <v>47.4</v>
      </c>
      <c r="G900" s="2">
        <f t="shared" si="84"/>
        <v>29.984</v>
      </c>
      <c r="H900" s="11" t="str">
        <f t="shared" si="85"/>
        <v>3.402E-2</v>
      </c>
      <c r="I900" s="2">
        <f t="shared" si="86"/>
        <v>48.2</v>
      </c>
      <c r="J900" s="4">
        <f t="shared" si="87"/>
        <v>29.984</v>
      </c>
      <c r="K900" s="9">
        <f t="shared" si="88"/>
        <v>-3.09999999999998</v>
      </c>
      <c r="L900" s="1">
        <f t="shared" si="83"/>
        <v>-5</v>
      </c>
    </row>
    <row r="901" s="1" customFormat="1" spans="1:12">
      <c r="A901" s="2">
        <v>30.051</v>
      </c>
      <c r="B901" s="10" t="s">
        <v>49</v>
      </c>
      <c r="C901" s="4">
        <v>30.017</v>
      </c>
      <c r="D901" s="4">
        <v>47.6</v>
      </c>
      <c r="G901" s="2">
        <f t="shared" si="84"/>
        <v>30.017</v>
      </c>
      <c r="H901" s="11" t="str">
        <f t="shared" si="85"/>
        <v>3.392E-2</v>
      </c>
      <c r="I901" s="2">
        <f t="shared" si="86"/>
        <v>47.4</v>
      </c>
      <c r="J901" s="4">
        <f t="shared" si="87"/>
        <v>30.017</v>
      </c>
      <c r="K901" s="9">
        <f t="shared" si="88"/>
        <v>-4.10000000000001</v>
      </c>
      <c r="L901" s="1">
        <f t="shared" ref="L901:L934" si="89">IF(I901&lt;230,-5,23)</f>
        <v>-5</v>
      </c>
    </row>
    <row r="902" s="1" customFormat="1" spans="1:12">
      <c r="A902" s="2">
        <v>30.084</v>
      </c>
      <c r="B902" s="10" t="s">
        <v>53</v>
      </c>
      <c r="C902" s="4">
        <v>30.051</v>
      </c>
      <c r="D902" s="4">
        <v>47.4</v>
      </c>
      <c r="G902" s="2">
        <f t="shared" si="84"/>
        <v>30.051</v>
      </c>
      <c r="H902" s="11" t="str">
        <f t="shared" si="85"/>
        <v>3.386E-2</v>
      </c>
      <c r="I902" s="2">
        <f t="shared" si="86"/>
        <v>47.6</v>
      </c>
      <c r="J902" s="4">
        <f t="shared" si="87"/>
        <v>30.051</v>
      </c>
      <c r="K902" s="9">
        <f t="shared" si="88"/>
        <v>-4.69999999999998</v>
      </c>
      <c r="L902" s="1">
        <f t="shared" si="89"/>
        <v>-5</v>
      </c>
    </row>
    <row r="903" s="1" customFormat="1" spans="1:12">
      <c r="A903" s="2">
        <v>30.117</v>
      </c>
      <c r="B903" s="10" t="s">
        <v>241</v>
      </c>
      <c r="C903" s="4">
        <v>30.084</v>
      </c>
      <c r="D903" s="4">
        <v>47.6</v>
      </c>
      <c r="G903" s="2">
        <f t="shared" si="84"/>
        <v>30.084</v>
      </c>
      <c r="H903" s="11" t="str">
        <f t="shared" si="85"/>
        <v>3.375E-2</v>
      </c>
      <c r="I903" s="2">
        <f t="shared" si="86"/>
        <v>47.4</v>
      </c>
      <c r="J903" s="4">
        <f t="shared" si="87"/>
        <v>30.084</v>
      </c>
      <c r="K903" s="9">
        <f t="shared" si="88"/>
        <v>-5.79999999999997</v>
      </c>
      <c r="L903" s="1">
        <f t="shared" si="89"/>
        <v>-5</v>
      </c>
    </row>
    <row r="904" s="1" customFormat="1" spans="1:12">
      <c r="A904" s="2">
        <v>30.151</v>
      </c>
      <c r="B904" s="10" t="s">
        <v>255</v>
      </c>
      <c r="C904" s="4">
        <v>30.117</v>
      </c>
      <c r="D904" s="4">
        <v>47.7</v>
      </c>
      <c r="G904" s="2">
        <f t="shared" si="84"/>
        <v>30.117</v>
      </c>
      <c r="H904" s="11" t="str">
        <f t="shared" si="85"/>
        <v>3.369E-2</v>
      </c>
      <c r="I904" s="2">
        <f t="shared" si="86"/>
        <v>47.6</v>
      </c>
      <c r="J904" s="4">
        <f t="shared" si="87"/>
        <v>30.117</v>
      </c>
      <c r="K904" s="9">
        <f t="shared" si="88"/>
        <v>-6.40000000000002</v>
      </c>
      <c r="L904" s="1">
        <f t="shared" si="89"/>
        <v>-5</v>
      </c>
    </row>
    <row r="905" s="1" customFormat="1" spans="1:12">
      <c r="A905" s="2">
        <v>30.184</v>
      </c>
      <c r="B905" s="10" t="s">
        <v>256</v>
      </c>
      <c r="C905" s="4">
        <v>30.151</v>
      </c>
      <c r="D905" s="4">
        <v>48</v>
      </c>
      <c r="G905" s="2">
        <f t="shared" si="84"/>
        <v>30.151</v>
      </c>
      <c r="H905" s="11" t="str">
        <f t="shared" si="85"/>
        <v>3.366E-2</v>
      </c>
      <c r="I905" s="2">
        <f t="shared" si="86"/>
        <v>47.7</v>
      </c>
      <c r="J905" s="4">
        <f t="shared" si="87"/>
        <v>30.151</v>
      </c>
      <c r="K905" s="9">
        <f t="shared" si="88"/>
        <v>-6.69999999999997</v>
      </c>
      <c r="L905" s="1">
        <f t="shared" si="89"/>
        <v>-5</v>
      </c>
    </row>
    <row r="906" s="1" customFormat="1" spans="1:12">
      <c r="A906" s="2">
        <v>30.218</v>
      </c>
      <c r="B906" s="10" t="s">
        <v>255</v>
      </c>
      <c r="C906" s="4">
        <v>30.184</v>
      </c>
      <c r="D906" s="4">
        <v>47.7</v>
      </c>
      <c r="G906" s="2">
        <f t="shared" si="84"/>
        <v>30.184</v>
      </c>
      <c r="H906" s="11" t="str">
        <f t="shared" si="85"/>
        <v>3.367E-2</v>
      </c>
      <c r="I906" s="2">
        <f t="shared" si="86"/>
        <v>48</v>
      </c>
      <c r="J906" s="4">
        <f t="shared" si="87"/>
        <v>30.184</v>
      </c>
      <c r="K906" s="9">
        <f t="shared" si="88"/>
        <v>-6.60000000000001</v>
      </c>
      <c r="L906" s="1">
        <f t="shared" si="89"/>
        <v>-5</v>
      </c>
    </row>
    <row r="907" s="1" customFormat="1" spans="1:12">
      <c r="A907" s="2">
        <v>30.251</v>
      </c>
      <c r="B907" s="10" t="s">
        <v>257</v>
      </c>
      <c r="C907" s="4">
        <v>30.218</v>
      </c>
      <c r="D907" s="4">
        <v>47.7</v>
      </c>
      <c r="G907" s="2">
        <f t="shared" si="84"/>
        <v>30.218</v>
      </c>
      <c r="H907" s="11" t="str">
        <f t="shared" si="85"/>
        <v>3.366E-2</v>
      </c>
      <c r="I907" s="2">
        <f t="shared" si="86"/>
        <v>47.7</v>
      </c>
      <c r="J907" s="4">
        <f t="shared" si="87"/>
        <v>30.218</v>
      </c>
      <c r="K907" s="9">
        <f t="shared" si="88"/>
        <v>-6.69999999999997</v>
      </c>
      <c r="L907" s="1">
        <f t="shared" si="89"/>
        <v>-5</v>
      </c>
    </row>
    <row r="908" s="1" customFormat="1" spans="1:12">
      <c r="A908" s="2">
        <v>30.285</v>
      </c>
      <c r="B908" s="10" t="s">
        <v>241</v>
      </c>
      <c r="C908" s="4">
        <v>30.251</v>
      </c>
      <c r="D908" s="4">
        <v>48.2</v>
      </c>
      <c r="G908" s="2">
        <f t="shared" si="84"/>
        <v>30.251</v>
      </c>
      <c r="H908" s="11" t="str">
        <f t="shared" si="85"/>
        <v>3.368E-2</v>
      </c>
      <c r="I908" s="2">
        <f t="shared" si="86"/>
        <v>47.7</v>
      </c>
      <c r="J908" s="4">
        <f t="shared" si="87"/>
        <v>30.251</v>
      </c>
      <c r="K908" s="9">
        <f t="shared" si="88"/>
        <v>-6.49999999999998</v>
      </c>
      <c r="L908" s="1">
        <f t="shared" si="89"/>
        <v>-5</v>
      </c>
    </row>
    <row r="909" s="1" customFormat="1" spans="1:12">
      <c r="A909" s="2">
        <v>30.318</v>
      </c>
      <c r="B909" s="10" t="s">
        <v>52</v>
      </c>
      <c r="C909" s="4">
        <v>30.285</v>
      </c>
      <c r="D909" s="4">
        <v>47.3</v>
      </c>
      <c r="G909" s="2">
        <f t="shared" si="84"/>
        <v>30.285</v>
      </c>
      <c r="H909" s="11" t="str">
        <f t="shared" si="85"/>
        <v>3.369E-2</v>
      </c>
      <c r="I909" s="2">
        <f t="shared" si="86"/>
        <v>48.2</v>
      </c>
      <c r="J909" s="4">
        <f t="shared" si="87"/>
        <v>30.285</v>
      </c>
      <c r="K909" s="9">
        <f t="shared" si="88"/>
        <v>-6.40000000000002</v>
      </c>
      <c r="L909" s="1">
        <f t="shared" si="89"/>
        <v>-5</v>
      </c>
    </row>
    <row r="910" s="1" customFormat="1" spans="1:12">
      <c r="A910" s="2">
        <v>30.351</v>
      </c>
      <c r="B910" s="10" t="s">
        <v>53</v>
      </c>
      <c r="C910" s="4">
        <v>30.318</v>
      </c>
      <c r="D910" s="4">
        <v>47.9</v>
      </c>
      <c r="G910" s="2">
        <f t="shared" si="84"/>
        <v>30.318</v>
      </c>
      <c r="H910" s="11" t="str">
        <f t="shared" si="85"/>
        <v>3.372E-2</v>
      </c>
      <c r="I910" s="2">
        <f t="shared" si="86"/>
        <v>47.3</v>
      </c>
      <c r="J910" s="4">
        <f t="shared" si="87"/>
        <v>30.318</v>
      </c>
      <c r="K910" s="9">
        <f t="shared" si="88"/>
        <v>-6.09999999999999</v>
      </c>
      <c r="L910" s="1">
        <f t="shared" si="89"/>
        <v>-5</v>
      </c>
    </row>
    <row r="911" s="1" customFormat="1" spans="1:12">
      <c r="A911" s="2">
        <v>30.385</v>
      </c>
      <c r="B911" s="10" t="s">
        <v>86</v>
      </c>
      <c r="C911" s="4">
        <v>30.351</v>
      </c>
      <c r="D911" s="4">
        <v>48</v>
      </c>
      <c r="G911" s="2">
        <f t="shared" si="84"/>
        <v>30.351</v>
      </c>
      <c r="H911" s="11" t="str">
        <f t="shared" si="85"/>
        <v>3.375E-2</v>
      </c>
      <c r="I911" s="2">
        <f t="shared" si="86"/>
        <v>47.9</v>
      </c>
      <c r="J911" s="4">
        <f t="shared" si="87"/>
        <v>30.351</v>
      </c>
      <c r="K911" s="9">
        <f t="shared" si="88"/>
        <v>-5.79999999999997</v>
      </c>
      <c r="L911" s="1">
        <f t="shared" si="89"/>
        <v>-5</v>
      </c>
    </row>
    <row r="912" s="1" customFormat="1" spans="1:12">
      <c r="A912" s="2">
        <v>30.418</v>
      </c>
      <c r="B912" s="10" t="s">
        <v>55</v>
      </c>
      <c r="C912" s="4">
        <v>30.385</v>
      </c>
      <c r="D912" s="4">
        <v>47.9</v>
      </c>
      <c r="G912" s="2">
        <f t="shared" si="84"/>
        <v>30.385</v>
      </c>
      <c r="H912" s="11" t="str">
        <f t="shared" si="85"/>
        <v>3.379E-2</v>
      </c>
      <c r="I912" s="2">
        <f t="shared" si="86"/>
        <v>48</v>
      </c>
      <c r="J912" s="4">
        <f t="shared" si="87"/>
        <v>30.385</v>
      </c>
      <c r="K912" s="9">
        <f t="shared" si="88"/>
        <v>-5.39999999999999</v>
      </c>
      <c r="L912" s="1">
        <f t="shared" si="89"/>
        <v>-5</v>
      </c>
    </row>
    <row r="913" s="1" customFormat="1" spans="1:12">
      <c r="A913" s="2">
        <v>30.452</v>
      </c>
      <c r="B913" s="10" t="s">
        <v>113</v>
      </c>
      <c r="C913" s="4">
        <v>30.418</v>
      </c>
      <c r="D913" s="4">
        <v>47.9</v>
      </c>
      <c r="G913" s="2">
        <f t="shared" si="84"/>
        <v>30.418</v>
      </c>
      <c r="H913" s="11" t="str">
        <f t="shared" si="85"/>
        <v>3.383E-2</v>
      </c>
      <c r="I913" s="2">
        <f t="shared" si="86"/>
        <v>47.9</v>
      </c>
      <c r="J913" s="4">
        <f t="shared" si="87"/>
        <v>30.418</v>
      </c>
      <c r="K913" s="9">
        <f t="shared" si="88"/>
        <v>-5</v>
      </c>
      <c r="L913" s="1">
        <f t="shared" si="89"/>
        <v>-5</v>
      </c>
    </row>
    <row r="914" s="1" customFormat="1" spans="1:12">
      <c r="A914" s="2">
        <v>30.485</v>
      </c>
      <c r="B914" s="10" t="s">
        <v>234</v>
      </c>
      <c r="C914" s="4">
        <v>30.452</v>
      </c>
      <c r="D914" s="4">
        <v>47.5</v>
      </c>
      <c r="G914" s="2">
        <f t="shared" si="84"/>
        <v>30.452</v>
      </c>
      <c r="H914" s="11" t="str">
        <f t="shared" si="85"/>
        <v>3.389E-2</v>
      </c>
      <c r="I914" s="2">
        <f t="shared" si="86"/>
        <v>47.9</v>
      </c>
      <c r="J914" s="4">
        <f t="shared" si="87"/>
        <v>30.452</v>
      </c>
      <c r="K914" s="9">
        <f t="shared" si="88"/>
        <v>-4.39999999999996</v>
      </c>
      <c r="L914" s="1">
        <f t="shared" si="89"/>
        <v>-5</v>
      </c>
    </row>
    <row r="915" s="1" customFormat="1" spans="1:12">
      <c r="A915" s="2">
        <v>30.518</v>
      </c>
      <c r="B915" s="10" t="s">
        <v>57</v>
      </c>
      <c r="C915" s="4">
        <v>30.485</v>
      </c>
      <c r="D915" s="4">
        <v>47.4</v>
      </c>
      <c r="G915" s="2">
        <f t="shared" si="84"/>
        <v>30.485</v>
      </c>
      <c r="H915" s="11" t="str">
        <f t="shared" si="85"/>
        <v>3.404E-2</v>
      </c>
      <c r="I915" s="2">
        <f t="shared" si="86"/>
        <v>47.5</v>
      </c>
      <c r="J915" s="4">
        <f t="shared" si="87"/>
        <v>30.485</v>
      </c>
      <c r="K915" s="9">
        <f t="shared" si="88"/>
        <v>-2.89999999999999</v>
      </c>
      <c r="L915" s="1">
        <f t="shared" si="89"/>
        <v>-5</v>
      </c>
    </row>
    <row r="916" s="1" customFormat="1" spans="1:12">
      <c r="A916" s="2">
        <v>30.552</v>
      </c>
      <c r="B916" s="10" t="s">
        <v>235</v>
      </c>
      <c r="C916" s="4">
        <v>30.518</v>
      </c>
      <c r="D916" s="4">
        <v>47.6</v>
      </c>
      <c r="G916" s="2">
        <f t="shared" si="84"/>
        <v>30.518</v>
      </c>
      <c r="H916" s="11" t="str">
        <f t="shared" si="85"/>
        <v>3.413E-2</v>
      </c>
      <c r="I916" s="2">
        <f t="shared" si="86"/>
        <v>47.4</v>
      </c>
      <c r="J916" s="4">
        <f t="shared" si="87"/>
        <v>30.518</v>
      </c>
      <c r="K916" s="9">
        <f t="shared" si="88"/>
        <v>-1.99999999999999</v>
      </c>
      <c r="L916" s="1">
        <f t="shared" si="89"/>
        <v>-5</v>
      </c>
    </row>
    <row r="917" s="1" customFormat="1" spans="1:12">
      <c r="A917" s="2">
        <v>30.585</v>
      </c>
      <c r="B917" s="10" t="s">
        <v>9</v>
      </c>
      <c r="C917" s="4">
        <v>30.552</v>
      </c>
      <c r="D917" s="4">
        <v>48</v>
      </c>
      <c r="G917" s="2">
        <f t="shared" si="84"/>
        <v>30.552</v>
      </c>
      <c r="H917" s="11" t="str">
        <f t="shared" si="85"/>
        <v>3.420E-2</v>
      </c>
      <c r="I917" s="2">
        <f t="shared" si="86"/>
        <v>47.6</v>
      </c>
      <c r="J917" s="4">
        <f t="shared" si="87"/>
        <v>30.552</v>
      </c>
      <c r="K917" s="9">
        <f t="shared" si="88"/>
        <v>-1.29999999999998</v>
      </c>
      <c r="L917" s="1">
        <f t="shared" si="89"/>
        <v>-5</v>
      </c>
    </row>
    <row r="918" s="1" customFormat="1" spans="1:12">
      <c r="A918" s="2">
        <v>30.619</v>
      </c>
      <c r="B918" s="10" t="s">
        <v>23</v>
      </c>
      <c r="C918" s="4">
        <v>30.585</v>
      </c>
      <c r="D918" s="4">
        <v>47.8</v>
      </c>
      <c r="G918" s="2">
        <f t="shared" si="84"/>
        <v>30.585</v>
      </c>
      <c r="H918" s="11" t="str">
        <f t="shared" si="85"/>
        <v>3.433E-2</v>
      </c>
      <c r="I918" s="2">
        <f t="shared" si="86"/>
        <v>48</v>
      </c>
      <c r="J918" s="4">
        <f t="shared" si="87"/>
        <v>30.585</v>
      </c>
      <c r="K918" s="9">
        <f t="shared" si="88"/>
        <v>0</v>
      </c>
      <c r="L918" s="1">
        <f t="shared" si="89"/>
        <v>-5</v>
      </c>
    </row>
    <row r="919" s="1" customFormat="1" spans="1:12">
      <c r="A919" s="2">
        <v>30.652</v>
      </c>
      <c r="B919" s="10" t="s">
        <v>221</v>
      </c>
      <c r="C919" s="4">
        <v>30.619</v>
      </c>
      <c r="D919" s="4">
        <v>47.8</v>
      </c>
      <c r="G919" s="2">
        <f t="shared" si="84"/>
        <v>30.619</v>
      </c>
      <c r="H919" s="11" t="str">
        <f t="shared" si="85"/>
        <v>3.442E-2</v>
      </c>
      <c r="I919" s="2">
        <f t="shared" si="86"/>
        <v>47.8</v>
      </c>
      <c r="J919" s="4">
        <f t="shared" si="87"/>
        <v>30.619</v>
      </c>
      <c r="K919" s="9">
        <f t="shared" si="88"/>
        <v>0.899999999999998</v>
      </c>
      <c r="L919" s="1">
        <f t="shared" si="89"/>
        <v>-5</v>
      </c>
    </row>
    <row r="920" s="1" customFormat="1" spans="1:12">
      <c r="A920" s="2">
        <v>30.686</v>
      </c>
      <c r="B920" s="10" t="s">
        <v>89</v>
      </c>
      <c r="C920" s="4">
        <v>30.652</v>
      </c>
      <c r="D920" s="4">
        <v>48.1</v>
      </c>
      <c r="G920" s="2">
        <f t="shared" si="84"/>
        <v>30.652</v>
      </c>
      <c r="H920" s="11" t="str">
        <f t="shared" si="85"/>
        <v>3.448E-2</v>
      </c>
      <c r="I920" s="2">
        <f t="shared" si="86"/>
        <v>47.8</v>
      </c>
      <c r="J920" s="4">
        <f t="shared" si="87"/>
        <v>30.652</v>
      </c>
      <c r="K920" s="9">
        <f t="shared" si="88"/>
        <v>1.49999999999997</v>
      </c>
      <c r="L920" s="1">
        <f t="shared" si="89"/>
        <v>-5</v>
      </c>
    </row>
    <row r="921" s="1" customFormat="1" spans="1:12">
      <c r="A921" s="2">
        <v>30.719</v>
      </c>
      <c r="B921" s="10" t="s">
        <v>28</v>
      </c>
      <c r="C921" s="4">
        <v>30.686</v>
      </c>
      <c r="D921" s="4">
        <v>47.1</v>
      </c>
      <c r="G921" s="2">
        <f t="shared" si="84"/>
        <v>30.686</v>
      </c>
      <c r="H921" s="11" t="str">
        <f t="shared" si="85"/>
        <v>3.462E-2</v>
      </c>
      <c r="I921" s="2">
        <f t="shared" si="86"/>
        <v>48.1</v>
      </c>
      <c r="J921" s="4">
        <f t="shared" si="87"/>
        <v>30.686</v>
      </c>
      <c r="K921" s="9">
        <f t="shared" si="88"/>
        <v>2.89999999999999</v>
      </c>
      <c r="L921" s="1">
        <f t="shared" si="89"/>
        <v>-5</v>
      </c>
    </row>
    <row r="922" s="1" customFormat="1" spans="1:12">
      <c r="A922" s="2">
        <v>30.752</v>
      </c>
      <c r="B922" s="10" t="s">
        <v>250</v>
      </c>
      <c r="C922" s="4">
        <v>30.719</v>
      </c>
      <c r="D922" s="4">
        <v>47.2</v>
      </c>
      <c r="G922" s="2">
        <f t="shared" si="84"/>
        <v>30.719</v>
      </c>
      <c r="H922" s="11" t="str">
        <f t="shared" si="85"/>
        <v>3.470E-2</v>
      </c>
      <c r="I922" s="2">
        <f t="shared" si="86"/>
        <v>47.1</v>
      </c>
      <c r="J922" s="4">
        <f t="shared" si="87"/>
        <v>30.719</v>
      </c>
      <c r="K922" s="9">
        <f t="shared" si="88"/>
        <v>3.70000000000002</v>
      </c>
      <c r="L922" s="1">
        <f t="shared" si="89"/>
        <v>-5</v>
      </c>
    </row>
    <row r="923" s="1" customFormat="1" spans="1:12">
      <c r="A923" s="2">
        <v>30.786</v>
      </c>
      <c r="B923" s="10" t="s">
        <v>202</v>
      </c>
      <c r="C923" s="4">
        <v>30.752</v>
      </c>
      <c r="D923" s="4">
        <v>47.6</v>
      </c>
      <c r="G923" s="2">
        <f t="shared" si="84"/>
        <v>30.752</v>
      </c>
      <c r="H923" s="11" t="str">
        <f t="shared" si="85"/>
        <v>3.473E-2</v>
      </c>
      <c r="I923" s="2">
        <f t="shared" si="86"/>
        <v>47.2</v>
      </c>
      <c r="J923" s="4">
        <f t="shared" si="87"/>
        <v>30.752</v>
      </c>
      <c r="K923" s="9">
        <f t="shared" si="88"/>
        <v>3.99999999999998</v>
      </c>
      <c r="L923" s="1">
        <f t="shared" si="89"/>
        <v>-5</v>
      </c>
    </row>
    <row r="924" s="1" customFormat="1" spans="1:12">
      <c r="A924" s="2">
        <v>30.819</v>
      </c>
      <c r="B924" s="10" t="s">
        <v>202</v>
      </c>
      <c r="C924" s="4">
        <v>30.786</v>
      </c>
      <c r="D924" s="4">
        <v>47.8</v>
      </c>
      <c r="G924" s="2">
        <f t="shared" si="84"/>
        <v>30.786</v>
      </c>
      <c r="H924" s="11" t="str">
        <f t="shared" si="85"/>
        <v>3.475E-2</v>
      </c>
      <c r="I924" s="2">
        <f t="shared" si="86"/>
        <v>47.6</v>
      </c>
      <c r="J924" s="4">
        <f t="shared" si="87"/>
        <v>30.786</v>
      </c>
      <c r="K924" s="9">
        <f t="shared" si="88"/>
        <v>4.20000000000004</v>
      </c>
      <c r="L924" s="1">
        <f t="shared" si="89"/>
        <v>-5</v>
      </c>
    </row>
    <row r="925" s="1" customFormat="1" spans="1:12">
      <c r="A925" s="2">
        <v>30.853</v>
      </c>
      <c r="B925" s="10" t="s">
        <v>109</v>
      </c>
      <c r="C925" s="4">
        <v>30.819</v>
      </c>
      <c r="D925" s="4">
        <v>47.5</v>
      </c>
      <c r="G925" s="2">
        <f t="shared" si="84"/>
        <v>30.819</v>
      </c>
      <c r="H925" s="11" t="str">
        <f t="shared" si="85"/>
        <v>3.475E-2</v>
      </c>
      <c r="I925" s="2">
        <f t="shared" si="86"/>
        <v>47.8</v>
      </c>
      <c r="J925" s="4">
        <f t="shared" si="87"/>
        <v>30.819</v>
      </c>
      <c r="K925" s="9">
        <f t="shared" si="88"/>
        <v>4.20000000000004</v>
      </c>
      <c r="L925" s="1">
        <f t="shared" si="89"/>
        <v>-5</v>
      </c>
    </row>
    <row r="926" s="1" customFormat="1" spans="1:12">
      <c r="A926" s="2">
        <v>30.886</v>
      </c>
      <c r="B926" s="10" t="s">
        <v>250</v>
      </c>
      <c r="C926" s="4">
        <v>30.853</v>
      </c>
      <c r="D926" s="4">
        <v>47.9</v>
      </c>
      <c r="G926" s="2">
        <f t="shared" si="84"/>
        <v>30.853</v>
      </c>
      <c r="H926" s="11" t="str">
        <f t="shared" si="85"/>
        <v>3.476E-2</v>
      </c>
      <c r="I926" s="2">
        <f t="shared" si="86"/>
        <v>47.5</v>
      </c>
      <c r="J926" s="4">
        <f t="shared" si="87"/>
        <v>30.853</v>
      </c>
      <c r="K926" s="9">
        <f t="shared" si="88"/>
        <v>4.3</v>
      </c>
      <c r="L926" s="1">
        <f t="shared" si="89"/>
        <v>-5</v>
      </c>
    </row>
    <row r="927" s="1" customFormat="1" spans="1:12">
      <c r="A927" s="2">
        <v>30.92</v>
      </c>
      <c r="B927" s="10" t="s">
        <v>119</v>
      </c>
      <c r="C927" s="4">
        <v>30.886</v>
      </c>
      <c r="D927" s="4">
        <v>47.5</v>
      </c>
      <c r="G927" s="2">
        <f t="shared" si="84"/>
        <v>30.886</v>
      </c>
      <c r="H927" s="11" t="str">
        <f t="shared" si="85"/>
        <v>3.473E-2</v>
      </c>
      <c r="I927" s="2">
        <f t="shared" si="86"/>
        <v>47.9</v>
      </c>
      <c r="J927" s="4">
        <f t="shared" si="87"/>
        <v>30.886</v>
      </c>
      <c r="K927" s="9">
        <f t="shared" si="88"/>
        <v>3.99999999999998</v>
      </c>
      <c r="L927" s="1">
        <f t="shared" si="89"/>
        <v>-5</v>
      </c>
    </row>
    <row r="928" s="1" customFormat="1" spans="1:12">
      <c r="A928" s="2">
        <v>30.953</v>
      </c>
      <c r="B928" s="10" t="s">
        <v>204</v>
      </c>
      <c r="C928" s="4">
        <v>30.92</v>
      </c>
      <c r="D928" s="4">
        <v>47.6</v>
      </c>
      <c r="G928" s="2">
        <f t="shared" si="84"/>
        <v>30.92</v>
      </c>
      <c r="H928" s="11" t="str">
        <f t="shared" si="85"/>
        <v>3.471E-2</v>
      </c>
      <c r="I928" s="2">
        <f t="shared" si="86"/>
        <v>47.5</v>
      </c>
      <c r="J928" s="4">
        <f t="shared" si="87"/>
        <v>30.92</v>
      </c>
      <c r="K928" s="9">
        <f t="shared" si="88"/>
        <v>3.79999999999998</v>
      </c>
      <c r="L928" s="1">
        <f t="shared" si="89"/>
        <v>-5</v>
      </c>
    </row>
    <row r="929" s="1" customFormat="1" spans="1:12">
      <c r="A929" s="2">
        <v>30.986</v>
      </c>
      <c r="B929" s="10" t="s">
        <v>166</v>
      </c>
      <c r="C929" s="4">
        <v>30.953</v>
      </c>
      <c r="D929" s="4">
        <v>47.9</v>
      </c>
      <c r="G929" s="2">
        <f t="shared" si="84"/>
        <v>30.953</v>
      </c>
      <c r="H929" s="11" t="str">
        <f t="shared" si="85"/>
        <v>3.468E-2</v>
      </c>
      <c r="I929" s="2">
        <f t="shared" si="86"/>
        <v>47.6</v>
      </c>
      <c r="J929" s="4">
        <f t="shared" si="87"/>
        <v>30.953</v>
      </c>
      <c r="K929" s="9">
        <f t="shared" si="88"/>
        <v>3.50000000000003</v>
      </c>
      <c r="L929" s="1">
        <f t="shared" si="89"/>
        <v>-5</v>
      </c>
    </row>
    <row r="930" s="1" customFormat="1" spans="1:12">
      <c r="A930" s="2">
        <v>31.02</v>
      </c>
      <c r="B930" s="10" t="s">
        <v>89</v>
      </c>
      <c r="C930" s="4">
        <v>30.986</v>
      </c>
      <c r="D930" s="4">
        <v>47.7</v>
      </c>
      <c r="G930" s="2">
        <f t="shared" si="84"/>
        <v>30.986</v>
      </c>
      <c r="H930" s="11" t="str">
        <f t="shared" si="85"/>
        <v>3.465E-2</v>
      </c>
      <c r="I930" s="2">
        <f t="shared" si="86"/>
        <v>47.9</v>
      </c>
      <c r="J930" s="4">
        <f t="shared" si="87"/>
        <v>30.986</v>
      </c>
      <c r="K930" s="9">
        <f t="shared" si="88"/>
        <v>3.20000000000001</v>
      </c>
      <c r="L930" s="1">
        <f t="shared" si="89"/>
        <v>-5</v>
      </c>
    </row>
    <row r="931" s="1" customFormat="1" spans="1:12">
      <c r="A931" s="2">
        <v>31.053</v>
      </c>
      <c r="B931" s="10" t="s">
        <v>168</v>
      </c>
      <c r="C931" s="4">
        <v>31.02</v>
      </c>
      <c r="D931" s="4">
        <v>48.2</v>
      </c>
      <c r="G931" s="2">
        <f t="shared" si="84"/>
        <v>31.02</v>
      </c>
      <c r="H931" s="11" t="str">
        <f t="shared" si="85"/>
        <v>3.462E-2</v>
      </c>
      <c r="I931" s="2">
        <f t="shared" si="86"/>
        <v>47.7</v>
      </c>
      <c r="J931" s="4">
        <f t="shared" si="87"/>
        <v>31.02</v>
      </c>
      <c r="K931" s="9">
        <f t="shared" si="88"/>
        <v>2.89999999999999</v>
      </c>
      <c r="L931" s="1">
        <f t="shared" si="89"/>
        <v>-5</v>
      </c>
    </row>
    <row r="932" s="1" customFormat="1" spans="1:12">
      <c r="A932" s="2">
        <v>31.087</v>
      </c>
      <c r="B932" s="10" t="s">
        <v>223</v>
      </c>
      <c r="C932" s="4">
        <v>31.053</v>
      </c>
      <c r="D932" s="4">
        <v>47.8</v>
      </c>
      <c r="G932" s="2">
        <f t="shared" si="84"/>
        <v>31.053</v>
      </c>
      <c r="H932" s="11" t="str">
        <f t="shared" si="85"/>
        <v>3.459E-2</v>
      </c>
      <c r="I932" s="2">
        <f t="shared" si="86"/>
        <v>48.2</v>
      </c>
      <c r="J932" s="4">
        <f t="shared" si="87"/>
        <v>31.053</v>
      </c>
      <c r="K932" s="9">
        <f t="shared" si="88"/>
        <v>2.60000000000003</v>
      </c>
      <c r="L932" s="1">
        <f t="shared" si="89"/>
        <v>-5</v>
      </c>
    </row>
    <row r="933" s="1" customFormat="1" spans="1:12">
      <c r="A933" s="2">
        <v>31.12</v>
      </c>
      <c r="B933" s="10" t="s">
        <v>26</v>
      </c>
      <c r="C933" s="4">
        <v>31.087</v>
      </c>
      <c r="D933" s="4">
        <v>47.3</v>
      </c>
      <c r="G933" s="2">
        <f t="shared" si="84"/>
        <v>31.087</v>
      </c>
      <c r="H933" s="11" t="str">
        <f t="shared" si="85"/>
        <v>3.455E-2</v>
      </c>
      <c r="I933" s="2">
        <f t="shared" si="86"/>
        <v>47.8</v>
      </c>
      <c r="J933" s="4">
        <f t="shared" si="87"/>
        <v>31.087</v>
      </c>
      <c r="K933" s="9">
        <f t="shared" si="88"/>
        <v>2.19999999999998</v>
      </c>
      <c r="L933" s="1">
        <f t="shared" si="89"/>
        <v>-5</v>
      </c>
    </row>
    <row r="934" s="1" customFormat="1" spans="1:12">
      <c r="A934" s="2"/>
      <c r="B934" s="3"/>
      <c r="C934" s="4">
        <v>31.12</v>
      </c>
      <c r="D934" s="4">
        <v>47.6</v>
      </c>
      <c r="G934" s="2">
        <f t="shared" si="84"/>
        <v>31.12</v>
      </c>
      <c r="H934" s="11" t="str">
        <f t="shared" si="85"/>
        <v>3.451E-2</v>
      </c>
      <c r="I934" s="2">
        <f t="shared" si="86"/>
        <v>47.3</v>
      </c>
      <c r="J934" s="4">
        <f t="shared" si="87"/>
        <v>31.12</v>
      </c>
      <c r="K934" s="9">
        <f t="shared" si="88"/>
        <v>1.8</v>
      </c>
      <c r="L934" s="1">
        <f t="shared" si="89"/>
        <v>-5</v>
      </c>
    </row>
    <row r="935" s="1" customFormat="1" spans="1:12">
      <c r="A935" s="2"/>
      <c r="B935" s="3"/>
      <c r="C935" s="4"/>
      <c r="D935" s="4"/>
      <c r="G935" s="4"/>
      <c r="H935" s="4"/>
      <c r="I935" s="4"/>
      <c r="J935" s="4"/>
    </row>
    <row r="936" s="1" customFormat="1" spans="1:12">
      <c r="A936" s="2"/>
      <c r="B936" s="3"/>
      <c r="C936" s="4"/>
      <c r="D936" s="4"/>
      <c r="G936" s="4"/>
      <c r="H936" s="4"/>
      <c r="I936" s="4"/>
      <c r="J936" s="4"/>
    </row>
    <row r="937" s="1" customFormat="1" spans="1:12">
      <c r="A937" s="2"/>
      <c r="B937" s="3"/>
      <c r="C937" s="4"/>
      <c r="D937" s="4"/>
      <c r="G937" s="4"/>
      <c r="H937" s="4"/>
      <c r="I937" s="4"/>
      <c r="J937" s="4"/>
    </row>
    <row r="938" s="1" customFormat="1" spans="1:12">
      <c r="A938" s="2"/>
      <c r="B938" s="3"/>
      <c r="C938" s="4"/>
      <c r="D938" s="4"/>
      <c r="G938" s="4"/>
      <c r="H938" s="4"/>
      <c r="I938" s="4"/>
      <c r="J938" s="4"/>
    </row>
  </sheetData>
  <mergeCells count="2">
    <mergeCell ref="G1:I1"/>
    <mergeCell ref="J1:L1"/>
  </mergeCells>
  <conditionalFormatting sqref="C$1:C$1048576">
    <cfRule type="cellIs" dxfId="0" priority="7" operator="greaterThan">
      <formula>250</formula>
    </cfRule>
    <cfRule type="cellIs" dxfId="0" priority="5" operator="greaterThan">
      <formula>248</formula>
    </cfRule>
    <cfRule type="cellIs" dxfId="0" priority="4" operator="greaterThan">
      <formula>230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934">
    <cfRule type="cellIs" dxfId="0" priority="3" operator="greaterThan">
      <formula>250</formula>
    </cfRule>
    <cfRule type="cellIs" dxfId="0" priority="2" operator="greaterThan">
      <formula>248</formula>
    </cfRule>
    <cfRule type="cellIs" dxfId="0" priority="1" operator="greaterThan">
      <formula>230</formula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3"/>
  <sheetViews>
    <sheetView topLeftCell="E1" workbookViewId="0">
      <selection activeCell="L4" sqref="L4:L892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4" width="8.88888888888889" style="1"/>
  </cols>
  <sheetData>
    <row r="1" s="1" customFormat="1" spans="1:2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2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22">
      <c r="A3" s="2">
        <v>0</v>
      </c>
      <c r="B3" s="10" t="s">
        <v>258</v>
      </c>
      <c r="C3" s="4">
        <v>0</v>
      </c>
      <c r="D3" s="5">
        <v>45.7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22">
      <c r="A4" s="2">
        <v>0.033</v>
      </c>
      <c r="B4" s="10" t="s">
        <v>258</v>
      </c>
      <c r="C4" s="4">
        <v>0.033</v>
      </c>
      <c r="D4" s="5">
        <v>45</v>
      </c>
      <c r="E4" s="4"/>
      <c r="F4" s="4"/>
      <c r="G4" s="2">
        <f t="shared" ref="G4:G67" si="0">A3</f>
        <v>0</v>
      </c>
      <c r="H4" s="11" t="str">
        <f t="shared" ref="H4:H67" si="1">B3</f>
        <v>3.336E-2</v>
      </c>
      <c r="I4" s="2">
        <f t="shared" ref="I4:I67" si="2">D3</f>
        <v>45.7</v>
      </c>
      <c r="J4" s="4">
        <f t="shared" ref="J4:J67" si="3">G4</f>
        <v>0</v>
      </c>
      <c r="K4" s="9">
        <f t="shared" ref="K4:K67" si="4">(H4-$H$4)*10000</f>
        <v>0</v>
      </c>
      <c r="L4" s="1">
        <f>IF(I4&lt;230,$V$4,$V$5)</f>
        <v>-0.399999999999984</v>
      </c>
      <c r="V4" s="1">
        <f>MIN(K:K)</f>
        <v>-0.399999999999984</v>
      </c>
    </row>
    <row r="5" s="1" customFormat="1" spans="1:22">
      <c r="A5" s="2">
        <v>0.067</v>
      </c>
      <c r="B5" s="10" t="s">
        <v>258</v>
      </c>
      <c r="C5" s="4">
        <v>0.067</v>
      </c>
      <c r="D5" s="5">
        <v>45.1</v>
      </c>
      <c r="E5" s="4"/>
      <c r="F5" s="4"/>
      <c r="G5" s="2">
        <f t="shared" si="0"/>
        <v>0.033</v>
      </c>
      <c r="H5" s="11" t="str">
        <f t="shared" si="1"/>
        <v>3.336E-2</v>
      </c>
      <c r="I5" s="2">
        <f t="shared" si="2"/>
        <v>45</v>
      </c>
      <c r="J5" s="4">
        <f t="shared" si="3"/>
        <v>0.033</v>
      </c>
      <c r="K5" s="9">
        <f t="shared" si="4"/>
        <v>0</v>
      </c>
      <c r="L5" s="1">
        <f t="shared" ref="L5:L68" si="5">IF(I5&lt;230,$V$4,$V$5)</f>
        <v>-0.399999999999984</v>
      </c>
      <c r="V5" s="1">
        <f>MAX(K:K)</f>
        <v>30.5</v>
      </c>
    </row>
    <row r="6" s="1" customFormat="1" spans="1:22">
      <c r="A6" s="2">
        <v>0.1</v>
      </c>
      <c r="B6" s="10" t="s">
        <v>259</v>
      </c>
      <c r="C6" s="4">
        <v>0.1</v>
      </c>
      <c r="D6" s="5">
        <v>44.7</v>
      </c>
      <c r="E6" s="4"/>
      <c r="F6" s="4"/>
      <c r="G6" s="2">
        <f t="shared" si="0"/>
        <v>0.067</v>
      </c>
      <c r="H6" s="11" t="str">
        <f t="shared" si="1"/>
        <v>3.336E-2</v>
      </c>
      <c r="I6" s="2">
        <f t="shared" si="2"/>
        <v>45.1</v>
      </c>
      <c r="J6" s="4">
        <f t="shared" si="3"/>
        <v>0.067</v>
      </c>
      <c r="K6" s="9">
        <f t="shared" si="4"/>
        <v>0</v>
      </c>
      <c r="L6" s="1">
        <f t="shared" si="5"/>
        <v>-0.399999999999984</v>
      </c>
    </row>
    <row r="7" s="1" customFormat="1" spans="1:22">
      <c r="A7" s="2">
        <v>0.134</v>
      </c>
      <c r="B7" s="10" t="s">
        <v>258</v>
      </c>
      <c r="C7" s="4">
        <v>0.134</v>
      </c>
      <c r="D7" s="5">
        <v>44.6</v>
      </c>
      <c r="E7" s="4"/>
      <c r="F7" s="4"/>
      <c r="G7" s="2">
        <f t="shared" si="0"/>
        <v>0.1</v>
      </c>
      <c r="H7" s="11" t="str">
        <f t="shared" si="1"/>
        <v>3.335E-2</v>
      </c>
      <c r="I7" s="2">
        <f t="shared" si="2"/>
        <v>44.7</v>
      </c>
      <c r="J7" s="4">
        <f t="shared" si="3"/>
        <v>0.1</v>
      </c>
      <c r="K7" s="9">
        <f t="shared" si="4"/>
        <v>-0.100000000000031</v>
      </c>
      <c r="L7" s="1">
        <f t="shared" si="5"/>
        <v>-0.399999999999984</v>
      </c>
    </row>
    <row r="8" s="1" customFormat="1" spans="1:22">
      <c r="A8" s="2">
        <v>0.167</v>
      </c>
      <c r="B8" s="10" t="s">
        <v>258</v>
      </c>
      <c r="C8" s="4">
        <v>0.167</v>
      </c>
      <c r="D8" s="5">
        <v>44.7</v>
      </c>
      <c r="E8" s="4"/>
      <c r="F8" s="4"/>
      <c r="G8" s="2">
        <f t="shared" si="0"/>
        <v>0.134</v>
      </c>
      <c r="H8" s="11" t="str">
        <f t="shared" si="1"/>
        <v>3.336E-2</v>
      </c>
      <c r="I8" s="2">
        <f t="shared" si="2"/>
        <v>44.6</v>
      </c>
      <c r="J8" s="4">
        <f t="shared" si="3"/>
        <v>0.134</v>
      </c>
      <c r="K8" s="9">
        <f t="shared" si="4"/>
        <v>0</v>
      </c>
      <c r="L8" s="1">
        <f t="shared" si="5"/>
        <v>-0.399999999999984</v>
      </c>
    </row>
    <row r="9" s="1" customFormat="1" spans="1:22">
      <c r="A9" s="2">
        <v>0.201</v>
      </c>
      <c r="B9" s="10" t="s">
        <v>259</v>
      </c>
      <c r="C9" s="4">
        <v>0.201</v>
      </c>
      <c r="D9" s="5">
        <v>44.9</v>
      </c>
      <c r="E9" s="4"/>
      <c r="F9" s="4"/>
      <c r="G9" s="2">
        <f t="shared" si="0"/>
        <v>0.167</v>
      </c>
      <c r="H9" s="11" t="str">
        <f t="shared" si="1"/>
        <v>3.336E-2</v>
      </c>
      <c r="I9" s="2">
        <f t="shared" si="2"/>
        <v>44.7</v>
      </c>
      <c r="J9" s="4">
        <f t="shared" si="3"/>
        <v>0.167</v>
      </c>
      <c r="K9" s="9">
        <f t="shared" si="4"/>
        <v>0</v>
      </c>
      <c r="L9" s="1">
        <f t="shared" si="5"/>
        <v>-0.399999999999984</v>
      </c>
    </row>
    <row r="10" s="1" customFormat="1" spans="1:22">
      <c r="A10" s="2">
        <v>0.234</v>
      </c>
      <c r="B10" s="10" t="s">
        <v>259</v>
      </c>
      <c r="C10" s="4">
        <v>0.234</v>
      </c>
      <c r="D10" s="5">
        <v>45</v>
      </c>
      <c r="E10" s="4"/>
      <c r="F10" s="4"/>
      <c r="G10" s="2">
        <f t="shared" si="0"/>
        <v>0.201</v>
      </c>
      <c r="H10" s="11" t="str">
        <f t="shared" si="1"/>
        <v>3.335E-2</v>
      </c>
      <c r="I10" s="2">
        <f t="shared" si="2"/>
        <v>44.9</v>
      </c>
      <c r="J10" s="4">
        <f t="shared" si="3"/>
        <v>0.201</v>
      </c>
      <c r="K10" s="9">
        <f t="shared" si="4"/>
        <v>-0.100000000000031</v>
      </c>
      <c r="L10" s="1">
        <f t="shared" si="5"/>
        <v>-0.399999999999984</v>
      </c>
    </row>
    <row r="11" s="1" customFormat="1" spans="1:22">
      <c r="A11" s="2">
        <v>0.268</v>
      </c>
      <c r="B11" s="10" t="s">
        <v>259</v>
      </c>
      <c r="C11" s="4">
        <v>0.268</v>
      </c>
      <c r="D11" s="5">
        <v>44.5</v>
      </c>
      <c r="E11" s="4"/>
      <c r="F11" s="4"/>
      <c r="G11" s="2">
        <f t="shared" si="0"/>
        <v>0.234</v>
      </c>
      <c r="H11" s="11" t="str">
        <f t="shared" si="1"/>
        <v>3.335E-2</v>
      </c>
      <c r="I11" s="2">
        <f t="shared" si="2"/>
        <v>45</v>
      </c>
      <c r="J11" s="4">
        <f t="shared" si="3"/>
        <v>0.234</v>
      </c>
      <c r="K11" s="9">
        <f t="shared" si="4"/>
        <v>-0.100000000000031</v>
      </c>
      <c r="L11" s="1">
        <f t="shared" si="5"/>
        <v>-0.399999999999984</v>
      </c>
    </row>
    <row r="12" s="1" customFormat="1" spans="1:22">
      <c r="A12" s="2">
        <v>0.301</v>
      </c>
      <c r="B12" s="10" t="s">
        <v>258</v>
      </c>
      <c r="C12" s="4">
        <v>0.301</v>
      </c>
      <c r="D12" s="5">
        <v>44.6</v>
      </c>
      <c r="E12" s="4"/>
      <c r="F12" s="4"/>
      <c r="G12" s="2">
        <f t="shared" si="0"/>
        <v>0.268</v>
      </c>
      <c r="H12" s="11" t="str">
        <f t="shared" si="1"/>
        <v>3.335E-2</v>
      </c>
      <c r="I12" s="2">
        <f t="shared" si="2"/>
        <v>44.5</v>
      </c>
      <c r="J12" s="4">
        <f t="shared" si="3"/>
        <v>0.268</v>
      </c>
      <c r="K12" s="9">
        <f t="shared" si="4"/>
        <v>-0.100000000000031</v>
      </c>
      <c r="L12" s="1">
        <f t="shared" si="5"/>
        <v>-0.399999999999984</v>
      </c>
    </row>
    <row r="13" s="1" customFormat="1" spans="1:22">
      <c r="A13" s="2">
        <v>0.334</v>
      </c>
      <c r="B13" s="10" t="s">
        <v>259</v>
      </c>
      <c r="C13" s="4">
        <v>0.334</v>
      </c>
      <c r="D13" s="5">
        <v>44.9</v>
      </c>
      <c r="E13" s="4"/>
      <c r="F13" s="4"/>
      <c r="G13" s="2">
        <f t="shared" si="0"/>
        <v>0.301</v>
      </c>
      <c r="H13" s="11" t="str">
        <f t="shared" si="1"/>
        <v>3.336E-2</v>
      </c>
      <c r="I13" s="2">
        <f t="shared" si="2"/>
        <v>44.6</v>
      </c>
      <c r="J13" s="4">
        <f t="shared" si="3"/>
        <v>0.301</v>
      </c>
      <c r="K13" s="9">
        <f t="shared" si="4"/>
        <v>0</v>
      </c>
      <c r="L13" s="1">
        <f t="shared" si="5"/>
        <v>-0.399999999999984</v>
      </c>
    </row>
    <row r="14" s="1" customFormat="1" spans="1:22">
      <c r="A14" s="2">
        <v>0.368</v>
      </c>
      <c r="B14" s="10" t="s">
        <v>259</v>
      </c>
      <c r="C14" s="4">
        <v>0.368</v>
      </c>
      <c r="D14" s="5">
        <v>44.5</v>
      </c>
      <c r="E14" s="4"/>
      <c r="F14" s="4"/>
      <c r="G14" s="2">
        <f t="shared" si="0"/>
        <v>0.334</v>
      </c>
      <c r="H14" s="11" t="str">
        <f t="shared" si="1"/>
        <v>3.335E-2</v>
      </c>
      <c r="I14" s="2">
        <f t="shared" si="2"/>
        <v>44.9</v>
      </c>
      <c r="J14" s="4">
        <f t="shared" si="3"/>
        <v>0.334</v>
      </c>
      <c r="K14" s="9">
        <f t="shared" si="4"/>
        <v>-0.100000000000031</v>
      </c>
      <c r="L14" s="1">
        <f t="shared" si="5"/>
        <v>-0.399999999999984</v>
      </c>
    </row>
    <row r="15" s="1" customFormat="1" spans="1:22">
      <c r="A15" s="2">
        <v>0.401</v>
      </c>
      <c r="B15" s="10" t="s">
        <v>258</v>
      </c>
      <c r="C15" s="4">
        <v>0.401</v>
      </c>
      <c r="D15" s="5">
        <v>44.5</v>
      </c>
      <c r="E15" s="4"/>
      <c r="F15" s="4"/>
      <c r="G15" s="2">
        <f t="shared" si="0"/>
        <v>0.368</v>
      </c>
      <c r="H15" s="11" t="str">
        <f t="shared" si="1"/>
        <v>3.335E-2</v>
      </c>
      <c r="I15" s="2">
        <f t="shared" si="2"/>
        <v>44.5</v>
      </c>
      <c r="J15" s="4">
        <f t="shared" si="3"/>
        <v>0.368</v>
      </c>
      <c r="K15" s="9">
        <f t="shared" si="4"/>
        <v>-0.100000000000031</v>
      </c>
      <c r="L15" s="1">
        <f t="shared" si="5"/>
        <v>-0.399999999999984</v>
      </c>
    </row>
    <row r="16" s="1" customFormat="1" spans="1:22">
      <c r="A16" s="2">
        <v>0.435</v>
      </c>
      <c r="B16" s="10" t="s">
        <v>259</v>
      </c>
      <c r="C16" s="4">
        <v>0.435</v>
      </c>
      <c r="D16" s="5">
        <v>44.8</v>
      </c>
      <c r="E16" s="4"/>
      <c r="F16" s="4"/>
      <c r="G16" s="2">
        <f t="shared" si="0"/>
        <v>0.401</v>
      </c>
      <c r="H16" s="11" t="str">
        <f t="shared" si="1"/>
        <v>3.336E-2</v>
      </c>
      <c r="I16" s="2">
        <f t="shared" si="2"/>
        <v>44.5</v>
      </c>
      <c r="J16" s="4">
        <f t="shared" si="3"/>
        <v>0.401</v>
      </c>
      <c r="K16" s="9">
        <f t="shared" si="4"/>
        <v>0</v>
      </c>
      <c r="L16" s="1">
        <f t="shared" si="5"/>
        <v>-0.399999999999984</v>
      </c>
    </row>
    <row r="17" s="1" customFormat="1" spans="1:12">
      <c r="A17" s="2">
        <v>0.468</v>
      </c>
      <c r="B17" s="10" t="s">
        <v>259</v>
      </c>
      <c r="C17" s="4">
        <v>0.468</v>
      </c>
      <c r="D17" s="5">
        <v>44.6</v>
      </c>
      <c r="E17" s="4"/>
      <c r="F17" s="4"/>
      <c r="G17" s="2">
        <f t="shared" si="0"/>
        <v>0.435</v>
      </c>
      <c r="H17" s="11" t="str">
        <f t="shared" si="1"/>
        <v>3.335E-2</v>
      </c>
      <c r="I17" s="2">
        <f t="shared" si="2"/>
        <v>44.8</v>
      </c>
      <c r="J17" s="4">
        <f t="shared" si="3"/>
        <v>0.435</v>
      </c>
      <c r="K17" s="9">
        <f t="shared" si="4"/>
        <v>-0.100000000000031</v>
      </c>
      <c r="L17" s="1">
        <f t="shared" si="5"/>
        <v>-0.399999999999984</v>
      </c>
    </row>
    <row r="18" s="1" customFormat="1" spans="1:12">
      <c r="A18" s="2">
        <v>0.502</v>
      </c>
      <c r="B18" s="10" t="s">
        <v>259</v>
      </c>
      <c r="C18" s="4">
        <v>0.502</v>
      </c>
      <c r="D18" s="5">
        <v>44.6</v>
      </c>
      <c r="E18" s="4"/>
      <c r="F18" s="4"/>
      <c r="G18" s="2">
        <f t="shared" si="0"/>
        <v>0.468</v>
      </c>
      <c r="H18" s="11" t="str">
        <f t="shared" si="1"/>
        <v>3.335E-2</v>
      </c>
      <c r="I18" s="2">
        <f t="shared" si="2"/>
        <v>44.6</v>
      </c>
      <c r="J18" s="4">
        <f t="shared" si="3"/>
        <v>0.468</v>
      </c>
      <c r="K18" s="9">
        <f t="shared" si="4"/>
        <v>-0.100000000000031</v>
      </c>
      <c r="L18" s="1">
        <f t="shared" si="5"/>
        <v>-0.399999999999984</v>
      </c>
    </row>
    <row r="19" s="1" customFormat="1" spans="1:12">
      <c r="A19" s="2">
        <v>0.535</v>
      </c>
      <c r="B19" s="10" t="s">
        <v>258</v>
      </c>
      <c r="C19" s="4">
        <v>0.535</v>
      </c>
      <c r="D19" s="5">
        <v>44.8</v>
      </c>
      <c r="E19" s="4"/>
      <c r="F19" s="4"/>
      <c r="G19" s="2">
        <f t="shared" si="0"/>
        <v>0.502</v>
      </c>
      <c r="H19" s="11" t="str">
        <f t="shared" si="1"/>
        <v>3.335E-2</v>
      </c>
      <c r="I19" s="2">
        <f t="shared" si="2"/>
        <v>44.6</v>
      </c>
      <c r="J19" s="4">
        <f t="shared" si="3"/>
        <v>0.502</v>
      </c>
      <c r="K19" s="9">
        <f t="shared" si="4"/>
        <v>-0.100000000000031</v>
      </c>
      <c r="L19" s="1">
        <f t="shared" si="5"/>
        <v>-0.399999999999984</v>
      </c>
    </row>
    <row r="20" s="1" customFormat="1" spans="1:12">
      <c r="A20" s="2">
        <v>0.569</v>
      </c>
      <c r="B20" s="10" t="s">
        <v>259</v>
      </c>
      <c r="C20" s="4">
        <v>0.569</v>
      </c>
      <c r="D20" s="5">
        <v>45.6</v>
      </c>
      <c r="E20" s="4"/>
      <c r="F20" s="4"/>
      <c r="G20" s="2">
        <f t="shared" si="0"/>
        <v>0.535</v>
      </c>
      <c r="H20" s="11" t="str">
        <f t="shared" si="1"/>
        <v>3.336E-2</v>
      </c>
      <c r="I20" s="2">
        <f t="shared" si="2"/>
        <v>44.8</v>
      </c>
      <c r="J20" s="4">
        <f t="shared" si="3"/>
        <v>0.535</v>
      </c>
      <c r="K20" s="9">
        <f t="shared" si="4"/>
        <v>0</v>
      </c>
      <c r="L20" s="1">
        <f t="shared" si="5"/>
        <v>-0.399999999999984</v>
      </c>
    </row>
    <row r="21" s="1" customFormat="1" spans="1:12">
      <c r="A21" s="2">
        <v>0.602</v>
      </c>
      <c r="B21" s="10" t="s">
        <v>258</v>
      </c>
      <c r="C21" s="4">
        <v>0.602</v>
      </c>
      <c r="D21" s="5">
        <v>45.1</v>
      </c>
      <c r="E21" s="4"/>
      <c r="F21" s="4"/>
      <c r="G21" s="2">
        <f t="shared" si="0"/>
        <v>0.569</v>
      </c>
      <c r="H21" s="11" t="str">
        <f t="shared" si="1"/>
        <v>3.335E-2</v>
      </c>
      <c r="I21" s="2">
        <f t="shared" si="2"/>
        <v>45.6</v>
      </c>
      <c r="J21" s="4">
        <f t="shared" si="3"/>
        <v>0.569</v>
      </c>
      <c r="K21" s="9">
        <f t="shared" si="4"/>
        <v>-0.100000000000031</v>
      </c>
      <c r="L21" s="1">
        <f t="shared" si="5"/>
        <v>-0.399999999999984</v>
      </c>
    </row>
    <row r="22" s="1" customFormat="1" spans="1:12">
      <c r="A22" s="2">
        <v>0.635</v>
      </c>
      <c r="B22" s="10" t="s">
        <v>260</v>
      </c>
      <c r="C22" s="4">
        <v>0.635</v>
      </c>
      <c r="D22" s="5">
        <v>44.5</v>
      </c>
      <c r="E22" s="4"/>
      <c r="F22" s="4"/>
      <c r="G22" s="2">
        <f t="shared" si="0"/>
        <v>0.602</v>
      </c>
      <c r="H22" s="11" t="str">
        <f t="shared" si="1"/>
        <v>3.336E-2</v>
      </c>
      <c r="I22" s="2">
        <f t="shared" si="2"/>
        <v>45.1</v>
      </c>
      <c r="J22" s="4">
        <f t="shared" si="3"/>
        <v>0.602</v>
      </c>
      <c r="K22" s="9">
        <f t="shared" si="4"/>
        <v>0</v>
      </c>
      <c r="L22" s="1">
        <f t="shared" si="5"/>
        <v>-0.399999999999984</v>
      </c>
    </row>
    <row r="23" s="1" customFormat="1" spans="1:12">
      <c r="A23" s="2">
        <v>0.669</v>
      </c>
      <c r="B23" s="10" t="s">
        <v>258</v>
      </c>
      <c r="C23" s="4">
        <v>0.669</v>
      </c>
      <c r="D23" s="5">
        <v>44.7</v>
      </c>
      <c r="E23" s="4"/>
      <c r="F23" s="4"/>
      <c r="G23" s="2">
        <f t="shared" si="0"/>
        <v>0.635</v>
      </c>
      <c r="H23" s="11" t="str">
        <f t="shared" si="1"/>
        <v>3.337E-2</v>
      </c>
      <c r="I23" s="2">
        <f t="shared" si="2"/>
        <v>44.5</v>
      </c>
      <c r="J23" s="4">
        <f t="shared" si="3"/>
        <v>0.635</v>
      </c>
      <c r="K23" s="9">
        <f t="shared" si="4"/>
        <v>0.0999999999999612</v>
      </c>
      <c r="L23" s="1">
        <f t="shared" si="5"/>
        <v>-0.399999999999984</v>
      </c>
    </row>
    <row r="24" s="1" customFormat="1" spans="1:12">
      <c r="A24" s="2">
        <v>0.702</v>
      </c>
      <c r="B24" s="10" t="s">
        <v>260</v>
      </c>
      <c r="C24" s="4">
        <v>0.702</v>
      </c>
      <c r="D24" s="5">
        <v>44.7</v>
      </c>
      <c r="E24" s="4"/>
      <c r="F24" s="4"/>
      <c r="G24" s="2">
        <f t="shared" si="0"/>
        <v>0.669</v>
      </c>
      <c r="H24" s="11" t="str">
        <f t="shared" si="1"/>
        <v>3.336E-2</v>
      </c>
      <c r="I24" s="2">
        <f t="shared" si="2"/>
        <v>44.7</v>
      </c>
      <c r="J24" s="4">
        <f t="shared" si="3"/>
        <v>0.669</v>
      </c>
      <c r="K24" s="9">
        <f t="shared" si="4"/>
        <v>0</v>
      </c>
      <c r="L24" s="1">
        <f t="shared" si="5"/>
        <v>-0.399999999999984</v>
      </c>
    </row>
    <row r="25" s="1" customFormat="1" spans="1:12">
      <c r="A25" s="2">
        <v>0.736</v>
      </c>
      <c r="B25" s="10" t="s">
        <v>260</v>
      </c>
      <c r="C25" s="4">
        <v>0.736</v>
      </c>
      <c r="D25" s="5">
        <v>45.2</v>
      </c>
      <c r="E25" s="4"/>
      <c r="F25" s="4"/>
      <c r="G25" s="2">
        <f t="shared" si="0"/>
        <v>0.702</v>
      </c>
      <c r="H25" s="11" t="str">
        <f t="shared" si="1"/>
        <v>3.337E-2</v>
      </c>
      <c r="I25" s="2">
        <f t="shared" si="2"/>
        <v>44.7</v>
      </c>
      <c r="J25" s="4">
        <f t="shared" si="3"/>
        <v>0.702</v>
      </c>
      <c r="K25" s="9">
        <f t="shared" si="4"/>
        <v>0.0999999999999612</v>
      </c>
      <c r="L25" s="1">
        <f t="shared" si="5"/>
        <v>-0.399999999999984</v>
      </c>
    </row>
    <row r="26" s="1" customFormat="1" spans="1:12">
      <c r="A26" s="2">
        <v>0.769</v>
      </c>
      <c r="B26" s="10" t="s">
        <v>261</v>
      </c>
      <c r="C26" s="4">
        <v>0.769</v>
      </c>
      <c r="D26" s="5">
        <v>44.5</v>
      </c>
      <c r="E26" s="4"/>
      <c r="F26" s="4"/>
      <c r="G26" s="2">
        <f t="shared" si="0"/>
        <v>0.736</v>
      </c>
      <c r="H26" s="11" t="str">
        <f t="shared" si="1"/>
        <v>3.337E-2</v>
      </c>
      <c r="I26" s="2">
        <f t="shared" si="2"/>
        <v>45.2</v>
      </c>
      <c r="J26" s="4">
        <f t="shared" si="3"/>
        <v>0.736</v>
      </c>
      <c r="K26" s="9">
        <f t="shared" si="4"/>
        <v>0.0999999999999612</v>
      </c>
      <c r="L26" s="1">
        <f t="shared" si="5"/>
        <v>-0.399999999999984</v>
      </c>
    </row>
    <row r="27" s="1" customFormat="1" spans="1:12">
      <c r="A27" s="2">
        <v>0.803</v>
      </c>
      <c r="B27" s="10" t="s">
        <v>260</v>
      </c>
      <c r="C27" s="4">
        <v>0.803</v>
      </c>
      <c r="D27" s="5">
        <v>44.8</v>
      </c>
      <c r="E27" s="4"/>
      <c r="F27" s="4"/>
      <c r="G27" s="2">
        <f t="shared" si="0"/>
        <v>0.769</v>
      </c>
      <c r="H27" s="11" t="str">
        <f t="shared" si="1"/>
        <v>3.338E-2</v>
      </c>
      <c r="I27" s="2">
        <f t="shared" si="2"/>
        <v>44.5</v>
      </c>
      <c r="J27" s="4">
        <f t="shared" si="3"/>
        <v>0.769</v>
      </c>
      <c r="K27" s="9">
        <f t="shared" si="4"/>
        <v>0.199999999999992</v>
      </c>
      <c r="L27" s="1">
        <f t="shared" si="5"/>
        <v>-0.399999999999984</v>
      </c>
    </row>
    <row r="28" s="1" customFormat="1" spans="1:12">
      <c r="A28" s="2">
        <v>0.836</v>
      </c>
      <c r="B28" s="10" t="s">
        <v>260</v>
      </c>
      <c r="C28" s="4">
        <v>0.836</v>
      </c>
      <c r="D28" s="5">
        <v>45.3</v>
      </c>
      <c r="E28" s="4"/>
      <c r="F28" s="4"/>
      <c r="G28" s="2">
        <f t="shared" si="0"/>
        <v>0.803</v>
      </c>
      <c r="H28" s="11" t="str">
        <f t="shared" si="1"/>
        <v>3.337E-2</v>
      </c>
      <c r="I28" s="2">
        <f t="shared" si="2"/>
        <v>44.8</v>
      </c>
      <c r="J28" s="4">
        <f t="shared" si="3"/>
        <v>0.803</v>
      </c>
      <c r="K28" s="9">
        <f t="shared" si="4"/>
        <v>0.0999999999999612</v>
      </c>
      <c r="L28" s="1">
        <f t="shared" si="5"/>
        <v>-0.399999999999984</v>
      </c>
    </row>
    <row r="29" s="1" customFormat="1" spans="1:12">
      <c r="A29" s="2">
        <v>0.869</v>
      </c>
      <c r="B29" s="10" t="s">
        <v>260</v>
      </c>
      <c r="C29" s="4">
        <v>0.869</v>
      </c>
      <c r="D29" s="5">
        <v>45.2</v>
      </c>
      <c r="E29" s="4"/>
      <c r="F29" s="4"/>
      <c r="G29" s="2">
        <f t="shared" si="0"/>
        <v>0.836</v>
      </c>
      <c r="H29" s="11" t="str">
        <f t="shared" si="1"/>
        <v>3.337E-2</v>
      </c>
      <c r="I29" s="2">
        <f t="shared" si="2"/>
        <v>45.3</v>
      </c>
      <c r="J29" s="4">
        <f t="shared" si="3"/>
        <v>0.836</v>
      </c>
      <c r="K29" s="9">
        <f t="shared" si="4"/>
        <v>0.0999999999999612</v>
      </c>
      <c r="L29" s="1">
        <f t="shared" si="5"/>
        <v>-0.399999999999984</v>
      </c>
    </row>
    <row r="30" s="1" customFormat="1" spans="1:12">
      <c r="A30" s="2">
        <v>0.903</v>
      </c>
      <c r="B30" s="10" t="s">
        <v>260</v>
      </c>
      <c r="C30" s="4">
        <v>0.903</v>
      </c>
      <c r="D30" s="5">
        <v>45</v>
      </c>
      <c r="E30" s="4"/>
      <c r="F30" s="4"/>
      <c r="G30" s="2">
        <f t="shared" si="0"/>
        <v>0.869</v>
      </c>
      <c r="H30" s="11" t="str">
        <f t="shared" si="1"/>
        <v>3.337E-2</v>
      </c>
      <c r="I30" s="2">
        <f t="shared" si="2"/>
        <v>45.2</v>
      </c>
      <c r="J30" s="4">
        <f t="shared" si="3"/>
        <v>0.869</v>
      </c>
      <c r="K30" s="9">
        <f t="shared" si="4"/>
        <v>0.0999999999999612</v>
      </c>
      <c r="L30" s="1">
        <f t="shared" si="5"/>
        <v>-0.399999999999984</v>
      </c>
    </row>
    <row r="31" s="1" customFormat="1" spans="1:12">
      <c r="A31" s="2">
        <v>0.936</v>
      </c>
      <c r="B31" s="10" t="s">
        <v>260</v>
      </c>
      <c r="C31" s="4">
        <v>0.936</v>
      </c>
      <c r="D31" s="5">
        <v>45.2</v>
      </c>
      <c r="E31" s="4"/>
      <c r="F31" s="4"/>
      <c r="G31" s="2">
        <f t="shared" si="0"/>
        <v>0.903</v>
      </c>
      <c r="H31" s="11" t="str">
        <f t="shared" si="1"/>
        <v>3.337E-2</v>
      </c>
      <c r="I31" s="2">
        <f t="shared" si="2"/>
        <v>45</v>
      </c>
      <c r="J31" s="4">
        <f t="shared" si="3"/>
        <v>0.903</v>
      </c>
      <c r="K31" s="9">
        <f t="shared" si="4"/>
        <v>0.0999999999999612</v>
      </c>
      <c r="L31" s="1">
        <f t="shared" si="5"/>
        <v>-0.399999999999984</v>
      </c>
    </row>
    <row r="32" s="1" customFormat="1" spans="1:12">
      <c r="A32" s="2">
        <v>0.97</v>
      </c>
      <c r="B32" s="10" t="s">
        <v>260</v>
      </c>
      <c r="C32" s="4">
        <v>0.97</v>
      </c>
      <c r="D32" s="5">
        <v>44.9</v>
      </c>
      <c r="E32" s="4"/>
      <c r="F32" s="4"/>
      <c r="G32" s="2">
        <f t="shared" si="0"/>
        <v>0.936</v>
      </c>
      <c r="H32" s="11" t="str">
        <f t="shared" si="1"/>
        <v>3.337E-2</v>
      </c>
      <c r="I32" s="2">
        <f t="shared" si="2"/>
        <v>45.2</v>
      </c>
      <c r="J32" s="4">
        <f t="shared" si="3"/>
        <v>0.936</v>
      </c>
      <c r="K32" s="9">
        <f t="shared" si="4"/>
        <v>0.0999999999999612</v>
      </c>
      <c r="L32" s="1">
        <f t="shared" si="5"/>
        <v>-0.399999999999984</v>
      </c>
    </row>
    <row r="33" s="1" customFormat="1" spans="1:12">
      <c r="A33" s="2">
        <v>1.003</v>
      </c>
      <c r="B33" s="10" t="s">
        <v>260</v>
      </c>
      <c r="C33" s="4">
        <v>1.003</v>
      </c>
      <c r="D33" s="5">
        <v>45.2</v>
      </c>
      <c r="E33" s="4"/>
      <c r="F33" s="4"/>
      <c r="G33" s="2">
        <f t="shared" si="0"/>
        <v>0.97</v>
      </c>
      <c r="H33" s="11" t="str">
        <f t="shared" si="1"/>
        <v>3.337E-2</v>
      </c>
      <c r="I33" s="2">
        <f t="shared" si="2"/>
        <v>44.9</v>
      </c>
      <c r="J33" s="4">
        <f t="shared" si="3"/>
        <v>0.97</v>
      </c>
      <c r="K33" s="9">
        <f t="shared" si="4"/>
        <v>0.0999999999999612</v>
      </c>
      <c r="L33" s="1">
        <f t="shared" si="5"/>
        <v>-0.399999999999984</v>
      </c>
    </row>
    <row r="34" s="1" customFormat="1" spans="1:12">
      <c r="A34" s="2">
        <v>1.037</v>
      </c>
      <c r="B34" s="10" t="s">
        <v>260</v>
      </c>
      <c r="C34" s="4">
        <v>1.037</v>
      </c>
      <c r="D34" s="5">
        <v>45.5</v>
      </c>
      <c r="E34" s="4"/>
      <c r="F34" s="4"/>
      <c r="G34" s="2">
        <f t="shared" si="0"/>
        <v>1.003</v>
      </c>
      <c r="H34" s="11" t="str">
        <f t="shared" si="1"/>
        <v>3.337E-2</v>
      </c>
      <c r="I34" s="2">
        <f t="shared" si="2"/>
        <v>45.2</v>
      </c>
      <c r="J34" s="4">
        <f t="shared" si="3"/>
        <v>1.003</v>
      </c>
      <c r="K34" s="9">
        <f t="shared" si="4"/>
        <v>0.0999999999999612</v>
      </c>
      <c r="L34" s="1">
        <f t="shared" si="5"/>
        <v>-0.399999999999984</v>
      </c>
    </row>
    <row r="35" s="1" customFormat="1" spans="1:12">
      <c r="A35" s="2">
        <v>1.07</v>
      </c>
      <c r="B35" s="10" t="s">
        <v>258</v>
      </c>
      <c r="C35" s="4">
        <v>1.07</v>
      </c>
      <c r="D35" s="5">
        <v>44.9</v>
      </c>
      <c r="E35" s="4"/>
      <c r="F35" s="4"/>
      <c r="G35" s="2">
        <f t="shared" si="0"/>
        <v>1.037</v>
      </c>
      <c r="H35" s="11" t="str">
        <f t="shared" si="1"/>
        <v>3.337E-2</v>
      </c>
      <c r="I35" s="2">
        <f t="shared" si="2"/>
        <v>45.5</v>
      </c>
      <c r="J35" s="4">
        <f t="shared" si="3"/>
        <v>1.037</v>
      </c>
      <c r="K35" s="9">
        <f t="shared" si="4"/>
        <v>0.0999999999999612</v>
      </c>
      <c r="L35" s="1">
        <f t="shared" si="5"/>
        <v>-0.399999999999984</v>
      </c>
    </row>
    <row r="36" s="1" customFormat="1" spans="1:12">
      <c r="A36" s="2">
        <v>1.104</v>
      </c>
      <c r="B36" s="10" t="s">
        <v>260</v>
      </c>
      <c r="C36" s="4">
        <v>1.104</v>
      </c>
      <c r="D36" s="5">
        <v>44.7</v>
      </c>
      <c r="E36" s="4"/>
      <c r="F36" s="4"/>
      <c r="G36" s="2">
        <f t="shared" si="0"/>
        <v>1.07</v>
      </c>
      <c r="H36" s="11" t="str">
        <f t="shared" si="1"/>
        <v>3.336E-2</v>
      </c>
      <c r="I36" s="2">
        <f t="shared" si="2"/>
        <v>44.9</v>
      </c>
      <c r="J36" s="4">
        <f t="shared" si="3"/>
        <v>1.07</v>
      </c>
      <c r="K36" s="9">
        <f t="shared" si="4"/>
        <v>0</v>
      </c>
      <c r="L36" s="1">
        <f t="shared" si="5"/>
        <v>-0.399999999999984</v>
      </c>
    </row>
    <row r="37" s="1" customFormat="1" spans="1:12">
      <c r="A37" s="2">
        <v>1.137</v>
      </c>
      <c r="B37" s="10" t="s">
        <v>260</v>
      </c>
      <c r="C37" s="4">
        <v>1.137</v>
      </c>
      <c r="D37" s="5">
        <v>45.4</v>
      </c>
      <c r="E37" s="4"/>
      <c r="F37" s="4"/>
      <c r="G37" s="2">
        <f t="shared" si="0"/>
        <v>1.104</v>
      </c>
      <c r="H37" s="11" t="str">
        <f t="shared" si="1"/>
        <v>3.337E-2</v>
      </c>
      <c r="I37" s="2">
        <f t="shared" si="2"/>
        <v>44.7</v>
      </c>
      <c r="J37" s="4">
        <f t="shared" si="3"/>
        <v>1.104</v>
      </c>
      <c r="K37" s="9">
        <f t="shared" si="4"/>
        <v>0.0999999999999612</v>
      </c>
      <c r="L37" s="1">
        <f t="shared" si="5"/>
        <v>-0.399999999999984</v>
      </c>
    </row>
    <row r="38" s="1" customFormat="1" spans="1:12">
      <c r="A38" s="2">
        <v>1.17</v>
      </c>
      <c r="B38" s="10" t="s">
        <v>258</v>
      </c>
      <c r="C38" s="4">
        <v>1.17</v>
      </c>
      <c r="D38" s="5">
        <v>44.3</v>
      </c>
      <c r="E38" s="4"/>
      <c r="F38" s="4"/>
      <c r="G38" s="2">
        <f t="shared" si="0"/>
        <v>1.137</v>
      </c>
      <c r="H38" s="11" t="str">
        <f t="shared" si="1"/>
        <v>3.337E-2</v>
      </c>
      <c r="I38" s="2">
        <f t="shared" si="2"/>
        <v>45.4</v>
      </c>
      <c r="J38" s="4">
        <f t="shared" si="3"/>
        <v>1.137</v>
      </c>
      <c r="K38" s="9">
        <f t="shared" si="4"/>
        <v>0.0999999999999612</v>
      </c>
      <c r="L38" s="1">
        <f t="shared" si="5"/>
        <v>-0.399999999999984</v>
      </c>
    </row>
    <row r="39" s="1" customFormat="1" spans="1:12">
      <c r="A39" s="2">
        <v>1.204</v>
      </c>
      <c r="B39" s="10" t="s">
        <v>258</v>
      </c>
      <c r="C39" s="4">
        <v>1.204</v>
      </c>
      <c r="D39" s="5">
        <v>44.8</v>
      </c>
      <c r="E39" s="4"/>
      <c r="F39" s="4"/>
      <c r="G39" s="2">
        <f t="shared" si="0"/>
        <v>1.17</v>
      </c>
      <c r="H39" s="11" t="str">
        <f t="shared" si="1"/>
        <v>3.336E-2</v>
      </c>
      <c r="I39" s="2">
        <f t="shared" si="2"/>
        <v>44.3</v>
      </c>
      <c r="J39" s="4">
        <f t="shared" si="3"/>
        <v>1.17</v>
      </c>
      <c r="K39" s="9">
        <f t="shared" si="4"/>
        <v>0</v>
      </c>
      <c r="L39" s="1">
        <f t="shared" si="5"/>
        <v>-0.399999999999984</v>
      </c>
    </row>
    <row r="40" s="1" customFormat="1" spans="1:12">
      <c r="A40" s="2">
        <v>1.237</v>
      </c>
      <c r="B40" s="10" t="s">
        <v>258</v>
      </c>
      <c r="C40" s="4">
        <v>1.237</v>
      </c>
      <c r="D40" s="5">
        <v>44.5</v>
      </c>
      <c r="E40" s="4"/>
      <c r="F40" s="4"/>
      <c r="G40" s="2">
        <f t="shared" si="0"/>
        <v>1.204</v>
      </c>
      <c r="H40" s="11" t="str">
        <f t="shared" si="1"/>
        <v>3.336E-2</v>
      </c>
      <c r="I40" s="2">
        <f t="shared" si="2"/>
        <v>44.8</v>
      </c>
      <c r="J40" s="4">
        <f t="shared" si="3"/>
        <v>1.204</v>
      </c>
      <c r="K40" s="9">
        <f t="shared" si="4"/>
        <v>0</v>
      </c>
      <c r="L40" s="1">
        <f t="shared" si="5"/>
        <v>-0.399999999999984</v>
      </c>
    </row>
    <row r="41" s="1" customFormat="1" spans="1:12">
      <c r="A41" s="2">
        <v>1.271</v>
      </c>
      <c r="B41" s="10" t="s">
        <v>258</v>
      </c>
      <c r="C41" s="4">
        <v>1.271</v>
      </c>
      <c r="D41" s="5">
        <v>44.7</v>
      </c>
      <c r="E41" s="4"/>
      <c r="F41" s="4"/>
      <c r="G41" s="2">
        <f t="shared" si="0"/>
        <v>1.237</v>
      </c>
      <c r="H41" s="11" t="str">
        <f t="shared" si="1"/>
        <v>3.336E-2</v>
      </c>
      <c r="I41" s="2">
        <f t="shared" si="2"/>
        <v>44.5</v>
      </c>
      <c r="J41" s="4">
        <f t="shared" si="3"/>
        <v>1.237</v>
      </c>
      <c r="K41" s="9">
        <f t="shared" si="4"/>
        <v>0</v>
      </c>
      <c r="L41" s="1">
        <f t="shared" si="5"/>
        <v>-0.399999999999984</v>
      </c>
    </row>
    <row r="42" s="1" customFormat="1" spans="1:12">
      <c r="A42" s="2">
        <v>1.304</v>
      </c>
      <c r="B42" s="10" t="s">
        <v>259</v>
      </c>
      <c r="C42" s="4">
        <v>1.304</v>
      </c>
      <c r="D42" s="5">
        <v>44.6</v>
      </c>
      <c r="E42" s="4"/>
      <c r="F42" s="4"/>
      <c r="G42" s="2">
        <f t="shared" si="0"/>
        <v>1.271</v>
      </c>
      <c r="H42" s="11" t="str">
        <f t="shared" si="1"/>
        <v>3.336E-2</v>
      </c>
      <c r="I42" s="2">
        <f t="shared" si="2"/>
        <v>44.7</v>
      </c>
      <c r="J42" s="4">
        <f t="shared" si="3"/>
        <v>1.271</v>
      </c>
      <c r="K42" s="9">
        <f t="shared" si="4"/>
        <v>0</v>
      </c>
      <c r="L42" s="1">
        <f t="shared" si="5"/>
        <v>-0.399999999999984</v>
      </c>
    </row>
    <row r="43" s="1" customFormat="1" spans="1:12">
      <c r="A43" s="2">
        <v>1.338</v>
      </c>
      <c r="B43" s="10" t="s">
        <v>258</v>
      </c>
      <c r="C43" s="4">
        <v>1.338</v>
      </c>
      <c r="D43" s="5">
        <v>44.8</v>
      </c>
      <c r="E43" s="4"/>
      <c r="F43" s="4"/>
      <c r="G43" s="2">
        <f t="shared" si="0"/>
        <v>1.304</v>
      </c>
      <c r="H43" s="11" t="str">
        <f t="shared" si="1"/>
        <v>3.335E-2</v>
      </c>
      <c r="I43" s="2">
        <f t="shared" si="2"/>
        <v>44.6</v>
      </c>
      <c r="J43" s="4">
        <f t="shared" si="3"/>
        <v>1.304</v>
      </c>
      <c r="K43" s="9">
        <f t="shared" si="4"/>
        <v>-0.100000000000031</v>
      </c>
      <c r="L43" s="1">
        <f t="shared" si="5"/>
        <v>-0.399999999999984</v>
      </c>
    </row>
    <row r="44" s="1" customFormat="1" spans="1:12">
      <c r="A44" s="2">
        <v>1.371</v>
      </c>
      <c r="B44" s="10" t="s">
        <v>259</v>
      </c>
      <c r="C44" s="4">
        <v>1.371</v>
      </c>
      <c r="D44" s="5">
        <v>45</v>
      </c>
      <c r="E44" s="4"/>
      <c r="F44" s="4"/>
      <c r="G44" s="2">
        <f t="shared" si="0"/>
        <v>1.338</v>
      </c>
      <c r="H44" s="11" t="str">
        <f t="shared" si="1"/>
        <v>3.336E-2</v>
      </c>
      <c r="I44" s="2">
        <f t="shared" si="2"/>
        <v>44.8</v>
      </c>
      <c r="J44" s="4">
        <f t="shared" si="3"/>
        <v>1.338</v>
      </c>
      <c r="K44" s="9">
        <f t="shared" si="4"/>
        <v>0</v>
      </c>
      <c r="L44" s="1">
        <f t="shared" si="5"/>
        <v>-0.399999999999984</v>
      </c>
    </row>
    <row r="45" s="1" customFormat="1" spans="1:12">
      <c r="A45" s="2">
        <v>1.405</v>
      </c>
      <c r="B45" s="10" t="s">
        <v>259</v>
      </c>
      <c r="C45" s="4">
        <v>1.405</v>
      </c>
      <c r="D45" s="5">
        <v>44.9</v>
      </c>
      <c r="E45" s="4"/>
      <c r="F45" s="4"/>
      <c r="G45" s="2">
        <f t="shared" si="0"/>
        <v>1.371</v>
      </c>
      <c r="H45" s="11" t="str">
        <f t="shared" si="1"/>
        <v>3.335E-2</v>
      </c>
      <c r="I45" s="2">
        <f t="shared" si="2"/>
        <v>45</v>
      </c>
      <c r="J45" s="4">
        <f t="shared" si="3"/>
        <v>1.371</v>
      </c>
      <c r="K45" s="9">
        <f t="shared" si="4"/>
        <v>-0.100000000000031</v>
      </c>
      <c r="L45" s="1">
        <f t="shared" si="5"/>
        <v>-0.399999999999984</v>
      </c>
    </row>
    <row r="46" s="1" customFormat="1" spans="1:12">
      <c r="A46" s="2">
        <v>1.438</v>
      </c>
      <c r="B46" s="10" t="s">
        <v>262</v>
      </c>
      <c r="C46" s="4">
        <v>1.438</v>
      </c>
      <c r="D46" s="5">
        <v>44.5</v>
      </c>
      <c r="E46" s="4"/>
      <c r="F46" s="4"/>
      <c r="G46" s="2">
        <f t="shared" si="0"/>
        <v>1.405</v>
      </c>
      <c r="H46" s="11" t="str">
        <f t="shared" si="1"/>
        <v>3.335E-2</v>
      </c>
      <c r="I46" s="2">
        <f t="shared" si="2"/>
        <v>44.9</v>
      </c>
      <c r="J46" s="4">
        <f t="shared" si="3"/>
        <v>1.405</v>
      </c>
      <c r="K46" s="9">
        <f t="shared" si="4"/>
        <v>-0.100000000000031</v>
      </c>
      <c r="L46" s="1">
        <f t="shared" si="5"/>
        <v>-0.399999999999984</v>
      </c>
    </row>
    <row r="47" s="1" customFormat="1" spans="1:12">
      <c r="A47" s="2">
        <v>1.471</v>
      </c>
      <c r="B47" s="10" t="s">
        <v>258</v>
      </c>
      <c r="C47" s="4">
        <v>1.471</v>
      </c>
      <c r="D47" s="5">
        <v>44.8</v>
      </c>
      <c r="E47" s="4"/>
      <c r="F47" s="4"/>
      <c r="G47" s="2">
        <f t="shared" si="0"/>
        <v>1.438</v>
      </c>
      <c r="H47" s="11" t="str">
        <f t="shared" si="1"/>
        <v>3.334E-2</v>
      </c>
      <c r="I47" s="2">
        <f t="shared" si="2"/>
        <v>44.5</v>
      </c>
      <c r="J47" s="4">
        <f t="shared" si="3"/>
        <v>1.438</v>
      </c>
      <c r="K47" s="9">
        <f t="shared" si="4"/>
        <v>-0.199999999999992</v>
      </c>
      <c r="L47" s="1">
        <f t="shared" si="5"/>
        <v>-0.399999999999984</v>
      </c>
    </row>
    <row r="48" s="1" customFormat="1" spans="1:12">
      <c r="A48" s="2">
        <v>1.505</v>
      </c>
      <c r="B48" s="10" t="s">
        <v>259</v>
      </c>
      <c r="C48" s="4">
        <v>1.505</v>
      </c>
      <c r="D48" s="5">
        <v>45.4</v>
      </c>
      <c r="E48" s="4"/>
      <c r="F48" s="4"/>
      <c r="G48" s="2">
        <f t="shared" si="0"/>
        <v>1.471</v>
      </c>
      <c r="H48" s="11" t="str">
        <f t="shared" si="1"/>
        <v>3.336E-2</v>
      </c>
      <c r="I48" s="2">
        <f t="shared" si="2"/>
        <v>44.8</v>
      </c>
      <c r="J48" s="4">
        <f t="shared" si="3"/>
        <v>1.471</v>
      </c>
      <c r="K48" s="9">
        <f t="shared" si="4"/>
        <v>0</v>
      </c>
      <c r="L48" s="1">
        <f t="shared" si="5"/>
        <v>-0.399999999999984</v>
      </c>
    </row>
    <row r="49" s="1" customFormat="1" spans="1:12">
      <c r="A49" s="2">
        <v>1.538</v>
      </c>
      <c r="B49" s="10" t="s">
        <v>259</v>
      </c>
      <c r="C49" s="4">
        <v>1.538</v>
      </c>
      <c r="D49" s="5">
        <v>44.7</v>
      </c>
      <c r="E49" s="4"/>
      <c r="F49" s="4"/>
      <c r="G49" s="2">
        <f t="shared" si="0"/>
        <v>1.505</v>
      </c>
      <c r="H49" s="11" t="str">
        <f t="shared" si="1"/>
        <v>3.335E-2</v>
      </c>
      <c r="I49" s="2">
        <f t="shared" si="2"/>
        <v>45.4</v>
      </c>
      <c r="J49" s="4">
        <f t="shared" si="3"/>
        <v>1.505</v>
      </c>
      <c r="K49" s="9">
        <f t="shared" si="4"/>
        <v>-0.100000000000031</v>
      </c>
      <c r="L49" s="1">
        <f t="shared" si="5"/>
        <v>-0.399999999999984</v>
      </c>
    </row>
    <row r="50" s="1" customFormat="1" spans="1:12">
      <c r="A50" s="2">
        <v>1.572</v>
      </c>
      <c r="B50" s="10" t="s">
        <v>259</v>
      </c>
      <c r="C50" s="4">
        <v>1.572</v>
      </c>
      <c r="D50" s="5">
        <v>44.8</v>
      </c>
      <c r="E50" s="4"/>
      <c r="F50" s="4"/>
      <c r="G50" s="2">
        <f t="shared" si="0"/>
        <v>1.538</v>
      </c>
      <c r="H50" s="11" t="str">
        <f t="shared" si="1"/>
        <v>3.335E-2</v>
      </c>
      <c r="I50" s="2">
        <f t="shared" si="2"/>
        <v>44.7</v>
      </c>
      <c r="J50" s="4">
        <f t="shared" si="3"/>
        <v>1.538</v>
      </c>
      <c r="K50" s="9">
        <f t="shared" si="4"/>
        <v>-0.100000000000031</v>
      </c>
      <c r="L50" s="1">
        <f t="shared" si="5"/>
        <v>-0.399999999999984</v>
      </c>
    </row>
    <row r="51" s="1" customFormat="1" spans="1:12">
      <c r="A51" s="2">
        <v>1.605</v>
      </c>
      <c r="B51" s="10" t="s">
        <v>259</v>
      </c>
      <c r="C51" s="4">
        <v>1.605</v>
      </c>
      <c r="D51" s="5">
        <v>45.1</v>
      </c>
      <c r="E51" s="4"/>
      <c r="F51" s="4"/>
      <c r="G51" s="2">
        <f t="shared" si="0"/>
        <v>1.572</v>
      </c>
      <c r="H51" s="11" t="str">
        <f t="shared" si="1"/>
        <v>3.335E-2</v>
      </c>
      <c r="I51" s="2">
        <f t="shared" si="2"/>
        <v>44.8</v>
      </c>
      <c r="J51" s="4">
        <f t="shared" si="3"/>
        <v>1.572</v>
      </c>
      <c r="K51" s="9">
        <f t="shared" si="4"/>
        <v>-0.100000000000031</v>
      </c>
      <c r="L51" s="1">
        <f t="shared" si="5"/>
        <v>-0.399999999999984</v>
      </c>
    </row>
    <row r="52" s="1" customFormat="1" spans="1:12">
      <c r="A52" s="2">
        <v>1.639</v>
      </c>
      <c r="B52" s="10" t="s">
        <v>259</v>
      </c>
      <c r="C52" s="4">
        <v>1.639</v>
      </c>
      <c r="D52" s="5">
        <v>44.7</v>
      </c>
      <c r="E52" s="4"/>
      <c r="F52" s="4"/>
      <c r="G52" s="2">
        <f t="shared" si="0"/>
        <v>1.605</v>
      </c>
      <c r="H52" s="11" t="str">
        <f t="shared" si="1"/>
        <v>3.335E-2</v>
      </c>
      <c r="I52" s="2">
        <f t="shared" si="2"/>
        <v>45.1</v>
      </c>
      <c r="J52" s="4">
        <f t="shared" si="3"/>
        <v>1.605</v>
      </c>
      <c r="K52" s="9">
        <f t="shared" si="4"/>
        <v>-0.100000000000031</v>
      </c>
      <c r="L52" s="1">
        <f t="shared" si="5"/>
        <v>-0.399999999999984</v>
      </c>
    </row>
    <row r="53" s="1" customFormat="1" spans="1:12">
      <c r="A53" s="2">
        <v>1.672</v>
      </c>
      <c r="B53" s="10" t="s">
        <v>262</v>
      </c>
      <c r="C53" s="4">
        <v>1.672</v>
      </c>
      <c r="D53" s="5">
        <v>45.4</v>
      </c>
      <c r="E53" s="4"/>
      <c r="F53" s="4"/>
      <c r="G53" s="2">
        <f t="shared" si="0"/>
        <v>1.639</v>
      </c>
      <c r="H53" s="11" t="str">
        <f t="shared" si="1"/>
        <v>3.335E-2</v>
      </c>
      <c r="I53" s="2">
        <f t="shared" si="2"/>
        <v>44.7</v>
      </c>
      <c r="J53" s="4">
        <f t="shared" si="3"/>
        <v>1.639</v>
      </c>
      <c r="K53" s="9">
        <f t="shared" si="4"/>
        <v>-0.100000000000031</v>
      </c>
      <c r="L53" s="1">
        <f t="shared" si="5"/>
        <v>-0.399999999999984</v>
      </c>
    </row>
    <row r="54" s="1" customFormat="1" spans="1:12">
      <c r="A54" s="2">
        <v>1.706</v>
      </c>
      <c r="B54" s="10" t="s">
        <v>259</v>
      </c>
      <c r="C54" s="4">
        <v>1.706</v>
      </c>
      <c r="D54" s="5">
        <v>45.5</v>
      </c>
      <c r="E54" s="4"/>
      <c r="F54" s="4"/>
      <c r="G54" s="2">
        <f t="shared" si="0"/>
        <v>1.672</v>
      </c>
      <c r="H54" s="11" t="str">
        <f t="shared" si="1"/>
        <v>3.334E-2</v>
      </c>
      <c r="I54" s="2">
        <f t="shared" si="2"/>
        <v>45.4</v>
      </c>
      <c r="J54" s="4">
        <f t="shared" si="3"/>
        <v>1.672</v>
      </c>
      <c r="K54" s="9">
        <f t="shared" si="4"/>
        <v>-0.199999999999992</v>
      </c>
      <c r="L54" s="1">
        <f t="shared" si="5"/>
        <v>-0.399999999999984</v>
      </c>
    </row>
    <row r="55" s="1" customFormat="1" spans="1:12">
      <c r="A55" s="2">
        <v>1.739</v>
      </c>
      <c r="B55" s="10" t="s">
        <v>259</v>
      </c>
      <c r="C55" s="4">
        <v>1.739</v>
      </c>
      <c r="D55" s="5">
        <v>45</v>
      </c>
      <c r="E55" s="4"/>
      <c r="F55" s="4"/>
      <c r="G55" s="2">
        <f t="shared" si="0"/>
        <v>1.706</v>
      </c>
      <c r="H55" s="11" t="str">
        <f t="shared" si="1"/>
        <v>3.335E-2</v>
      </c>
      <c r="I55" s="2">
        <f t="shared" si="2"/>
        <v>45.5</v>
      </c>
      <c r="J55" s="4">
        <f t="shared" si="3"/>
        <v>1.706</v>
      </c>
      <c r="K55" s="9">
        <f t="shared" si="4"/>
        <v>-0.100000000000031</v>
      </c>
      <c r="L55" s="1">
        <f t="shared" si="5"/>
        <v>-0.399999999999984</v>
      </c>
    </row>
    <row r="56" s="1" customFormat="1" spans="1:12">
      <c r="A56" s="2">
        <v>1.772</v>
      </c>
      <c r="B56" s="10" t="s">
        <v>259</v>
      </c>
      <c r="C56" s="4">
        <v>1.772</v>
      </c>
      <c r="D56" s="5">
        <v>44.6</v>
      </c>
      <c r="E56" s="4"/>
      <c r="F56" s="4"/>
      <c r="G56" s="2">
        <f t="shared" si="0"/>
        <v>1.739</v>
      </c>
      <c r="H56" s="11" t="str">
        <f t="shared" si="1"/>
        <v>3.335E-2</v>
      </c>
      <c r="I56" s="2">
        <f t="shared" si="2"/>
        <v>45</v>
      </c>
      <c r="J56" s="4">
        <f t="shared" si="3"/>
        <v>1.739</v>
      </c>
      <c r="K56" s="9">
        <f t="shared" si="4"/>
        <v>-0.100000000000031</v>
      </c>
      <c r="L56" s="1">
        <f t="shared" si="5"/>
        <v>-0.399999999999984</v>
      </c>
    </row>
    <row r="57" s="1" customFormat="1" spans="1:12">
      <c r="A57" s="2">
        <v>1.806</v>
      </c>
      <c r="B57" s="10" t="s">
        <v>258</v>
      </c>
      <c r="C57" s="4">
        <v>1.806</v>
      </c>
      <c r="D57" s="5">
        <v>45.3</v>
      </c>
      <c r="E57" s="4"/>
      <c r="F57" s="4"/>
      <c r="G57" s="2">
        <f t="shared" si="0"/>
        <v>1.772</v>
      </c>
      <c r="H57" s="11" t="str">
        <f t="shared" si="1"/>
        <v>3.335E-2</v>
      </c>
      <c r="I57" s="2">
        <f t="shared" si="2"/>
        <v>44.6</v>
      </c>
      <c r="J57" s="4">
        <f t="shared" si="3"/>
        <v>1.772</v>
      </c>
      <c r="K57" s="9">
        <f t="shared" si="4"/>
        <v>-0.100000000000031</v>
      </c>
      <c r="L57" s="1">
        <f t="shared" si="5"/>
        <v>-0.399999999999984</v>
      </c>
    </row>
    <row r="58" s="1" customFormat="1" spans="1:12">
      <c r="A58" s="2">
        <v>1.839</v>
      </c>
      <c r="B58" s="10" t="s">
        <v>259</v>
      </c>
      <c r="C58" s="4">
        <v>1.839</v>
      </c>
      <c r="D58" s="5">
        <v>44.9</v>
      </c>
      <c r="E58" s="4"/>
      <c r="F58" s="4"/>
      <c r="G58" s="2">
        <f t="shared" si="0"/>
        <v>1.806</v>
      </c>
      <c r="H58" s="11" t="str">
        <f t="shared" si="1"/>
        <v>3.336E-2</v>
      </c>
      <c r="I58" s="2">
        <f t="shared" si="2"/>
        <v>45.3</v>
      </c>
      <c r="J58" s="4">
        <f t="shared" si="3"/>
        <v>1.806</v>
      </c>
      <c r="K58" s="9">
        <f t="shared" si="4"/>
        <v>0</v>
      </c>
      <c r="L58" s="1">
        <f t="shared" si="5"/>
        <v>-0.399999999999984</v>
      </c>
    </row>
    <row r="59" s="1" customFormat="1" spans="1:12">
      <c r="A59" s="2">
        <v>1.873</v>
      </c>
      <c r="B59" s="10" t="s">
        <v>258</v>
      </c>
      <c r="C59" s="4">
        <v>1.873</v>
      </c>
      <c r="D59" s="5">
        <v>45</v>
      </c>
      <c r="E59" s="4"/>
      <c r="F59" s="4"/>
      <c r="G59" s="2">
        <f t="shared" si="0"/>
        <v>1.839</v>
      </c>
      <c r="H59" s="11" t="str">
        <f t="shared" si="1"/>
        <v>3.335E-2</v>
      </c>
      <c r="I59" s="2">
        <f t="shared" si="2"/>
        <v>44.9</v>
      </c>
      <c r="J59" s="4">
        <f t="shared" si="3"/>
        <v>1.839</v>
      </c>
      <c r="K59" s="9">
        <f t="shared" si="4"/>
        <v>-0.100000000000031</v>
      </c>
      <c r="L59" s="1">
        <f t="shared" si="5"/>
        <v>-0.399999999999984</v>
      </c>
    </row>
    <row r="60" s="1" customFormat="1" spans="1:12">
      <c r="A60" s="2">
        <v>1.906</v>
      </c>
      <c r="B60" s="10" t="s">
        <v>259</v>
      </c>
      <c r="C60" s="4">
        <v>1.906</v>
      </c>
      <c r="D60" s="5">
        <v>45.2</v>
      </c>
      <c r="E60" s="4"/>
      <c r="F60" s="4"/>
      <c r="G60" s="2">
        <f t="shared" si="0"/>
        <v>1.873</v>
      </c>
      <c r="H60" s="11" t="str">
        <f t="shared" si="1"/>
        <v>3.336E-2</v>
      </c>
      <c r="I60" s="2">
        <f t="shared" si="2"/>
        <v>45</v>
      </c>
      <c r="J60" s="4">
        <f t="shared" si="3"/>
        <v>1.873</v>
      </c>
      <c r="K60" s="9">
        <f t="shared" si="4"/>
        <v>0</v>
      </c>
      <c r="L60" s="1">
        <f t="shared" si="5"/>
        <v>-0.399999999999984</v>
      </c>
    </row>
    <row r="61" s="1" customFormat="1" spans="1:12">
      <c r="A61" s="2">
        <v>1.94</v>
      </c>
      <c r="B61" s="10" t="s">
        <v>258</v>
      </c>
      <c r="C61" s="4">
        <v>1.94</v>
      </c>
      <c r="D61" s="5">
        <v>45.5</v>
      </c>
      <c r="E61" s="4"/>
      <c r="F61" s="4"/>
      <c r="G61" s="2">
        <f t="shared" si="0"/>
        <v>1.906</v>
      </c>
      <c r="H61" s="11" t="str">
        <f t="shared" si="1"/>
        <v>3.335E-2</v>
      </c>
      <c r="I61" s="2">
        <f t="shared" si="2"/>
        <v>45.2</v>
      </c>
      <c r="J61" s="4">
        <f t="shared" si="3"/>
        <v>1.906</v>
      </c>
      <c r="K61" s="9">
        <f t="shared" si="4"/>
        <v>-0.100000000000031</v>
      </c>
      <c r="L61" s="1">
        <f t="shared" si="5"/>
        <v>-0.399999999999984</v>
      </c>
    </row>
    <row r="62" s="1" customFormat="1" spans="1:12">
      <c r="A62" s="2">
        <v>1.973</v>
      </c>
      <c r="B62" s="10" t="s">
        <v>258</v>
      </c>
      <c r="C62" s="4">
        <v>1.973</v>
      </c>
      <c r="D62" s="5">
        <v>45.3</v>
      </c>
      <c r="E62" s="4"/>
      <c r="F62" s="4"/>
      <c r="G62" s="2">
        <f t="shared" si="0"/>
        <v>1.94</v>
      </c>
      <c r="H62" s="11" t="str">
        <f t="shared" si="1"/>
        <v>3.336E-2</v>
      </c>
      <c r="I62" s="2">
        <f t="shared" si="2"/>
        <v>45.5</v>
      </c>
      <c r="J62" s="4">
        <f t="shared" si="3"/>
        <v>1.94</v>
      </c>
      <c r="K62" s="9">
        <f t="shared" si="4"/>
        <v>0</v>
      </c>
      <c r="L62" s="1">
        <f t="shared" si="5"/>
        <v>-0.399999999999984</v>
      </c>
    </row>
    <row r="63" s="1" customFormat="1" spans="1:12">
      <c r="A63" s="2">
        <v>2.006</v>
      </c>
      <c r="B63" s="10" t="s">
        <v>258</v>
      </c>
      <c r="C63" s="4">
        <v>2.006</v>
      </c>
      <c r="D63" s="5">
        <v>44.8</v>
      </c>
      <c r="E63" s="4"/>
      <c r="F63" s="4"/>
      <c r="G63" s="2">
        <f t="shared" si="0"/>
        <v>1.973</v>
      </c>
      <c r="H63" s="11" t="str">
        <f t="shared" si="1"/>
        <v>3.336E-2</v>
      </c>
      <c r="I63" s="2">
        <f t="shared" si="2"/>
        <v>45.3</v>
      </c>
      <c r="J63" s="4">
        <f t="shared" si="3"/>
        <v>1.973</v>
      </c>
      <c r="K63" s="9">
        <f t="shared" si="4"/>
        <v>0</v>
      </c>
      <c r="L63" s="1">
        <f t="shared" si="5"/>
        <v>-0.399999999999984</v>
      </c>
    </row>
    <row r="64" s="1" customFormat="1" spans="1:12">
      <c r="A64" s="2">
        <v>2.04</v>
      </c>
      <c r="B64" s="10" t="s">
        <v>258</v>
      </c>
      <c r="C64" s="4">
        <v>2.04</v>
      </c>
      <c r="D64" s="5">
        <v>44.3</v>
      </c>
      <c r="E64" s="4"/>
      <c r="F64" s="4"/>
      <c r="G64" s="2">
        <f t="shared" si="0"/>
        <v>2.006</v>
      </c>
      <c r="H64" s="11" t="str">
        <f t="shared" si="1"/>
        <v>3.336E-2</v>
      </c>
      <c r="I64" s="2">
        <f t="shared" si="2"/>
        <v>44.8</v>
      </c>
      <c r="J64" s="4">
        <f t="shared" si="3"/>
        <v>2.006</v>
      </c>
      <c r="K64" s="9">
        <f t="shared" si="4"/>
        <v>0</v>
      </c>
      <c r="L64" s="1">
        <f t="shared" si="5"/>
        <v>-0.399999999999984</v>
      </c>
    </row>
    <row r="65" s="1" customFormat="1" spans="1:12">
      <c r="A65" s="2">
        <v>2.073</v>
      </c>
      <c r="B65" s="10" t="s">
        <v>260</v>
      </c>
      <c r="C65" s="4">
        <v>2.073</v>
      </c>
      <c r="D65" s="5">
        <v>45.2</v>
      </c>
      <c r="E65" s="4"/>
      <c r="F65" s="4"/>
      <c r="G65" s="2">
        <f t="shared" si="0"/>
        <v>2.04</v>
      </c>
      <c r="H65" s="11" t="str">
        <f t="shared" si="1"/>
        <v>3.336E-2</v>
      </c>
      <c r="I65" s="2">
        <f t="shared" si="2"/>
        <v>44.3</v>
      </c>
      <c r="J65" s="4">
        <f t="shared" si="3"/>
        <v>2.04</v>
      </c>
      <c r="K65" s="9">
        <f t="shared" si="4"/>
        <v>0</v>
      </c>
      <c r="L65" s="1">
        <f t="shared" si="5"/>
        <v>-0.399999999999984</v>
      </c>
    </row>
    <row r="66" s="1" customFormat="1" spans="1:12">
      <c r="A66" s="2">
        <v>2.107</v>
      </c>
      <c r="B66" s="10" t="s">
        <v>260</v>
      </c>
      <c r="C66" s="4">
        <v>2.107</v>
      </c>
      <c r="D66" s="5">
        <v>45</v>
      </c>
      <c r="E66" s="4"/>
      <c r="F66" s="4"/>
      <c r="G66" s="2">
        <f t="shared" si="0"/>
        <v>2.073</v>
      </c>
      <c r="H66" s="11" t="str">
        <f t="shared" si="1"/>
        <v>3.337E-2</v>
      </c>
      <c r="I66" s="2">
        <f t="shared" si="2"/>
        <v>45.2</v>
      </c>
      <c r="J66" s="4">
        <f t="shared" si="3"/>
        <v>2.073</v>
      </c>
      <c r="K66" s="9">
        <f t="shared" si="4"/>
        <v>0.0999999999999612</v>
      </c>
      <c r="L66" s="1">
        <f t="shared" si="5"/>
        <v>-0.399999999999984</v>
      </c>
    </row>
    <row r="67" s="1" customFormat="1" spans="1:12">
      <c r="A67" s="2">
        <v>2.14</v>
      </c>
      <c r="B67" s="10" t="s">
        <v>258</v>
      </c>
      <c r="C67" s="4">
        <v>2.14</v>
      </c>
      <c r="D67" s="5">
        <v>44.5</v>
      </c>
      <c r="E67" s="4"/>
      <c r="F67" s="4"/>
      <c r="G67" s="2">
        <f t="shared" si="0"/>
        <v>2.107</v>
      </c>
      <c r="H67" s="11" t="str">
        <f t="shared" si="1"/>
        <v>3.337E-2</v>
      </c>
      <c r="I67" s="2">
        <f t="shared" si="2"/>
        <v>45</v>
      </c>
      <c r="J67" s="4">
        <f t="shared" si="3"/>
        <v>2.107</v>
      </c>
      <c r="K67" s="9">
        <f t="shared" si="4"/>
        <v>0.0999999999999612</v>
      </c>
      <c r="L67" s="1">
        <f t="shared" si="5"/>
        <v>-0.399999999999984</v>
      </c>
    </row>
    <row r="68" s="1" customFormat="1" spans="1:12">
      <c r="A68" s="2">
        <v>2.174</v>
      </c>
      <c r="B68" s="10" t="s">
        <v>260</v>
      </c>
      <c r="C68" s="4">
        <v>2.174</v>
      </c>
      <c r="D68" s="5">
        <v>44.9</v>
      </c>
      <c r="E68" s="4"/>
      <c r="F68" s="4"/>
      <c r="G68" s="2">
        <f t="shared" ref="G68:G131" si="6">A67</f>
        <v>2.14</v>
      </c>
      <c r="H68" s="11" t="str">
        <f t="shared" ref="H68:H131" si="7">B67</f>
        <v>3.336E-2</v>
      </c>
      <c r="I68" s="2">
        <f t="shared" ref="I68:I131" si="8">D67</f>
        <v>44.5</v>
      </c>
      <c r="J68" s="4">
        <f t="shared" ref="J68:J131" si="9">G68</f>
        <v>2.14</v>
      </c>
      <c r="K68" s="9">
        <f t="shared" ref="K68:K131" si="10">(H68-$H$4)*10000</f>
        <v>0</v>
      </c>
      <c r="L68" s="1">
        <f t="shared" si="5"/>
        <v>-0.399999999999984</v>
      </c>
    </row>
    <row r="69" s="1" customFormat="1" spans="1:12">
      <c r="A69" s="2">
        <v>2.207</v>
      </c>
      <c r="B69" s="10" t="s">
        <v>260</v>
      </c>
      <c r="C69" s="4">
        <v>2.207</v>
      </c>
      <c r="D69" s="5">
        <v>45.4</v>
      </c>
      <c r="E69" s="4"/>
      <c r="F69" s="4"/>
      <c r="G69" s="2">
        <f t="shared" si="6"/>
        <v>2.174</v>
      </c>
      <c r="H69" s="11" t="str">
        <f t="shared" si="7"/>
        <v>3.337E-2</v>
      </c>
      <c r="I69" s="2">
        <f t="shared" si="8"/>
        <v>44.9</v>
      </c>
      <c r="J69" s="4">
        <f t="shared" si="9"/>
        <v>2.174</v>
      </c>
      <c r="K69" s="9">
        <f t="shared" si="10"/>
        <v>0.0999999999999612</v>
      </c>
      <c r="L69" s="1">
        <f t="shared" ref="L69:L132" si="11">IF(I69&lt;230,$V$4,$V$5)</f>
        <v>-0.399999999999984</v>
      </c>
    </row>
    <row r="70" s="1" customFormat="1" spans="1:12">
      <c r="A70" s="2">
        <v>2.241</v>
      </c>
      <c r="B70" s="10" t="s">
        <v>258</v>
      </c>
      <c r="C70" s="4">
        <v>2.241</v>
      </c>
      <c r="D70" s="5">
        <v>45.1</v>
      </c>
      <c r="E70" s="4"/>
      <c r="F70" s="4"/>
      <c r="G70" s="2">
        <f t="shared" si="6"/>
        <v>2.207</v>
      </c>
      <c r="H70" s="11" t="str">
        <f t="shared" si="7"/>
        <v>3.337E-2</v>
      </c>
      <c r="I70" s="2">
        <f t="shared" si="8"/>
        <v>45.4</v>
      </c>
      <c r="J70" s="4">
        <f t="shared" si="9"/>
        <v>2.207</v>
      </c>
      <c r="K70" s="9">
        <f t="shared" si="10"/>
        <v>0.0999999999999612</v>
      </c>
      <c r="L70" s="1">
        <f t="shared" si="11"/>
        <v>-0.399999999999984</v>
      </c>
    </row>
    <row r="71" s="1" customFormat="1" spans="1:12">
      <c r="A71" s="2">
        <v>2.274</v>
      </c>
      <c r="B71" s="10" t="s">
        <v>260</v>
      </c>
      <c r="C71" s="4">
        <v>2.274</v>
      </c>
      <c r="D71" s="5">
        <v>45.1</v>
      </c>
      <c r="E71" s="4"/>
      <c r="F71" s="4"/>
      <c r="G71" s="2">
        <f t="shared" si="6"/>
        <v>2.241</v>
      </c>
      <c r="H71" s="11" t="str">
        <f t="shared" si="7"/>
        <v>3.336E-2</v>
      </c>
      <c r="I71" s="2">
        <f t="shared" si="8"/>
        <v>45.1</v>
      </c>
      <c r="J71" s="4">
        <f t="shared" si="9"/>
        <v>2.241</v>
      </c>
      <c r="K71" s="9">
        <f t="shared" si="10"/>
        <v>0</v>
      </c>
      <c r="L71" s="1">
        <f t="shared" si="11"/>
        <v>-0.399999999999984</v>
      </c>
    </row>
    <row r="72" s="1" customFormat="1" spans="1:12">
      <c r="A72" s="2">
        <v>2.307</v>
      </c>
      <c r="B72" s="10" t="s">
        <v>260</v>
      </c>
      <c r="C72" s="4">
        <v>2.307</v>
      </c>
      <c r="D72" s="5">
        <v>45.3</v>
      </c>
      <c r="E72" s="4"/>
      <c r="F72" s="4"/>
      <c r="G72" s="2">
        <f t="shared" si="6"/>
        <v>2.274</v>
      </c>
      <c r="H72" s="11" t="str">
        <f t="shared" si="7"/>
        <v>3.337E-2</v>
      </c>
      <c r="I72" s="2">
        <f t="shared" si="8"/>
        <v>45.1</v>
      </c>
      <c r="J72" s="4">
        <f t="shared" si="9"/>
        <v>2.274</v>
      </c>
      <c r="K72" s="9">
        <f t="shared" si="10"/>
        <v>0.0999999999999612</v>
      </c>
      <c r="L72" s="1">
        <f t="shared" si="11"/>
        <v>-0.399999999999984</v>
      </c>
    </row>
    <row r="73" s="1" customFormat="1" spans="1:12">
      <c r="A73" s="2">
        <v>2.341</v>
      </c>
      <c r="B73" s="10" t="s">
        <v>258</v>
      </c>
      <c r="C73" s="4">
        <v>2.341</v>
      </c>
      <c r="D73" s="5">
        <v>45.6</v>
      </c>
      <c r="E73" s="4"/>
      <c r="F73" s="4"/>
      <c r="G73" s="2">
        <f t="shared" si="6"/>
        <v>2.307</v>
      </c>
      <c r="H73" s="11" t="str">
        <f t="shared" si="7"/>
        <v>3.337E-2</v>
      </c>
      <c r="I73" s="2">
        <f t="shared" si="8"/>
        <v>45.3</v>
      </c>
      <c r="J73" s="4">
        <f t="shared" si="9"/>
        <v>2.307</v>
      </c>
      <c r="K73" s="9">
        <f t="shared" si="10"/>
        <v>0.0999999999999612</v>
      </c>
      <c r="L73" s="1">
        <f t="shared" si="11"/>
        <v>-0.399999999999984</v>
      </c>
    </row>
    <row r="74" s="1" customFormat="1" spans="1:12">
      <c r="A74" s="2">
        <v>2.374</v>
      </c>
      <c r="B74" s="10" t="s">
        <v>258</v>
      </c>
      <c r="C74" s="4">
        <v>2.374</v>
      </c>
      <c r="D74" s="5">
        <v>45.2</v>
      </c>
      <c r="E74" s="4"/>
      <c r="F74" s="4"/>
      <c r="G74" s="2">
        <f t="shared" si="6"/>
        <v>2.341</v>
      </c>
      <c r="H74" s="11" t="str">
        <f t="shared" si="7"/>
        <v>3.336E-2</v>
      </c>
      <c r="I74" s="2">
        <f t="shared" si="8"/>
        <v>45.6</v>
      </c>
      <c r="J74" s="4">
        <f t="shared" si="9"/>
        <v>2.341</v>
      </c>
      <c r="K74" s="9">
        <f t="shared" si="10"/>
        <v>0</v>
      </c>
      <c r="L74" s="1">
        <f t="shared" si="11"/>
        <v>-0.399999999999984</v>
      </c>
    </row>
    <row r="75" s="1" customFormat="1" spans="1:12">
      <c r="A75" s="2">
        <v>2.408</v>
      </c>
      <c r="B75" s="10" t="s">
        <v>258</v>
      </c>
      <c r="C75" s="4">
        <v>2.408</v>
      </c>
      <c r="D75" s="5">
        <v>45.1</v>
      </c>
      <c r="E75" s="4"/>
      <c r="F75" s="4"/>
      <c r="G75" s="2">
        <f t="shared" si="6"/>
        <v>2.374</v>
      </c>
      <c r="H75" s="11" t="str">
        <f t="shared" si="7"/>
        <v>3.336E-2</v>
      </c>
      <c r="I75" s="2">
        <f t="shared" si="8"/>
        <v>45.2</v>
      </c>
      <c r="J75" s="4">
        <f t="shared" si="9"/>
        <v>2.374</v>
      </c>
      <c r="K75" s="9">
        <f t="shared" si="10"/>
        <v>0</v>
      </c>
      <c r="L75" s="1">
        <f t="shared" si="11"/>
        <v>-0.399999999999984</v>
      </c>
    </row>
    <row r="76" s="1" customFormat="1" spans="1:12">
      <c r="A76" s="2">
        <v>2.441</v>
      </c>
      <c r="B76" s="10" t="s">
        <v>258</v>
      </c>
      <c r="C76" s="4">
        <v>2.441</v>
      </c>
      <c r="D76" s="5">
        <v>45.1</v>
      </c>
      <c r="E76" s="4"/>
      <c r="F76" s="4"/>
      <c r="G76" s="2">
        <f t="shared" si="6"/>
        <v>2.408</v>
      </c>
      <c r="H76" s="11" t="str">
        <f t="shared" si="7"/>
        <v>3.336E-2</v>
      </c>
      <c r="I76" s="2">
        <f t="shared" si="8"/>
        <v>45.1</v>
      </c>
      <c r="J76" s="4">
        <f t="shared" si="9"/>
        <v>2.408</v>
      </c>
      <c r="K76" s="9">
        <f t="shared" si="10"/>
        <v>0</v>
      </c>
      <c r="L76" s="1">
        <f t="shared" si="11"/>
        <v>-0.399999999999984</v>
      </c>
    </row>
    <row r="77" s="1" customFormat="1" spans="1:12">
      <c r="A77" s="2">
        <v>2.475</v>
      </c>
      <c r="B77" s="10" t="s">
        <v>258</v>
      </c>
      <c r="C77" s="4">
        <v>2.475</v>
      </c>
      <c r="D77" s="5">
        <v>45.1</v>
      </c>
      <c r="E77" s="4"/>
      <c r="F77" s="4"/>
      <c r="G77" s="2">
        <f t="shared" si="6"/>
        <v>2.441</v>
      </c>
      <c r="H77" s="11" t="str">
        <f t="shared" si="7"/>
        <v>3.336E-2</v>
      </c>
      <c r="I77" s="2">
        <f t="shared" si="8"/>
        <v>45.1</v>
      </c>
      <c r="J77" s="4">
        <f t="shared" si="9"/>
        <v>2.441</v>
      </c>
      <c r="K77" s="9">
        <f t="shared" si="10"/>
        <v>0</v>
      </c>
      <c r="L77" s="1">
        <f t="shared" si="11"/>
        <v>-0.399999999999984</v>
      </c>
    </row>
    <row r="78" s="1" customFormat="1" spans="1:12">
      <c r="A78" s="2">
        <v>2.508</v>
      </c>
      <c r="B78" s="10" t="s">
        <v>258</v>
      </c>
      <c r="C78" s="4">
        <v>2.508</v>
      </c>
      <c r="D78" s="5">
        <v>45.4</v>
      </c>
      <c r="E78" s="4"/>
      <c r="F78" s="4"/>
      <c r="G78" s="2">
        <f t="shared" si="6"/>
        <v>2.475</v>
      </c>
      <c r="H78" s="11" t="str">
        <f t="shared" si="7"/>
        <v>3.336E-2</v>
      </c>
      <c r="I78" s="2">
        <f t="shared" si="8"/>
        <v>45.1</v>
      </c>
      <c r="J78" s="4">
        <f t="shared" si="9"/>
        <v>2.475</v>
      </c>
      <c r="K78" s="9">
        <f t="shared" si="10"/>
        <v>0</v>
      </c>
      <c r="L78" s="1">
        <f t="shared" si="11"/>
        <v>-0.399999999999984</v>
      </c>
    </row>
    <row r="79" s="1" customFormat="1" spans="1:12">
      <c r="A79" s="2">
        <v>2.542</v>
      </c>
      <c r="B79" s="10" t="s">
        <v>258</v>
      </c>
      <c r="C79" s="4">
        <v>2.542</v>
      </c>
      <c r="D79" s="5">
        <v>45.1</v>
      </c>
      <c r="E79" s="4"/>
      <c r="F79" s="4"/>
      <c r="G79" s="2">
        <f t="shared" si="6"/>
        <v>2.508</v>
      </c>
      <c r="H79" s="11" t="str">
        <f t="shared" si="7"/>
        <v>3.336E-2</v>
      </c>
      <c r="I79" s="2">
        <f t="shared" si="8"/>
        <v>45.4</v>
      </c>
      <c r="J79" s="4">
        <f t="shared" si="9"/>
        <v>2.508</v>
      </c>
      <c r="K79" s="9">
        <f t="shared" si="10"/>
        <v>0</v>
      </c>
      <c r="L79" s="1">
        <f t="shared" si="11"/>
        <v>-0.399999999999984</v>
      </c>
    </row>
    <row r="80" s="1" customFormat="1" spans="1:12">
      <c r="A80" s="2">
        <v>2.575</v>
      </c>
      <c r="B80" s="10" t="s">
        <v>258</v>
      </c>
      <c r="C80" s="4">
        <v>2.575</v>
      </c>
      <c r="D80" s="5">
        <v>45</v>
      </c>
      <c r="E80" s="4"/>
      <c r="F80" s="4"/>
      <c r="G80" s="2">
        <f t="shared" si="6"/>
        <v>2.542</v>
      </c>
      <c r="H80" s="11" t="str">
        <f t="shared" si="7"/>
        <v>3.336E-2</v>
      </c>
      <c r="I80" s="2">
        <f t="shared" si="8"/>
        <v>45.1</v>
      </c>
      <c r="J80" s="4">
        <f t="shared" si="9"/>
        <v>2.542</v>
      </c>
      <c r="K80" s="9">
        <f t="shared" si="10"/>
        <v>0</v>
      </c>
      <c r="L80" s="1">
        <f t="shared" si="11"/>
        <v>-0.399999999999984</v>
      </c>
    </row>
    <row r="81" s="1" customFormat="1" spans="1:12">
      <c r="A81" s="2">
        <v>2.608</v>
      </c>
      <c r="B81" s="10" t="s">
        <v>258</v>
      </c>
      <c r="C81" s="4">
        <v>2.608</v>
      </c>
      <c r="D81" s="5">
        <v>45.6</v>
      </c>
      <c r="E81" s="4"/>
      <c r="F81" s="4"/>
      <c r="G81" s="2">
        <f t="shared" si="6"/>
        <v>2.575</v>
      </c>
      <c r="H81" s="11" t="str">
        <f t="shared" si="7"/>
        <v>3.336E-2</v>
      </c>
      <c r="I81" s="2">
        <f t="shared" si="8"/>
        <v>45</v>
      </c>
      <c r="J81" s="4">
        <f t="shared" si="9"/>
        <v>2.575</v>
      </c>
      <c r="K81" s="9">
        <f t="shared" si="10"/>
        <v>0</v>
      </c>
      <c r="L81" s="1">
        <f t="shared" si="11"/>
        <v>-0.399999999999984</v>
      </c>
    </row>
    <row r="82" s="1" customFormat="1" spans="1:12">
      <c r="A82" s="2">
        <v>2.642</v>
      </c>
      <c r="B82" s="10" t="s">
        <v>258</v>
      </c>
      <c r="C82" s="4">
        <v>2.642</v>
      </c>
      <c r="D82" s="5">
        <v>44.7</v>
      </c>
      <c r="E82" s="4"/>
      <c r="F82" s="4"/>
      <c r="G82" s="2">
        <f t="shared" si="6"/>
        <v>2.608</v>
      </c>
      <c r="H82" s="11" t="str">
        <f t="shared" si="7"/>
        <v>3.336E-2</v>
      </c>
      <c r="I82" s="2">
        <f t="shared" si="8"/>
        <v>45.6</v>
      </c>
      <c r="J82" s="4">
        <f t="shared" si="9"/>
        <v>2.608</v>
      </c>
      <c r="K82" s="9">
        <f t="shared" si="10"/>
        <v>0</v>
      </c>
      <c r="L82" s="1">
        <f t="shared" si="11"/>
        <v>-0.399999999999984</v>
      </c>
    </row>
    <row r="83" s="1" customFormat="1" spans="1:12">
      <c r="A83" s="2">
        <v>2.675</v>
      </c>
      <c r="B83" s="10" t="s">
        <v>259</v>
      </c>
      <c r="C83" s="4">
        <v>2.675</v>
      </c>
      <c r="D83" s="5">
        <v>45</v>
      </c>
      <c r="E83" s="4"/>
      <c r="F83" s="4"/>
      <c r="G83" s="2">
        <f t="shared" si="6"/>
        <v>2.642</v>
      </c>
      <c r="H83" s="11" t="str">
        <f t="shared" si="7"/>
        <v>3.336E-2</v>
      </c>
      <c r="I83" s="2">
        <f t="shared" si="8"/>
        <v>44.7</v>
      </c>
      <c r="J83" s="4">
        <f t="shared" si="9"/>
        <v>2.642</v>
      </c>
      <c r="K83" s="9">
        <f t="shared" si="10"/>
        <v>0</v>
      </c>
      <c r="L83" s="1">
        <f t="shared" si="11"/>
        <v>-0.399999999999984</v>
      </c>
    </row>
    <row r="84" s="1" customFormat="1" spans="1:12">
      <c r="A84" s="2">
        <v>2.709</v>
      </c>
      <c r="B84" s="10" t="s">
        <v>259</v>
      </c>
      <c r="C84" s="4">
        <v>2.709</v>
      </c>
      <c r="D84" s="5">
        <v>44.9</v>
      </c>
      <c r="E84" s="4"/>
      <c r="F84" s="4"/>
      <c r="G84" s="2">
        <f t="shared" si="6"/>
        <v>2.675</v>
      </c>
      <c r="H84" s="11" t="str">
        <f t="shared" si="7"/>
        <v>3.335E-2</v>
      </c>
      <c r="I84" s="2">
        <f t="shared" si="8"/>
        <v>45</v>
      </c>
      <c r="J84" s="4">
        <f t="shared" si="9"/>
        <v>2.675</v>
      </c>
      <c r="K84" s="9">
        <f t="shared" si="10"/>
        <v>-0.100000000000031</v>
      </c>
      <c r="L84" s="1">
        <f t="shared" si="11"/>
        <v>-0.399999999999984</v>
      </c>
    </row>
    <row r="85" s="1" customFormat="1" spans="1:12">
      <c r="A85" s="2">
        <v>2.742</v>
      </c>
      <c r="B85" s="10" t="s">
        <v>262</v>
      </c>
      <c r="C85" s="4">
        <v>2.742</v>
      </c>
      <c r="D85" s="5">
        <v>45.3</v>
      </c>
      <c r="E85" s="4"/>
      <c r="F85" s="4"/>
      <c r="G85" s="2">
        <f t="shared" si="6"/>
        <v>2.709</v>
      </c>
      <c r="H85" s="11" t="str">
        <f t="shared" si="7"/>
        <v>3.335E-2</v>
      </c>
      <c r="I85" s="2">
        <f t="shared" si="8"/>
        <v>44.9</v>
      </c>
      <c r="J85" s="4">
        <f t="shared" si="9"/>
        <v>2.709</v>
      </c>
      <c r="K85" s="9">
        <f t="shared" si="10"/>
        <v>-0.100000000000031</v>
      </c>
      <c r="L85" s="1">
        <f t="shared" si="11"/>
        <v>-0.399999999999984</v>
      </c>
    </row>
    <row r="86" s="1" customFormat="1" spans="1:12">
      <c r="A86" s="2">
        <v>2.776</v>
      </c>
      <c r="B86" s="10" t="s">
        <v>259</v>
      </c>
      <c r="C86" s="4">
        <v>2.776</v>
      </c>
      <c r="D86" s="5">
        <v>44.9</v>
      </c>
      <c r="E86" s="4"/>
      <c r="F86" s="4"/>
      <c r="G86" s="2">
        <f t="shared" si="6"/>
        <v>2.742</v>
      </c>
      <c r="H86" s="11" t="str">
        <f t="shared" si="7"/>
        <v>3.334E-2</v>
      </c>
      <c r="I86" s="2">
        <f t="shared" si="8"/>
        <v>45.3</v>
      </c>
      <c r="J86" s="4">
        <f t="shared" si="9"/>
        <v>2.742</v>
      </c>
      <c r="K86" s="9">
        <f t="shared" si="10"/>
        <v>-0.199999999999992</v>
      </c>
      <c r="L86" s="1">
        <f t="shared" si="11"/>
        <v>-0.399999999999984</v>
      </c>
    </row>
    <row r="87" s="1" customFormat="1" spans="1:12">
      <c r="A87" s="2">
        <v>2.809</v>
      </c>
      <c r="B87" s="10" t="s">
        <v>259</v>
      </c>
      <c r="C87" s="4">
        <v>2.809</v>
      </c>
      <c r="D87" s="5">
        <v>45.2</v>
      </c>
      <c r="E87" s="4"/>
      <c r="F87" s="4"/>
      <c r="G87" s="2">
        <f t="shared" si="6"/>
        <v>2.776</v>
      </c>
      <c r="H87" s="11" t="str">
        <f t="shared" si="7"/>
        <v>3.335E-2</v>
      </c>
      <c r="I87" s="2">
        <f t="shared" si="8"/>
        <v>44.9</v>
      </c>
      <c r="J87" s="4">
        <f t="shared" si="9"/>
        <v>2.776</v>
      </c>
      <c r="K87" s="9">
        <f t="shared" si="10"/>
        <v>-0.100000000000031</v>
      </c>
      <c r="L87" s="1">
        <f t="shared" si="11"/>
        <v>-0.399999999999984</v>
      </c>
    </row>
    <row r="88" s="1" customFormat="1" spans="1:12">
      <c r="A88" s="2">
        <v>2.843</v>
      </c>
      <c r="B88" s="10" t="s">
        <v>259</v>
      </c>
      <c r="C88" s="4">
        <v>2.843</v>
      </c>
      <c r="D88" s="5">
        <v>45.2</v>
      </c>
      <c r="E88" s="4"/>
      <c r="F88" s="4"/>
      <c r="G88" s="2">
        <f t="shared" si="6"/>
        <v>2.809</v>
      </c>
      <c r="H88" s="11" t="str">
        <f t="shared" si="7"/>
        <v>3.335E-2</v>
      </c>
      <c r="I88" s="2">
        <f t="shared" si="8"/>
        <v>45.2</v>
      </c>
      <c r="J88" s="4">
        <f t="shared" si="9"/>
        <v>2.809</v>
      </c>
      <c r="K88" s="9">
        <f t="shared" si="10"/>
        <v>-0.100000000000031</v>
      </c>
      <c r="L88" s="1">
        <f t="shared" si="11"/>
        <v>-0.399999999999984</v>
      </c>
    </row>
    <row r="89" s="1" customFormat="1" spans="1:12">
      <c r="A89" s="2">
        <v>2.876</v>
      </c>
      <c r="B89" s="10" t="s">
        <v>262</v>
      </c>
      <c r="C89" s="4">
        <v>2.876</v>
      </c>
      <c r="D89" s="5">
        <v>45.3</v>
      </c>
      <c r="E89" s="4"/>
      <c r="F89" s="4"/>
      <c r="G89" s="2">
        <f t="shared" si="6"/>
        <v>2.843</v>
      </c>
      <c r="H89" s="11" t="str">
        <f t="shared" si="7"/>
        <v>3.335E-2</v>
      </c>
      <c r="I89" s="2">
        <f t="shared" si="8"/>
        <v>45.2</v>
      </c>
      <c r="J89" s="4">
        <f t="shared" si="9"/>
        <v>2.843</v>
      </c>
      <c r="K89" s="9">
        <f t="shared" si="10"/>
        <v>-0.100000000000031</v>
      </c>
      <c r="L89" s="1">
        <f t="shared" si="11"/>
        <v>-0.399999999999984</v>
      </c>
    </row>
    <row r="90" s="1" customFormat="1" spans="1:12">
      <c r="A90" s="2">
        <v>2.909</v>
      </c>
      <c r="B90" s="10" t="s">
        <v>258</v>
      </c>
      <c r="C90" s="4">
        <v>2.909</v>
      </c>
      <c r="D90" s="5">
        <v>45</v>
      </c>
      <c r="E90" s="4"/>
      <c r="F90" s="4"/>
      <c r="G90" s="2">
        <f t="shared" si="6"/>
        <v>2.876</v>
      </c>
      <c r="H90" s="11" t="str">
        <f t="shared" si="7"/>
        <v>3.334E-2</v>
      </c>
      <c r="I90" s="2">
        <f t="shared" si="8"/>
        <v>45.3</v>
      </c>
      <c r="J90" s="4">
        <f t="shared" si="9"/>
        <v>2.876</v>
      </c>
      <c r="K90" s="9">
        <f t="shared" si="10"/>
        <v>-0.199999999999992</v>
      </c>
      <c r="L90" s="1">
        <f t="shared" si="11"/>
        <v>-0.399999999999984</v>
      </c>
    </row>
    <row r="91" s="1" customFormat="1" spans="1:12">
      <c r="A91" s="2">
        <v>2.943</v>
      </c>
      <c r="B91" s="10" t="s">
        <v>259</v>
      </c>
      <c r="C91" s="4">
        <v>2.943</v>
      </c>
      <c r="D91" s="5">
        <v>44.7</v>
      </c>
      <c r="E91" s="4"/>
      <c r="F91" s="4"/>
      <c r="G91" s="2">
        <f t="shared" si="6"/>
        <v>2.909</v>
      </c>
      <c r="H91" s="11" t="str">
        <f t="shared" si="7"/>
        <v>3.336E-2</v>
      </c>
      <c r="I91" s="2">
        <f t="shared" si="8"/>
        <v>45</v>
      </c>
      <c r="J91" s="4">
        <f t="shared" si="9"/>
        <v>2.909</v>
      </c>
      <c r="K91" s="9">
        <f t="shared" si="10"/>
        <v>0</v>
      </c>
      <c r="L91" s="1">
        <f t="shared" si="11"/>
        <v>-0.399999999999984</v>
      </c>
    </row>
    <row r="92" s="1" customFormat="1" spans="1:12">
      <c r="A92" s="2">
        <v>2.976</v>
      </c>
      <c r="B92" s="10" t="s">
        <v>259</v>
      </c>
      <c r="C92" s="4">
        <v>2.976</v>
      </c>
      <c r="D92" s="5">
        <v>45.2</v>
      </c>
      <c r="E92" s="4"/>
      <c r="F92" s="4"/>
      <c r="G92" s="2">
        <f t="shared" si="6"/>
        <v>2.943</v>
      </c>
      <c r="H92" s="11" t="str">
        <f t="shared" si="7"/>
        <v>3.335E-2</v>
      </c>
      <c r="I92" s="2">
        <f t="shared" si="8"/>
        <v>44.7</v>
      </c>
      <c r="J92" s="4">
        <f t="shared" si="9"/>
        <v>2.943</v>
      </c>
      <c r="K92" s="9">
        <f t="shared" si="10"/>
        <v>-0.100000000000031</v>
      </c>
      <c r="L92" s="1">
        <f t="shared" si="11"/>
        <v>-0.399999999999984</v>
      </c>
    </row>
    <row r="93" s="1" customFormat="1" spans="1:12">
      <c r="A93" s="2">
        <v>3.01</v>
      </c>
      <c r="B93" s="10" t="s">
        <v>259</v>
      </c>
      <c r="C93" s="4">
        <v>3.01</v>
      </c>
      <c r="D93" s="5">
        <v>44.9</v>
      </c>
      <c r="E93" s="4"/>
      <c r="F93" s="4"/>
      <c r="G93" s="2">
        <f t="shared" si="6"/>
        <v>2.976</v>
      </c>
      <c r="H93" s="11" t="str">
        <f t="shared" si="7"/>
        <v>3.335E-2</v>
      </c>
      <c r="I93" s="2">
        <f t="shared" si="8"/>
        <v>45.2</v>
      </c>
      <c r="J93" s="4">
        <f t="shared" si="9"/>
        <v>2.976</v>
      </c>
      <c r="K93" s="9">
        <f t="shared" si="10"/>
        <v>-0.100000000000031</v>
      </c>
      <c r="L93" s="1">
        <f t="shared" si="11"/>
        <v>-0.399999999999984</v>
      </c>
    </row>
    <row r="94" s="1" customFormat="1" spans="1:12">
      <c r="A94" s="2">
        <v>3.043</v>
      </c>
      <c r="B94" s="10" t="s">
        <v>259</v>
      </c>
      <c r="C94" s="4">
        <v>3.043</v>
      </c>
      <c r="D94" s="5">
        <v>44.5</v>
      </c>
      <c r="E94" s="4"/>
      <c r="F94" s="4"/>
      <c r="G94" s="2">
        <f t="shared" si="6"/>
        <v>3.01</v>
      </c>
      <c r="H94" s="11" t="str">
        <f t="shared" si="7"/>
        <v>3.335E-2</v>
      </c>
      <c r="I94" s="2">
        <f t="shared" si="8"/>
        <v>44.9</v>
      </c>
      <c r="J94" s="4">
        <f t="shared" si="9"/>
        <v>3.01</v>
      </c>
      <c r="K94" s="9">
        <f t="shared" si="10"/>
        <v>-0.100000000000031</v>
      </c>
      <c r="L94" s="1">
        <f t="shared" si="11"/>
        <v>-0.399999999999984</v>
      </c>
    </row>
    <row r="95" s="1" customFormat="1" spans="1:12">
      <c r="A95" s="2">
        <v>3.077</v>
      </c>
      <c r="B95" s="10" t="s">
        <v>259</v>
      </c>
      <c r="C95" s="4">
        <v>3.077</v>
      </c>
      <c r="D95" s="5">
        <v>45.2</v>
      </c>
      <c r="E95" s="4"/>
      <c r="F95" s="4"/>
      <c r="G95" s="2">
        <f t="shared" si="6"/>
        <v>3.043</v>
      </c>
      <c r="H95" s="11" t="str">
        <f t="shared" si="7"/>
        <v>3.335E-2</v>
      </c>
      <c r="I95" s="2">
        <f t="shared" si="8"/>
        <v>44.5</v>
      </c>
      <c r="J95" s="4">
        <f t="shared" si="9"/>
        <v>3.043</v>
      </c>
      <c r="K95" s="9">
        <f t="shared" si="10"/>
        <v>-0.100000000000031</v>
      </c>
      <c r="L95" s="1">
        <f t="shared" si="11"/>
        <v>-0.399999999999984</v>
      </c>
    </row>
    <row r="96" s="1" customFormat="1" spans="1:12">
      <c r="A96" s="2">
        <v>3.11</v>
      </c>
      <c r="B96" s="10" t="s">
        <v>259</v>
      </c>
      <c r="C96" s="4">
        <v>3.11</v>
      </c>
      <c r="D96" s="5">
        <v>44.5</v>
      </c>
      <c r="E96" s="4"/>
      <c r="F96" s="4"/>
      <c r="G96" s="2">
        <f t="shared" si="6"/>
        <v>3.077</v>
      </c>
      <c r="H96" s="11" t="str">
        <f t="shared" si="7"/>
        <v>3.335E-2</v>
      </c>
      <c r="I96" s="2">
        <f t="shared" si="8"/>
        <v>45.2</v>
      </c>
      <c r="J96" s="4">
        <f t="shared" si="9"/>
        <v>3.077</v>
      </c>
      <c r="K96" s="9">
        <f t="shared" si="10"/>
        <v>-0.100000000000031</v>
      </c>
      <c r="L96" s="1">
        <f t="shared" si="11"/>
        <v>-0.399999999999984</v>
      </c>
    </row>
    <row r="97" s="1" customFormat="1" spans="1:12">
      <c r="A97" s="2">
        <v>3.143</v>
      </c>
      <c r="B97" s="10" t="s">
        <v>258</v>
      </c>
      <c r="C97" s="4">
        <v>3.143</v>
      </c>
      <c r="D97" s="5">
        <v>45.1</v>
      </c>
      <c r="E97" s="4"/>
      <c r="F97" s="4"/>
      <c r="G97" s="2">
        <f t="shared" si="6"/>
        <v>3.11</v>
      </c>
      <c r="H97" s="11" t="str">
        <f t="shared" si="7"/>
        <v>3.335E-2</v>
      </c>
      <c r="I97" s="2">
        <f t="shared" si="8"/>
        <v>44.5</v>
      </c>
      <c r="J97" s="4">
        <f t="shared" si="9"/>
        <v>3.11</v>
      </c>
      <c r="K97" s="9">
        <f t="shared" si="10"/>
        <v>-0.100000000000031</v>
      </c>
      <c r="L97" s="1">
        <f t="shared" si="11"/>
        <v>-0.399999999999984</v>
      </c>
    </row>
    <row r="98" s="1" customFormat="1" spans="1:12">
      <c r="A98" s="2">
        <v>3.177</v>
      </c>
      <c r="B98" s="10" t="s">
        <v>258</v>
      </c>
      <c r="C98" s="4">
        <v>3.177</v>
      </c>
      <c r="D98" s="5">
        <v>45.2</v>
      </c>
      <c r="E98" s="4"/>
      <c r="F98" s="4"/>
      <c r="G98" s="2">
        <f t="shared" si="6"/>
        <v>3.143</v>
      </c>
      <c r="H98" s="11" t="str">
        <f t="shared" si="7"/>
        <v>3.336E-2</v>
      </c>
      <c r="I98" s="2">
        <f t="shared" si="8"/>
        <v>45.1</v>
      </c>
      <c r="J98" s="4">
        <f t="shared" si="9"/>
        <v>3.143</v>
      </c>
      <c r="K98" s="9">
        <f t="shared" si="10"/>
        <v>0</v>
      </c>
      <c r="L98" s="1">
        <f t="shared" si="11"/>
        <v>-0.399999999999984</v>
      </c>
    </row>
    <row r="99" s="1" customFormat="1" spans="1:12">
      <c r="A99" s="2">
        <v>3.21</v>
      </c>
      <c r="B99" s="10" t="s">
        <v>259</v>
      </c>
      <c r="C99" s="4">
        <v>3.21</v>
      </c>
      <c r="D99" s="5">
        <v>44.6</v>
      </c>
      <c r="E99" s="4"/>
      <c r="F99" s="4"/>
      <c r="G99" s="2">
        <f t="shared" si="6"/>
        <v>3.177</v>
      </c>
      <c r="H99" s="11" t="str">
        <f t="shared" si="7"/>
        <v>3.336E-2</v>
      </c>
      <c r="I99" s="2">
        <f t="shared" si="8"/>
        <v>45.2</v>
      </c>
      <c r="J99" s="4">
        <f t="shared" si="9"/>
        <v>3.177</v>
      </c>
      <c r="K99" s="9">
        <f t="shared" si="10"/>
        <v>0</v>
      </c>
      <c r="L99" s="1">
        <f t="shared" si="11"/>
        <v>-0.399999999999984</v>
      </c>
    </row>
    <row r="100" s="1" customFormat="1" spans="1:12">
      <c r="A100" s="2">
        <v>3.244</v>
      </c>
      <c r="B100" s="10" t="s">
        <v>258</v>
      </c>
      <c r="C100" s="4">
        <v>3.244</v>
      </c>
      <c r="D100" s="5">
        <v>44.3</v>
      </c>
      <c r="E100" s="4"/>
      <c r="F100" s="4"/>
      <c r="G100" s="2">
        <f t="shared" si="6"/>
        <v>3.21</v>
      </c>
      <c r="H100" s="11" t="str">
        <f t="shared" si="7"/>
        <v>3.335E-2</v>
      </c>
      <c r="I100" s="2">
        <f t="shared" si="8"/>
        <v>44.6</v>
      </c>
      <c r="J100" s="4">
        <f t="shared" si="9"/>
        <v>3.21</v>
      </c>
      <c r="K100" s="9">
        <f t="shared" si="10"/>
        <v>-0.100000000000031</v>
      </c>
      <c r="L100" s="1">
        <f t="shared" si="11"/>
        <v>-0.399999999999984</v>
      </c>
    </row>
    <row r="101" s="1" customFormat="1" spans="1:12">
      <c r="A101" s="2">
        <v>3.277</v>
      </c>
      <c r="B101" s="10" t="s">
        <v>258</v>
      </c>
      <c r="C101" s="4">
        <v>3.277</v>
      </c>
      <c r="D101" s="5">
        <v>44.9</v>
      </c>
      <c r="E101" s="4"/>
      <c r="F101" s="4"/>
      <c r="G101" s="2">
        <f t="shared" si="6"/>
        <v>3.244</v>
      </c>
      <c r="H101" s="11" t="str">
        <f t="shared" si="7"/>
        <v>3.336E-2</v>
      </c>
      <c r="I101" s="2">
        <f t="shared" si="8"/>
        <v>44.3</v>
      </c>
      <c r="J101" s="4">
        <f t="shared" si="9"/>
        <v>3.244</v>
      </c>
      <c r="K101" s="9">
        <f t="shared" si="10"/>
        <v>0</v>
      </c>
      <c r="L101" s="1">
        <f t="shared" si="11"/>
        <v>-0.399999999999984</v>
      </c>
    </row>
    <row r="102" s="1" customFormat="1" spans="1:12">
      <c r="A102" s="2">
        <v>3.311</v>
      </c>
      <c r="B102" s="10" t="s">
        <v>260</v>
      </c>
      <c r="C102" s="4">
        <v>3.311</v>
      </c>
      <c r="D102" s="5">
        <v>45.5</v>
      </c>
      <c r="E102" s="4"/>
      <c r="F102" s="4"/>
      <c r="G102" s="2">
        <f t="shared" si="6"/>
        <v>3.277</v>
      </c>
      <c r="H102" s="11" t="str">
        <f t="shared" si="7"/>
        <v>3.336E-2</v>
      </c>
      <c r="I102" s="2">
        <f t="shared" si="8"/>
        <v>44.9</v>
      </c>
      <c r="J102" s="4">
        <f t="shared" si="9"/>
        <v>3.277</v>
      </c>
      <c r="K102" s="9">
        <f t="shared" si="10"/>
        <v>0</v>
      </c>
      <c r="L102" s="1">
        <f t="shared" si="11"/>
        <v>-0.399999999999984</v>
      </c>
    </row>
    <row r="103" s="1" customFormat="1" spans="1:12">
      <c r="A103" s="2">
        <v>3.344</v>
      </c>
      <c r="B103" s="10" t="s">
        <v>260</v>
      </c>
      <c r="C103" s="4">
        <v>3.344</v>
      </c>
      <c r="D103" s="5">
        <v>44.9</v>
      </c>
      <c r="E103" s="4"/>
      <c r="F103" s="4"/>
      <c r="G103" s="2">
        <f t="shared" si="6"/>
        <v>3.311</v>
      </c>
      <c r="H103" s="11" t="str">
        <f t="shared" si="7"/>
        <v>3.337E-2</v>
      </c>
      <c r="I103" s="2">
        <f t="shared" si="8"/>
        <v>45.5</v>
      </c>
      <c r="J103" s="4">
        <f t="shared" si="9"/>
        <v>3.311</v>
      </c>
      <c r="K103" s="9">
        <f t="shared" si="10"/>
        <v>0.0999999999999612</v>
      </c>
      <c r="L103" s="1">
        <f t="shared" si="11"/>
        <v>-0.399999999999984</v>
      </c>
    </row>
    <row r="104" s="1" customFormat="1" spans="1:12">
      <c r="A104" s="2">
        <v>3.378</v>
      </c>
      <c r="B104" s="10" t="s">
        <v>260</v>
      </c>
      <c r="C104" s="4">
        <v>3.378</v>
      </c>
      <c r="D104" s="5">
        <v>45.8</v>
      </c>
      <c r="E104" s="4"/>
      <c r="F104" s="4"/>
      <c r="G104" s="2">
        <f t="shared" si="6"/>
        <v>3.344</v>
      </c>
      <c r="H104" s="11" t="str">
        <f t="shared" si="7"/>
        <v>3.337E-2</v>
      </c>
      <c r="I104" s="2">
        <f t="shared" si="8"/>
        <v>44.9</v>
      </c>
      <c r="J104" s="4">
        <f t="shared" si="9"/>
        <v>3.344</v>
      </c>
      <c r="K104" s="9">
        <f t="shared" si="10"/>
        <v>0.0999999999999612</v>
      </c>
      <c r="L104" s="1">
        <f t="shared" si="11"/>
        <v>-0.399999999999984</v>
      </c>
    </row>
    <row r="105" s="1" customFormat="1" spans="1:12">
      <c r="A105" s="2">
        <v>3.411</v>
      </c>
      <c r="B105" s="10" t="s">
        <v>260</v>
      </c>
      <c r="C105" s="4">
        <v>3.411</v>
      </c>
      <c r="D105" s="5">
        <v>45</v>
      </c>
      <c r="E105" s="4"/>
      <c r="F105" s="4"/>
      <c r="G105" s="2">
        <f t="shared" si="6"/>
        <v>3.378</v>
      </c>
      <c r="H105" s="11" t="str">
        <f t="shared" si="7"/>
        <v>3.337E-2</v>
      </c>
      <c r="I105" s="2">
        <f t="shared" si="8"/>
        <v>45.8</v>
      </c>
      <c r="J105" s="4">
        <f t="shared" si="9"/>
        <v>3.378</v>
      </c>
      <c r="K105" s="9">
        <f t="shared" si="10"/>
        <v>0.0999999999999612</v>
      </c>
      <c r="L105" s="1">
        <f t="shared" si="11"/>
        <v>-0.399999999999984</v>
      </c>
    </row>
    <row r="106" s="1" customFormat="1" spans="1:12">
      <c r="A106" s="2">
        <v>3.444</v>
      </c>
      <c r="B106" s="10" t="s">
        <v>260</v>
      </c>
      <c r="C106" s="4">
        <v>3.444</v>
      </c>
      <c r="D106" s="5">
        <v>45.3</v>
      </c>
      <c r="E106" s="4"/>
      <c r="F106" s="4"/>
      <c r="G106" s="2">
        <f t="shared" si="6"/>
        <v>3.411</v>
      </c>
      <c r="H106" s="11" t="str">
        <f t="shared" si="7"/>
        <v>3.337E-2</v>
      </c>
      <c r="I106" s="2">
        <f t="shared" si="8"/>
        <v>45</v>
      </c>
      <c r="J106" s="4">
        <f t="shared" si="9"/>
        <v>3.411</v>
      </c>
      <c r="K106" s="9">
        <f t="shared" si="10"/>
        <v>0.0999999999999612</v>
      </c>
      <c r="L106" s="1">
        <f t="shared" si="11"/>
        <v>-0.399999999999984</v>
      </c>
    </row>
    <row r="107" s="1" customFormat="1" spans="1:12">
      <c r="A107" s="2">
        <v>3.478</v>
      </c>
      <c r="B107" s="10" t="s">
        <v>260</v>
      </c>
      <c r="C107" s="4">
        <v>3.478</v>
      </c>
      <c r="D107" s="5">
        <v>44.6</v>
      </c>
      <c r="E107" s="4"/>
      <c r="F107" s="4"/>
      <c r="G107" s="2">
        <f t="shared" si="6"/>
        <v>3.444</v>
      </c>
      <c r="H107" s="11" t="str">
        <f t="shared" si="7"/>
        <v>3.337E-2</v>
      </c>
      <c r="I107" s="2">
        <f t="shared" si="8"/>
        <v>45.3</v>
      </c>
      <c r="J107" s="4">
        <f t="shared" si="9"/>
        <v>3.444</v>
      </c>
      <c r="K107" s="9">
        <f t="shared" si="10"/>
        <v>0.0999999999999612</v>
      </c>
      <c r="L107" s="1">
        <f t="shared" si="11"/>
        <v>-0.399999999999984</v>
      </c>
    </row>
    <row r="108" s="1" customFormat="1" spans="1:12">
      <c r="A108" s="2">
        <v>3.511</v>
      </c>
      <c r="B108" s="10" t="s">
        <v>260</v>
      </c>
      <c r="C108" s="4">
        <v>3.511</v>
      </c>
      <c r="D108" s="5">
        <v>44.5</v>
      </c>
      <c r="E108" s="4"/>
      <c r="F108" s="4"/>
      <c r="G108" s="2">
        <f t="shared" si="6"/>
        <v>3.478</v>
      </c>
      <c r="H108" s="11" t="str">
        <f t="shared" si="7"/>
        <v>3.337E-2</v>
      </c>
      <c r="I108" s="2">
        <f t="shared" si="8"/>
        <v>44.6</v>
      </c>
      <c r="J108" s="4">
        <f t="shared" si="9"/>
        <v>3.478</v>
      </c>
      <c r="K108" s="9">
        <f t="shared" si="10"/>
        <v>0.0999999999999612</v>
      </c>
      <c r="L108" s="1">
        <f t="shared" si="11"/>
        <v>-0.399999999999984</v>
      </c>
    </row>
    <row r="109" s="1" customFormat="1" spans="1:12">
      <c r="A109" s="2">
        <v>3.545</v>
      </c>
      <c r="B109" s="10" t="s">
        <v>258</v>
      </c>
      <c r="C109" s="4">
        <v>3.545</v>
      </c>
      <c r="D109" s="5">
        <v>44.7</v>
      </c>
      <c r="E109" s="4"/>
      <c r="F109" s="4"/>
      <c r="G109" s="2">
        <f t="shared" si="6"/>
        <v>3.511</v>
      </c>
      <c r="H109" s="11" t="str">
        <f t="shared" si="7"/>
        <v>3.337E-2</v>
      </c>
      <c r="I109" s="2">
        <f t="shared" si="8"/>
        <v>44.5</v>
      </c>
      <c r="J109" s="4">
        <f t="shared" si="9"/>
        <v>3.511</v>
      </c>
      <c r="K109" s="9">
        <f t="shared" si="10"/>
        <v>0.0999999999999612</v>
      </c>
      <c r="L109" s="1">
        <f t="shared" si="11"/>
        <v>-0.399999999999984</v>
      </c>
    </row>
    <row r="110" s="1" customFormat="1" spans="1:12">
      <c r="A110" s="2">
        <v>3.578</v>
      </c>
      <c r="B110" s="10" t="s">
        <v>260</v>
      </c>
      <c r="C110" s="4">
        <v>3.578</v>
      </c>
      <c r="D110" s="5">
        <v>45</v>
      </c>
      <c r="E110" s="4"/>
      <c r="F110" s="4"/>
      <c r="G110" s="2">
        <f t="shared" si="6"/>
        <v>3.545</v>
      </c>
      <c r="H110" s="11" t="str">
        <f t="shared" si="7"/>
        <v>3.336E-2</v>
      </c>
      <c r="I110" s="2">
        <f t="shared" si="8"/>
        <v>44.7</v>
      </c>
      <c r="J110" s="4">
        <f t="shared" si="9"/>
        <v>3.545</v>
      </c>
      <c r="K110" s="9">
        <f t="shared" si="10"/>
        <v>0</v>
      </c>
      <c r="L110" s="1">
        <f t="shared" si="11"/>
        <v>-0.399999999999984</v>
      </c>
    </row>
    <row r="111" s="1" customFormat="1" spans="1:12">
      <c r="A111" s="2">
        <v>3.612</v>
      </c>
      <c r="B111" s="10" t="s">
        <v>260</v>
      </c>
      <c r="C111" s="4">
        <v>3.612</v>
      </c>
      <c r="D111" s="5">
        <v>44.8</v>
      </c>
      <c r="E111" s="4"/>
      <c r="F111" s="4"/>
      <c r="G111" s="2">
        <f t="shared" si="6"/>
        <v>3.578</v>
      </c>
      <c r="H111" s="11" t="str">
        <f t="shared" si="7"/>
        <v>3.337E-2</v>
      </c>
      <c r="I111" s="2">
        <f t="shared" si="8"/>
        <v>45</v>
      </c>
      <c r="J111" s="4">
        <f t="shared" si="9"/>
        <v>3.578</v>
      </c>
      <c r="K111" s="9">
        <f t="shared" si="10"/>
        <v>0.0999999999999612</v>
      </c>
      <c r="L111" s="1">
        <f t="shared" si="11"/>
        <v>-0.399999999999984</v>
      </c>
    </row>
    <row r="112" s="1" customFormat="1" spans="1:12">
      <c r="A112" s="2">
        <v>3.645</v>
      </c>
      <c r="B112" s="10" t="s">
        <v>260</v>
      </c>
      <c r="C112" s="4">
        <v>3.645</v>
      </c>
      <c r="D112" s="5">
        <v>44.8</v>
      </c>
      <c r="E112" s="4"/>
      <c r="F112" s="4"/>
      <c r="G112" s="2">
        <f t="shared" si="6"/>
        <v>3.612</v>
      </c>
      <c r="H112" s="11" t="str">
        <f t="shared" si="7"/>
        <v>3.337E-2</v>
      </c>
      <c r="I112" s="2">
        <f t="shared" si="8"/>
        <v>44.8</v>
      </c>
      <c r="J112" s="4">
        <f t="shared" si="9"/>
        <v>3.612</v>
      </c>
      <c r="K112" s="9">
        <f t="shared" si="10"/>
        <v>0.0999999999999612</v>
      </c>
      <c r="L112" s="1">
        <f t="shared" si="11"/>
        <v>-0.399999999999984</v>
      </c>
    </row>
    <row r="113" s="1" customFormat="1" spans="1:12">
      <c r="A113" s="2">
        <v>3.679</v>
      </c>
      <c r="B113" s="10" t="s">
        <v>260</v>
      </c>
      <c r="C113" s="4">
        <v>3.679</v>
      </c>
      <c r="D113" s="5">
        <v>45.6</v>
      </c>
      <c r="E113" s="4"/>
      <c r="F113" s="4"/>
      <c r="G113" s="2">
        <f t="shared" si="6"/>
        <v>3.645</v>
      </c>
      <c r="H113" s="11" t="str">
        <f t="shared" si="7"/>
        <v>3.337E-2</v>
      </c>
      <c r="I113" s="2">
        <f t="shared" si="8"/>
        <v>44.8</v>
      </c>
      <c r="J113" s="4">
        <f t="shared" si="9"/>
        <v>3.645</v>
      </c>
      <c r="K113" s="9">
        <f t="shared" si="10"/>
        <v>0.0999999999999612</v>
      </c>
      <c r="L113" s="1">
        <f t="shared" si="11"/>
        <v>-0.399999999999984</v>
      </c>
    </row>
    <row r="114" s="1" customFormat="1" spans="1:12">
      <c r="A114" s="2">
        <v>3.712</v>
      </c>
      <c r="B114" s="10" t="s">
        <v>258</v>
      </c>
      <c r="C114" s="4">
        <v>3.712</v>
      </c>
      <c r="D114" s="5">
        <v>44.7</v>
      </c>
      <c r="E114" s="4"/>
      <c r="F114" s="4"/>
      <c r="G114" s="2">
        <f t="shared" si="6"/>
        <v>3.679</v>
      </c>
      <c r="H114" s="11" t="str">
        <f t="shared" si="7"/>
        <v>3.337E-2</v>
      </c>
      <c r="I114" s="2">
        <f t="shared" si="8"/>
        <v>45.6</v>
      </c>
      <c r="J114" s="4">
        <f t="shared" si="9"/>
        <v>3.679</v>
      </c>
      <c r="K114" s="9">
        <f t="shared" si="10"/>
        <v>0.0999999999999612</v>
      </c>
      <c r="L114" s="1">
        <f t="shared" si="11"/>
        <v>-0.399999999999984</v>
      </c>
    </row>
    <row r="115" s="1" customFormat="1" spans="1:12">
      <c r="A115" s="2">
        <v>3.745</v>
      </c>
      <c r="B115" s="10" t="s">
        <v>260</v>
      </c>
      <c r="C115" s="4">
        <v>3.745</v>
      </c>
      <c r="D115" s="5">
        <v>44.5</v>
      </c>
      <c r="E115" s="4"/>
      <c r="F115" s="4"/>
      <c r="G115" s="2">
        <f t="shared" si="6"/>
        <v>3.712</v>
      </c>
      <c r="H115" s="11" t="str">
        <f t="shared" si="7"/>
        <v>3.336E-2</v>
      </c>
      <c r="I115" s="2">
        <f t="shared" si="8"/>
        <v>44.7</v>
      </c>
      <c r="J115" s="4">
        <f t="shared" si="9"/>
        <v>3.712</v>
      </c>
      <c r="K115" s="9">
        <f t="shared" si="10"/>
        <v>0</v>
      </c>
      <c r="L115" s="1">
        <f t="shared" si="11"/>
        <v>-0.399999999999984</v>
      </c>
    </row>
    <row r="116" s="1" customFormat="1" spans="1:12">
      <c r="A116" s="2">
        <v>3.779</v>
      </c>
      <c r="B116" s="10" t="s">
        <v>258</v>
      </c>
      <c r="C116" s="4">
        <v>3.779</v>
      </c>
      <c r="D116" s="5">
        <v>45.2</v>
      </c>
      <c r="E116" s="4"/>
      <c r="F116" s="4"/>
      <c r="G116" s="2">
        <f t="shared" si="6"/>
        <v>3.745</v>
      </c>
      <c r="H116" s="11" t="str">
        <f t="shared" si="7"/>
        <v>3.337E-2</v>
      </c>
      <c r="I116" s="2">
        <f t="shared" si="8"/>
        <v>44.5</v>
      </c>
      <c r="J116" s="4">
        <f t="shared" si="9"/>
        <v>3.745</v>
      </c>
      <c r="K116" s="9">
        <f t="shared" si="10"/>
        <v>0.0999999999999612</v>
      </c>
      <c r="L116" s="1">
        <f t="shared" si="11"/>
        <v>-0.399999999999984</v>
      </c>
    </row>
    <row r="117" s="1" customFormat="1" spans="1:12">
      <c r="A117" s="2">
        <v>3.812</v>
      </c>
      <c r="B117" s="10" t="s">
        <v>258</v>
      </c>
      <c r="C117" s="4">
        <v>3.812</v>
      </c>
      <c r="D117" s="5">
        <v>45.4</v>
      </c>
      <c r="E117" s="4"/>
      <c r="F117" s="4"/>
      <c r="G117" s="2">
        <f t="shared" si="6"/>
        <v>3.779</v>
      </c>
      <c r="H117" s="11" t="str">
        <f t="shared" si="7"/>
        <v>3.336E-2</v>
      </c>
      <c r="I117" s="2">
        <f t="shared" si="8"/>
        <v>45.2</v>
      </c>
      <c r="J117" s="4">
        <f t="shared" si="9"/>
        <v>3.779</v>
      </c>
      <c r="K117" s="9">
        <f t="shared" si="10"/>
        <v>0</v>
      </c>
      <c r="L117" s="1">
        <f t="shared" si="11"/>
        <v>-0.399999999999984</v>
      </c>
    </row>
    <row r="118" s="1" customFormat="1" spans="1:12">
      <c r="A118" s="2">
        <v>3.846</v>
      </c>
      <c r="B118" s="10" t="s">
        <v>260</v>
      </c>
      <c r="C118" s="4">
        <v>3.846</v>
      </c>
      <c r="D118" s="5">
        <v>45.1</v>
      </c>
      <c r="E118" s="4"/>
      <c r="F118" s="4"/>
      <c r="G118" s="2">
        <f t="shared" si="6"/>
        <v>3.812</v>
      </c>
      <c r="H118" s="11" t="str">
        <f t="shared" si="7"/>
        <v>3.336E-2</v>
      </c>
      <c r="I118" s="2">
        <f t="shared" si="8"/>
        <v>45.4</v>
      </c>
      <c r="J118" s="4">
        <f t="shared" si="9"/>
        <v>3.812</v>
      </c>
      <c r="K118" s="9">
        <f t="shared" si="10"/>
        <v>0</v>
      </c>
      <c r="L118" s="1">
        <f t="shared" si="11"/>
        <v>-0.399999999999984</v>
      </c>
    </row>
    <row r="119" s="1" customFormat="1" spans="1:12">
      <c r="A119" s="2">
        <v>3.879</v>
      </c>
      <c r="B119" s="10" t="s">
        <v>258</v>
      </c>
      <c r="C119" s="4">
        <v>3.879</v>
      </c>
      <c r="D119" s="5">
        <v>45</v>
      </c>
      <c r="E119" s="4"/>
      <c r="F119" s="4"/>
      <c r="G119" s="2">
        <f t="shared" si="6"/>
        <v>3.846</v>
      </c>
      <c r="H119" s="11" t="str">
        <f t="shared" si="7"/>
        <v>3.337E-2</v>
      </c>
      <c r="I119" s="2">
        <f t="shared" si="8"/>
        <v>45.1</v>
      </c>
      <c r="J119" s="4">
        <f t="shared" si="9"/>
        <v>3.846</v>
      </c>
      <c r="K119" s="9">
        <f t="shared" si="10"/>
        <v>0.0999999999999612</v>
      </c>
      <c r="L119" s="1">
        <f t="shared" si="11"/>
        <v>-0.399999999999984</v>
      </c>
    </row>
    <row r="120" s="1" customFormat="1" spans="1:12">
      <c r="A120" s="2">
        <v>3.913</v>
      </c>
      <c r="B120" s="10" t="s">
        <v>258</v>
      </c>
      <c r="C120" s="4">
        <v>3.913</v>
      </c>
      <c r="D120" s="5">
        <v>45.3</v>
      </c>
      <c r="E120" s="4"/>
      <c r="F120" s="4"/>
      <c r="G120" s="2">
        <f t="shared" si="6"/>
        <v>3.879</v>
      </c>
      <c r="H120" s="11" t="str">
        <f t="shared" si="7"/>
        <v>3.336E-2</v>
      </c>
      <c r="I120" s="2">
        <f t="shared" si="8"/>
        <v>45</v>
      </c>
      <c r="J120" s="4">
        <f t="shared" si="9"/>
        <v>3.879</v>
      </c>
      <c r="K120" s="9">
        <f t="shared" si="10"/>
        <v>0</v>
      </c>
      <c r="L120" s="1">
        <f t="shared" si="11"/>
        <v>-0.399999999999984</v>
      </c>
    </row>
    <row r="121" s="1" customFormat="1" spans="1:12">
      <c r="A121" s="2">
        <v>3.946</v>
      </c>
      <c r="B121" s="10" t="s">
        <v>258</v>
      </c>
      <c r="C121" s="4">
        <v>3.946</v>
      </c>
      <c r="D121" s="5">
        <v>45.1</v>
      </c>
      <c r="E121" s="4"/>
      <c r="F121" s="4"/>
      <c r="G121" s="2">
        <f t="shared" si="6"/>
        <v>3.913</v>
      </c>
      <c r="H121" s="11" t="str">
        <f t="shared" si="7"/>
        <v>3.336E-2</v>
      </c>
      <c r="I121" s="2">
        <f t="shared" si="8"/>
        <v>45.3</v>
      </c>
      <c r="J121" s="4">
        <f t="shared" si="9"/>
        <v>3.913</v>
      </c>
      <c r="K121" s="9">
        <f t="shared" si="10"/>
        <v>0</v>
      </c>
      <c r="L121" s="1">
        <f t="shared" si="11"/>
        <v>-0.399999999999984</v>
      </c>
    </row>
    <row r="122" s="1" customFormat="1" spans="1:12">
      <c r="A122" s="2">
        <v>3.98</v>
      </c>
      <c r="B122" s="10" t="s">
        <v>258</v>
      </c>
      <c r="C122" s="4">
        <v>3.98</v>
      </c>
      <c r="D122" s="5">
        <v>44.9</v>
      </c>
      <c r="E122" s="4"/>
      <c r="F122" s="4"/>
      <c r="G122" s="2">
        <f t="shared" si="6"/>
        <v>3.946</v>
      </c>
      <c r="H122" s="11" t="str">
        <f t="shared" si="7"/>
        <v>3.336E-2</v>
      </c>
      <c r="I122" s="2">
        <f t="shared" si="8"/>
        <v>45.1</v>
      </c>
      <c r="J122" s="4">
        <f t="shared" si="9"/>
        <v>3.946</v>
      </c>
      <c r="K122" s="9">
        <f t="shared" si="10"/>
        <v>0</v>
      </c>
      <c r="L122" s="1">
        <f t="shared" si="11"/>
        <v>-0.399999999999984</v>
      </c>
    </row>
    <row r="123" s="1" customFormat="1" spans="1:12">
      <c r="A123" s="2">
        <v>4.013</v>
      </c>
      <c r="B123" s="10" t="s">
        <v>259</v>
      </c>
      <c r="C123" s="4">
        <v>4.013</v>
      </c>
      <c r="D123" s="5">
        <v>44.8</v>
      </c>
      <c r="E123" s="4"/>
      <c r="F123" s="4"/>
      <c r="G123" s="2">
        <f t="shared" si="6"/>
        <v>3.98</v>
      </c>
      <c r="H123" s="11" t="str">
        <f t="shared" si="7"/>
        <v>3.336E-2</v>
      </c>
      <c r="I123" s="2">
        <f t="shared" si="8"/>
        <v>44.9</v>
      </c>
      <c r="J123" s="4">
        <f t="shared" si="9"/>
        <v>3.98</v>
      </c>
      <c r="K123" s="9">
        <f t="shared" si="10"/>
        <v>0</v>
      </c>
      <c r="L123" s="1">
        <f t="shared" si="11"/>
        <v>-0.399999999999984</v>
      </c>
    </row>
    <row r="124" s="1" customFormat="1" spans="1:12">
      <c r="A124" s="2">
        <v>4.046</v>
      </c>
      <c r="B124" s="10" t="s">
        <v>259</v>
      </c>
      <c r="C124" s="4">
        <v>4.046</v>
      </c>
      <c r="D124" s="5">
        <v>45.4</v>
      </c>
      <c r="E124" s="4"/>
      <c r="F124" s="4"/>
      <c r="G124" s="2">
        <f t="shared" si="6"/>
        <v>4.013</v>
      </c>
      <c r="H124" s="11" t="str">
        <f t="shared" si="7"/>
        <v>3.335E-2</v>
      </c>
      <c r="I124" s="2">
        <f t="shared" si="8"/>
        <v>44.8</v>
      </c>
      <c r="J124" s="4">
        <f t="shared" si="9"/>
        <v>4.013</v>
      </c>
      <c r="K124" s="9">
        <f t="shared" si="10"/>
        <v>-0.100000000000031</v>
      </c>
      <c r="L124" s="1">
        <f t="shared" si="11"/>
        <v>-0.399999999999984</v>
      </c>
    </row>
    <row r="125" s="1" customFormat="1" spans="1:12">
      <c r="A125" s="2">
        <v>4.08</v>
      </c>
      <c r="B125" s="10" t="s">
        <v>259</v>
      </c>
      <c r="C125" s="4">
        <v>4.08</v>
      </c>
      <c r="D125" s="5">
        <v>45.5</v>
      </c>
      <c r="E125" s="4"/>
      <c r="F125" s="4"/>
      <c r="G125" s="2">
        <f t="shared" si="6"/>
        <v>4.046</v>
      </c>
      <c r="H125" s="11" t="str">
        <f t="shared" si="7"/>
        <v>3.335E-2</v>
      </c>
      <c r="I125" s="2">
        <f t="shared" si="8"/>
        <v>45.4</v>
      </c>
      <c r="J125" s="4">
        <f t="shared" si="9"/>
        <v>4.046</v>
      </c>
      <c r="K125" s="9">
        <f t="shared" si="10"/>
        <v>-0.100000000000031</v>
      </c>
      <c r="L125" s="1">
        <f t="shared" si="11"/>
        <v>-0.399999999999984</v>
      </c>
    </row>
    <row r="126" s="1" customFormat="1" spans="1:12">
      <c r="A126" s="2">
        <v>4.113</v>
      </c>
      <c r="B126" s="10" t="s">
        <v>259</v>
      </c>
      <c r="C126" s="4">
        <v>4.113</v>
      </c>
      <c r="D126" s="5">
        <v>44.8</v>
      </c>
      <c r="E126" s="4"/>
      <c r="F126" s="4"/>
      <c r="G126" s="2">
        <f t="shared" si="6"/>
        <v>4.08</v>
      </c>
      <c r="H126" s="11" t="str">
        <f t="shared" si="7"/>
        <v>3.335E-2</v>
      </c>
      <c r="I126" s="2">
        <f t="shared" si="8"/>
        <v>45.5</v>
      </c>
      <c r="J126" s="4">
        <f t="shared" si="9"/>
        <v>4.08</v>
      </c>
      <c r="K126" s="9">
        <f t="shared" si="10"/>
        <v>-0.100000000000031</v>
      </c>
      <c r="L126" s="1">
        <f t="shared" si="11"/>
        <v>-0.399999999999984</v>
      </c>
    </row>
    <row r="127" s="1" customFormat="1" spans="1:12">
      <c r="A127" s="2">
        <v>4.147</v>
      </c>
      <c r="B127" s="10" t="s">
        <v>258</v>
      </c>
      <c r="C127" s="4">
        <v>4.147</v>
      </c>
      <c r="D127" s="5">
        <v>44.7</v>
      </c>
      <c r="E127" s="4"/>
      <c r="F127" s="4"/>
      <c r="G127" s="2">
        <f t="shared" si="6"/>
        <v>4.113</v>
      </c>
      <c r="H127" s="11" t="str">
        <f t="shared" si="7"/>
        <v>3.335E-2</v>
      </c>
      <c r="I127" s="2">
        <f t="shared" si="8"/>
        <v>44.8</v>
      </c>
      <c r="J127" s="4">
        <f t="shared" si="9"/>
        <v>4.113</v>
      </c>
      <c r="K127" s="9">
        <f t="shared" si="10"/>
        <v>-0.100000000000031</v>
      </c>
      <c r="L127" s="1">
        <f t="shared" si="11"/>
        <v>-0.399999999999984</v>
      </c>
    </row>
    <row r="128" s="1" customFormat="1" spans="1:12">
      <c r="A128" s="2">
        <v>4.18</v>
      </c>
      <c r="B128" s="10" t="s">
        <v>259</v>
      </c>
      <c r="C128" s="4">
        <v>4.18</v>
      </c>
      <c r="D128" s="5">
        <v>178.6</v>
      </c>
      <c r="E128" s="4"/>
      <c r="F128" s="4"/>
      <c r="G128" s="2">
        <f t="shared" si="6"/>
        <v>4.147</v>
      </c>
      <c r="H128" s="11" t="str">
        <f t="shared" si="7"/>
        <v>3.336E-2</v>
      </c>
      <c r="I128" s="2">
        <f t="shared" si="8"/>
        <v>44.7</v>
      </c>
      <c r="J128" s="4">
        <f t="shared" si="9"/>
        <v>4.147</v>
      </c>
      <c r="K128" s="9">
        <f t="shared" si="10"/>
        <v>0</v>
      </c>
      <c r="L128" s="1">
        <f t="shared" si="11"/>
        <v>-0.399999999999984</v>
      </c>
    </row>
    <row r="129" s="1" customFormat="1" spans="1:12">
      <c r="A129" s="2">
        <v>4.214</v>
      </c>
      <c r="B129" s="10" t="s">
        <v>258</v>
      </c>
      <c r="C129" s="4">
        <v>4.214</v>
      </c>
      <c r="D129" s="5">
        <v>253.8</v>
      </c>
      <c r="E129" s="4"/>
      <c r="F129" s="4"/>
      <c r="G129" s="2">
        <f t="shared" si="6"/>
        <v>4.18</v>
      </c>
      <c r="H129" s="11" t="str">
        <f t="shared" si="7"/>
        <v>3.335E-2</v>
      </c>
      <c r="I129" s="2">
        <f t="shared" si="8"/>
        <v>178.6</v>
      </c>
      <c r="J129" s="4">
        <f t="shared" si="9"/>
        <v>4.18</v>
      </c>
      <c r="K129" s="9">
        <f t="shared" si="10"/>
        <v>-0.100000000000031</v>
      </c>
      <c r="L129" s="1">
        <f t="shared" si="11"/>
        <v>-0.399999999999984</v>
      </c>
    </row>
    <row r="130" s="1" customFormat="1" spans="1:12">
      <c r="A130" s="2">
        <v>4.247</v>
      </c>
      <c r="B130" s="10" t="s">
        <v>258</v>
      </c>
      <c r="C130" s="4">
        <v>4.247</v>
      </c>
      <c r="D130" s="5">
        <v>253.8</v>
      </c>
      <c r="E130" s="4"/>
      <c r="F130" s="4"/>
      <c r="G130" s="2">
        <f t="shared" si="6"/>
        <v>4.214</v>
      </c>
      <c r="H130" s="11" t="str">
        <f t="shared" si="7"/>
        <v>3.336E-2</v>
      </c>
      <c r="I130" s="2">
        <f t="shared" si="8"/>
        <v>253.8</v>
      </c>
      <c r="J130" s="4">
        <f t="shared" si="9"/>
        <v>4.214</v>
      </c>
      <c r="K130" s="9">
        <f t="shared" si="10"/>
        <v>0</v>
      </c>
      <c r="L130" s="1">
        <f t="shared" si="11"/>
        <v>30.5</v>
      </c>
    </row>
    <row r="131" s="1" customFormat="1" spans="1:12">
      <c r="A131" s="2">
        <v>4.28</v>
      </c>
      <c r="B131" s="10" t="s">
        <v>259</v>
      </c>
      <c r="C131" s="4">
        <v>4.28</v>
      </c>
      <c r="D131" s="5">
        <v>253.8</v>
      </c>
      <c r="E131" s="4"/>
      <c r="F131" s="4"/>
      <c r="G131" s="2">
        <f t="shared" si="6"/>
        <v>4.247</v>
      </c>
      <c r="H131" s="11" t="str">
        <f t="shared" si="7"/>
        <v>3.336E-2</v>
      </c>
      <c r="I131" s="2">
        <f t="shared" si="8"/>
        <v>253.8</v>
      </c>
      <c r="J131" s="4">
        <f t="shared" si="9"/>
        <v>4.247</v>
      </c>
      <c r="K131" s="9">
        <f t="shared" si="10"/>
        <v>0</v>
      </c>
      <c r="L131" s="1">
        <f t="shared" si="11"/>
        <v>30.5</v>
      </c>
    </row>
    <row r="132" s="1" customFormat="1" spans="1:12">
      <c r="A132" s="2">
        <v>4.314</v>
      </c>
      <c r="B132" s="10" t="s">
        <v>259</v>
      </c>
      <c r="C132" s="4">
        <v>4.314</v>
      </c>
      <c r="D132" s="5">
        <v>253.8</v>
      </c>
      <c r="E132" s="4"/>
      <c r="F132" s="4"/>
      <c r="G132" s="2">
        <f t="shared" ref="G132:G195" si="12">A131</f>
        <v>4.28</v>
      </c>
      <c r="H132" s="11" t="str">
        <f t="shared" ref="H132:H195" si="13">B131</f>
        <v>3.335E-2</v>
      </c>
      <c r="I132" s="2">
        <f t="shared" ref="I132:I195" si="14">D131</f>
        <v>253.8</v>
      </c>
      <c r="J132" s="4">
        <f t="shared" ref="J132:J195" si="15">G132</f>
        <v>4.28</v>
      </c>
      <c r="K132" s="9">
        <f t="shared" ref="K132:K195" si="16">(H132-$H$4)*10000</f>
        <v>-0.100000000000031</v>
      </c>
      <c r="L132" s="1">
        <f t="shared" si="11"/>
        <v>30.5</v>
      </c>
    </row>
    <row r="133" s="1" customFormat="1" spans="1:12">
      <c r="A133" s="2">
        <v>4.347</v>
      </c>
      <c r="B133" s="10" t="s">
        <v>259</v>
      </c>
      <c r="C133" s="4">
        <v>4.347</v>
      </c>
      <c r="D133" s="5">
        <v>253.8</v>
      </c>
      <c r="E133" s="4"/>
      <c r="F133" s="4"/>
      <c r="G133" s="2">
        <f t="shared" si="12"/>
        <v>4.314</v>
      </c>
      <c r="H133" s="11" t="str">
        <f t="shared" si="13"/>
        <v>3.335E-2</v>
      </c>
      <c r="I133" s="2">
        <f t="shared" si="14"/>
        <v>253.8</v>
      </c>
      <c r="J133" s="4">
        <f t="shared" si="15"/>
        <v>4.314</v>
      </c>
      <c r="K133" s="9">
        <f t="shared" si="16"/>
        <v>-0.100000000000031</v>
      </c>
      <c r="L133" s="1">
        <f t="shared" ref="L133:L196" si="17">IF(I133&lt;230,$V$4,$V$5)</f>
        <v>30.5</v>
      </c>
    </row>
    <row r="134" s="1" customFormat="1" spans="1:12">
      <c r="A134" s="2">
        <v>4.381</v>
      </c>
      <c r="B134" s="10" t="s">
        <v>262</v>
      </c>
      <c r="C134" s="4">
        <v>4.381</v>
      </c>
      <c r="D134" s="5">
        <v>253.8</v>
      </c>
      <c r="E134" s="4"/>
      <c r="F134" s="4"/>
      <c r="G134" s="2">
        <f t="shared" si="12"/>
        <v>4.347</v>
      </c>
      <c r="H134" s="11" t="str">
        <f t="shared" si="13"/>
        <v>3.335E-2</v>
      </c>
      <c r="I134" s="2">
        <f t="shared" si="14"/>
        <v>253.8</v>
      </c>
      <c r="J134" s="4">
        <f t="shared" si="15"/>
        <v>4.347</v>
      </c>
      <c r="K134" s="9">
        <f t="shared" si="16"/>
        <v>-0.100000000000031</v>
      </c>
      <c r="L134" s="1">
        <f t="shared" si="17"/>
        <v>30.5</v>
      </c>
    </row>
    <row r="135" s="1" customFormat="1" spans="1:12">
      <c r="A135" s="2">
        <v>4.414</v>
      </c>
      <c r="B135" s="10" t="s">
        <v>262</v>
      </c>
      <c r="C135" s="4">
        <v>4.414</v>
      </c>
      <c r="D135" s="5">
        <v>253.8</v>
      </c>
      <c r="E135" s="4"/>
      <c r="F135" s="4"/>
      <c r="G135" s="2">
        <f t="shared" si="12"/>
        <v>4.381</v>
      </c>
      <c r="H135" s="11" t="str">
        <f t="shared" si="13"/>
        <v>3.334E-2</v>
      </c>
      <c r="I135" s="2">
        <f t="shared" si="14"/>
        <v>253.8</v>
      </c>
      <c r="J135" s="4">
        <f t="shared" si="15"/>
        <v>4.381</v>
      </c>
      <c r="K135" s="9">
        <f t="shared" si="16"/>
        <v>-0.199999999999992</v>
      </c>
      <c r="L135" s="1">
        <f t="shared" si="17"/>
        <v>30.5</v>
      </c>
    </row>
    <row r="136" s="1" customFormat="1" spans="1:12">
      <c r="A136" s="2">
        <v>4.448</v>
      </c>
      <c r="B136" s="10" t="s">
        <v>262</v>
      </c>
      <c r="C136" s="4">
        <v>4.448</v>
      </c>
      <c r="D136" s="5">
        <v>253.8</v>
      </c>
      <c r="E136" s="4"/>
      <c r="F136" s="4"/>
      <c r="G136" s="2">
        <f t="shared" si="12"/>
        <v>4.414</v>
      </c>
      <c r="H136" s="11" t="str">
        <f t="shared" si="13"/>
        <v>3.334E-2</v>
      </c>
      <c r="I136" s="2">
        <f t="shared" si="14"/>
        <v>253.8</v>
      </c>
      <c r="J136" s="4">
        <f t="shared" si="15"/>
        <v>4.414</v>
      </c>
      <c r="K136" s="9">
        <f t="shared" si="16"/>
        <v>-0.199999999999992</v>
      </c>
      <c r="L136" s="1">
        <f t="shared" si="17"/>
        <v>30.5</v>
      </c>
    </row>
    <row r="137" s="1" customFormat="1" spans="1:12">
      <c r="A137" s="2">
        <v>4.481</v>
      </c>
      <c r="B137" s="10" t="s">
        <v>262</v>
      </c>
      <c r="C137" s="4">
        <v>4.481</v>
      </c>
      <c r="D137" s="5">
        <v>253.8</v>
      </c>
      <c r="E137" s="4"/>
      <c r="F137" s="4"/>
      <c r="G137" s="2">
        <f t="shared" si="12"/>
        <v>4.448</v>
      </c>
      <c r="H137" s="11" t="str">
        <f t="shared" si="13"/>
        <v>3.334E-2</v>
      </c>
      <c r="I137" s="2">
        <f t="shared" si="14"/>
        <v>253.8</v>
      </c>
      <c r="J137" s="4">
        <f t="shared" si="15"/>
        <v>4.448</v>
      </c>
      <c r="K137" s="9">
        <f t="shared" si="16"/>
        <v>-0.199999999999992</v>
      </c>
      <c r="L137" s="1">
        <f t="shared" si="17"/>
        <v>30.5</v>
      </c>
    </row>
    <row r="138" s="1" customFormat="1" spans="1:12">
      <c r="A138" s="2">
        <v>4.515</v>
      </c>
      <c r="B138" s="10" t="s">
        <v>259</v>
      </c>
      <c r="C138" s="4">
        <v>4.515</v>
      </c>
      <c r="D138" s="5">
        <v>253.8</v>
      </c>
      <c r="E138" s="4"/>
      <c r="F138" s="4"/>
      <c r="G138" s="2">
        <f t="shared" si="12"/>
        <v>4.481</v>
      </c>
      <c r="H138" s="11" t="str">
        <f t="shared" si="13"/>
        <v>3.334E-2</v>
      </c>
      <c r="I138" s="2">
        <f t="shared" si="14"/>
        <v>253.8</v>
      </c>
      <c r="J138" s="4">
        <f t="shared" si="15"/>
        <v>4.481</v>
      </c>
      <c r="K138" s="9">
        <f t="shared" si="16"/>
        <v>-0.199999999999992</v>
      </c>
      <c r="L138" s="1">
        <f t="shared" si="17"/>
        <v>30.5</v>
      </c>
    </row>
    <row r="139" s="1" customFormat="1" spans="1:12">
      <c r="A139" s="2">
        <v>4.548</v>
      </c>
      <c r="B139" s="10" t="s">
        <v>259</v>
      </c>
      <c r="C139" s="4">
        <v>4.548</v>
      </c>
      <c r="D139" s="5">
        <v>253.8</v>
      </c>
      <c r="E139" s="4"/>
      <c r="F139" s="4"/>
      <c r="G139" s="2">
        <f t="shared" si="12"/>
        <v>4.515</v>
      </c>
      <c r="H139" s="11" t="str">
        <f t="shared" si="13"/>
        <v>3.335E-2</v>
      </c>
      <c r="I139" s="2">
        <f t="shared" si="14"/>
        <v>253.8</v>
      </c>
      <c r="J139" s="4">
        <f t="shared" si="15"/>
        <v>4.515</v>
      </c>
      <c r="K139" s="9">
        <f t="shared" si="16"/>
        <v>-0.100000000000031</v>
      </c>
      <c r="L139" s="1">
        <f t="shared" si="17"/>
        <v>30.5</v>
      </c>
    </row>
    <row r="140" s="1" customFormat="1" spans="1:12">
      <c r="A140" s="2">
        <v>4.581</v>
      </c>
      <c r="B140" s="10" t="s">
        <v>259</v>
      </c>
      <c r="C140" s="4">
        <v>4.581</v>
      </c>
      <c r="D140" s="5">
        <v>253.8</v>
      </c>
      <c r="E140" s="4"/>
      <c r="F140" s="4"/>
      <c r="G140" s="2">
        <f t="shared" si="12"/>
        <v>4.548</v>
      </c>
      <c r="H140" s="11" t="str">
        <f t="shared" si="13"/>
        <v>3.335E-2</v>
      </c>
      <c r="I140" s="2">
        <f t="shared" si="14"/>
        <v>253.8</v>
      </c>
      <c r="J140" s="4">
        <f t="shared" si="15"/>
        <v>4.548</v>
      </c>
      <c r="K140" s="9">
        <f t="shared" si="16"/>
        <v>-0.100000000000031</v>
      </c>
      <c r="L140" s="1">
        <f t="shared" si="17"/>
        <v>30.5</v>
      </c>
    </row>
    <row r="141" s="1" customFormat="1" spans="1:12">
      <c r="A141" s="2">
        <v>4.615</v>
      </c>
      <c r="B141" s="10" t="s">
        <v>259</v>
      </c>
      <c r="C141" s="4">
        <v>4.615</v>
      </c>
      <c r="D141" s="5">
        <v>253.8</v>
      </c>
      <c r="E141" s="4"/>
      <c r="F141" s="4"/>
      <c r="G141" s="2">
        <f t="shared" si="12"/>
        <v>4.581</v>
      </c>
      <c r="H141" s="11" t="str">
        <f t="shared" si="13"/>
        <v>3.335E-2</v>
      </c>
      <c r="I141" s="2">
        <f t="shared" si="14"/>
        <v>253.8</v>
      </c>
      <c r="J141" s="4">
        <f t="shared" si="15"/>
        <v>4.581</v>
      </c>
      <c r="K141" s="9">
        <f t="shared" si="16"/>
        <v>-0.100000000000031</v>
      </c>
      <c r="L141" s="1">
        <f t="shared" si="17"/>
        <v>30.5</v>
      </c>
    </row>
    <row r="142" s="1" customFormat="1" spans="1:12">
      <c r="A142" s="2">
        <v>4.648</v>
      </c>
      <c r="B142" s="10" t="s">
        <v>260</v>
      </c>
      <c r="C142" s="4">
        <v>4.648</v>
      </c>
      <c r="D142" s="5">
        <v>253.8</v>
      </c>
      <c r="E142" s="4"/>
      <c r="F142" s="4"/>
      <c r="G142" s="2">
        <f t="shared" si="12"/>
        <v>4.615</v>
      </c>
      <c r="H142" s="11" t="str">
        <f t="shared" si="13"/>
        <v>3.335E-2</v>
      </c>
      <c r="I142" s="2">
        <f t="shared" si="14"/>
        <v>253.8</v>
      </c>
      <c r="J142" s="4">
        <f t="shared" si="15"/>
        <v>4.615</v>
      </c>
      <c r="K142" s="9">
        <f t="shared" si="16"/>
        <v>-0.100000000000031</v>
      </c>
      <c r="L142" s="1">
        <f t="shared" si="17"/>
        <v>30.5</v>
      </c>
    </row>
    <row r="143" s="1" customFormat="1" spans="1:12">
      <c r="A143" s="2">
        <v>4.682</v>
      </c>
      <c r="B143" s="10" t="s">
        <v>261</v>
      </c>
      <c r="C143" s="4">
        <v>4.682</v>
      </c>
      <c r="D143" s="5">
        <v>253.8</v>
      </c>
      <c r="E143" s="4"/>
      <c r="F143" s="4"/>
      <c r="G143" s="2">
        <f t="shared" si="12"/>
        <v>4.648</v>
      </c>
      <c r="H143" s="11" t="str">
        <f t="shared" si="13"/>
        <v>3.337E-2</v>
      </c>
      <c r="I143" s="2">
        <f t="shared" si="14"/>
        <v>253.8</v>
      </c>
      <c r="J143" s="4">
        <f t="shared" si="15"/>
        <v>4.648</v>
      </c>
      <c r="K143" s="9">
        <f t="shared" si="16"/>
        <v>0.0999999999999612</v>
      </c>
      <c r="L143" s="1">
        <f t="shared" si="17"/>
        <v>30.5</v>
      </c>
    </row>
    <row r="144" s="1" customFormat="1" spans="1:12">
      <c r="A144" s="2">
        <v>4.715</v>
      </c>
      <c r="B144" s="10" t="s">
        <v>263</v>
      </c>
      <c r="C144" s="4">
        <v>4.715</v>
      </c>
      <c r="D144" s="5">
        <v>253.8</v>
      </c>
      <c r="E144" s="4"/>
      <c r="F144" s="4"/>
      <c r="G144" s="2">
        <f t="shared" si="12"/>
        <v>4.682</v>
      </c>
      <c r="H144" s="11" t="str">
        <f t="shared" si="13"/>
        <v>3.338E-2</v>
      </c>
      <c r="I144" s="2">
        <f t="shared" si="14"/>
        <v>253.8</v>
      </c>
      <c r="J144" s="4">
        <f t="shared" si="15"/>
        <v>4.682</v>
      </c>
      <c r="K144" s="9">
        <f t="shared" si="16"/>
        <v>0.199999999999992</v>
      </c>
      <c r="L144" s="1">
        <f t="shared" si="17"/>
        <v>30.5</v>
      </c>
    </row>
    <row r="145" s="1" customFormat="1" spans="1:12">
      <c r="A145" s="2">
        <v>4.749</v>
      </c>
      <c r="B145" s="10" t="s">
        <v>264</v>
      </c>
      <c r="C145" s="4">
        <v>4.749</v>
      </c>
      <c r="D145" s="5">
        <v>253.8</v>
      </c>
      <c r="E145" s="4"/>
      <c r="F145" s="4"/>
      <c r="G145" s="2">
        <f t="shared" si="12"/>
        <v>4.715</v>
      </c>
      <c r="H145" s="11" t="str">
        <f t="shared" si="13"/>
        <v>3.339E-2</v>
      </c>
      <c r="I145" s="2">
        <f t="shared" si="14"/>
        <v>253.8</v>
      </c>
      <c r="J145" s="4">
        <f t="shared" si="15"/>
        <v>4.715</v>
      </c>
      <c r="K145" s="9">
        <f t="shared" si="16"/>
        <v>0.300000000000022</v>
      </c>
      <c r="L145" s="1">
        <f t="shared" si="17"/>
        <v>30.5</v>
      </c>
    </row>
    <row r="146" s="1" customFormat="1" spans="1:12">
      <c r="A146" s="2">
        <v>4.782</v>
      </c>
      <c r="B146" s="10" t="s">
        <v>265</v>
      </c>
      <c r="C146" s="4">
        <v>4.782</v>
      </c>
      <c r="D146" s="5">
        <v>253.8</v>
      </c>
      <c r="E146" s="4"/>
      <c r="F146" s="4"/>
      <c r="G146" s="2">
        <f t="shared" si="12"/>
        <v>4.749</v>
      </c>
      <c r="H146" s="11" t="str">
        <f t="shared" si="13"/>
        <v>3.342E-2</v>
      </c>
      <c r="I146" s="2">
        <f t="shared" si="14"/>
        <v>253.8</v>
      </c>
      <c r="J146" s="4">
        <f t="shared" si="15"/>
        <v>4.749</v>
      </c>
      <c r="K146" s="9">
        <f t="shared" si="16"/>
        <v>0.599999999999976</v>
      </c>
      <c r="L146" s="1">
        <f t="shared" si="17"/>
        <v>30.5</v>
      </c>
    </row>
    <row r="147" s="1" customFormat="1" spans="1:12">
      <c r="A147" s="2">
        <v>4.816</v>
      </c>
      <c r="B147" s="10" t="s">
        <v>266</v>
      </c>
      <c r="C147" s="4">
        <v>4.816</v>
      </c>
      <c r="D147" s="5">
        <v>253.8</v>
      </c>
      <c r="E147" s="4"/>
      <c r="F147" s="4"/>
      <c r="G147" s="2">
        <f t="shared" si="12"/>
        <v>4.782</v>
      </c>
      <c r="H147" s="11" t="str">
        <f t="shared" si="13"/>
        <v>3.344E-2</v>
      </c>
      <c r="I147" s="2">
        <f t="shared" si="14"/>
        <v>253.8</v>
      </c>
      <c r="J147" s="4">
        <f t="shared" si="15"/>
        <v>4.782</v>
      </c>
      <c r="K147" s="9">
        <f t="shared" si="16"/>
        <v>0.799999999999967</v>
      </c>
      <c r="L147" s="1">
        <f t="shared" si="17"/>
        <v>30.5</v>
      </c>
    </row>
    <row r="148" s="1" customFormat="1" spans="1:12">
      <c r="A148" s="2">
        <v>4.849</v>
      </c>
      <c r="B148" s="10" t="s">
        <v>267</v>
      </c>
      <c r="C148" s="4">
        <v>4.849</v>
      </c>
      <c r="D148" s="5">
        <v>253.8</v>
      </c>
      <c r="E148" s="4"/>
      <c r="F148" s="4"/>
      <c r="G148" s="2">
        <f t="shared" si="12"/>
        <v>4.816</v>
      </c>
      <c r="H148" s="11" t="str">
        <f t="shared" si="13"/>
        <v>3.349E-2</v>
      </c>
      <c r="I148" s="2">
        <f t="shared" si="14"/>
        <v>253.8</v>
      </c>
      <c r="J148" s="4">
        <f t="shared" si="15"/>
        <v>4.816</v>
      </c>
      <c r="K148" s="9">
        <f t="shared" si="16"/>
        <v>1.29999999999998</v>
      </c>
      <c r="L148" s="1">
        <f t="shared" si="17"/>
        <v>30.5</v>
      </c>
    </row>
    <row r="149" s="1" customFormat="1" spans="1:12">
      <c r="A149" s="2">
        <v>4.882</v>
      </c>
      <c r="B149" s="10" t="s">
        <v>268</v>
      </c>
      <c r="C149" s="4">
        <v>4.882</v>
      </c>
      <c r="D149" s="5">
        <v>253.8</v>
      </c>
      <c r="E149" s="4"/>
      <c r="F149" s="4"/>
      <c r="G149" s="2">
        <f t="shared" si="12"/>
        <v>4.849</v>
      </c>
      <c r="H149" s="11" t="str">
        <f t="shared" si="13"/>
        <v>3.353E-2</v>
      </c>
      <c r="I149" s="2">
        <f t="shared" si="14"/>
        <v>253.8</v>
      </c>
      <c r="J149" s="4">
        <f t="shared" si="15"/>
        <v>4.849</v>
      </c>
      <c r="K149" s="9">
        <f t="shared" si="16"/>
        <v>1.69999999999997</v>
      </c>
      <c r="L149" s="1">
        <f t="shared" si="17"/>
        <v>30.5</v>
      </c>
    </row>
    <row r="150" s="1" customFormat="1" spans="1:12">
      <c r="A150" s="2">
        <v>4.916</v>
      </c>
      <c r="B150" s="10" t="s">
        <v>52</v>
      </c>
      <c r="C150" s="4">
        <v>4.916</v>
      </c>
      <c r="D150" s="5">
        <v>253.8</v>
      </c>
      <c r="E150" s="4"/>
      <c r="F150" s="4"/>
      <c r="G150" s="2">
        <f t="shared" si="12"/>
        <v>4.882</v>
      </c>
      <c r="H150" s="11" t="str">
        <f t="shared" si="13"/>
        <v>3.364E-2</v>
      </c>
      <c r="I150" s="2">
        <f t="shared" si="14"/>
        <v>253.8</v>
      </c>
      <c r="J150" s="4">
        <f t="shared" si="15"/>
        <v>4.882</v>
      </c>
      <c r="K150" s="9">
        <f t="shared" si="16"/>
        <v>2.80000000000002</v>
      </c>
      <c r="L150" s="1">
        <f t="shared" si="17"/>
        <v>30.5</v>
      </c>
    </row>
    <row r="151" s="1" customFormat="1" spans="1:12">
      <c r="A151" s="2">
        <v>4.949</v>
      </c>
      <c r="B151" s="10" t="s">
        <v>86</v>
      </c>
      <c r="C151" s="4">
        <v>4.949</v>
      </c>
      <c r="D151" s="5">
        <v>253.8</v>
      </c>
      <c r="E151" s="4"/>
      <c r="F151" s="4"/>
      <c r="G151" s="2">
        <f t="shared" si="12"/>
        <v>4.916</v>
      </c>
      <c r="H151" s="11" t="str">
        <f t="shared" si="13"/>
        <v>3.372E-2</v>
      </c>
      <c r="I151" s="2">
        <f t="shared" si="14"/>
        <v>253.8</v>
      </c>
      <c r="J151" s="4">
        <f t="shared" si="15"/>
        <v>4.916</v>
      </c>
      <c r="K151" s="9">
        <f t="shared" si="16"/>
        <v>3.59999999999999</v>
      </c>
      <c r="L151" s="1">
        <f t="shared" si="17"/>
        <v>30.5</v>
      </c>
    </row>
    <row r="152" s="1" customFormat="1" spans="1:12">
      <c r="A152" s="2">
        <v>4.983</v>
      </c>
      <c r="B152" s="10" t="s">
        <v>252</v>
      </c>
      <c r="C152" s="4">
        <v>4.983</v>
      </c>
      <c r="D152" s="5">
        <v>45.6</v>
      </c>
      <c r="E152" s="4"/>
      <c r="F152" s="4"/>
      <c r="G152" s="2">
        <f t="shared" si="12"/>
        <v>4.949</v>
      </c>
      <c r="H152" s="11" t="str">
        <f t="shared" si="13"/>
        <v>3.379E-2</v>
      </c>
      <c r="I152" s="2">
        <f t="shared" si="14"/>
        <v>253.8</v>
      </c>
      <c r="J152" s="4">
        <f t="shared" si="15"/>
        <v>4.949</v>
      </c>
      <c r="K152" s="9">
        <f t="shared" si="16"/>
        <v>4.3</v>
      </c>
      <c r="L152" s="1">
        <f t="shared" si="17"/>
        <v>30.5</v>
      </c>
    </row>
    <row r="153" s="1" customFormat="1" spans="1:12">
      <c r="A153" s="2">
        <v>5.016</v>
      </c>
      <c r="B153" s="10" t="s">
        <v>47</v>
      </c>
      <c r="C153" s="4">
        <v>5.016</v>
      </c>
      <c r="D153" s="5">
        <v>45.7</v>
      </c>
      <c r="E153" s="4"/>
      <c r="F153" s="4"/>
      <c r="G153" s="2">
        <f t="shared" si="12"/>
        <v>4.983</v>
      </c>
      <c r="H153" s="11" t="str">
        <f t="shared" si="13"/>
        <v>3.384E-2</v>
      </c>
      <c r="I153" s="2">
        <f t="shared" si="14"/>
        <v>45.6</v>
      </c>
      <c r="J153" s="4">
        <f t="shared" si="15"/>
        <v>4.983</v>
      </c>
      <c r="K153" s="9">
        <f t="shared" si="16"/>
        <v>4.80000000000001</v>
      </c>
      <c r="L153" s="1">
        <f t="shared" si="17"/>
        <v>-0.399999999999984</v>
      </c>
    </row>
    <row r="154" s="1" customFormat="1" spans="1:12">
      <c r="A154" s="2">
        <v>5.05</v>
      </c>
      <c r="B154" s="10" t="s">
        <v>46</v>
      </c>
      <c r="C154" s="4">
        <v>5.05</v>
      </c>
      <c r="D154" s="5">
        <v>45.3</v>
      </c>
      <c r="E154" s="4"/>
      <c r="F154" s="4"/>
      <c r="G154" s="2">
        <f t="shared" si="12"/>
        <v>5.016</v>
      </c>
      <c r="H154" s="11" t="str">
        <f t="shared" si="13"/>
        <v>3.394E-2</v>
      </c>
      <c r="I154" s="2">
        <f t="shared" si="14"/>
        <v>45.7</v>
      </c>
      <c r="J154" s="4">
        <f t="shared" si="15"/>
        <v>5.016</v>
      </c>
      <c r="K154" s="9">
        <f t="shared" si="16"/>
        <v>5.79999999999997</v>
      </c>
      <c r="L154" s="1">
        <f t="shared" si="17"/>
        <v>-0.399999999999984</v>
      </c>
    </row>
    <row r="155" s="1" customFormat="1" spans="1:12">
      <c r="A155" s="2">
        <v>5.083</v>
      </c>
      <c r="B155" s="10" t="s">
        <v>229</v>
      </c>
      <c r="C155" s="4">
        <v>5.083</v>
      </c>
      <c r="D155" s="5">
        <v>45</v>
      </c>
      <c r="E155" s="4"/>
      <c r="F155" s="4"/>
      <c r="G155" s="2">
        <f t="shared" si="12"/>
        <v>5.05</v>
      </c>
      <c r="H155" s="11" t="str">
        <f t="shared" si="13"/>
        <v>3.401E-2</v>
      </c>
      <c r="I155" s="2">
        <f t="shared" si="14"/>
        <v>45.3</v>
      </c>
      <c r="J155" s="4">
        <f t="shared" si="15"/>
        <v>5.05</v>
      </c>
      <c r="K155" s="9">
        <f t="shared" si="16"/>
        <v>6.49999999999998</v>
      </c>
      <c r="L155" s="1">
        <f t="shared" si="17"/>
        <v>-0.399999999999984</v>
      </c>
    </row>
    <row r="156" s="1" customFormat="1" spans="1:12">
      <c r="A156" s="2">
        <v>5.117</v>
      </c>
      <c r="B156" s="10" t="s">
        <v>269</v>
      </c>
      <c r="C156" s="4">
        <v>5.117</v>
      </c>
      <c r="D156" s="5">
        <v>44.8</v>
      </c>
      <c r="E156" s="4"/>
      <c r="F156" s="4"/>
      <c r="G156" s="2">
        <f t="shared" si="12"/>
        <v>5.083</v>
      </c>
      <c r="H156" s="11" t="str">
        <f t="shared" si="13"/>
        <v>3.405E-2</v>
      </c>
      <c r="I156" s="2">
        <f t="shared" si="14"/>
        <v>45</v>
      </c>
      <c r="J156" s="4">
        <f t="shared" si="15"/>
        <v>5.083</v>
      </c>
      <c r="K156" s="9">
        <f t="shared" si="16"/>
        <v>6.89999999999996</v>
      </c>
      <c r="L156" s="1">
        <f t="shared" si="17"/>
        <v>-0.399999999999984</v>
      </c>
    </row>
    <row r="157" s="1" customFormat="1" spans="1:12">
      <c r="A157" s="2">
        <v>5.15</v>
      </c>
      <c r="B157" s="10" t="s">
        <v>117</v>
      </c>
      <c r="C157" s="4">
        <v>5.15</v>
      </c>
      <c r="D157" s="5">
        <v>44.8</v>
      </c>
      <c r="E157" s="4"/>
      <c r="F157" s="4"/>
      <c r="G157" s="2">
        <f t="shared" si="12"/>
        <v>5.117</v>
      </c>
      <c r="H157" s="11" t="str">
        <f t="shared" si="13"/>
        <v>3.410E-2</v>
      </c>
      <c r="I157" s="2">
        <f t="shared" si="14"/>
        <v>44.8</v>
      </c>
      <c r="J157" s="4">
        <f t="shared" si="15"/>
        <v>5.117</v>
      </c>
      <c r="K157" s="9">
        <f t="shared" si="16"/>
        <v>7.39999999999998</v>
      </c>
      <c r="L157" s="1">
        <f t="shared" si="17"/>
        <v>-0.399999999999984</v>
      </c>
    </row>
    <row r="158" s="1" customFormat="1" spans="1:12">
      <c r="A158" s="2">
        <v>5.183</v>
      </c>
      <c r="B158" s="10" t="s">
        <v>18</v>
      </c>
      <c r="C158" s="4">
        <v>5.183</v>
      </c>
      <c r="D158" s="5">
        <v>44.9</v>
      </c>
      <c r="E158" s="4"/>
      <c r="F158" s="4"/>
      <c r="G158" s="2">
        <f t="shared" si="12"/>
        <v>5.15</v>
      </c>
      <c r="H158" s="11" t="str">
        <f t="shared" si="13"/>
        <v>3.412E-2</v>
      </c>
      <c r="I158" s="2">
        <f t="shared" si="14"/>
        <v>44.8</v>
      </c>
      <c r="J158" s="4">
        <f t="shared" si="15"/>
        <v>5.15</v>
      </c>
      <c r="K158" s="9">
        <f t="shared" si="16"/>
        <v>7.59999999999997</v>
      </c>
      <c r="L158" s="1">
        <f t="shared" si="17"/>
        <v>-0.399999999999984</v>
      </c>
    </row>
    <row r="159" s="1" customFormat="1" spans="1:12">
      <c r="A159" s="2">
        <v>5.217</v>
      </c>
      <c r="B159" s="10" t="s">
        <v>14</v>
      </c>
      <c r="C159" s="4">
        <v>5.217</v>
      </c>
      <c r="D159" s="5">
        <v>44.9</v>
      </c>
      <c r="E159" s="4"/>
      <c r="F159" s="4"/>
      <c r="G159" s="2">
        <f t="shared" si="12"/>
        <v>5.183</v>
      </c>
      <c r="H159" s="11" t="str">
        <f t="shared" si="13"/>
        <v>3.424E-2</v>
      </c>
      <c r="I159" s="2">
        <f t="shared" si="14"/>
        <v>44.9</v>
      </c>
      <c r="J159" s="4">
        <f t="shared" si="15"/>
        <v>5.183</v>
      </c>
      <c r="K159" s="9">
        <f t="shared" si="16"/>
        <v>8.79999999999999</v>
      </c>
      <c r="L159" s="1">
        <f t="shared" si="17"/>
        <v>-0.399999999999984</v>
      </c>
    </row>
    <row r="160" s="1" customFormat="1" spans="1:12">
      <c r="A160" s="2">
        <v>5.25</v>
      </c>
      <c r="B160" s="10" t="s">
        <v>11</v>
      </c>
      <c r="C160" s="4">
        <v>5.25</v>
      </c>
      <c r="D160" s="5">
        <v>45.1</v>
      </c>
      <c r="E160" s="4"/>
      <c r="F160" s="4"/>
      <c r="G160" s="2">
        <f t="shared" si="12"/>
        <v>5.217</v>
      </c>
      <c r="H160" s="11" t="str">
        <f t="shared" si="13"/>
        <v>3.429E-2</v>
      </c>
      <c r="I160" s="2">
        <f t="shared" si="14"/>
        <v>44.9</v>
      </c>
      <c r="J160" s="4">
        <f t="shared" si="15"/>
        <v>5.217</v>
      </c>
      <c r="K160" s="9">
        <f t="shared" si="16"/>
        <v>9.3</v>
      </c>
      <c r="L160" s="1">
        <f t="shared" si="17"/>
        <v>-0.399999999999984</v>
      </c>
    </row>
    <row r="161" s="1" customFormat="1" spans="1:12">
      <c r="A161" s="2">
        <v>5.284</v>
      </c>
      <c r="B161" s="10" t="s">
        <v>12</v>
      </c>
      <c r="C161" s="4">
        <v>5.284</v>
      </c>
      <c r="D161" s="5">
        <v>45</v>
      </c>
      <c r="E161" s="4"/>
      <c r="F161" s="4"/>
      <c r="G161" s="2">
        <f t="shared" si="12"/>
        <v>5.25</v>
      </c>
      <c r="H161" s="11" t="str">
        <f t="shared" si="13"/>
        <v>3.432E-2</v>
      </c>
      <c r="I161" s="2">
        <f t="shared" si="14"/>
        <v>45.1</v>
      </c>
      <c r="J161" s="4">
        <f t="shared" si="15"/>
        <v>5.25</v>
      </c>
      <c r="K161" s="9">
        <f t="shared" si="16"/>
        <v>9.60000000000002</v>
      </c>
      <c r="L161" s="1">
        <f t="shared" si="17"/>
        <v>-0.399999999999984</v>
      </c>
    </row>
    <row r="162" s="1" customFormat="1" spans="1:12">
      <c r="A162" s="2">
        <v>5.317</v>
      </c>
      <c r="B162" s="10" t="s">
        <v>10</v>
      </c>
      <c r="C162" s="4">
        <v>5.317</v>
      </c>
      <c r="D162" s="5">
        <v>45</v>
      </c>
      <c r="E162" s="4"/>
      <c r="F162" s="4"/>
      <c r="G162" s="2">
        <f t="shared" si="12"/>
        <v>5.284</v>
      </c>
      <c r="H162" s="11" t="str">
        <f t="shared" si="13"/>
        <v>3.435E-2</v>
      </c>
      <c r="I162" s="2">
        <f t="shared" si="14"/>
        <v>45</v>
      </c>
      <c r="J162" s="4">
        <f t="shared" si="15"/>
        <v>5.284</v>
      </c>
      <c r="K162" s="9">
        <f t="shared" si="16"/>
        <v>9.89999999999998</v>
      </c>
      <c r="L162" s="1">
        <f t="shared" si="17"/>
        <v>-0.399999999999984</v>
      </c>
    </row>
    <row r="163" s="1" customFormat="1" spans="1:12">
      <c r="A163" s="2">
        <v>5.351</v>
      </c>
      <c r="B163" s="10" t="s">
        <v>11</v>
      </c>
      <c r="C163" s="4">
        <v>5.351</v>
      </c>
      <c r="D163" s="5">
        <v>44.6</v>
      </c>
      <c r="E163" s="4"/>
      <c r="F163" s="4"/>
      <c r="G163" s="2">
        <f t="shared" si="12"/>
        <v>5.317</v>
      </c>
      <c r="H163" s="11" t="str">
        <f t="shared" si="13"/>
        <v>3.434E-2</v>
      </c>
      <c r="I163" s="2">
        <f t="shared" si="14"/>
        <v>45</v>
      </c>
      <c r="J163" s="4">
        <f t="shared" si="15"/>
        <v>5.317</v>
      </c>
      <c r="K163" s="9">
        <f t="shared" si="16"/>
        <v>9.80000000000002</v>
      </c>
      <c r="L163" s="1">
        <f t="shared" si="17"/>
        <v>-0.399999999999984</v>
      </c>
    </row>
    <row r="164" s="1" customFormat="1" spans="1:12">
      <c r="A164" s="2">
        <v>5.384</v>
      </c>
      <c r="B164" s="10" t="s">
        <v>9</v>
      </c>
      <c r="C164" s="4">
        <v>5.384</v>
      </c>
      <c r="D164" s="5">
        <v>45</v>
      </c>
      <c r="E164" s="4"/>
      <c r="F164" s="4"/>
      <c r="G164" s="2">
        <f t="shared" si="12"/>
        <v>5.351</v>
      </c>
      <c r="H164" s="11" t="str">
        <f t="shared" si="13"/>
        <v>3.432E-2</v>
      </c>
      <c r="I164" s="2">
        <f t="shared" si="14"/>
        <v>44.6</v>
      </c>
      <c r="J164" s="4">
        <f t="shared" si="15"/>
        <v>5.351</v>
      </c>
      <c r="K164" s="9">
        <f t="shared" si="16"/>
        <v>9.60000000000002</v>
      </c>
      <c r="L164" s="1">
        <f t="shared" si="17"/>
        <v>-0.399999999999984</v>
      </c>
    </row>
    <row r="165" s="1" customFormat="1" spans="1:12">
      <c r="A165" s="2">
        <v>5.418</v>
      </c>
      <c r="B165" s="10" t="s">
        <v>20</v>
      </c>
      <c r="C165" s="4">
        <v>5.418</v>
      </c>
      <c r="D165" s="5">
        <v>45.5</v>
      </c>
      <c r="E165" s="4"/>
      <c r="F165" s="4"/>
      <c r="G165" s="2">
        <f t="shared" si="12"/>
        <v>5.384</v>
      </c>
      <c r="H165" s="11" t="str">
        <f t="shared" si="13"/>
        <v>3.433E-2</v>
      </c>
      <c r="I165" s="2">
        <f t="shared" si="14"/>
        <v>45</v>
      </c>
      <c r="J165" s="4">
        <f t="shared" si="15"/>
        <v>5.384</v>
      </c>
      <c r="K165" s="9">
        <f t="shared" si="16"/>
        <v>9.69999999999999</v>
      </c>
      <c r="L165" s="1">
        <f t="shared" si="17"/>
        <v>-0.399999999999984</v>
      </c>
    </row>
    <row r="166" s="1" customFormat="1" spans="1:12">
      <c r="A166" s="2">
        <v>5.451</v>
      </c>
      <c r="B166" s="10" t="s">
        <v>16</v>
      </c>
      <c r="C166" s="4">
        <v>5.451</v>
      </c>
      <c r="D166" s="5">
        <v>45.4</v>
      </c>
      <c r="E166" s="4"/>
      <c r="F166" s="4"/>
      <c r="G166" s="2">
        <f t="shared" si="12"/>
        <v>5.418</v>
      </c>
      <c r="H166" s="11" t="str">
        <f t="shared" si="13"/>
        <v>3.430E-2</v>
      </c>
      <c r="I166" s="2">
        <f t="shared" si="14"/>
        <v>45.5</v>
      </c>
      <c r="J166" s="4">
        <f t="shared" si="15"/>
        <v>5.418</v>
      </c>
      <c r="K166" s="9">
        <f t="shared" si="16"/>
        <v>9.39999999999996</v>
      </c>
      <c r="L166" s="1">
        <f t="shared" si="17"/>
        <v>-0.399999999999984</v>
      </c>
    </row>
    <row r="167" s="1" customFormat="1" spans="1:12">
      <c r="A167" s="2">
        <v>5.484</v>
      </c>
      <c r="B167" s="10" t="s">
        <v>18</v>
      </c>
      <c r="C167" s="4">
        <v>5.484</v>
      </c>
      <c r="D167" s="5">
        <v>45.5</v>
      </c>
      <c r="E167" s="4"/>
      <c r="F167" s="4"/>
      <c r="G167" s="2">
        <f t="shared" si="12"/>
        <v>5.451</v>
      </c>
      <c r="H167" s="11" t="str">
        <f t="shared" si="13"/>
        <v>3.426E-2</v>
      </c>
      <c r="I167" s="2">
        <f t="shared" si="14"/>
        <v>45.4</v>
      </c>
      <c r="J167" s="4">
        <f t="shared" si="15"/>
        <v>5.451</v>
      </c>
      <c r="K167" s="9">
        <f t="shared" si="16"/>
        <v>8.99999999999998</v>
      </c>
      <c r="L167" s="1">
        <f t="shared" si="17"/>
        <v>-0.399999999999984</v>
      </c>
    </row>
    <row r="168" s="1" customFormat="1" spans="1:12">
      <c r="A168" s="2">
        <v>5.518</v>
      </c>
      <c r="B168" s="10" t="s">
        <v>242</v>
      </c>
      <c r="C168" s="4">
        <v>5.518</v>
      </c>
      <c r="D168" s="5">
        <v>45.1</v>
      </c>
      <c r="E168" s="4"/>
      <c r="F168" s="4"/>
      <c r="G168" s="2">
        <f t="shared" si="12"/>
        <v>5.484</v>
      </c>
      <c r="H168" s="11" t="str">
        <f t="shared" si="13"/>
        <v>3.424E-2</v>
      </c>
      <c r="I168" s="2">
        <f t="shared" si="14"/>
        <v>45.5</v>
      </c>
      <c r="J168" s="4">
        <f t="shared" si="15"/>
        <v>5.484</v>
      </c>
      <c r="K168" s="9">
        <f t="shared" si="16"/>
        <v>8.79999999999999</v>
      </c>
      <c r="L168" s="1">
        <f t="shared" si="17"/>
        <v>-0.399999999999984</v>
      </c>
    </row>
    <row r="169" s="1" customFormat="1" spans="1:12">
      <c r="A169" s="2">
        <v>5.551</v>
      </c>
      <c r="B169" s="10" t="s">
        <v>249</v>
      </c>
      <c r="C169" s="4">
        <v>5.551</v>
      </c>
      <c r="D169" s="5">
        <v>45</v>
      </c>
      <c r="E169" s="4"/>
      <c r="F169" s="4"/>
      <c r="G169" s="2">
        <f t="shared" si="12"/>
        <v>5.518</v>
      </c>
      <c r="H169" s="11" t="str">
        <f t="shared" si="13"/>
        <v>3.421E-2</v>
      </c>
      <c r="I169" s="2">
        <f t="shared" si="14"/>
        <v>45.1</v>
      </c>
      <c r="J169" s="4">
        <f t="shared" si="15"/>
        <v>5.518</v>
      </c>
      <c r="K169" s="9">
        <f t="shared" si="16"/>
        <v>8.49999999999997</v>
      </c>
      <c r="L169" s="1">
        <f t="shared" si="17"/>
        <v>-0.399999999999984</v>
      </c>
    </row>
    <row r="170" s="1" customFormat="1" spans="1:12">
      <c r="A170" s="2">
        <v>5.585</v>
      </c>
      <c r="B170" s="10" t="s">
        <v>57</v>
      </c>
      <c r="C170" s="4">
        <v>5.585</v>
      </c>
      <c r="D170" s="5">
        <v>45</v>
      </c>
      <c r="E170" s="4"/>
      <c r="F170" s="4"/>
      <c r="G170" s="2">
        <f t="shared" si="12"/>
        <v>5.551</v>
      </c>
      <c r="H170" s="11" t="str">
        <f t="shared" si="13"/>
        <v>3.417E-2</v>
      </c>
      <c r="I170" s="2">
        <f t="shared" si="14"/>
        <v>45</v>
      </c>
      <c r="J170" s="4">
        <f t="shared" si="15"/>
        <v>5.551</v>
      </c>
      <c r="K170" s="9">
        <f t="shared" si="16"/>
        <v>8.09999999999998</v>
      </c>
      <c r="L170" s="1">
        <f t="shared" si="17"/>
        <v>-0.399999999999984</v>
      </c>
    </row>
    <row r="171" s="1" customFormat="1" spans="1:12">
      <c r="A171" s="2">
        <v>5.618</v>
      </c>
      <c r="B171" s="10" t="s">
        <v>230</v>
      </c>
      <c r="C171" s="4">
        <v>5.618</v>
      </c>
      <c r="D171" s="5">
        <v>45.1</v>
      </c>
      <c r="E171" s="4"/>
      <c r="F171" s="4"/>
      <c r="G171" s="2">
        <f t="shared" si="12"/>
        <v>5.585</v>
      </c>
      <c r="H171" s="11" t="str">
        <f t="shared" si="13"/>
        <v>3.413E-2</v>
      </c>
      <c r="I171" s="2">
        <f t="shared" si="14"/>
        <v>45</v>
      </c>
      <c r="J171" s="4">
        <f t="shared" si="15"/>
        <v>5.585</v>
      </c>
      <c r="K171" s="9">
        <f t="shared" si="16"/>
        <v>7.7</v>
      </c>
      <c r="L171" s="1">
        <f t="shared" si="17"/>
        <v>-0.399999999999984</v>
      </c>
    </row>
    <row r="172" s="1" customFormat="1" spans="1:12">
      <c r="A172" s="2">
        <v>5.652</v>
      </c>
      <c r="B172" s="10" t="s">
        <v>245</v>
      </c>
      <c r="C172" s="4">
        <v>5.652</v>
      </c>
      <c r="D172" s="5">
        <v>45</v>
      </c>
      <c r="E172" s="4"/>
      <c r="F172" s="4"/>
      <c r="G172" s="2">
        <f t="shared" si="12"/>
        <v>5.618</v>
      </c>
      <c r="H172" s="11" t="str">
        <f t="shared" si="13"/>
        <v>3.409E-2</v>
      </c>
      <c r="I172" s="2">
        <f t="shared" si="14"/>
        <v>45.1</v>
      </c>
      <c r="J172" s="4">
        <f t="shared" si="15"/>
        <v>5.618</v>
      </c>
      <c r="K172" s="9">
        <f t="shared" si="16"/>
        <v>7.30000000000001</v>
      </c>
      <c r="L172" s="1">
        <f t="shared" si="17"/>
        <v>-0.399999999999984</v>
      </c>
    </row>
    <row r="173" s="1" customFormat="1" spans="1:12">
      <c r="A173" s="2">
        <v>5.685</v>
      </c>
      <c r="B173" s="10" t="s">
        <v>48</v>
      </c>
      <c r="C173" s="4">
        <v>5.685</v>
      </c>
      <c r="D173" s="5">
        <v>45</v>
      </c>
      <c r="E173" s="4"/>
      <c r="F173" s="4"/>
      <c r="G173" s="2">
        <f t="shared" si="12"/>
        <v>5.652</v>
      </c>
      <c r="H173" s="11" t="str">
        <f t="shared" si="13"/>
        <v>3.398E-2</v>
      </c>
      <c r="I173" s="2">
        <f t="shared" si="14"/>
        <v>45</v>
      </c>
      <c r="J173" s="4">
        <f t="shared" si="15"/>
        <v>5.652</v>
      </c>
      <c r="K173" s="9">
        <f t="shared" si="16"/>
        <v>6.20000000000003</v>
      </c>
      <c r="L173" s="1">
        <f t="shared" si="17"/>
        <v>-0.399999999999984</v>
      </c>
    </row>
    <row r="174" s="1" customFormat="1" spans="1:12">
      <c r="A174" s="2">
        <v>5.718</v>
      </c>
      <c r="B174" s="10" t="s">
        <v>252</v>
      </c>
      <c r="C174" s="4">
        <v>5.718</v>
      </c>
      <c r="D174" s="5">
        <v>242.9</v>
      </c>
      <c r="E174" s="4"/>
      <c r="F174" s="4"/>
      <c r="G174" s="2">
        <f t="shared" si="12"/>
        <v>5.685</v>
      </c>
      <c r="H174" s="11" t="str">
        <f t="shared" si="13"/>
        <v>3.390E-2</v>
      </c>
      <c r="I174" s="2">
        <f t="shared" si="14"/>
        <v>45</v>
      </c>
      <c r="J174" s="4">
        <f t="shared" si="15"/>
        <v>5.685</v>
      </c>
      <c r="K174" s="9">
        <f t="shared" si="16"/>
        <v>5.39999999999999</v>
      </c>
      <c r="L174" s="1">
        <f t="shared" si="17"/>
        <v>-0.399999999999984</v>
      </c>
    </row>
    <row r="175" s="1" customFormat="1" spans="1:12">
      <c r="A175" s="2">
        <v>5.752</v>
      </c>
      <c r="B175" s="10" t="s">
        <v>54</v>
      </c>
      <c r="C175" s="4">
        <v>5.752</v>
      </c>
      <c r="D175" s="5">
        <v>253.7</v>
      </c>
      <c r="E175" s="4"/>
      <c r="F175" s="4"/>
      <c r="G175" s="2">
        <f t="shared" si="12"/>
        <v>5.718</v>
      </c>
      <c r="H175" s="11" t="str">
        <f t="shared" si="13"/>
        <v>3.384E-2</v>
      </c>
      <c r="I175" s="2">
        <f t="shared" si="14"/>
        <v>242.9</v>
      </c>
      <c r="J175" s="4">
        <f t="shared" si="15"/>
        <v>5.718</v>
      </c>
      <c r="K175" s="9">
        <f t="shared" si="16"/>
        <v>4.80000000000001</v>
      </c>
      <c r="L175" s="1">
        <f t="shared" si="17"/>
        <v>30.5</v>
      </c>
    </row>
    <row r="176" s="1" customFormat="1" spans="1:12">
      <c r="A176" s="2">
        <v>5.785</v>
      </c>
      <c r="B176" s="10" t="s">
        <v>256</v>
      </c>
      <c r="C176" s="4">
        <v>5.785</v>
      </c>
      <c r="D176" s="5">
        <v>253.7</v>
      </c>
      <c r="E176" s="4"/>
      <c r="F176" s="4"/>
      <c r="G176" s="2">
        <f t="shared" si="12"/>
        <v>5.752</v>
      </c>
      <c r="H176" s="11" t="str">
        <f t="shared" si="13"/>
        <v>3.378E-2</v>
      </c>
      <c r="I176" s="2">
        <f t="shared" si="14"/>
        <v>253.7</v>
      </c>
      <c r="J176" s="4">
        <f t="shared" si="15"/>
        <v>5.752</v>
      </c>
      <c r="K176" s="9">
        <f t="shared" si="16"/>
        <v>4.19999999999997</v>
      </c>
      <c r="L176" s="1">
        <f t="shared" si="17"/>
        <v>30.5</v>
      </c>
    </row>
    <row r="177" s="1" customFormat="1" spans="1:12">
      <c r="A177" s="2">
        <v>5.819</v>
      </c>
      <c r="B177" s="10" t="s">
        <v>270</v>
      </c>
      <c r="C177" s="4">
        <v>5.819</v>
      </c>
      <c r="D177" s="5">
        <v>253.7</v>
      </c>
      <c r="E177" s="4"/>
      <c r="F177" s="4"/>
      <c r="G177" s="2">
        <f t="shared" si="12"/>
        <v>5.785</v>
      </c>
      <c r="H177" s="11" t="str">
        <f t="shared" si="13"/>
        <v>3.367E-2</v>
      </c>
      <c r="I177" s="2">
        <f t="shared" si="14"/>
        <v>253.7</v>
      </c>
      <c r="J177" s="4">
        <f t="shared" si="15"/>
        <v>5.785</v>
      </c>
      <c r="K177" s="9">
        <f t="shared" si="16"/>
        <v>3.09999999999998</v>
      </c>
      <c r="L177" s="1">
        <f t="shared" si="17"/>
        <v>30.5</v>
      </c>
    </row>
    <row r="178" s="1" customFormat="1" spans="1:12">
      <c r="A178" s="2">
        <v>5.852</v>
      </c>
      <c r="B178" s="10" t="s">
        <v>271</v>
      </c>
      <c r="C178" s="4">
        <v>5.852</v>
      </c>
      <c r="D178" s="5">
        <v>253.7</v>
      </c>
      <c r="E178" s="4"/>
      <c r="F178" s="4"/>
      <c r="G178" s="2">
        <f t="shared" si="12"/>
        <v>5.819</v>
      </c>
      <c r="H178" s="11" t="str">
        <f t="shared" si="13"/>
        <v>3.360E-2</v>
      </c>
      <c r="I178" s="2">
        <f t="shared" si="14"/>
        <v>253.7</v>
      </c>
      <c r="J178" s="4">
        <f t="shared" si="15"/>
        <v>5.819</v>
      </c>
      <c r="K178" s="9">
        <f t="shared" si="16"/>
        <v>2.39999999999997</v>
      </c>
      <c r="L178" s="1">
        <f t="shared" si="17"/>
        <v>30.5</v>
      </c>
    </row>
    <row r="179" s="1" customFormat="1" spans="1:12">
      <c r="A179" s="2">
        <v>5.886</v>
      </c>
      <c r="B179" s="10" t="s">
        <v>272</v>
      </c>
      <c r="C179" s="4">
        <v>5.886</v>
      </c>
      <c r="D179" s="5">
        <v>253.7</v>
      </c>
      <c r="E179" s="4"/>
      <c r="F179" s="4"/>
      <c r="G179" s="2">
        <f t="shared" si="12"/>
        <v>5.852</v>
      </c>
      <c r="H179" s="11" t="str">
        <f t="shared" si="13"/>
        <v>3.355E-2</v>
      </c>
      <c r="I179" s="2">
        <f t="shared" si="14"/>
        <v>253.7</v>
      </c>
      <c r="J179" s="4">
        <f t="shared" si="15"/>
        <v>5.852</v>
      </c>
      <c r="K179" s="9">
        <f t="shared" si="16"/>
        <v>1.90000000000003</v>
      </c>
      <c r="L179" s="1">
        <f t="shared" si="17"/>
        <v>30.5</v>
      </c>
    </row>
    <row r="180" s="1" customFormat="1" spans="1:12">
      <c r="A180" s="2">
        <v>5.919</v>
      </c>
      <c r="B180" s="10" t="s">
        <v>273</v>
      </c>
      <c r="C180" s="4">
        <v>5.919</v>
      </c>
      <c r="D180" s="5">
        <v>253.7</v>
      </c>
      <c r="E180" s="4"/>
      <c r="F180" s="4"/>
      <c r="G180" s="2">
        <f t="shared" si="12"/>
        <v>5.886</v>
      </c>
      <c r="H180" s="11" t="str">
        <f t="shared" si="13"/>
        <v>3.350E-2</v>
      </c>
      <c r="I180" s="2">
        <f t="shared" si="14"/>
        <v>253.7</v>
      </c>
      <c r="J180" s="4">
        <f t="shared" si="15"/>
        <v>5.886</v>
      </c>
      <c r="K180" s="9">
        <f t="shared" si="16"/>
        <v>1.40000000000001</v>
      </c>
      <c r="L180" s="1">
        <f t="shared" si="17"/>
        <v>30.5</v>
      </c>
    </row>
    <row r="181" s="1" customFormat="1" spans="1:12">
      <c r="A181" s="2">
        <v>5.953</v>
      </c>
      <c r="B181" s="10" t="s">
        <v>260</v>
      </c>
      <c r="C181" s="4">
        <v>5.953</v>
      </c>
      <c r="D181" s="5">
        <v>253.7</v>
      </c>
      <c r="E181" s="4"/>
      <c r="F181" s="4"/>
      <c r="G181" s="2">
        <f t="shared" si="12"/>
        <v>5.919</v>
      </c>
      <c r="H181" s="11" t="str">
        <f t="shared" si="13"/>
        <v>3.341E-2</v>
      </c>
      <c r="I181" s="2">
        <f t="shared" si="14"/>
        <v>253.7</v>
      </c>
      <c r="J181" s="4">
        <f t="shared" si="15"/>
        <v>5.919</v>
      </c>
      <c r="K181" s="9">
        <f t="shared" si="16"/>
        <v>0.500000000000014</v>
      </c>
      <c r="L181" s="1">
        <f t="shared" si="17"/>
        <v>30.5</v>
      </c>
    </row>
    <row r="182" s="1" customFormat="1" spans="1:12">
      <c r="A182" s="2">
        <v>5.986</v>
      </c>
      <c r="B182" s="10" t="s">
        <v>262</v>
      </c>
      <c r="C182" s="4">
        <v>5.986</v>
      </c>
      <c r="D182" s="5">
        <v>253.7</v>
      </c>
      <c r="E182" s="4"/>
      <c r="F182" s="4"/>
      <c r="G182" s="2">
        <f t="shared" si="12"/>
        <v>5.953</v>
      </c>
      <c r="H182" s="11" t="str">
        <f t="shared" si="13"/>
        <v>3.337E-2</v>
      </c>
      <c r="I182" s="2">
        <f t="shared" si="14"/>
        <v>253.7</v>
      </c>
      <c r="J182" s="4">
        <f t="shared" si="15"/>
        <v>5.953</v>
      </c>
      <c r="K182" s="9">
        <f t="shared" si="16"/>
        <v>0.0999999999999612</v>
      </c>
      <c r="L182" s="1">
        <f t="shared" si="17"/>
        <v>30.5</v>
      </c>
    </row>
    <row r="183" s="1" customFormat="1" spans="1:12">
      <c r="A183" s="2">
        <v>6.019</v>
      </c>
      <c r="B183" s="10" t="s">
        <v>274</v>
      </c>
      <c r="C183" s="4">
        <v>6.019</v>
      </c>
      <c r="D183" s="5">
        <v>253.8</v>
      </c>
      <c r="E183" s="4"/>
      <c r="F183" s="4"/>
      <c r="G183" s="2">
        <f t="shared" si="12"/>
        <v>5.986</v>
      </c>
      <c r="H183" s="11" t="str">
        <f t="shared" si="13"/>
        <v>3.334E-2</v>
      </c>
      <c r="I183" s="2">
        <f t="shared" si="14"/>
        <v>253.7</v>
      </c>
      <c r="J183" s="4">
        <f t="shared" si="15"/>
        <v>5.986</v>
      </c>
      <c r="K183" s="9">
        <f t="shared" si="16"/>
        <v>-0.199999999999992</v>
      </c>
      <c r="L183" s="1">
        <f t="shared" si="17"/>
        <v>30.5</v>
      </c>
    </row>
    <row r="184" s="1" customFormat="1" spans="1:12">
      <c r="A184" s="2">
        <v>6.053</v>
      </c>
      <c r="B184" s="10" t="s">
        <v>275</v>
      </c>
      <c r="C184" s="4">
        <v>6.053</v>
      </c>
      <c r="D184" s="5">
        <v>253.8</v>
      </c>
      <c r="E184" s="4"/>
      <c r="F184" s="4"/>
      <c r="G184" s="2">
        <f t="shared" si="12"/>
        <v>6.019</v>
      </c>
      <c r="H184" s="11" t="str">
        <f t="shared" si="13"/>
        <v>3.332E-2</v>
      </c>
      <c r="I184" s="2">
        <f t="shared" si="14"/>
        <v>253.8</v>
      </c>
      <c r="J184" s="4">
        <f t="shared" si="15"/>
        <v>6.019</v>
      </c>
      <c r="K184" s="9">
        <f t="shared" si="16"/>
        <v>-0.399999999999984</v>
      </c>
      <c r="L184" s="1">
        <f t="shared" si="17"/>
        <v>30.5</v>
      </c>
    </row>
    <row r="185" s="1" customFormat="1" spans="1:12">
      <c r="A185" s="2">
        <v>6.086</v>
      </c>
      <c r="B185" s="10" t="s">
        <v>262</v>
      </c>
      <c r="C185" s="4">
        <v>6.086</v>
      </c>
      <c r="D185" s="5">
        <v>253.8</v>
      </c>
      <c r="E185" s="4"/>
      <c r="F185" s="4"/>
      <c r="G185" s="2">
        <f t="shared" si="12"/>
        <v>6.053</v>
      </c>
      <c r="H185" s="11" t="str">
        <f t="shared" si="13"/>
        <v>3.333E-2</v>
      </c>
      <c r="I185" s="2">
        <f t="shared" si="14"/>
        <v>253.8</v>
      </c>
      <c r="J185" s="4">
        <f t="shared" si="15"/>
        <v>6.053</v>
      </c>
      <c r="K185" s="9">
        <f t="shared" si="16"/>
        <v>-0.300000000000022</v>
      </c>
      <c r="L185" s="1">
        <f t="shared" si="17"/>
        <v>30.5</v>
      </c>
    </row>
    <row r="186" s="1" customFormat="1" spans="1:12">
      <c r="A186" s="2">
        <v>6.12</v>
      </c>
      <c r="B186" s="10" t="s">
        <v>260</v>
      </c>
      <c r="C186" s="4">
        <v>6.12</v>
      </c>
      <c r="D186" s="5">
        <v>253.8</v>
      </c>
      <c r="E186" s="4"/>
      <c r="F186" s="4"/>
      <c r="G186" s="2">
        <f t="shared" si="12"/>
        <v>6.086</v>
      </c>
      <c r="H186" s="11" t="str">
        <f t="shared" si="13"/>
        <v>3.334E-2</v>
      </c>
      <c r="I186" s="2">
        <f t="shared" si="14"/>
        <v>253.8</v>
      </c>
      <c r="J186" s="4">
        <f t="shared" si="15"/>
        <v>6.086</v>
      </c>
      <c r="K186" s="9">
        <f t="shared" si="16"/>
        <v>-0.199999999999992</v>
      </c>
      <c r="L186" s="1">
        <f t="shared" si="17"/>
        <v>30.5</v>
      </c>
    </row>
    <row r="187" s="1" customFormat="1" spans="1:12">
      <c r="A187" s="2">
        <v>6.153</v>
      </c>
      <c r="B187" s="10" t="s">
        <v>263</v>
      </c>
      <c r="C187" s="4">
        <v>6.153</v>
      </c>
      <c r="D187" s="5">
        <v>253.8</v>
      </c>
      <c r="E187" s="4"/>
      <c r="F187" s="4"/>
      <c r="G187" s="2">
        <f t="shared" si="12"/>
        <v>6.12</v>
      </c>
      <c r="H187" s="11" t="str">
        <f t="shared" si="13"/>
        <v>3.337E-2</v>
      </c>
      <c r="I187" s="2">
        <f t="shared" si="14"/>
        <v>253.8</v>
      </c>
      <c r="J187" s="4">
        <f t="shared" si="15"/>
        <v>6.12</v>
      </c>
      <c r="K187" s="9">
        <f t="shared" si="16"/>
        <v>0.0999999999999612</v>
      </c>
      <c r="L187" s="1">
        <f t="shared" si="17"/>
        <v>30.5</v>
      </c>
    </row>
    <row r="188" s="1" customFormat="1" spans="1:12">
      <c r="A188" s="2">
        <v>6.187</v>
      </c>
      <c r="B188" s="10" t="s">
        <v>265</v>
      </c>
      <c r="C188" s="4">
        <v>6.187</v>
      </c>
      <c r="D188" s="5">
        <v>253.8</v>
      </c>
      <c r="E188" s="4"/>
      <c r="F188" s="4"/>
      <c r="G188" s="2">
        <f t="shared" si="12"/>
        <v>6.153</v>
      </c>
      <c r="H188" s="11" t="str">
        <f t="shared" si="13"/>
        <v>3.339E-2</v>
      </c>
      <c r="I188" s="2">
        <f t="shared" si="14"/>
        <v>253.8</v>
      </c>
      <c r="J188" s="4">
        <f t="shared" si="15"/>
        <v>6.153</v>
      </c>
      <c r="K188" s="9">
        <f t="shared" si="16"/>
        <v>0.300000000000022</v>
      </c>
      <c r="L188" s="1">
        <f t="shared" si="17"/>
        <v>30.5</v>
      </c>
    </row>
    <row r="189" s="1" customFormat="1" spans="1:12">
      <c r="A189" s="2">
        <v>6.22</v>
      </c>
      <c r="B189" s="10" t="s">
        <v>276</v>
      </c>
      <c r="C189" s="4">
        <v>6.22</v>
      </c>
      <c r="D189" s="5">
        <v>253.8</v>
      </c>
      <c r="E189" s="4"/>
      <c r="F189" s="4"/>
      <c r="G189" s="2">
        <f t="shared" si="12"/>
        <v>6.187</v>
      </c>
      <c r="H189" s="11" t="str">
        <f t="shared" si="13"/>
        <v>3.344E-2</v>
      </c>
      <c r="I189" s="2">
        <f t="shared" si="14"/>
        <v>253.8</v>
      </c>
      <c r="J189" s="4">
        <f t="shared" si="15"/>
        <v>6.187</v>
      </c>
      <c r="K189" s="9">
        <f t="shared" si="16"/>
        <v>0.799999999999967</v>
      </c>
      <c r="L189" s="1">
        <f t="shared" si="17"/>
        <v>30.5</v>
      </c>
    </row>
    <row r="190" s="1" customFormat="1" spans="1:12">
      <c r="A190" s="2">
        <v>6.254</v>
      </c>
      <c r="B190" s="10" t="s">
        <v>271</v>
      </c>
      <c r="C190" s="4">
        <v>6.254</v>
      </c>
      <c r="D190" s="5">
        <v>253.8</v>
      </c>
      <c r="E190" s="4"/>
      <c r="F190" s="4"/>
      <c r="G190" s="2">
        <f t="shared" si="12"/>
        <v>6.22</v>
      </c>
      <c r="H190" s="11" t="str">
        <f t="shared" si="13"/>
        <v>3.348E-2</v>
      </c>
      <c r="I190" s="2">
        <f t="shared" si="14"/>
        <v>253.8</v>
      </c>
      <c r="J190" s="4">
        <f t="shared" si="15"/>
        <v>6.22</v>
      </c>
      <c r="K190" s="9">
        <f t="shared" si="16"/>
        <v>1.20000000000002</v>
      </c>
      <c r="L190" s="1">
        <f t="shared" si="17"/>
        <v>30.5</v>
      </c>
    </row>
    <row r="191" s="1" customFormat="1" spans="1:12">
      <c r="A191" s="2">
        <v>6.287</v>
      </c>
      <c r="B191" s="10" t="s">
        <v>241</v>
      </c>
      <c r="C191" s="4">
        <v>6.287</v>
      </c>
      <c r="D191" s="5">
        <v>253.8</v>
      </c>
      <c r="E191" s="4"/>
      <c r="F191" s="4"/>
      <c r="G191" s="2">
        <f t="shared" si="12"/>
        <v>6.254</v>
      </c>
      <c r="H191" s="11" t="str">
        <f t="shared" si="13"/>
        <v>3.355E-2</v>
      </c>
      <c r="I191" s="2">
        <f t="shared" si="14"/>
        <v>253.8</v>
      </c>
      <c r="J191" s="4">
        <f t="shared" si="15"/>
        <v>6.254</v>
      </c>
      <c r="K191" s="9">
        <f t="shared" si="16"/>
        <v>1.90000000000003</v>
      </c>
      <c r="L191" s="1">
        <f t="shared" si="17"/>
        <v>30.5</v>
      </c>
    </row>
    <row r="192" s="1" customFormat="1" spans="1:12">
      <c r="A192" s="2">
        <v>6.32</v>
      </c>
      <c r="B192" s="10" t="s">
        <v>254</v>
      </c>
      <c r="C192" s="4">
        <v>6.32</v>
      </c>
      <c r="D192" s="5">
        <v>253.8</v>
      </c>
      <c r="E192" s="4"/>
      <c r="F192" s="4"/>
      <c r="G192" s="2">
        <f t="shared" si="12"/>
        <v>6.287</v>
      </c>
      <c r="H192" s="11" t="str">
        <f t="shared" si="13"/>
        <v>3.369E-2</v>
      </c>
      <c r="I192" s="2">
        <f t="shared" si="14"/>
        <v>253.8</v>
      </c>
      <c r="J192" s="4">
        <f t="shared" si="15"/>
        <v>6.287</v>
      </c>
      <c r="K192" s="9">
        <f t="shared" si="16"/>
        <v>3.29999999999997</v>
      </c>
      <c r="L192" s="1">
        <f t="shared" si="17"/>
        <v>30.5</v>
      </c>
    </row>
    <row r="193" s="1" customFormat="1" spans="1:12">
      <c r="A193" s="2">
        <v>6.354</v>
      </c>
      <c r="B193" s="10" t="s">
        <v>115</v>
      </c>
      <c r="C193" s="4">
        <v>6.354</v>
      </c>
      <c r="D193" s="5">
        <v>253.8</v>
      </c>
      <c r="E193" s="4"/>
      <c r="F193" s="4"/>
      <c r="G193" s="2">
        <f t="shared" si="12"/>
        <v>6.32</v>
      </c>
      <c r="H193" s="11" t="str">
        <f t="shared" si="13"/>
        <v>3.382E-2</v>
      </c>
      <c r="I193" s="2">
        <f t="shared" si="14"/>
        <v>253.8</v>
      </c>
      <c r="J193" s="4">
        <f t="shared" si="15"/>
        <v>6.32</v>
      </c>
      <c r="K193" s="9">
        <f t="shared" si="16"/>
        <v>4.60000000000002</v>
      </c>
      <c r="L193" s="1">
        <f t="shared" si="17"/>
        <v>30.5</v>
      </c>
    </row>
    <row r="194" s="1" customFormat="1" spans="1:12">
      <c r="A194" s="2">
        <v>6.387</v>
      </c>
      <c r="B194" s="10" t="s">
        <v>277</v>
      </c>
      <c r="C194" s="4">
        <v>6.387</v>
      </c>
      <c r="D194" s="5">
        <v>253.8</v>
      </c>
      <c r="E194" s="4"/>
      <c r="F194" s="4"/>
      <c r="G194" s="2">
        <f t="shared" si="12"/>
        <v>6.354</v>
      </c>
      <c r="H194" s="11" t="str">
        <f t="shared" si="13"/>
        <v>3.396E-2</v>
      </c>
      <c r="I194" s="2">
        <f t="shared" si="14"/>
        <v>253.8</v>
      </c>
      <c r="J194" s="4">
        <f t="shared" si="15"/>
        <v>6.354</v>
      </c>
      <c r="K194" s="9">
        <f t="shared" si="16"/>
        <v>5.99999999999996</v>
      </c>
      <c r="L194" s="1">
        <f t="shared" si="17"/>
        <v>30.5</v>
      </c>
    </row>
    <row r="195" s="1" customFormat="1" spans="1:12">
      <c r="A195" s="2">
        <v>6.421</v>
      </c>
      <c r="B195" s="10" t="s">
        <v>249</v>
      </c>
      <c r="C195" s="4">
        <v>6.421</v>
      </c>
      <c r="D195" s="5">
        <v>253.8</v>
      </c>
      <c r="E195" s="4"/>
      <c r="F195" s="4"/>
      <c r="G195" s="2">
        <f t="shared" si="12"/>
        <v>6.387</v>
      </c>
      <c r="H195" s="11" t="str">
        <f t="shared" si="13"/>
        <v>3.408E-2</v>
      </c>
      <c r="I195" s="2">
        <f t="shared" si="14"/>
        <v>253.8</v>
      </c>
      <c r="J195" s="4">
        <f t="shared" si="15"/>
        <v>6.387</v>
      </c>
      <c r="K195" s="9">
        <f t="shared" si="16"/>
        <v>7.19999999999998</v>
      </c>
      <c r="L195" s="1">
        <f t="shared" si="17"/>
        <v>30.5</v>
      </c>
    </row>
    <row r="196" s="1" customFormat="1" spans="1:12">
      <c r="A196" s="2">
        <v>6.454</v>
      </c>
      <c r="B196" s="10" t="s">
        <v>10</v>
      </c>
      <c r="C196" s="4">
        <v>6.454</v>
      </c>
      <c r="D196" s="5">
        <v>253.8</v>
      </c>
      <c r="E196" s="4"/>
      <c r="F196" s="4"/>
      <c r="G196" s="2">
        <f t="shared" ref="G196:G259" si="18">A195</f>
        <v>6.421</v>
      </c>
      <c r="H196" s="11" t="str">
        <f t="shared" ref="H196:H259" si="19">B195</f>
        <v>3.417E-2</v>
      </c>
      <c r="I196" s="2">
        <f t="shared" ref="I196:I259" si="20">D195</f>
        <v>253.8</v>
      </c>
      <c r="J196" s="4">
        <f t="shared" ref="J196:J259" si="21">G196</f>
        <v>6.421</v>
      </c>
      <c r="K196" s="9">
        <f t="shared" ref="K196:K259" si="22">(H196-$H$4)*10000</f>
        <v>8.09999999999998</v>
      </c>
      <c r="L196" s="1">
        <f t="shared" si="17"/>
        <v>30.5</v>
      </c>
    </row>
    <row r="197" s="1" customFormat="1" spans="1:12">
      <c r="A197" s="2">
        <v>6.488</v>
      </c>
      <c r="B197" s="10" t="s">
        <v>216</v>
      </c>
      <c r="C197" s="4">
        <v>6.488</v>
      </c>
      <c r="D197" s="5">
        <v>253.8</v>
      </c>
      <c r="E197" s="4"/>
      <c r="F197" s="4"/>
      <c r="G197" s="2">
        <f t="shared" si="18"/>
        <v>6.454</v>
      </c>
      <c r="H197" s="11" t="str">
        <f t="shared" si="19"/>
        <v>3.434E-2</v>
      </c>
      <c r="I197" s="2">
        <f t="shared" si="20"/>
        <v>253.8</v>
      </c>
      <c r="J197" s="4">
        <f t="shared" si="21"/>
        <v>6.454</v>
      </c>
      <c r="K197" s="9">
        <f t="shared" si="22"/>
        <v>9.80000000000002</v>
      </c>
      <c r="L197" s="1">
        <f t="shared" ref="L197:L260" si="23">IF(I197&lt;230,$V$4,$V$5)</f>
        <v>30.5</v>
      </c>
    </row>
    <row r="198" s="1" customFormat="1" spans="1:12">
      <c r="A198" s="2">
        <v>6.521</v>
      </c>
      <c r="B198" s="10" t="s">
        <v>27</v>
      </c>
      <c r="C198" s="4">
        <v>6.521</v>
      </c>
      <c r="D198" s="5">
        <v>68.2</v>
      </c>
      <c r="E198" s="4"/>
      <c r="F198" s="4"/>
      <c r="G198" s="2">
        <f t="shared" si="18"/>
        <v>6.488</v>
      </c>
      <c r="H198" s="11" t="str">
        <f t="shared" si="19"/>
        <v>3.446E-2</v>
      </c>
      <c r="I198" s="2">
        <f t="shared" si="20"/>
        <v>253.8</v>
      </c>
      <c r="J198" s="4">
        <f t="shared" si="21"/>
        <v>6.488</v>
      </c>
      <c r="K198" s="9">
        <f t="shared" si="22"/>
        <v>11</v>
      </c>
      <c r="L198" s="1">
        <f t="shared" si="23"/>
        <v>30.5</v>
      </c>
    </row>
    <row r="199" s="1" customFormat="1" spans="1:12">
      <c r="A199" s="2">
        <v>6.555</v>
      </c>
      <c r="B199" s="10" t="s">
        <v>172</v>
      </c>
      <c r="C199" s="4">
        <v>6.555</v>
      </c>
      <c r="D199" s="5">
        <v>68.2</v>
      </c>
      <c r="E199" s="4"/>
      <c r="F199" s="4"/>
      <c r="G199" s="2">
        <f t="shared" si="18"/>
        <v>6.521</v>
      </c>
      <c r="H199" s="11" t="str">
        <f t="shared" si="19"/>
        <v>3.463E-2</v>
      </c>
      <c r="I199" s="2">
        <f t="shared" si="20"/>
        <v>68.2</v>
      </c>
      <c r="J199" s="4">
        <f t="shared" si="21"/>
        <v>6.521</v>
      </c>
      <c r="K199" s="9">
        <f t="shared" si="22"/>
        <v>12.7</v>
      </c>
      <c r="L199" s="1">
        <f t="shared" si="23"/>
        <v>-0.399999999999984</v>
      </c>
    </row>
    <row r="200" s="1" customFormat="1" spans="1:12">
      <c r="A200" s="2">
        <v>6.588</v>
      </c>
      <c r="B200" s="10" t="s">
        <v>193</v>
      </c>
      <c r="C200" s="4">
        <v>6.588</v>
      </c>
      <c r="D200" s="5">
        <v>68.4</v>
      </c>
      <c r="E200" s="4"/>
      <c r="F200" s="4"/>
      <c r="G200" s="2">
        <f t="shared" si="18"/>
        <v>6.555</v>
      </c>
      <c r="H200" s="11" t="str">
        <f t="shared" si="19"/>
        <v>3.477E-2</v>
      </c>
      <c r="I200" s="2">
        <f t="shared" si="20"/>
        <v>68.2</v>
      </c>
      <c r="J200" s="4">
        <f t="shared" si="21"/>
        <v>6.555</v>
      </c>
      <c r="K200" s="9">
        <f t="shared" si="22"/>
        <v>14.1</v>
      </c>
      <c r="L200" s="1">
        <f t="shared" si="23"/>
        <v>-0.399999999999984</v>
      </c>
    </row>
    <row r="201" s="1" customFormat="1" spans="1:12">
      <c r="A201" s="2">
        <v>6.621</v>
      </c>
      <c r="B201" s="10" t="s">
        <v>78</v>
      </c>
      <c r="C201" s="4">
        <v>6.621</v>
      </c>
      <c r="D201" s="5">
        <v>68.3</v>
      </c>
      <c r="E201" s="4"/>
      <c r="F201" s="4"/>
      <c r="G201" s="2">
        <f t="shared" si="18"/>
        <v>6.588</v>
      </c>
      <c r="H201" s="11" t="str">
        <f t="shared" si="19"/>
        <v>3.491E-2</v>
      </c>
      <c r="I201" s="2">
        <f t="shared" si="20"/>
        <v>68.4</v>
      </c>
      <c r="J201" s="4">
        <f t="shared" si="21"/>
        <v>6.588</v>
      </c>
      <c r="K201" s="9">
        <f t="shared" si="22"/>
        <v>15.5</v>
      </c>
      <c r="L201" s="1">
        <f t="shared" si="23"/>
        <v>-0.399999999999984</v>
      </c>
    </row>
    <row r="202" s="1" customFormat="1" spans="1:12">
      <c r="A202" s="2">
        <v>6.655</v>
      </c>
      <c r="B202" s="10" t="s">
        <v>187</v>
      </c>
      <c r="C202" s="4">
        <v>6.655</v>
      </c>
      <c r="D202" s="5">
        <v>68.2</v>
      </c>
      <c r="E202" s="4"/>
      <c r="F202" s="4"/>
      <c r="G202" s="2">
        <f t="shared" si="18"/>
        <v>6.621</v>
      </c>
      <c r="H202" s="11" t="str">
        <f t="shared" si="19"/>
        <v>3.503E-2</v>
      </c>
      <c r="I202" s="2">
        <f t="shared" si="20"/>
        <v>68.3</v>
      </c>
      <c r="J202" s="4">
        <f t="shared" si="21"/>
        <v>6.621</v>
      </c>
      <c r="K202" s="9">
        <f t="shared" si="22"/>
        <v>16.7</v>
      </c>
      <c r="L202" s="1">
        <f t="shared" si="23"/>
        <v>-0.399999999999984</v>
      </c>
    </row>
    <row r="203" s="1" customFormat="1" spans="1:12">
      <c r="A203" s="2">
        <v>6.688</v>
      </c>
      <c r="B203" s="10" t="s">
        <v>198</v>
      </c>
      <c r="C203" s="4">
        <v>6.688</v>
      </c>
      <c r="D203" s="5">
        <v>68.2</v>
      </c>
      <c r="E203" s="4"/>
      <c r="F203" s="4"/>
      <c r="G203" s="2">
        <f t="shared" si="18"/>
        <v>6.655</v>
      </c>
      <c r="H203" s="11" t="str">
        <f t="shared" si="19"/>
        <v>3.518E-2</v>
      </c>
      <c r="I203" s="2">
        <f t="shared" si="20"/>
        <v>68.2</v>
      </c>
      <c r="J203" s="4">
        <f t="shared" si="21"/>
        <v>6.655</v>
      </c>
      <c r="K203" s="9">
        <f t="shared" si="22"/>
        <v>18.2</v>
      </c>
      <c r="L203" s="1">
        <f t="shared" si="23"/>
        <v>-0.399999999999984</v>
      </c>
    </row>
    <row r="204" s="1" customFormat="1" spans="1:12">
      <c r="A204" s="2">
        <v>6.722</v>
      </c>
      <c r="B204" s="10" t="s">
        <v>147</v>
      </c>
      <c r="C204" s="4">
        <v>6.722</v>
      </c>
      <c r="D204" s="5">
        <v>68.1</v>
      </c>
      <c r="E204" s="4"/>
      <c r="F204" s="4"/>
      <c r="G204" s="2">
        <f t="shared" si="18"/>
        <v>6.688</v>
      </c>
      <c r="H204" s="11" t="str">
        <f t="shared" si="19"/>
        <v>3.525E-2</v>
      </c>
      <c r="I204" s="2">
        <f t="shared" si="20"/>
        <v>68.2</v>
      </c>
      <c r="J204" s="4">
        <f t="shared" si="21"/>
        <v>6.688</v>
      </c>
      <c r="K204" s="9">
        <f t="shared" si="22"/>
        <v>18.9</v>
      </c>
      <c r="L204" s="1">
        <f t="shared" si="23"/>
        <v>-0.399999999999984</v>
      </c>
    </row>
    <row r="205" s="1" customFormat="1" spans="1:12">
      <c r="A205" s="2">
        <v>6.755</v>
      </c>
      <c r="B205" s="10" t="s">
        <v>175</v>
      </c>
      <c r="C205" s="4">
        <v>6.755</v>
      </c>
      <c r="D205" s="5">
        <v>68.1</v>
      </c>
      <c r="E205" s="4"/>
      <c r="F205" s="4"/>
      <c r="G205" s="2">
        <f t="shared" si="18"/>
        <v>6.722</v>
      </c>
      <c r="H205" s="11" t="str">
        <f t="shared" si="19"/>
        <v>3.531E-2</v>
      </c>
      <c r="I205" s="2">
        <f t="shared" si="20"/>
        <v>68.1</v>
      </c>
      <c r="J205" s="4">
        <f t="shared" si="21"/>
        <v>6.722</v>
      </c>
      <c r="K205" s="9">
        <f t="shared" si="22"/>
        <v>19.5</v>
      </c>
      <c r="L205" s="1">
        <f t="shared" si="23"/>
        <v>-0.399999999999984</v>
      </c>
    </row>
    <row r="206" s="1" customFormat="1" spans="1:12">
      <c r="A206" s="2">
        <v>6.789</v>
      </c>
      <c r="B206" s="10" t="s">
        <v>225</v>
      </c>
      <c r="C206" s="4">
        <v>6.789</v>
      </c>
      <c r="D206" s="5">
        <v>68.2</v>
      </c>
      <c r="E206" s="4"/>
      <c r="F206" s="4"/>
      <c r="G206" s="2">
        <f t="shared" si="18"/>
        <v>6.755</v>
      </c>
      <c r="H206" s="11" t="str">
        <f t="shared" si="19"/>
        <v>3.545E-2</v>
      </c>
      <c r="I206" s="2">
        <f t="shared" si="20"/>
        <v>68.1</v>
      </c>
      <c r="J206" s="4">
        <f t="shared" si="21"/>
        <v>6.755</v>
      </c>
      <c r="K206" s="9">
        <f t="shared" si="22"/>
        <v>20.9</v>
      </c>
      <c r="L206" s="1">
        <f t="shared" si="23"/>
        <v>-0.399999999999984</v>
      </c>
    </row>
    <row r="207" s="1" customFormat="1" spans="1:12">
      <c r="A207" s="2">
        <v>6.822</v>
      </c>
      <c r="B207" s="10" t="s">
        <v>226</v>
      </c>
      <c r="C207" s="4">
        <v>6.822</v>
      </c>
      <c r="D207" s="5">
        <v>68.2</v>
      </c>
      <c r="E207" s="4"/>
      <c r="F207" s="4"/>
      <c r="G207" s="2">
        <f t="shared" si="18"/>
        <v>6.789</v>
      </c>
      <c r="H207" s="11" t="str">
        <f t="shared" si="19"/>
        <v>3.550E-2</v>
      </c>
      <c r="I207" s="2">
        <f t="shared" si="20"/>
        <v>68.2</v>
      </c>
      <c r="J207" s="4">
        <f t="shared" si="21"/>
        <v>6.789</v>
      </c>
      <c r="K207" s="9">
        <f t="shared" si="22"/>
        <v>21.4</v>
      </c>
      <c r="L207" s="1">
        <f t="shared" si="23"/>
        <v>-0.399999999999984</v>
      </c>
    </row>
    <row r="208" s="1" customFormat="1" spans="1:12">
      <c r="A208" s="2">
        <v>6.855</v>
      </c>
      <c r="B208" s="10" t="s">
        <v>226</v>
      </c>
      <c r="C208" s="4">
        <v>6.855</v>
      </c>
      <c r="D208" s="5">
        <v>68.2</v>
      </c>
      <c r="E208" s="4"/>
      <c r="F208" s="4"/>
      <c r="G208" s="2">
        <f t="shared" si="18"/>
        <v>6.822</v>
      </c>
      <c r="H208" s="11" t="str">
        <f t="shared" si="19"/>
        <v>3.551E-2</v>
      </c>
      <c r="I208" s="2">
        <f t="shared" si="20"/>
        <v>68.2</v>
      </c>
      <c r="J208" s="4">
        <f t="shared" si="21"/>
        <v>6.822</v>
      </c>
      <c r="K208" s="9">
        <f t="shared" si="22"/>
        <v>21.5</v>
      </c>
      <c r="L208" s="1">
        <f t="shared" si="23"/>
        <v>-0.399999999999984</v>
      </c>
    </row>
    <row r="209" s="1" customFormat="1" spans="1:12">
      <c r="A209" s="2">
        <v>6.889</v>
      </c>
      <c r="B209" s="10" t="s">
        <v>226</v>
      </c>
      <c r="C209" s="4">
        <v>6.889</v>
      </c>
      <c r="D209" s="5">
        <v>68.1</v>
      </c>
      <c r="E209" s="4"/>
      <c r="F209" s="4"/>
      <c r="G209" s="2">
        <f t="shared" si="18"/>
        <v>6.855</v>
      </c>
      <c r="H209" s="11" t="str">
        <f t="shared" si="19"/>
        <v>3.551E-2</v>
      </c>
      <c r="I209" s="2">
        <f t="shared" si="20"/>
        <v>68.2</v>
      </c>
      <c r="J209" s="4">
        <f t="shared" si="21"/>
        <v>6.855</v>
      </c>
      <c r="K209" s="9">
        <f t="shared" si="22"/>
        <v>21.5</v>
      </c>
      <c r="L209" s="1">
        <f t="shared" si="23"/>
        <v>-0.399999999999984</v>
      </c>
    </row>
    <row r="210" s="1" customFormat="1" spans="1:12">
      <c r="A210" s="2">
        <v>6.922</v>
      </c>
      <c r="B210" s="10" t="s">
        <v>75</v>
      </c>
      <c r="C210" s="4">
        <v>6.922</v>
      </c>
      <c r="D210" s="5">
        <v>68.1</v>
      </c>
      <c r="E210" s="4"/>
      <c r="F210" s="4"/>
      <c r="G210" s="2">
        <f t="shared" si="18"/>
        <v>6.889</v>
      </c>
      <c r="H210" s="11" t="str">
        <f t="shared" si="19"/>
        <v>3.551E-2</v>
      </c>
      <c r="I210" s="2">
        <f t="shared" si="20"/>
        <v>68.1</v>
      </c>
      <c r="J210" s="4">
        <f t="shared" si="21"/>
        <v>6.889</v>
      </c>
      <c r="K210" s="9">
        <f t="shared" si="22"/>
        <v>21.5</v>
      </c>
      <c r="L210" s="1">
        <f t="shared" si="23"/>
        <v>-0.399999999999984</v>
      </c>
    </row>
    <row r="211" s="1" customFormat="1" spans="1:12">
      <c r="A211" s="2">
        <v>6.956</v>
      </c>
      <c r="B211" s="10" t="s">
        <v>214</v>
      </c>
      <c r="C211" s="4">
        <v>6.956</v>
      </c>
      <c r="D211" s="5">
        <v>68.1</v>
      </c>
      <c r="E211" s="4"/>
      <c r="F211" s="4"/>
      <c r="G211" s="2">
        <f t="shared" si="18"/>
        <v>6.922</v>
      </c>
      <c r="H211" s="11" t="str">
        <f t="shared" si="19"/>
        <v>3.548E-2</v>
      </c>
      <c r="I211" s="2">
        <f t="shared" si="20"/>
        <v>68.1</v>
      </c>
      <c r="J211" s="4">
        <f t="shared" si="21"/>
        <v>6.922</v>
      </c>
      <c r="K211" s="9">
        <f t="shared" si="22"/>
        <v>21.2</v>
      </c>
      <c r="L211" s="1">
        <f t="shared" si="23"/>
        <v>-0.399999999999984</v>
      </c>
    </row>
    <row r="212" s="1" customFormat="1" spans="1:12">
      <c r="A212" s="2">
        <v>6.989</v>
      </c>
      <c r="B212" s="10" t="s">
        <v>207</v>
      </c>
      <c r="C212" s="4">
        <v>6.989</v>
      </c>
      <c r="D212" s="5">
        <v>68.1</v>
      </c>
      <c r="E212" s="4"/>
      <c r="F212" s="4"/>
      <c r="G212" s="2">
        <f t="shared" si="18"/>
        <v>6.956</v>
      </c>
      <c r="H212" s="11" t="str">
        <f t="shared" si="19"/>
        <v>3.544E-2</v>
      </c>
      <c r="I212" s="2">
        <f t="shared" si="20"/>
        <v>68.1</v>
      </c>
      <c r="J212" s="4">
        <f t="shared" si="21"/>
        <v>6.956</v>
      </c>
      <c r="K212" s="9">
        <f t="shared" si="22"/>
        <v>20.8</v>
      </c>
      <c r="L212" s="1">
        <f t="shared" si="23"/>
        <v>-0.399999999999984</v>
      </c>
    </row>
    <row r="213" s="1" customFormat="1" spans="1:12">
      <c r="A213" s="2">
        <v>7.023</v>
      </c>
      <c r="B213" s="10" t="s">
        <v>206</v>
      </c>
      <c r="C213" s="4">
        <v>7.023</v>
      </c>
      <c r="D213" s="5">
        <v>68.2</v>
      </c>
      <c r="E213" s="4"/>
      <c r="F213" s="4"/>
      <c r="G213" s="2">
        <f t="shared" si="18"/>
        <v>6.989</v>
      </c>
      <c r="H213" s="11" t="str">
        <f t="shared" si="19"/>
        <v>3.541E-2</v>
      </c>
      <c r="I213" s="2">
        <f t="shared" si="20"/>
        <v>68.1</v>
      </c>
      <c r="J213" s="4">
        <f t="shared" si="21"/>
        <v>6.989</v>
      </c>
      <c r="K213" s="9">
        <f t="shared" si="22"/>
        <v>20.5</v>
      </c>
      <c r="L213" s="1">
        <f t="shared" si="23"/>
        <v>-0.399999999999984</v>
      </c>
    </row>
    <row r="214" s="1" customFormat="1" spans="1:12">
      <c r="A214" s="2">
        <v>7.056</v>
      </c>
      <c r="B214" s="10" t="s">
        <v>199</v>
      </c>
      <c r="C214" s="4">
        <v>7.056</v>
      </c>
      <c r="D214" s="5">
        <v>68.2</v>
      </c>
      <c r="E214" s="4"/>
      <c r="F214" s="4"/>
      <c r="G214" s="2">
        <f t="shared" si="18"/>
        <v>7.023</v>
      </c>
      <c r="H214" s="11" t="str">
        <f t="shared" si="19"/>
        <v>3.534E-2</v>
      </c>
      <c r="I214" s="2">
        <f t="shared" si="20"/>
        <v>68.2</v>
      </c>
      <c r="J214" s="4">
        <f t="shared" si="21"/>
        <v>7.023</v>
      </c>
      <c r="K214" s="9">
        <f t="shared" si="22"/>
        <v>19.8</v>
      </c>
      <c r="L214" s="1">
        <f t="shared" si="23"/>
        <v>-0.399999999999984</v>
      </c>
    </row>
    <row r="215" s="1" customFormat="1" spans="1:12">
      <c r="A215" s="2">
        <v>7.09</v>
      </c>
      <c r="B215" s="10" t="s">
        <v>232</v>
      </c>
      <c r="C215" s="4">
        <v>7.09</v>
      </c>
      <c r="D215" s="5">
        <v>68.1</v>
      </c>
      <c r="E215" s="4"/>
      <c r="F215" s="4"/>
      <c r="G215" s="2">
        <f t="shared" si="18"/>
        <v>7.056</v>
      </c>
      <c r="H215" s="11" t="str">
        <f t="shared" si="19"/>
        <v>3.529E-2</v>
      </c>
      <c r="I215" s="2">
        <f t="shared" si="20"/>
        <v>68.2</v>
      </c>
      <c r="J215" s="4">
        <f t="shared" si="21"/>
        <v>7.056</v>
      </c>
      <c r="K215" s="9">
        <f t="shared" si="22"/>
        <v>19.3</v>
      </c>
      <c r="L215" s="1">
        <f t="shared" si="23"/>
        <v>-0.399999999999984</v>
      </c>
    </row>
    <row r="216" s="1" customFormat="1" spans="1:12">
      <c r="A216" s="2">
        <v>7.123</v>
      </c>
      <c r="B216" s="10" t="s">
        <v>190</v>
      </c>
      <c r="C216" s="4">
        <v>7.123</v>
      </c>
      <c r="D216" s="5">
        <v>68.1</v>
      </c>
      <c r="E216" s="4"/>
      <c r="F216" s="4"/>
      <c r="G216" s="2">
        <f t="shared" si="18"/>
        <v>7.09</v>
      </c>
      <c r="H216" s="11" t="str">
        <f t="shared" si="19"/>
        <v>3.512E-2</v>
      </c>
      <c r="I216" s="2">
        <f t="shared" si="20"/>
        <v>68.1</v>
      </c>
      <c r="J216" s="4">
        <f t="shared" si="21"/>
        <v>7.09</v>
      </c>
      <c r="K216" s="9">
        <f t="shared" si="22"/>
        <v>17.6</v>
      </c>
      <c r="L216" s="1">
        <f t="shared" si="23"/>
        <v>-0.399999999999984</v>
      </c>
    </row>
    <row r="217" s="1" customFormat="1" spans="1:12">
      <c r="A217" s="2">
        <v>7.156</v>
      </c>
      <c r="B217" s="10" t="s">
        <v>60</v>
      </c>
      <c r="C217" s="4">
        <v>7.156</v>
      </c>
      <c r="D217" s="5">
        <v>68.2</v>
      </c>
      <c r="E217" s="4"/>
      <c r="F217" s="4"/>
      <c r="G217" s="2">
        <f t="shared" si="18"/>
        <v>7.123</v>
      </c>
      <c r="H217" s="11" t="str">
        <f t="shared" si="19"/>
        <v>3.499E-2</v>
      </c>
      <c r="I217" s="2">
        <f t="shared" si="20"/>
        <v>68.1</v>
      </c>
      <c r="J217" s="4">
        <f t="shared" si="21"/>
        <v>7.123</v>
      </c>
      <c r="K217" s="9">
        <f t="shared" si="22"/>
        <v>16.3</v>
      </c>
      <c r="L217" s="1">
        <f t="shared" si="23"/>
        <v>-0.399999999999984</v>
      </c>
    </row>
    <row r="218" s="1" customFormat="1" spans="1:12">
      <c r="A218" s="2">
        <v>7.19</v>
      </c>
      <c r="B218" s="10" t="s">
        <v>204</v>
      </c>
      <c r="C218" s="4">
        <v>7.19</v>
      </c>
      <c r="D218" s="5">
        <v>68.2</v>
      </c>
      <c r="E218" s="4"/>
      <c r="F218" s="4"/>
      <c r="G218" s="2">
        <f t="shared" si="18"/>
        <v>7.156</v>
      </c>
      <c r="H218" s="11" t="str">
        <f t="shared" si="19"/>
        <v>3.483E-2</v>
      </c>
      <c r="I218" s="2">
        <f t="shared" si="20"/>
        <v>68.2</v>
      </c>
      <c r="J218" s="4">
        <f t="shared" si="21"/>
        <v>7.156</v>
      </c>
      <c r="K218" s="9">
        <f t="shared" si="22"/>
        <v>14.7</v>
      </c>
      <c r="L218" s="1">
        <f t="shared" si="23"/>
        <v>-0.399999999999984</v>
      </c>
    </row>
    <row r="219" s="1" customFormat="1" spans="1:12">
      <c r="A219" s="2">
        <v>7.223</v>
      </c>
      <c r="B219" s="10" t="s">
        <v>42</v>
      </c>
      <c r="C219" s="4">
        <v>7.223</v>
      </c>
      <c r="D219" s="5">
        <v>68.2</v>
      </c>
      <c r="E219" s="4"/>
      <c r="F219" s="4"/>
      <c r="G219" s="2">
        <f t="shared" si="18"/>
        <v>7.19</v>
      </c>
      <c r="H219" s="11" t="str">
        <f t="shared" si="19"/>
        <v>3.468E-2</v>
      </c>
      <c r="I219" s="2">
        <f t="shared" si="20"/>
        <v>68.2</v>
      </c>
      <c r="J219" s="4">
        <f t="shared" si="21"/>
        <v>7.19</v>
      </c>
      <c r="K219" s="9">
        <f t="shared" si="22"/>
        <v>13.2</v>
      </c>
      <c r="L219" s="1">
        <f t="shared" si="23"/>
        <v>-0.399999999999984</v>
      </c>
    </row>
    <row r="220" s="1" customFormat="1" spans="1:12">
      <c r="A220" s="2">
        <v>7.257</v>
      </c>
      <c r="B220" s="10" t="s">
        <v>43</v>
      </c>
      <c r="C220" s="4">
        <v>7.257</v>
      </c>
      <c r="D220" s="5">
        <v>68.2</v>
      </c>
      <c r="E220" s="4"/>
      <c r="F220" s="4"/>
      <c r="G220" s="2">
        <f t="shared" si="18"/>
        <v>7.223</v>
      </c>
      <c r="H220" s="11" t="str">
        <f t="shared" si="19"/>
        <v>3.450E-2</v>
      </c>
      <c r="I220" s="2">
        <f t="shared" si="20"/>
        <v>68.2</v>
      </c>
      <c r="J220" s="4">
        <f t="shared" si="21"/>
        <v>7.223</v>
      </c>
      <c r="K220" s="9">
        <f t="shared" si="22"/>
        <v>11.4</v>
      </c>
      <c r="L220" s="1">
        <f t="shared" si="23"/>
        <v>-0.399999999999984</v>
      </c>
    </row>
    <row r="221" s="1" customFormat="1" spans="1:12">
      <c r="A221" s="2">
        <v>7.29</v>
      </c>
      <c r="B221" s="10" t="s">
        <v>20</v>
      </c>
      <c r="C221" s="4">
        <v>7.29</v>
      </c>
      <c r="D221" s="5">
        <v>253.8</v>
      </c>
      <c r="E221" s="4"/>
      <c r="F221" s="4"/>
      <c r="G221" s="2">
        <f t="shared" si="18"/>
        <v>7.257</v>
      </c>
      <c r="H221" s="11" t="str">
        <f t="shared" si="19"/>
        <v>3.441E-2</v>
      </c>
      <c r="I221" s="2">
        <f t="shared" si="20"/>
        <v>68.2</v>
      </c>
      <c r="J221" s="4">
        <f t="shared" si="21"/>
        <v>7.257</v>
      </c>
      <c r="K221" s="9">
        <f t="shared" si="22"/>
        <v>10.5</v>
      </c>
      <c r="L221" s="1">
        <f t="shared" si="23"/>
        <v>-0.399999999999984</v>
      </c>
    </row>
    <row r="222" s="1" customFormat="1" spans="1:12">
      <c r="A222" s="2">
        <v>7.324</v>
      </c>
      <c r="B222" s="10" t="s">
        <v>249</v>
      </c>
      <c r="C222" s="4">
        <v>7.324</v>
      </c>
      <c r="D222" s="5">
        <v>253.7</v>
      </c>
      <c r="E222" s="4"/>
      <c r="F222" s="4"/>
      <c r="G222" s="2">
        <f t="shared" si="18"/>
        <v>7.29</v>
      </c>
      <c r="H222" s="11" t="str">
        <f t="shared" si="19"/>
        <v>3.430E-2</v>
      </c>
      <c r="I222" s="2">
        <f t="shared" si="20"/>
        <v>253.8</v>
      </c>
      <c r="J222" s="4">
        <f t="shared" si="21"/>
        <v>7.29</v>
      </c>
      <c r="K222" s="9">
        <f t="shared" si="22"/>
        <v>9.39999999999996</v>
      </c>
      <c r="L222" s="1">
        <f t="shared" si="23"/>
        <v>30.5</v>
      </c>
    </row>
    <row r="223" s="1" customFormat="1" spans="1:12">
      <c r="A223" s="2">
        <v>7.357</v>
      </c>
      <c r="B223" s="10" t="s">
        <v>230</v>
      </c>
      <c r="C223" s="4">
        <v>7.357</v>
      </c>
      <c r="D223" s="5">
        <v>253.7</v>
      </c>
      <c r="E223" s="4"/>
      <c r="F223" s="4"/>
      <c r="G223" s="2">
        <f t="shared" si="18"/>
        <v>7.324</v>
      </c>
      <c r="H223" s="11" t="str">
        <f t="shared" si="19"/>
        <v>3.417E-2</v>
      </c>
      <c r="I223" s="2">
        <f t="shared" si="20"/>
        <v>253.7</v>
      </c>
      <c r="J223" s="4">
        <f t="shared" si="21"/>
        <v>7.324</v>
      </c>
      <c r="K223" s="9">
        <f t="shared" si="22"/>
        <v>8.09999999999998</v>
      </c>
      <c r="L223" s="1">
        <f t="shared" si="23"/>
        <v>30.5</v>
      </c>
    </row>
    <row r="224" s="1" customFormat="1" spans="1:12">
      <c r="A224" s="2">
        <v>7.391</v>
      </c>
      <c r="B224" s="10" t="s">
        <v>47</v>
      </c>
      <c r="C224" s="4">
        <v>7.391</v>
      </c>
      <c r="D224" s="5">
        <v>253.7</v>
      </c>
      <c r="E224" s="4"/>
      <c r="F224" s="4"/>
      <c r="G224" s="2">
        <f t="shared" si="18"/>
        <v>7.357</v>
      </c>
      <c r="H224" s="11" t="str">
        <f t="shared" si="19"/>
        <v>3.409E-2</v>
      </c>
      <c r="I224" s="2">
        <f t="shared" si="20"/>
        <v>253.7</v>
      </c>
      <c r="J224" s="4">
        <f t="shared" si="21"/>
        <v>7.357</v>
      </c>
      <c r="K224" s="9">
        <f t="shared" si="22"/>
        <v>7.30000000000001</v>
      </c>
      <c r="L224" s="1">
        <f t="shared" si="23"/>
        <v>30.5</v>
      </c>
    </row>
    <row r="225" s="1" customFormat="1" spans="1:12">
      <c r="A225" s="2">
        <v>7.424</v>
      </c>
      <c r="B225" s="10" t="s">
        <v>49</v>
      </c>
      <c r="C225" s="4">
        <v>7.424</v>
      </c>
      <c r="D225" s="5">
        <v>253.7</v>
      </c>
      <c r="E225" s="4"/>
      <c r="F225" s="4"/>
      <c r="G225" s="2">
        <f t="shared" si="18"/>
        <v>7.391</v>
      </c>
      <c r="H225" s="11" t="str">
        <f t="shared" si="19"/>
        <v>3.394E-2</v>
      </c>
      <c r="I225" s="2">
        <f t="shared" si="20"/>
        <v>253.7</v>
      </c>
      <c r="J225" s="4">
        <f t="shared" si="21"/>
        <v>7.391</v>
      </c>
      <c r="K225" s="9">
        <f t="shared" si="22"/>
        <v>5.79999999999997</v>
      </c>
      <c r="L225" s="1">
        <f t="shared" si="23"/>
        <v>30.5</v>
      </c>
    </row>
    <row r="226" s="1" customFormat="1" spans="1:12">
      <c r="A226" s="2">
        <v>7.457</v>
      </c>
      <c r="B226" s="10" t="s">
        <v>86</v>
      </c>
      <c r="C226" s="4">
        <v>7.457</v>
      </c>
      <c r="D226" s="5">
        <v>253.7</v>
      </c>
      <c r="E226" s="4"/>
      <c r="F226" s="4"/>
      <c r="G226" s="2">
        <f t="shared" si="18"/>
        <v>7.424</v>
      </c>
      <c r="H226" s="11" t="str">
        <f t="shared" si="19"/>
        <v>3.386E-2</v>
      </c>
      <c r="I226" s="2">
        <f t="shared" si="20"/>
        <v>253.7</v>
      </c>
      <c r="J226" s="4">
        <f t="shared" si="21"/>
        <v>7.424</v>
      </c>
      <c r="K226" s="9">
        <f t="shared" si="22"/>
        <v>5</v>
      </c>
      <c r="L226" s="1">
        <f t="shared" si="23"/>
        <v>30.5</v>
      </c>
    </row>
    <row r="227" s="1" customFormat="1" spans="1:12">
      <c r="A227" s="2">
        <v>7.491</v>
      </c>
      <c r="B227" s="10" t="s">
        <v>256</v>
      </c>
      <c r="C227" s="4">
        <v>7.491</v>
      </c>
      <c r="D227" s="5">
        <v>253.7</v>
      </c>
      <c r="E227" s="4"/>
      <c r="F227" s="4"/>
      <c r="G227" s="2">
        <f t="shared" si="18"/>
        <v>7.457</v>
      </c>
      <c r="H227" s="11" t="str">
        <f t="shared" si="19"/>
        <v>3.379E-2</v>
      </c>
      <c r="I227" s="2">
        <f t="shared" si="20"/>
        <v>253.7</v>
      </c>
      <c r="J227" s="4">
        <f t="shared" si="21"/>
        <v>7.457</v>
      </c>
      <c r="K227" s="9">
        <f t="shared" si="22"/>
        <v>4.3</v>
      </c>
      <c r="L227" s="1">
        <f t="shared" si="23"/>
        <v>30.5</v>
      </c>
    </row>
    <row r="228" s="1" customFormat="1" spans="1:12">
      <c r="A228" s="2">
        <v>7.524</v>
      </c>
      <c r="B228" s="10" t="s">
        <v>278</v>
      </c>
      <c r="C228" s="4">
        <v>7.524</v>
      </c>
      <c r="D228" s="5">
        <v>253.7</v>
      </c>
      <c r="E228" s="4"/>
      <c r="F228" s="4"/>
      <c r="G228" s="2">
        <f t="shared" si="18"/>
        <v>7.491</v>
      </c>
      <c r="H228" s="11" t="str">
        <f t="shared" si="19"/>
        <v>3.367E-2</v>
      </c>
      <c r="I228" s="2">
        <f t="shared" si="20"/>
        <v>253.7</v>
      </c>
      <c r="J228" s="4">
        <f t="shared" si="21"/>
        <v>7.491</v>
      </c>
      <c r="K228" s="9">
        <f t="shared" si="22"/>
        <v>3.09999999999998</v>
      </c>
      <c r="L228" s="1">
        <f t="shared" si="23"/>
        <v>30.5</v>
      </c>
    </row>
    <row r="229" s="1" customFormat="1" spans="1:12">
      <c r="A229" s="2">
        <v>7.558</v>
      </c>
      <c r="B229" s="10" t="s">
        <v>279</v>
      </c>
      <c r="C229" s="4">
        <v>7.558</v>
      </c>
      <c r="D229" s="5">
        <v>253.7</v>
      </c>
      <c r="E229" s="4"/>
      <c r="F229" s="4"/>
      <c r="G229" s="2">
        <f t="shared" si="18"/>
        <v>7.524</v>
      </c>
      <c r="H229" s="11" t="str">
        <f t="shared" si="19"/>
        <v>3.363E-2</v>
      </c>
      <c r="I229" s="2">
        <f t="shared" si="20"/>
        <v>253.7</v>
      </c>
      <c r="J229" s="4">
        <f t="shared" si="21"/>
        <v>7.524</v>
      </c>
      <c r="K229" s="9">
        <f t="shared" si="22"/>
        <v>2.69999999999999</v>
      </c>
      <c r="L229" s="1">
        <f t="shared" si="23"/>
        <v>30.5</v>
      </c>
    </row>
    <row r="230" s="1" customFormat="1" spans="1:12">
      <c r="A230" s="2">
        <v>7.591</v>
      </c>
      <c r="B230" s="10" t="s">
        <v>278</v>
      </c>
      <c r="C230" s="4">
        <v>7.591</v>
      </c>
      <c r="D230" s="5">
        <v>253.7</v>
      </c>
      <c r="E230" s="4"/>
      <c r="F230" s="4"/>
      <c r="G230" s="2">
        <f t="shared" si="18"/>
        <v>7.558</v>
      </c>
      <c r="H230" s="11" t="str">
        <f t="shared" si="19"/>
        <v>3.362E-2</v>
      </c>
      <c r="I230" s="2">
        <f t="shared" si="20"/>
        <v>253.7</v>
      </c>
      <c r="J230" s="4">
        <f t="shared" si="21"/>
        <v>7.558</v>
      </c>
      <c r="K230" s="9">
        <f t="shared" si="22"/>
        <v>2.59999999999996</v>
      </c>
      <c r="L230" s="1">
        <f t="shared" si="23"/>
        <v>30.5</v>
      </c>
    </row>
    <row r="231" s="1" customFormat="1" spans="1:12">
      <c r="A231" s="2">
        <v>7.625</v>
      </c>
      <c r="B231" s="10" t="s">
        <v>255</v>
      </c>
      <c r="C231" s="4">
        <v>7.625</v>
      </c>
      <c r="D231" s="5">
        <v>253.7</v>
      </c>
      <c r="E231" s="4"/>
      <c r="F231" s="4"/>
      <c r="G231" s="2">
        <f t="shared" si="18"/>
        <v>7.591</v>
      </c>
      <c r="H231" s="11" t="str">
        <f t="shared" si="19"/>
        <v>3.363E-2</v>
      </c>
      <c r="I231" s="2">
        <f t="shared" si="20"/>
        <v>253.7</v>
      </c>
      <c r="J231" s="4">
        <f t="shared" si="21"/>
        <v>7.591</v>
      </c>
      <c r="K231" s="9">
        <f t="shared" si="22"/>
        <v>2.69999999999999</v>
      </c>
      <c r="L231" s="1">
        <f t="shared" si="23"/>
        <v>30.5</v>
      </c>
    </row>
    <row r="232" s="1" customFormat="1" spans="1:12">
      <c r="A232" s="2">
        <v>7.658</v>
      </c>
      <c r="B232" s="10" t="s">
        <v>241</v>
      </c>
      <c r="C232" s="4">
        <v>7.658</v>
      </c>
      <c r="D232" s="5">
        <v>253.7</v>
      </c>
      <c r="E232" s="4"/>
      <c r="F232" s="4"/>
      <c r="G232" s="2">
        <f t="shared" si="18"/>
        <v>7.625</v>
      </c>
      <c r="H232" s="11" t="str">
        <f t="shared" si="19"/>
        <v>3.366E-2</v>
      </c>
      <c r="I232" s="2">
        <f t="shared" si="20"/>
        <v>253.7</v>
      </c>
      <c r="J232" s="4">
        <f t="shared" si="21"/>
        <v>7.625</v>
      </c>
      <c r="K232" s="9">
        <f t="shared" si="22"/>
        <v>3.00000000000002</v>
      </c>
      <c r="L232" s="1">
        <f t="shared" si="23"/>
        <v>30.5</v>
      </c>
    </row>
    <row r="233" s="1" customFormat="1" spans="1:12">
      <c r="A233" s="2">
        <v>7.692</v>
      </c>
      <c r="B233" s="10" t="s">
        <v>51</v>
      </c>
      <c r="C233" s="4">
        <v>7.692</v>
      </c>
      <c r="D233" s="5">
        <v>253.7</v>
      </c>
      <c r="E233" s="4"/>
      <c r="F233" s="4"/>
      <c r="G233" s="2">
        <f t="shared" si="18"/>
        <v>7.658</v>
      </c>
      <c r="H233" s="11" t="str">
        <f t="shared" si="19"/>
        <v>3.369E-2</v>
      </c>
      <c r="I233" s="2">
        <f t="shared" si="20"/>
        <v>253.7</v>
      </c>
      <c r="J233" s="4">
        <f t="shared" si="21"/>
        <v>7.658</v>
      </c>
      <c r="K233" s="9">
        <f t="shared" si="22"/>
        <v>3.29999999999997</v>
      </c>
      <c r="L233" s="1">
        <f t="shared" si="23"/>
        <v>30.5</v>
      </c>
    </row>
    <row r="234" s="1" customFormat="1" spans="1:12">
      <c r="A234" s="2">
        <v>7.725</v>
      </c>
      <c r="B234" s="10" t="s">
        <v>251</v>
      </c>
      <c r="C234" s="4">
        <v>7.725</v>
      </c>
      <c r="D234" s="5">
        <v>253.7</v>
      </c>
      <c r="E234" s="4"/>
      <c r="F234" s="4"/>
      <c r="G234" s="2">
        <f t="shared" si="18"/>
        <v>7.692</v>
      </c>
      <c r="H234" s="11" t="str">
        <f t="shared" si="19"/>
        <v>3.373E-2</v>
      </c>
      <c r="I234" s="2">
        <f t="shared" si="20"/>
        <v>253.7</v>
      </c>
      <c r="J234" s="4">
        <f t="shared" si="21"/>
        <v>7.692</v>
      </c>
      <c r="K234" s="9">
        <f t="shared" si="22"/>
        <v>3.70000000000002</v>
      </c>
      <c r="L234" s="1">
        <f t="shared" si="23"/>
        <v>30.5</v>
      </c>
    </row>
    <row r="235" s="1" customFormat="1" spans="1:12">
      <c r="A235" s="2">
        <v>7.758</v>
      </c>
      <c r="B235" s="10" t="s">
        <v>85</v>
      </c>
      <c r="C235" s="4">
        <v>7.758</v>
      </c>
      <c r="D235" s="5">
        <v>253.7</v>
      </c>
      <c r="E235" s="4"/>
      <c r="F235" s="4"/>
      <c r="G235" s="2">
        <f t="shared" si="18"/>
        <v>7.725</v>
      </c>
      <c r="H235" s="11" t="str">
        <f t="shared" si="19"/>
        <v>3.380E-2</v>
      </c>
      <c r="I235" s="2">
        <f t="shared" si="20"/>
        <v>253.7</v>
      </c>
      <c r="J235" s="4">
        <f t="shared" si="21"/>
        <v>7.725</v>
      </c>
      <c r="K235" s="9">
        <f t="shared" si="22"/>
        <v>4.39999999999996</v>
      </c>
      <c r="L235" s="1">
        <f t="shared" si="23"/>
        <v>30.5</v>
      </c>
    </row>
    <row r="236" s="1" customFormat="1" spans="1:12">
      <c r="A236" s="2">
        <v>7.792</v>
      </c>
      <c r="B236" s="10" t="s">
        <v>46</v>
      </c>
      <c r="C236" s="4">
        <v>7.792</v>
      </c>
      <c r="D236" s="5">
        <v>253.8</v>
      </c>
      <c r="E236" s="4"/>
      <c r="F236" s="4"/>
      <c r="G236" s="2">
        <f t="shared" si="18"/>
        <v>7.758</v>
      </c>
      <c r="H236" s="11" t="str">
        <f t="shared" si="19"/>
        <v>3.388E-2</v>
      </c>
      <c r="I236" s="2">
        <f t="shared" si="20"/>
        <v>253.7</v>
      </c>
      <c r="J236" s="4">
        <f t="shared" si="21"/>
        <v>7.758</v>
      </c>
      <c r="K236" s="9">
        <f t="shared" si="22"/>
        <v>5.2</v>
      </c>
      <c r="L236" s="1">
        <f t="shared" si="23"/>
        <v>30.5</v>
      </c>
    </row>
    <row r="237" s="1" customFormat="1" spans="1:12">
      <c r="A237" s="2">
        <v>7.825</v>
      </c>
      <c r="B237" s="10" t="s">
        <v>117</v>
      </c>
      <c r="C237" s="4">
        <v>7.825</v>
      </c>
      <c r="D237" s="5">
        <v>253.8</v>
      </c>
      <c r="E237" s="4"/>
      <c r="F237" s="4"/>
      <c r="G237" s="2">
        <f t="shared" si="18"/>
        <v>7.792</v>
      </c>
      <c r="H237" s="11" t="str">
        <f t="shared" si="19"/>
        <v>3.401E-2</v>
      </c>
      <c r="I237" s="2">
        <f t="shared" si="20"/>
        <v>253.8</v>
      </c>
      <c r="J237" s="4">
        <f t="shared" si="21"/>
        <v>7.792</v>
      </c>
      <c r="K237" s="9">
        <f t="shared" si="22"/>
        <v>6.49999999999998</v>
      </c>
      <c r="L237" s="1">
        <f t="shared" si="23"/>
        <v>30.5</v>
      </c>
    </row>
    <row r="238" s="1" customFormat="1" spans="1:12">
      <c r="A238" s="2">
        <v>7.859</v>
      </c>
      <c r="B238" s="10" t="s">
        <v>11</v>
      </c>
      <c r="C238" s="4">
        <v>7.859</v>
      </c>
      <c r="D238" s="5">
        <v>253.8</v>
      </c>
      <c r="E238" s="4"/>
      <c r="F238" s="4"/>
      <c r="G238" s="2">
        <f t="shared" si="18"/>
        <v>7.825</v>
      </c>
      <c r="H238" s="11" t="str">
        <f t="shared" si="19"/>
        <v>3.412E-2</v>
      </c>
      <c r="I238" s="2">
        <f t="shared" si="20"/>
        <v>253.8</v>
      </c>
      <c r="J238" s="4">
        <f t="shared" si="21"/>
        <v>7.825</v>
      </c>
      <c r="K238" s="9">
        <f t="shared" si="22"/>
        <v>7.59999999999997</v>
      </c>
      <c r="L238" s="1">
        <f t="shared" si="23"/>
        <v>30.5</v>
      </c>
    </row>
    <row r="239" s="1" customFormat="1" spans="1:12">
      <c r="A239" s="2">
        <v>7.892</v>
      </c>
      <c r="B239" s="10" t="s">
        <v>144</v>
      </c>
      <c r="C239" s="4">
        <v>7.892</v>
      </c>
      <c r="D239" s="5">
        <v>253.7</v>
      </c>
      <c r="E239" s="4"/>
      <c r="F239" s="4"/>
      <c r="G239" s="2">
        <f t="shared" si="18"/>
        <v>7.859</v>
      </c>
      <c r="H239" s="11" t="str">
        <f t="shared" si="19"/>
        <v>3.432E-2</v>
      </c>
      <c r="I239" s="2">
        <f t="shared" si="20"/>
        <v>253.8</v>
      </c>
      <c r="J239" s="4">
        <f t="shared" si="21"/>
        <v>7.859</v>
      </c>
      <c r="K239" s="9">
        <f t="shared" si="22"/>
        <v>9.60000000000002</v>
      </c>
      <c r="L239" s="1">
        <f t="shared" si="23"/>
        <v>30.5</v>
      </c>
    </row>
    <row r="240" s="1" customFormat="1" spans="1:12">
      <c r="A240" s="2">
        <v>7.926</v>
      </c>
      <c r="B240" s="10" t="s">
        <v>217</v>
      </c>
      <c r="C240" s="4">
        <v>7.926</v>
      </c>
      <c r="D240" s="5">
        <v>253.7</v>
      </c>
      <c r="E240" s="4"/>
      <c r="F240" s="4"/>
      <c r="G240" s="2">
        <f t="shared" si="18"/>
        <v>7.892</v>
      </c>
      <c r="H240" s="11" t="str">
        <f t="shared" si="19"/>
        <v>3.449E-2</v>
      </c>
      <c r="I240" s="2">
        <f t="shared" si="20"/>
        <v>253.7</v>
      </c>
      <c r="J240" s="4">
        <f t="shared" si="21"/>
        <v>7.892</v>
      </c>
      <c r="K240" s="9">
        <f t="shared" si="22"/>
        <v>11.3</v>
      </c>
      <c r="L240" s="1">
        <f t="shared" si="23"/>
        <v>30.5</v>
      </c>
    </row>
    <row r="241" s="1" customFormat="1" spans="1:12">
      <c r="A241" s="2">
        <v>7.959</v>
      </c>
      <c r="B241" s="10" t="s">
        <v>139</v>
      </c>
      <c r="C241" s="4">
        <v>7.959</v>
      </c>
      <c r="D241" s="5">
        <v>253.7</v>
      </c>
      <c r="E241" s="4"/>
      <c r="F241" s="4"/>
      <c r="G241" s="2">
        <f t="shared" si="18"/>
        <v>7.926</v>
      </c>
      <c r="H241" s="11" t="str">
        <f t="shared" si="19"/>
        <v>3.467E-2</v>
      </c>
      <c r="I241" s="2">
        <f t="shared" si="20"/>
        <v>253.7</v>
      </c>
      <c r="J241" s="4">
        <f t="shared" si="21"/>
        <v>7.926</v>
      </c>
      <c r="K241" s="9">
        <f t="shared" si="22"/>
        <v>13.1</v>
      </c>
      <c r="L241" s="1">
        <f t="shared" si="23"/>
        <v>30.5</v>
      </c>
    </row>
    <row r="242" s="1" customFormat="1" spans="1:12">
      <c r="A242" s="2">
        <v>7.992</v>
      </c>
      <c r="B242" s="10" t="s">
        <v>165</v>
      </c>
      <c r="C242" s="4">
        <v>7.992</v>
      </c>
      <c r="D242" s="5">
        <v>253.7</v>
      </c>
      <c r="E242" s="4"/>
      <c r="F242" s="4"/>
      <c r="G242" s="2">
        <f t="shared" si="18"/>
        <v>7.959</v>
      </c>
      <c r="H242" s="11" t="str">
        <f t="shared" si="19"/>
        <v>3.485E-2</v>
      </c>
      <c r="I242" s="2">
        <f t="shared" si="20"/>
        <v>253.7</v>
      </c>
      <c r="J242" s="4">
        <f t="shared" si="21"/>
        <v>7.959</v>
      </c>
      <c r="K242" s="9">
        <f t="shared" si="22"/>
        <v>14.9</v>
      </c>
      <c r="L242" s="1">
        <f t="shared" si="23"/>
        <v>30.5</v>
      </c>
    </row>
    <row r="243" s="1" customFormat="1" spans="1:12">
      <c r="A243" s="2">
        <v>8.026</v>
      </c>
      <c r="B243" s="10" t="s">
        <v>62</v>
      </c>
      <c r="C243" s="4">
        <v>8.026</v>
      </c>
      <c r="D243" s="5">
        <v>253.8</v>
      </c>
      <c r="E243" s="4"/>
      <c r="F243" s="4"/>
      <c r="G243" s="2">
        <f t="shared" si="18"/>
        <v>7.992</v>
      </c>
      <c r="H243" s="11" t="str">
        <f t="shared" si="19"/>
        <v>3.505E-2</v>
      </c>
      <c r="I243" s="2">
        <f t="shared" si="20"/>
        <v>253.7</v>
      </c>
      <c r="J243" s="4">
        <f t="shared" si="21"/>
        <v>7.992</v>
      </c>
      <c r="K243" s="9">
        <f t="shared" si="22"/>
        <v>16.9</v>
      </c>
      <c r="L243" s="1">
        <f t="shared" si="23"/>
        <v>30.5</v>
      </c>
    </row>
    <row r="244" s="1" customFormat="1" spans="1:12">
      <c r="A244" s="2">
        <v>8.059</v>
      </c>
      <c r="B244" s="10" t="s">
        <v>63</v>
      </c>
      <c r="C244" s="4">
        <v>8.059</v>
      </c>
      <c r="D244" s="5">
        <v>251.9</v>
      </c>
      <c r="E244" s="4"/>
      <c r="F244" s="4"/>
      <c r="G244" s="2">
        <f t="shared" si="18"/>
        <v>8.026</v>
      </c>
      <c r="H244" s="11" t="str">
        <f t="shared" si="19"/>
        <v>3.527E-2</v>
      </c>
      <c r="I244" s="2">
        <f t="shared" si="20"/>
        <v>253.8</v>
      </c>
      <c r="J244" s="4">
        <f t="shared" si="21"/>
        <v>8.026</v>
      </c>
      <c r="K244" s="9">
        <f t="shared" si="22"/>
        <v>19.1</v>
      </c>
      <c r="L244" s="1">
        <f t="shared" si="23"/>
        <v>30.5</v>
      </c>
    </row>
    <row r="245" s="1" customFormat="1" spans="1:12">
      <c r="A245" s="2">
        <v>8.093</v>
      </c>
      <c r="B245" s="10" t="s">
        <v>208</v>
      </c>
      <c r="C245" s="4">
        <v>8.093</v>
      </c>
      <c r="D245" s="5">
        <v>76.1</v>
      </c>
      <c r="E245" s="4"/>
      <c r="F245" s="4"/>
      <c r="G245" s="2">
        <f t="shared" si="18"/>
        <v>8.059</v>
      </c>
      <c r="H245" s="11" t="str">
        <f t="shared" si="19"/>
        <v>3.542E-2</v>
      </c>
      <c r="I245" s="2">
        <f t="shared" si="20"/>
        <v>251.9</v>
      </c>
      <c r="J245" s="4">
        <f t="shared" si="21"/>
        <v>8.059</v>
      </c>
      <c r="K245" s="9">
        <f t="shared" si="22"/>
        <v>20.6</v>
      </c>
      <c r="L245" s="1">
        <f t="shared" si="23"/>
        <v>30.5</v>
      </c>
    </row>
    <row r="246" s="1" customFormat="1" spans="1:12">
      <c r="A246" s="2">
        <v>8.126</v>
      </c>
      <c r="B246" s="10" t="s">
        <v>211</v>
      </c>
      <c r="C246" s="4">
        <v>8.126</v>
      </c>
      <c r="D246" s="5">
        <v>96</v>
      </c>
      <c r="E246" s="4"/>
      <c r="F246" s="4"/>
      <c r="G246" s="2">
        <f t="shared" si="18"/>
        <v>8.093</v>
      </c>
      <c r="H246" s="11" t="str">
        <f t="shared" si="19"/>
        <v>3.555E-2</v>
      </c>
      <c r="I246" s="2">
        <f t="shared" si="20"/>
        <v>76.1</v>
      </c>
      <c r="J246" s="4">
        <f t="shared" si="21"/>
        <v>8.093</v>
      </c>
      <c r="K246" s="9">
        <f t="shared" si="22"/>
        <v>21.9</v>
      </c>
      <c r="L246" s="1">
        <f t="shared" si="23"/>
        <v>-0.399999999999984</v>
      </c>
    </row>
    <row r="247" s="1" customFormat="1" spans="1:12">
      <c r="A247" s="2">
        <v>8.16</v>
      </c>
      <c r="B247" s="10" t="s">
        <v>71</v>
      </c>
      <c r="C247" s="4">
        <v>8.16</v>
      </c>
      <c r="D247" s="5">
        <v>92.7</v>
      </c>
      <c r="E247" s="4"/>
      <c r="F247" s="4"/>
      <c r="G247" s="2">
        <f t="shared" si="18"/>
        <v>8.126</v>
      </c>
      <c r="H247" s="11" t="str">
        <f t="shared" si="19"/>
        <v>3.568E-2</v>
      </c>
      <c r="I247" s="2">
        <f t="shared" si="20"/>
        <v>96</v>
      </c>
      <c r="J247" s="4">
        <f t="shared" si="21"/>
        <v>8.126</v>
      </c>
      <c r="K247" s="9">
        <f t="shared" si="22"/>
        <v>23.2</v>
      </c>
      <c r="L247" s="1">
        <f t="shared" si="23"/>
        <v>-0.399999999999984</v>
      </c>
    </row>
    <row r="248" s="1" customFormat="1" spans="1:12">
      <c r="A248" s="2">
        <v>8.193</v>
      </c>
      <c r="B248" s="10" t="s">
        <v>280</v>
      </c>
      <c r="C248" s="4">
        <v>8.193</v>
      </c>
      <c r="D248" s="5">
        <v>91.4</v>
      </c>
      <c r="E248" s="4"/>
      <c r="F248" s="4"/>
      <c r="G248" s="2">
        <f t="shared" si="18"/>
        <v>8.16</v>
      </c>
      <c r="H248" s="11" t="str">
        <f t="shared" si="19"/>
        <v>3.583E-2</v>
      </c>
      <c r="I248" s="2">
        <f t="shared" si="20"/>
        <v>92.7</v>
      </c>
      <c r="J248" s="4">
        <f t="shared" si="21"/>
        <v>8.16</v>
      </c>
      <c r="K248" s="9">
        <f t="shared" si="22"/>
        <v>24.7</v>
      </c>
      <c r="L248" s="1">
        <f t="shared" si="23"/>
        <v>-0.399999999999984</v>
      </c>
    </row>
    <row r="249" s="1" customFormat="1" spans="1:12">
      <c r="A249" s="2">
        <v>8.227</v>
      </c>
      <c r="B249" s="10" t="s">
        <v>281</v>
      </c>
      <c r="C249" s="4">
        <v>8.227</v>
      </c>
      <c r="D249" s="5">
        <v>88.7</v>
      </c>
      <c r="E249" s="4"/>
      <c r="F249" s="4"/>
      <c r="G249" s="2">
        <f t="shared" si="18"/>
        <v>8.193</v>
      </c>
      <c r="H249" s="11" t="str">
        <f t="shared" si="19"/>
        <v>3.593E-2</v>
      </c>
      <c r="I249" s="2">
        <f t="shared" si="20"/>
        <v>91.4</v>
      </c>
      <c r="J249" s="4">
        <f t="shared" si="21"/>
        <v>8.193</v>
      </c>
      <c r="K249" s="9">
        <f t="shared" si="22"/>
        <v>25.7</v>
      </c>
      <c r="L249" s="1">
        <f t="shared" si="23"/>
        <v>-0.399999999999984</v>
      </c>
    </row>
    <row r="250" s="1" customFormat="1" spans="1:12">
      <c r="A250" s="2">
        <v>8.26</v>
      </c>
      <c r="B250" s="10" t="s">
        <v>282</v>
      </c>
      <c r="C250" s="4">
        <v>8.26</v>
      </c>
      <c r="D250" s="5">
        <v>85.7</v>
      </c>
      <c r="E250" s="4"/>
      <c r="F250" s="4"/>
      <c r="G250" s="2">
        <f t="shared" si="18"/>
        <v>8.227</v>
      </c>
      <c r="H250" s="11" t="str">
        <f t="shared" si="19"/>
        <v>3.604E-2</v>
      </c>
      <c r="I250" s="2">
        <f t="shared" si="20"/>
        <v>88.7</v>
      </c>
      <c r="J250" s="4">
        <f t="shared" si="21"/>
        <v>8.227</v>
      </c>
      <c r="K250" s="9">
        <f t="shared" si="22"/>
        <v>26.8</v>
      </c>
      <c r="L250" s="1">
        <f t="shared" si="23"/>
        <v>-0.399999999999984</v>
      </c>
    </row>
    <row r="251" s="1" customFormat="1" spans="1:12">
      <c r="A251" s="2">
        <v>8.293</v>
      </c>
      <c r="B251" s="10" t="s">
        <v>283</v>
      </c>
      <c r="C251" s="4">
        <v>8.293</v>
      </c>
      <c r="D251" s="5">
        <v>85.2</v>
      </c>
      <c r="E251" s="4"/>
      <c r="F251" s="4"/>
      <c r="G251" s="2">
        <f t="shared" si="18"/>
        <v>8.26</v>
      </c>
      <c r="H251" s="11" t="str">
        <f t="shared" si="19"/>
        <v>3.611E-2</v>
      </c>
      <c r="I251" s="2">
        <f t="shared" si="20"/>
        <v>85.7</v>
      </c>
      <c r="J251" s="4">
        <f t="shared" si="21"/>
        <v>8.26</v>
      </c>
      <c r="K251" s="9">
        <f t="shared" si="22"/>
        <v>27.5</v>
      </c>
      <c r="L251" s="1">
        <f t="shared" si="23"/>
        <v>-0.399999999999984</v>
      </c>
    </row>
    <row r="252" s="1" customFormat="1" spans="1:12">
      <c r="A252" s="2">
        <v>8.327</v>
      </c>
      <c r="B252" s="10" t="s">
        <v>283</v>
      </c>
      <c r="C252" s="4">
        <v>8.327</v>
      </c>
      <c r="D252" s="5">
        <v>83</v>
      </c>
      <c r="E252" s="4"/>
      <c r="F252" s="4"/>
      <c r="G252" s="2">
        <f t="shared" si="18"/>
        <v>8.293</v>
      </c>
      <c r="H252" s="11" t="str">
        <f t="shared" si="19"/>
        <v>3.613E-2</v>
      </c>
      <c r="I252" s="2">
        <f t="shared" si="20"/>
        <v>85.2</v>
      </c>
      <c r="J252" s="4">
        <f t="shared" si="21"/>
        <v>8.293</v>
      </c>
      <c r="K252" s="9">
        <f t="shared" si="22"/>
        <v>27.7</v>
      </c>
      <c r="L252" s="1">
        <f t="shared" si="23"/>
        <v>-0.399999999999984</v>
      </c>
    </row>
    <row r="253" s="1" customFormat="1" spans="1:12">
      <c r="A253" s="2">
        <v>8.36</v>
      </c>
      <c r="B253" s="10" t="s">
        <v>284</v>
      </c>
      <c r="C253" s="4">
        <v>8.36</v>
      </c>
      <c r="D253" s="5">
        <v>81.6</v>
      </c>
      <c r="E253" s="4"/>
      <c r="F253" s="4"/>
      <c r="G253" s="2">
        <f t="shared" si="18"/>
        <v>8.327</v>
      </c>
      <c r="H253" s="11" t="str">
        <f t="shared" si="19"/>
        <v>3.613E-2</v>
      </c>
      <c r="I253" s="2">
        <f t="shared" si="20"/>
        <v>83</v>
      </c>
      <c r="J253" s="4">
        <f t="shared" si="21"/>
        <v>8.327</v>
      </c>
      <c r="K253" s="9">
        <f t="shared" si="22"/>
        <v>27.7</v>
      </c>
      <c r="L253" s="1">
        <f t="shared" si="23"/>
        <v>-0.399999999999984</v>
      </c>
    </row>
    <row r="254" s="1" customFormat="1" spans="1:12">
      <c r="A254" s="2">
        <v>8.394</v>
      </c>
      <c r="B254" s="10" t="s">
        <v>104</v>
      </c>
      <c r="C254" s="4">
        <v>8.394</v>
      </c>
      <c r="D254" s="5">
        <v>79.9</v>
      </c>
      <c r="E254" s="4"/>
      <c r="F254" s="4"/>
      <c r="G254" s="2">
        <f t="shared" si="18"/>
        <v>8.36</v>
      </c>
      <c r="H254" s="11" t="str">
        <f t="shared" si="19"/>
        <v>3.612E-2</v>
      </c>
      <c r="I254" s="2">
        <f t="shared" si="20"/>
        <v>81.6</v>
      </c>
      <c r="J254" s="4">
        <f t="shared" si="21"/>
        <v>8.36</v>
      </c>
      <c r="K254" s="9">
        <f t="shared" si="22"/>
        <v>27.6</v>
      </c>
      <c r="L254" s="1">
        <f t="shared" si="23"/>
        <v>-0.399999999999984</v>
      </c>
    </row>
    <row r="255" s="1" customFormat="1" spans="1:12">
      <c r="A255" s="2">
        <v>8.427</v>
      </c>
      <c r="B255" s="10" t="s">
        <v>281</v>
      </c>
      <c r="C255" s="4">
        <v>8.427</v>
      </c>
      <c r="D255" s="5">
        <v>79</v>
      </c>
      <c r="E255" s="4"/>
      <c r="F255" s="4"/>
      <c r="G255" s="2">
        <f t="shared" si="18"/>
        <v>8.394</v>
      </c>
      <c r="H255" s="11" t="str">
        <f t="shared" si="19"/>
        <v>3.608E-2</v>
      </c>
      <c r="I255" s="2">
        <f t="shared" si="20"/>
        <v>79.9</v>
      </c>
      <c r="J255" s="4">
        <f t="shared" si="21"/>
        <v>8.394</v>
      </c>
      <c r="K255" s="9">
        <f t="shared" si="22"/>
        <v>27.2</v>
      </c>
      <c r="L255" s="1">
        <f t="shared" si="23"/>
        <v>-0.399999999999984</v>
      </c>
    </row>
    <row r="256" s="1" customFormat="1" spans="1:12">
      <c r="A256" s="2">
        <v>8.461</v>
      </c>
      <c r="B256" s="10" t="s">
        <v>285</v>
      </c>
      <c r="C256" s="4">
        <v>8.461</v>
      </c>
      <c r="D256" s="5">
        <v>77.6</v>
      </c>
      <c r="E256" s="4"/>
      <c r="F256" s="4"/>
      <c r="G256" s="2">
        <f t="shared" si="18"/>
        <v>8.427</v>
      </c>
      <c r="H256" s="11" t="str">
        <f t="shared" si="19"/>
        <v>3.604E-2</v>
      </c>
      <c r="I256" s="2">
        <f t="shared" si="20"/>
        <v>79</v>
      </c>
      <c r="J256" s="4">
        <f t="shared" si="21"/>
        <v>8.427</v>
      </c>
      <c r="K256" s="9">
        <f t="shared" si="22"/>
        <v>26.8</v>
      </c>
      <c r="L256" s="1">
        <f t="shared" si="23"/>
        <v>-0.399999999999984</v>
      </c>
    </row>
    <row r="257" s="1" customFormat="1" spans="1:12">
      <c r="A257" s="2">
        <v>8.494</v>
      </c>
      <c r="B257" s="10" t="s">
        <v>134</v>
      </c>
      <c r="C257" s="4">
        <v>8.494</v>
      </c>
      <c r="D257" s="5">
        <v>76</v>
      </c>
      <c r="E257" s="4"/>
      <c r="F257" s="4"/>
      <c r="G257" s="2">
        <f t="shared" si="18"/>
        <v>8.461</v>
      </c>
      <c r="H257" s="11" t="str">
        <f t="shared" si="19"/>
        <v>3.600E-2</v>
      </c>
      <c r="I257" s="2">
        <f t="shared" si="20"/>
        <v>77.6</v>
      </c>
      <c r="J257" s="4">
        <f t="shared" si="21"/>
        <v>8.461</v>
      </c>
      <c r="K257" s="9">
        <f t="shared" si="22"/>
        <v>26.4</v>
      </c>
      <c r="L257" s="1">
        <f t="shared" si="23"/>
        <v>-0.399999999999984</v>
      </c>
    </row>
    <row r="258" s="1" customFormat="1" spans="1:12">
      <c r="A258" s="2">
        <v>8.528</v>
      </c>
      <c r="B258" s="10" t="s">
        <v>179</v>
      </c>
      <c r="C258" s="4">
        <v>8.528</v>
      </c>
      <c r="D258" s="5">
        <v>74.8</v>
      </c>
      <c r="E258" s="4"/>
      <c r="F258" s="4"/>
      <c r="G258" s="2">
        <f t="shared" si="18"/>
        <v>8.494</v>
      </c>
      <c r="H258" s="11" t="str">
        <f t="shared" si="19"/>
        <v>3.595E-2</v>
      </c>
      <c r="I258" s="2">
        <f t="shared" si="20"/>
        <v>76</v>
      </c>
      <c r="J258" s="4">
        <f t="shared" si="21"/>
        <v>8.494</v>
      </c>
      <c r="K258" s="9">
        <f t="shared" si="22"/>
        <v>25.9</v>
      </c>
      <c r="L258" s="1">
        <f t="shared" si="23"/>
        <v>-0.399999999999984</v>
      </c>
    </row>
    <row r="259" s="1" customFormat="1" spans="1:12">
      <c r="A259" s="2">
        <v>8.561</v>
      </c>
      <c r="B259" s="10" t="s">
        <v>65</v>
      </c>
      <c r="C259" s="4">
        <v>8.561</v>
      </c>
      <c r="D259" s="5">
        <v>74.3</v>
      </c>
      <c r="E259" s="4"/>
      <c r="F259" s="4"/>
      <c r="G259" s="2">
        <f t="shared" si="18"/>
        <v>8.528</v>
      </c>
      <c r="H259" s="11" t="str">
        <f t="shared" si="19"/>
        <v>3.586E-2</v>
      </c>
      <c r="I259" s="2">
        <f t="shared" si="20"/>
        <v>74.8</v>
      </c>
      <c r="J259" s="4">
        <f t="shared" si="21"/>
        <v>8.528</v>
      </c>
      <c r="K259" s="9">
        <f t="shared" si="22"/>
        <v>25</v>
      </c>
      <c r="L259" s="1">
        <f t="shared" si="23"/>
        <v>-0.399999999999984</v>
      </c>
    </row>
    <row r="260" s="1" customFormat="1" spans="1:12">
      <c r="A260" s="2">
        <v>8.594</v>
      </c>
      <c r="B260" s="10" t="s">
        <v>213</v>
      </c>
      <c r="C260" s="4">
        <v>8.594</v>
      </c>
      <c r="D260" s="5">
        <v>73.8</v>
      </c>
      <c r="E260" s="4"/>
      <c r="F260" s="4"/>
      <c r="G260" s="2">
        <f t="shared" ref="G260:G323" si="24">A259</f>
        <v>8.561</v>
      </c>
      <c r="H260" s="11" t="str">
        <f t="shared" ref="H260:H323" si="25">B259</f>
        <v>3.567E-2</v>
      </c>
      <c r="I260" s="2">
        <f t="shared" ref="I260:I323" si="26">D259</f>
        <v>74.3</v>
      </c>
      <c r="J260" s="4">
        <f t="shared" ref="J260:J323" si="27">G260</f>
        <v>8.561</v>
      </c>
      <c r="K260" s="9">
        <f t="shared" ref="K260:K323" si="28">(H260-$H$4)*10000</f>
        <v>23.1</v>
      </c>
      <c r="L260" s="1">
        <f t="shared" si="23"/>
        <v>-0.399999999999984</v>
      </c>
    </row>
    <row r="261" s="1" customFormat="1" spans="1:12">
      <c r="A261" s="2">
        <v>8.628</v>
      </c>
      <c r="B261" s="10" t="s">
        <v>91</v>
      </c>
      <c r="C261" s="4">
        <v>8.628</v>
      </c>
      <c r="D261" s="5">
        <v>73</v>
      </c>
      <c r="E261" s="4"/>
      <c r="F261" s="4"/>
      <c r="G261" s="2">
        <f t="shared" si="24"/>
        <v>8.594</v>
      </c>
      <c r="H261" s="11" t="str">
        <f t="shared" si="25"/>
        <v>3.552E-2</v>
      </c>
      <c r="I261" s="2">
        <f t="shared" si="26"/>
        <v>73.8</v>
      </c>
      <c r="J261" s="4">
        <f t="shared" si="27"/>
        <v>8.594</v>
      </c>
      <c r="K261" s="9">
        <f t="shared" si="28"/>
        <v>21.6</v>
      </c>
      <c r="L261" s="1">
        <f t="shared" ref="L261:L324" si="29">IF(I261&lt;230,$V$4,$V$5)</f>
        <v>-0.399999999999984</v>
      </c>
    </row>
    <row r="262" s="1" customFormat="1" spans="1:12">
      <c r="A262" s="2">
        <v>8.661</v>
      </c>
      <c r="B262" s="10" t="s">
        <v>215</v>
      </c>
      <c r="C262" s="4">
        <v>8.661</v>
      </c>
      <c r="D262" s="5">
        <v>72.5</v>
      </c>
      <c r="E262" s="4"/>
      <c r="F262" s="4"/>
      <c r="G262" s="2">
        <f t="shared" si="24"/>
        <v>8.628</v>
      </c>
      <c r="H262" s="11" t="str">
        <f t="shared" si="25"/>
        <v>3.539E-2</v>
      </c>
      <c r="I262" s="2">
        <f t="shared" si="26"/>
        <v>73</v>
      </c>
      <c r="J262" s="4">
        <f t="shared" si="27"/>
        <v>8.628</v>
      </c>
      <c r="K262" s="9">
        <f t="shared" si="28"/>
        <v>20.3</v>
      </c>
      <c r="L262" s="1">
        <f t="shared" si="29"/>
        <v>-0.399999999999984</v>
      </c>
    </row>
    <row r="263" s="1" customFormat="1" spans="1:12">
      <c r="A263" s="2">
        <v>8.695</v>
      </c>
      <c r="B263" s="10" t="s">
        <v>35</v>
      </c>
      <c r="C263" s="4">
        <v>8.695</v>
      </c>
      <c r="D263" s="5">
        <v>71.5</v>
      </c>
      <c r="E263" s="4"/>
      <c r="F263" s="4"/>
      <c r="G263" s="2">
        <f t="shared" si="24"/>
        <v>8.661</v>
      </c>
      <c r="H263" s="11" t="str">
        <f t="shared" si="25"/>
        <v>3.522E-2</v>
      </c>
      <c r="I263" s="2">
        <f t="shared" si="26"/>
        <v>72.5</v>
      </c>
      <c r="J263" s="4">
        <f t="shared" si="27"/>
        <v>8.661</v>
      </c>
      <c r="K263" s="9">
        <f t="shared" si="28"/>
        <v>18.6</v>
      </c>
      <c r="L263" s="1">
        <f t="shared" si="29"/>
        <v>-0.399999999999984</v>
      </c>
    </row>
    <row r="264" s="1" customFormat="1" spans="1:12">
      <c r="A264" s="2">
        <v>8.728</v>
      </c>
      <c r="B264" s="10" t="s">
        <v>145</v>
      </c>
      <c r="C264" s="4">
        <v>8.728</v>
      </c>
      <c r="D264" s="5">
        <v>71.1</v>
      </c>
      <c r="E264" s="4"/>
      <c r="F264" s="4"/>
      <c r="G264" s="2">
        <f t="shared" si="24"/>
        <v>8.695</v>
      </c>
      <c r="H264" s="11" t="str">
        <f t="shared" si="25"/>
        <v>3.500E-2</v>
      </c>
      <c r="I264" s="2">
        <f t="shared" si="26"/>
        <v>71.5</v>
      </c>
      <c r="J264" s="4">
        <f t="shared" si="27"/>
        <v>8.695</v>
      </c>
      <c r="K264" s="9">
        <f t="shared" si="28"/>
        <v>16.4</v>
      </c>
      <c r="L264" s="1">
        <f t="shared" si="29"/>
        <v>-0.399999999999984</v>
      </c>
    </row>
    <row r="265" s="1" customFormat="1" spans="1:12">
      <c r="A265" s="2">
        <v>8.762</v>
      </c>
      <c r="B265" s="10" t="s">
        <v>169</v>
      </c>
      <c r="C265" s="4">
        <v>8.762</v>
      </c>
      <c r="D265" s="5">
        <v>70.2</v>
      </c>
      <c r="E265" s="4"/>
      <c r="F265" s="4"/>
      <c r="G265" s="2">
        <f t="shared" si="24"/>
        <v>8.728</v>
      </c>
      <c r="H265" s="11" t="str">
        <f t="shared" si="25"/>
        <v>3.479E-2</v>
      </c>
      <c r="I265" s="2">
        <f t="shared" si="26"/>
        <v>71.1</v>
      </c>
      <c r="J265" s="4">
        <f t="shared" si="27"/>
        <v>8.728</v>
      </c>
      <c r="K265" s="9">
        <f t="shared" si="28"/>
        <v>14.3</v>
      </c>
      <c r="L265" s="1">
        <f t="shared" si="29"/>
        <v>-0.399999999999984</v>
      </c>
    </row>
    <row r="266" s="1" customFormat="1" spans="1:12">
      <c r="A266" s="2">
        <v>8.795</v>
      </c>
      <c r="B266" s="10" t="s">
        <v>24</v>
      </c>
      <c r="C266" s="4">
        <v>8.795</v>
      </c>
      <c r="D266" s="5">
        <v>70.2</v>
      </c>
      <c r="E266" s="4"/>
      <c r="F266" s="4"/>
      <c r="G266" s="2">
        <f t="shared" si="24"/>
        <v>8.762</v>
      </c>
      <c r="H266" s="11" t="str">
        <f t="shared" si="25"/>
        <v>3.461E-2</v>
      </c>
      <c r="I266" s="2">
        <f t="shared" si="26"/>
        <v>70.2</v>
      </c>
      <c r="J266" s="4">
        <f t="shared" si="27"/>
        <v>8.762</v>
      </c>
      <c r="K266" s="9">
        <f t="shared" si="28"/>
        <v>12.5</v>
      </c>
      <c r="L266" s="1">
        <f t="shared" si="29"/>
        <v>-0.399999999999984</v>
      </c>
    </row>
    <row r="267" s="1" customFormat="1" spans="1:12">
      <c r="A267" s="2">
        <v>8.829</v>
      </c>
      <c r="B267" s="10" t="s">
        <v>11</v>
      </c>
      <c r="C267" s="4">
        <v>8.829</v>
      </c>
      <c r="D267" s="5">
        <v>236</v>
      </c>
      <c r="E267" s="4"/>
      <c r="F267" s="4"/>
      <c r="G267" s="2">
        <f t="shared" si="24"/>
        <v>8.795</v>
      </c>
      <c r="H267" s="11" t="str">
        <f t="shared" si="25"/>
        <v>3.445E-2</v>
      </c>
      <c r="I267" s="2">
        <f t="shared" si="26"/>
        <v>70.2</v>
      </c>
      <c r="J267" s="4">
        <f t="shared" si="27"/>
        <v>8.795</v>
      </c>
      <c r="K267" s="9">
        <f t="shared" si="28"/>
        <v>10.9</v>
      </c>
      <c r="L267" s="1">
        <f t="shared" si="29"/>
        <v>-0.399999999999984</v>
      </c>
    </row>
    <row r="268" s="1" customFormat="1" spans="1:12">
      <c r="A268" s="2">
        <v>8.862</v>
      </c>
      <c r="B268" s="10" t="s">
        <v>238</v>
      </c>
      <c r="C268" s="4">
        <v>8.862</v>
      </c>
      <c r="D268" s="5">
        <v>253.9</v>
      </c>
      <c r="E268" s="4"/>
      <c r="F268" s="4"/>
      <c r="G268" s="2">
        <f t="shared" si="24"/>
        <v>8.829</v>
      </c>
      <c r="H268" s="11" t="str">
        <f t="shared" si="25"/>
        <v>3.432E-2</v>
      </c>
      <c r="I268" s="2">
        <f t="shared" si="26"/>
        <v>236</v>
      </c>
      <c r="J268" s="4">
        <f t="shared" si="27"/>
        <v>8.829</v>
      </c>
      <c r="K268" s="9">
        <f t="shared" si="28"/>
        <v>9.60000000000002</v>
      </c>
      <c r="L268" s="1">
        <f t="shared" si="29"/>
        <v>30.5</v>
      </c>
    </row>
    <row r="269" s="1" customFormat="1" spans="1:12">
      <c r="A269" s="2">
        <v>8.895</v>
      </c>
      <c r="B269" s="10" t="s">
        <v>269</v>
      </c>
      <c r="C269" s="4">
        <v>8.895</v>
      </c>
      <c r="D269" s="5">
        <v>253.8</v>
      </c>
      <c r="E269" s="4"/>
      <c r="F269" s="4"/>
      <c r="G269" s="2">
        <f t="shared" si="24"/>
        <v>8.862</v>
      </c>
      <c r="H269" s="11" t="str">
        <f t="shared" si="25"/>
        <v>3.416E-2</v>
      </c>
      <c r="I269" s="2">
        <f t="shared" si="26"/>
        <v>253.9</v>
      </c>
      <c r="J269" s="4">
        <f t="shared" si="27"/>
        <v>8.862</v>
      </c>
      <c r="K269" s="9">
        <f t="shared" si="28"/>
        <v>8.00000000000002</v>
      </c>
      <c r="L269" s="1">
        <f t="shared" si="29"/>
        <v>30.5</v>
      </c>
    </row>
    <row r="270" s="1" customFormat="1" spans="1:12">
      <c r="A270" s="2">
        <v>8.929</v>
      </c>
      <c r="B270" s="10" t="s">
        <v>115</v>
      </c>
      <c r="C270" s="4">
        <v>8.929</v>
      </c>
      <c r="D270" s="5">
        <v>253.8</v>
      </c>
      <c r="E270" s="4"/>
      <c r="F270" s="4"/>
      <c r="G270" s="2">
        <f t="shared" si="24"/>
        <v>8.895</v>
      </c>
      <c r="H270" s="11" t="str">
        <f t="shared" si="25"/>
        <v>3.410E-2</v>
      </c>
      <c r="I270" s="2">
        <f t="shared" si="26"/>
        <v>253.8</v>
      </c>
      <c r="J270" s="4">
        <f t="shared" si="27"/>
        <v>8.895</v>
      </c>
      <c r="K270" s="9">
        <f t="shared" si="28"/>
        <v>7.39999999999998</v>
      </c>
      <c r="L270" s="1">
        <f t="shared" si="29"/>
        <v>30.5</v>
      </c>
    </row>
    <row r="271" s="1" customFormat="1" spans="1:12">
      <c r="A271" s="2">
        <v>8.962</v>
      </c>
      <c r="B271" s="10" t="s">
        <v>112</v>
      </c>
      <c r="C271" s="4">
        <v>8.962</v>
      </c>
      <c r="D271" s="5">
        <v>253.8</v>
      </c>
      <c r="E271" s="4"/>
      <c r="F271" s="4"/>
      <c r="G271" s="2">
        <f t="shared" si="24"/>
        <v>8.929</v>
      </c>
      <c r="H271" s="11" t="str">
        <f t="shared" si="25"/>
        <v>3.396E-2</v>
      </c>
      <c r="I271" s="2">
        <f t="shared" si="26"/>
        <v>253.8</v>
      </c>
      <c r="J271" s="4">
        <f t="shared" si="27"/>
        <v>8.929</v>
      </c>
      <c r="K271" s="9">
        <f t="shared" si="28"/>
        <v>5.99999999999996</v>
      </c>
      <c r="L271" s="1">
        <f t="shared" si="29"/>
        <v>30.5</v>
      </c>
    </row>
    <row r="272" s="1" customFormat="1" spans="1:12">
      <c r="A272" s="2">
        <v>8.996</v>
      </c>
      <c r="B272" s="10" t="s">
        <v>113</v>
      </c>
      <c r="C272" s="4">
        <v>8.996</v>
      </c>
      <c r="D272" s="5">
        <v>253.8</v>
      </c>
      <c r="E272" s="4"/>
      <c r="F272" s="4"/>
      <c r="G272" s="2">
        <f t="shared" si="24"/>
        <v>8.962</v>
      </c>
      <c r="H272" s="11" t="str">
        <f t="shared" si="25"/>
        <v>3.391E-2</v>
      </c>
      <c r="I272" s="2">
        <f t="shared" si="26"/>
        <v>253.8</v>
      </c>
      <c r="J272" s="4">
        <f t="shared" si="27"/>
        <v>8.962</v>
      </c>
      <c r="K272" s="9">
        <f t="shared" si="28"/>
        <v>5.50000000000002</v>
      </c>
      <c r="L272" s="1">
        <f t="shared" si="29"/>
        <v>30.5</v>
      </c>
    </row>
    <row r="273" s="1" customFormat="1" spans="1:12">
      <c r="A273" s="2">
        <v>9.029</v>
      </c>
      <c r="B273" s="10" t="s">
        <v>239</v>
      </c>
      <c r="C273" s="4">
        <v>9.029</v>
      </c>
      <c r="D273" s="5">
        <v>253.8</v>
      </c>
      <c r="E273" s="4"/>
      <c r="F273" s="4"/>
      <c r="G273" s="2">
        <f t="shared" si="24"/>
        <v>8.996</v>
      </c>
      <c r="H273" s="11" t="str">
        <f t="shared" si="25"/>
        <v>3.389E-2</v>
      </c>
      <c r="I273" s="2">
        <f t="shared" si="26"/>
        <v>253.8</v>
      </c>
      <c r="J273" s="4">
        <f t="shared" si="27"/>
        <v>8.996</v>
      </c>
      <c r="K273" s="9">
        <f t="shared" si="28"/>
        <v>5.30000000000003</v>
      </c>
      <c r="L273" s="1">
        <f t="shared" si="29"/>
        <v>30.5</v>
      </c>
    </row>
    <row r="274" s="1" customFormat="1" spans="1:12">
      <c r="A274" s="2">
        <v>9.063</v>
      </c>
      <c r="B274" s="10" t="s">
        <v>113</v>
      </c>
      <c r="C274" s="4">
        <v>9.063</v>
      </c>
      <c r="D274" s="5">
        <v>253.8</v>
      </c>
      <c r="E274" s="4"/>
      <c r="F274" s="4"/>
      <c r="G274" s="2">
        <f t="shared" si="24"/>
        <v>9.029</v>
      </c>
      <c r="H274" s="11" t="str">
        <f t="shared" si="25"/>
        <v>3.387E-2</v>
      </c>
      <c r="I274" s="2">
        <f t="shared" si="26"/>
        <v>253.8</v>
      </c>
      <c r="J274" s="4">
        <f t="shared" si="27"/>
        <v>9.029</v>
      </c>
      <c r="K274" s="9">
        <f t="shared" si="28"/>
        <v>5.09999999999997</v>
      </c>
      <c r="L274" s="1">
        <f t="shared" si="29"/>
        <v>30.5</v>
      </c>
    </row>
    <row r="275" s="1" customFormat="1" spans="1:12">
      <c r="A275" s="2">
        <v>9.096</v>
      </c>
      <c r="B275" s="10" t="s">
        <v>112</v>
      </c>
      <c r="C275" s="4">
        <v>9.096</v>
      </c>
      <c r="D275" s="5">
        <v>253.8</v>
      </c>
      <c r="E275" s="4"/>
      <c r="F275" s="4"/>
      <c r="G275" s="2">
        <f t="shared" si="24"/>
        <v>9.063</v>
      </c>
      <c r="H275" s="11" t="str">
        <f t="shared" si="25"/>
        <v>3.389E-2</v>
      </c>
      <c r="I275" s="2">
        <f t="shared" si="26"/>
        <v>253.8</v>
      </c>
      <c r="J275" s="4">
        <f t="shared" si="27"/>
        <v>9.063</v>
      </c>
      <c r="K275" s="9">
        <f t="shared" si="28"/>
        <v>5.30000000000003</v>
      </c>
      <c r="L275" s="1">
        <f t="shared" si="29"/>
        <v>30.5</v>
      </c>
    </row>
    <row r="276" s="1" customFormat="1" spans="1:12">
      <c r="A276" s="2">
        <v>9.129</v>
      </c>
      <c r="B276" s="10" t="s">
        <v>111</v>
      </c>
      <c r="C276" s="4">
        <v>9.129</v>
      </c>
      <c r="D276" s="5">
        <v>253.8</v>
      </c>
      <c r="E276" s="4"/>
      <c r="F276" s="4"/>
      <c r="G276" s="2">
        <f t="shared" si="24"/>
        <v>9.096</v>
      </c>
      <c r="H276" s="11" t="str">
        <f t="shared" si="25"/>
        <v>3.391E-2</v>
      </c>
      <c r="I276" s="2">
        <f t="shared" si="26"/>
        <v>253.8</v>
      </c>
      <c r="J276" s="4">
        <f t="shared" si="27"/>
        <v>9.096</v>
      </c>
      <c r="K276" s="9">
        <f t="shared" si="28"/>
        <v>5.50000000000002</v>
      </c>
      <c r="L276" s="1">
        <f t="shared" si="29"/>
        <v>30.5</v>
      </c>
    </row>
    <row r="277" s="1" customFormat="1" spans="1:12">
      <c r="A277" s="2">
        <v>9.163</v>
      </c>
      <c r="B277" s="10" t="s">
        <v>245</v>
      </c>
      <c r="C277" s="4">
        <v>9.163</v>
      </c>
      <c r="D277" s="5">
        <v>253.8</v>
      </c>
      <c r="E277" s="4"/>
      <c r="F277" s="4"/>
      <c r="G277" s="2">
        <f t="shared" si="24"/>
        <v>9.129</v>
      </c>
      <c r="H277" s="11" t="str">
        <f t="shared" si="25"/>
        <v>3.395E-2</v>
      </c>
      <c r="I277" s="2">
        <f t="shared" si="26"/>
        <v>253.8</v>
      </c>
      <c r="J277" s="4">
        <f t="shared" si="27"/>
        <v>9.129</v>
      </c>
      <c r="K277" s="9">
        <f t="shared" si="28"/>
        <v>5.9</v>
      </c>
      <c r="L277" s="1">
        <f t="shared" si="29"/>
        <v>30.5</v>
      </c>
    </row>
    <row r="278" s="1" customFormat="1" spans="1:12">
      <c r="A278" s="2">
        <v>9.196</v>
      </c>
      <c r="B278" s="10" t="s">
        <v>229</v>
      </c>
      <c r="C278" s="4">
        <v>9.196</v>
      </c>
      <c r="D278" s="5">
        <v>253.8</v>
      </c>
      <c r="E278" s="4"/>
      <c r="F278" s="4"/>
      <c r="G278" s="2">
        <f t="shared" si="24"/>
        <v>9.163</v>
      </c>
      <c r="H278" s="11" t="str">
        <f t="shared" si="25"/>
        <v>3.398E-2</v>
      </c>
      <c r="I278" s="2">
        <f t="shared" si="26"/>
        <v>253.8</v>
      </c>
      <c r="J278" s="4">
        <f t="shared" si="27"/>
        <v>9.163</v>
      </c>
      <c r="K278" s="9">
        <f t="shared" si="28"/>
        <v>6.20000000000003</v>
      </c>
      <c r="L278" s="1">
        <f t="shared" si="29"/>
        <v>30.5</v>
      </c>
    </row>
    <row r="279" s="1" customFormat="1" spans="1:12">
      <c r="A279" s="2">
        <v>9.23</v>
      </c>
      <c r="B279" s="10" t="s">
        <v>230</v>
      </c>
      <c r="C279" s="4">
        <v>9.23</v>
      </c>
      <c r="D279" s="5">
        <v>253.8</v>
      </c>
      <c r="E279" s="4"/>
      <c r="F279" s="4"/>
      <c r="G279" s="2">
        <f t="shared" si="24"/>
        <v>9.196</v>
      </c>
      <c r="H279" s="11" t="str">
        <f t="shared" si="25"/>
        <v>3.405E-2</v>
      </c>
      <c r="I279" s="2">
        <f t="shared" si="26"/>
        <v>253.8</v>
      </c>
      <c r="J279" s="4">
        <f t="shared" si="27"/>
        <v>9.196</v>
      </c>
      <c r="K279" s="9">
        <f t="shared" si="28"/>
        <v>6.89999999999996</v>
      </c>
      <c r="L279" s="1">
        <f t="shared" si="29"/>
        <v>30.5</v>
      </c>
    </row>
    <row r="280" s="1" customFormat="1" spans="1:12">
      <c r="A280" s="2">
        <v>9.263</v>
      </c>
      <c r="B280" s="10" t="s">
        <v>235</v>
      </c>
      <c r="C280" s="4">
        <v>9.263</v>
      </c>
      <c r="D280" s="5">
        <v>253.8</v>
      </c>
      <c r="E280" s="4"/>
      <c r="F280" s="4"/>
      <c r="G280" s="2">
        <f t="shared" si="24"/>
        <v>9.23</v>
      </c>
      <c r="H280" s="11" t="str">
        <f t="shared" si="25"/>
        <v>3.409E-2</v>
      </c>
      <c r="I280" s="2">
        <f t="shared" si="26"/>
        <v>253.8</v>
      </c>
      <c r="J280" s="4">
        <f t="shared" si="27"/>
        <v>9.23</v>
      </c>
      <c r="K280" s="9">
        <f t="shared" si="28"/>
        <v>7.30000000000001</v>
      </c>
      <c r="L280" s="1">
        <f t="shared" si="29"/>
        <v>30.5</v>
      </c>
    </row>
    <row r="281" s="1" customFormat="1" spans="1:12">
      <c r="A281" s="2">
        <v>9.297</v>
      </c>
      <c r="B281" s="10" t="s">
        <v>58</v>
      </c>
      <c r="C281" s="4">
        <v>9.297</v>
      </c>
      <c r="D281" s="5">
        <v>253.8</v>
      </c>
      <c r="E281" s="4"/>
      <c r="F281" s="4"/>
      <c r="G281" s="2">
        <f t="shared" si="24"/>
        <v>9.263</v>
      </c>
      <c r="H281" s="11" t="str">
        <f t="shared" si="25"/>
        <v>3.420E-2</v>
      </c>
      <c r="I281" s="2">
        <f t="shared" si="26"/>
        <v>253.8</v>
      </c>
      <c r="J281" s="4">
        <f t="shared" si="27"/>
        <v>9.263</v>
      </c>
      <c r="K281" s="9">
        <f t="shared" si="28"/>
        <v>8.4</v>
      </c>
      <c r="L281" s="1">
        <f t="shared" si="29"/>
        <v>30.5</v>
      </c>
    </row>
    <row r="282" s="1" customFormat="1" spans="1:12">
      <c r="A282" s="2">
        <v>9.33</v>
      </c>
      <c r="B282" s="10" t="s">
        <v>26</v>
      </c>
      <c r="C282" s="4">
        <v>9.33</v>
      </c>
      <c r="D282" s="5">
        <v>253.8</v>
      </c>
      <c r="E282" s="4"/>
      <c r="F282" s="4"/>
      <c r="G282" s="2">
        <f t="shared" si="24"/>
        <v>9.297</v>
      </c>
      <c r="H282" s="11" t="str">
        <f t="shared" si="25"/>
        <v>3.440E-2</v>
      </c>
      <c r="I282" s="2">
        <f t="shared" si="26"/>
        <v>253.8</v>
      </c>
      <c r="J282" s="4">
        <f t="shared" si="27"/>
        <v>9.297</v>
      </c>
      <c r="K282" s="9">
        <f t="shared" si="28"/>
        <v>10.4</v>
      </c>
      <c r="L282" s="1">
        <f t="shared" si="29"/>
        <v>30.5</v>
      </c>
    </row>
    <row r="283" s="1" customFormat="1" spans="1:12">
      <c r="A283" s="2">
        <v>9.364</v>
      </c>
      <c r="B283" s="10" t="s">
        <v>119</v>
      </c>
      <c r="C283" s="4">
        <v>9.364</v>
      </c>
      <c r="D283" s="5">
        <v>253.8</v>
      </c>
      <c r="E283" s="4"/>
      <c r="F283" s="4"/>
      <c r="G283" s="2">
        <f t="shared" si="24"/>
        <v>9.33</v>
      </c>
      <c r="H283" s="11" t="str">
        <f t="shared" si="25"/>
        <v>3.451E-2</v>
      </c>
      <c r="I283" s="2">
        <f t="shared" si="26"/>
        <v>253.8</v>
      </c>
      <c r="J283" s="4">
        <f t="shared" si="27"/>
        <v>9.33</v>
      </c>
      <c r="K283" s="9">
        <f t="shared" si="28"/>
        <v>11.5</v>
      </c>
      <c r="L283" s="1">
        <f t="shared" si="29"/>
        <v>30.5</v>
      </c>
    </row>
    <row r="284" s="1" customFormat="1" spans="1:12">
      <c r="A284" s="2">
        <v>9.397</v>
      </c>
      <c r="B284" s="10" t="s">
        <v>31</v>
      </c>
      <c r="C284" s="4">
        <v>9.397</v>
      </c>
      <c r="D284" s="5">
        <v>253.8</v>
      </c>
      <c r="E284" s="4"/>
      <c r="F284" s="4"/>
      <c r="G284" s="2">
        <f t="shared" si="24"/>
        <v>9.364</v>
      </c>
      <c r="H284" s="11" t="str">
        <f t="shared" si="25"/>
        <v>3.471E-2</v>
      </c>
      <c r="I284" s="2">
        <f t="shared" si="26"/>
        <v>253.8</v>
      </c>
      <c r="J284" s="4">
        <f t="shared" si="27"/>
        <v>9.364</v>
      </c>
      <c r="K284" s="9">
        <f t="shared" si="28"/>
        <v>13.5</v>
      </c>
      <c r="L284" s="1">
        <f t="shared" si="29"/>
        <v>30.5</v>
      </c>
    </row>
    <row r="285" s="1" customFormat="1" spans="1:12">
      <c r="A285" s="2">
        <v>9.43</v>
      </c>
      <c r="B285" s="10" t="s">
        <v>218</v>
      </c>
      <c r="C285" s="4">
        <v>9.43</v>
      </c>
      <c r="D285" s="5">
        <v>253.8</v>
      </c>
      <c r="E285" s="4"/>
      <c r="F285" s="4"/>
      <c r="G285" s="2">
        <f t="shared" si="24"/>
        <v>9.397</v>
      </c>
      <c r="H285" s="11" t="str">
        <f t="shared" si="25"/>
        <v>3.494E-2</v>
      </c>
      <c r="I285" s="2">
        <f t="shared" si="26"/>
        <v>253.8</v>
      </c>
      <c r="J285" s="4">
        <f t="shared" si="27"/>
        <v>9.397</v>
      </c>
      <c r="K285" s="9">
        <f t="shared" si="28"/>
        <v>15.8</v>
      </c>
      <c r="L285" s="1">
        <f t="shared" si="29"/>
        <v>30.5</v>
      </c>
    </row>
    <row r="286" s="1" customFormat="1" spans="1:12">
      <c r="A286" s="2">
        <v>9.464</v>
      </c>
      <c r="B286" s="10" t="s">
        <v>224</v>
      </c>
      <c r="C286" s="4">
        <v>9.464</v>
      </c>
      <c r="D286" s="5">
        <v>253.8</v>
      </c>
      <c r="E286" s="4"/>
      <c r="F286" s="4"/>
      <c r="G286" s="2">
        <f t="shared" si="24"/>
        <v>9.43</v>
      </c>
      <c r="H286" s="11" t="str">
        <f t="shared" si="25"/>
        <v>3.516E-2</v>
      </c>
      <c r="I286" s="2">
        <f t="shared" si="26"/>
        <v>253.8</v>
      </c>
      <c r="J286" s="4">
        <f t="shared" si="27"/>
        <v>9.43</v>
      </c>
      <c r="K286" s="9">
        <f t="shared" si="28"/>
        <v>18</v>
      </c>
      <c r="L286" s="1">
        <f t="shared" si="29"/>
        <v>30.5</v>
      </c>
    </row>
    <row r="287" s="1" customFormat="1" spans="1:12">
      <c r="A287" s="2">
        <v>9.497</v>
      </c>
      <c r="B287" s="10" t="s">
        <v>92</v>
      </c>
      <c r="C287" s="4">
        <v>9.497</v>
      </c>
      <c r="D287" s="5">
        <v>253.8</v>
      </c>
      <c r="E287" s="4"/>
      <c r="F287" s="4"/>
      <c r="G287" s="2">
        <f t="shared" si="24"/>
        <v>9.464</v>
      </c>
      <c r="H287" s="11" t="str">
        <f t="shared" si="25"/>
        <v>3.535E-2</v>
      </c>
      <c r="I287" s="2">
        <f t="shared" si="26"/>
        <v>253.8</v>
      </c>
      <c r="J287" s="4">
        <f t="shared" si="27"/>
        <v>9.464</v>
      </c>
      <c r="K287" s="9">
        <f t="shared" si="28"/>
        <v>19.9</v>
      </c>
      <c r="L287" s="1">
        <f t="shared" si="29"/>
        <v>30.5</v>
      </c>
    </row>
    <row r="288" s="1" customFormat="1" spans="1:12">
      <c r="A288" s="2">
        <v>9.531</v>
      </c>
      <c r="B288" s="10" t="s">
        <v>286</v>
      </c>
      <c r="C288" s="4">
        <v>9.531</v>
      </c>
      <c r="D288" s="5">
        <v>253.8</v>
      </c>
      <c r="E288" s="4"/>
      <c r="F288" s="4"/>
      <c r="G288" s="2">
        <f t="shared" si="24"/>
        <v>9.497</v>
      </c>
      <c r="H288" s="11" t="str">
        <f t="shared" si="25"/>
        <v>3.554E-2</v>
      </c>
      <c r="I288" s="2">
        <f t="shared" si="26"/>
        <v>253.8</v>
      </c>
      <c r="J288" s="4">
        <f t="shared" si="27"/>
        <v>9.497</v>
      </c>
      <c r="K288" s="9">
        <f t="shared" si="28"/>
        <v>21.8</v>
      </c>
      <c r="L288" s="1">
        <f t="shared" si="29"/>
        <v>30.5</v>
      </c>
    </row>
    <row r="289" s="1" customFormat="1" spans="1:12">
      <c r="A289" s="2">
        <v>9.564</v>
      </c>
      <c r="B289" s="10" t="s">
        <v>70</v>
      </c>
      <c r="C289" s="4">
        <v>9.564</v>
      </c>
      <c r="D289" s="5">
        <v>253.8</v>
      </c>
      <c r="E289" s="4"/>
      <c r="F289" s="4"/>
      <c r="G289" s="2">
        <f t="shared" si="24"/>
        <v>9.531</v>
      </c>
      <c r="H289" s="11" t="str">
        <f t="shared" si="25"/>
        <v>3.570E-2</v>
      </c>
      <c r="I289" s="2">
        <f t="shared" si="26"/>
        <v>253.8</v>
      </c>
      <c r="J289" s="4">
        <f t="shared" si="27"/>
        <v>9.531</v>
      </c>
      <c r="K289" s="9">
        <f t="shared" si="28"/>
        <v>23.4</v>
      </c>
      <c r="L289" s="1">
        <f t="shared" si="29"/>
        <v>30.5</v>
      </c>
    </row>
    <row r="290" s="1" customFormat="1" spans="1:12">
      <c r="A290" s="2">
        <v>9.598</v>
      </c>
      <c r="B290" s="10" t="s">
        <v>287</v>
      </c>
      <c r="C290" s="4">
        <v>9.598</v>
      </c>
      <c r="D290" s="5">
        <v>253.8</v>
      </c>
      <c r="E290" s="4"/>
      <c r="F290" s="4"/>
      <c r="G290" s="2">
        <f t="shared" si="24"/>
        <v>9.564</v>
      </c>
      <c r="H290" s="11" t="str">
        <f t="shared" si="25"/>
        <v>3.589E-2</v>
      </c>
      <c r="I290" s="2">
        <f t="shared" si="26"/>
        <v>253.8</v>
      </c>
      <c r="J290" s="4">
        <f t="shared" si="27"/>
        <v>9.564</v>
      </c>
      <c r="K290" s="9">
        <f t="shared" si="28"/>
        <v>25.3</v>
      </c>
      <c r="L290" s="1">
        <f t="shared" si="29"/>
        <v>30.5</v>
      </c>
    </row>
    <row r="291" s="1" customFormat="1" spans="1:12">
      <c r="A291" s="2">
        <v>9.631</v>
      </c>
      <c r="B291" s="10" t="s">
        <v>283</v>
      </c>
      <c r="C291" s="4">
        <v>9.631</v>
      </c>
      <c r="D291" s="5">
        <v>101.3</v>
      </c>
      <c r="E291" s="4"/>
      <c r="F291" s="4"/>
      <c r="G291" s="2">
        <f t="shared" si="24"/>
        <v>9.598</v>
      </c>
      <c r="H291" s="11" t="str">
        <f t="shared" si="25"/>
        <v>3.601E-2</v>
      </c>
      <c r="I291" s="2">
        <f t="shared" si="26"/>
        <v>253.8</v>
      </c>
      <c r="J291" s="4">
        <f t="shared" si="27"/>
        <v>9.598</v>
      </c>
      <c r="K291" s="9">
        <f t="shared" si="28"/>
        <v>26.5</v>
      </c>
      <c r="L291" s="1">
        <f t="shared" si="29"/>
        <v>30.5</v>
      </c>
    </row>
    <row r="292" s="1" customFormat="1" spans="1:12">
      <c r="A292" s="2">
        <v>9.665</v>
      </c>
      <c r="B292" s="10" t="s">
        <v>161</v>
      </c>
      <c r="C292" s="4">
        <v>9.665</v>
      </c>
      <c r="D292" s="5">
        <v>129.8</v>
      </c>
      <c r="E292" s="4"/>
      <c r="F292" s="4"/>
      <c r="G292" s="2">
        <f t="shared" si="24"/>
        <v>9.631</v>
      </c>
      <c r="H292" s="11" t="str">
        <f t="shared" si="25"/>
        <v>3.613E-2</v>
      </c>
      <c r="I292" s="2">
        <f t="shared" si="26"/>
        <v>101.3</v>
      </c>
      <c r="J292" s="4">
        <f t="shared" si="27"/>
        <v>9.631</v>
      </c>
      <c r="K292" s="9">
        <f t="shared" si="28"/>
        <v>27.7</v>
      </c>
      <c r="L292" s="1">
        <f t="shared" si="29"/>
        <v>-0.399999999999984</v>
      </c>
    </row>
    <row r="293" s="1" customFormat="1" spans="1:12">
      <c r="A293" s="2">
        <v>9.698</v>
      </c>
      <c r="B293" s="10" t="s">
        <v>288</v>
      </c>
      <c r="C293" s="4">
        <v>9.698</v>
      </c>
      <c r="D293" s="5">
        <v>126.9</v>
      </c>
      <c r="E293" s="4"/>
      <c r="F293" s="4"/>
      <c r="G293" s="2">
        <f t="shared" si="24"/>
        <v>9.665</v>
      </c>
      <c r="H293" s="11" t="str">
        <f t="shared" si="25"/>
        <v>3.621E-2</v>
      </c>
      <c r="I293" s="2">
        <f t="shared" si="26"/>
        <v>129.8</v>
      </c>
      <c r="J293" s="4">
        <f t="shared" si="27"/>
        <v>9.665</v>
      </c>
      <c r="K293" s="9">
        <f t="shared" si="28"/>
        <v>28.5</v>
      </c>
      <c r="L293" s="1">
        <f t="shared" si="29"/>
        <v>-0.399999999999984</v>
      </c>
    </row>
    <row r="294" s="1" customFormat="1" spans="1:12">
      <c r="A294" s="2">
        <v>9.731</v>
      </c>
      <c r="B294" s="10" t="s">
        <v>289</v>
      </c>
      <c r="C294" s="4">
        <v>9.731</v>
      </c>
      <c r="D294" s="5">
        <v>126.2</v>
      </c>
      <c r="E294" s="4"/>
      <c r="F294" s="4"/>
      <c r="G294" s="2">
        <f t="shared" si="24"/>
        <v>9.698</v>
      </c>
      <c r="H294" s="11" t="str">
        <f t="shared" si="25"/>
        <v>3.634E-2</v>
      </c>
      <c r="I294" s="2">
        <f t="shared" si="26"/>
        <v>126.9</v>
      </c>
      <c r="J294" s="4">
        <f t="shared" si="27"/>
        <v>9.698</v>
      </c>
      <c r="K294" s="9">
        <f t="shared" si="28"/>
        <v>29.8</v>
      </c>
      <c r="L294" s="1">
        <f t="shared" si="29"/>
        <v>-0.399999999999984</v>
      </c>
    </row>
    <row r="295" s="1" customFormat="1" spans="1:12">
      <c r="A295" s="2">
        <v>9.765</v>
      </c>
      <c r="B295" s="10" t="s">
        <v>159</v>
      </c>
      <c r="C295" s="4">
        <v>9.765</v>
      </c>
      <c r="D295" s="5">
        <v>124.6</v>
      </c>
      <c r="E295" s="4"/>
      <c r="F295" s="4"/>
      <c r="G295" s="2">
        <f t="shared" si="24"/>
        <v>9.731</v>
      </c>
      <c r="H295" s="11" t="str">
        <f t="shared" si="25"/>
        <v>3.638E-2</v>
      </c>
      <c r="I295" s="2">
        <f t="shared" si="26"/>
        <v>126.2</v>
      </c>
      <c r="J295" s="4">
        <f t="shared" si="27"/>
        <v>9.731</v>
      </c>
      <c r="K295" s="9">
        <f t="shared" si="28"/>
        <v>30.2</v>
      </c>
      <c r="L295" s="1">
        <f t="shared" si="29"/>
        <v>-0.399999999999984</v>
      </c>
    </row>
    <row r="296" s="1" customFormat="1" spans="1:12">
      <c r="A296" s="2">
        <v>9.798</v>
      </c>
      <c r="B296" s="10" t="s">
        <v>156</v>
      </c>
      <c r="C296" s="4">
        <v>9.798</v>
      </c>
      <c r="D296" s="5">
        <v>122.2</v>
      </c>
      <c r="E296" s="4"/>
      <c r="F296" s="4"/>
      <c r="G296" s="2">
        <f t="shared" si="24"/>
        <v>9.765</v>
      </c>
      <c r="H296" s="11" t="str">
        <f t="shared" si="25"/>
        <v>3.640E-2</v>
      </c>
      <c r="I296" s="2">
        <f t="shared" si="26"/>
        <v>124.6</v>
      </c>
      <c r="J296" s="4">
        <f t="shared" si="27"/>
        <v>9.765</v>
      </c>
      <c r="K296" s="9">
        <f t="shared" si="28"/>
        <v>30.4</v>
      </c>
      <c r="L296" s="1">
        <f t="shared" si="29"/>
        <v>-0.399999999999984</v>
      </c>
    </row>
    <row r="297" s="1" customFormat="1" spans="1:12">
      <c r="A297" s="2">
        <v>9.832</v>
      </c>
      <c r="B297" s="10" t="s">
        <v>102</v>
      </c>
      <c r="C297" s="4">
        <v>9.832</v>
      </c>
      <c r="D297" s="5">
        <v>120.5</v>
      </c>
      <c r="E297" s="4"/>
      <c r="F297" s="4"/>
      <c r="G297" s="2">
        <f t="shared" si="24"/>
        <v>9.798</v>
      </c>
      <c r="H297" s="11" t="str">
        <f t="shared" si="25"/>
        <v>3.641E-2</v>
      </c>
      <c r="I297" s="2">
        <f t="shared" si="26"/>
        <v>122.2</v>
      </c>
      <c r="J297" s="4">
        <f t="shared" si="27"/>
        <v>9.798</v>
      </c>
      <c r="K297" s="9">
        <f t="shared" si="28"/>
        <v>30.5</v>
      </c>
      <c r="L297" s="1">
        <f t="shared" si="29"/>
        <v>-0.399999999999984</v>
      </c>
    </row>
    <row r="298" s="1" customFormat="1" spans="1:12">
      <c r="A298" s="2">
        <v>9.865</v>
      </c>
      <c r="B298" s="10" t="s">
        <v>160</v>
      </c>
      <c r="C298" s="4">
        <v>9.865</v>
      </c>
      <c r="D298" s="5">
        <v>120.2</v>
      </c>
      <c r="E298" s="4"/>
      <c r="F298" s="4"/>
      <c r="G298" s="2">
        <f t="shared" si="24"/>
        <v>9.832</v>
      </c>
      <c r="H298" s="11" t="str">
        <f t="shared" si="25"/>
        <v>3.639E-2</v>
      </c>
      <c r="I298" s="2">
        <f t="shared" si="26"/>
        <v>120.5</v>
      </c>
      <c r="J298" s="4">
        <f t="shared" si="27"/>
        <v>9.832</v>
      </c>
      <c r="K298" s="9">
        <f t="shared" si="28"/>
        <v>30.3</v>
      </c>
      <c r="L298" s="1">
        <f t="shared" si="29"/>
        <v>-0.399999999999984</v>
      </c>
    </row>
    <row r="299" s="1" customFormat="1" spans="1:12">
      <c r="A299" s="2">
        <v>9.899</v>
      </c>
      <c r="B299" s="10" t="s">
        <v>290</v>
      </c>
      <c r="C299" s="4">
        <v>9.899</v>
      </c>
      <c r="D299" s="5">
        <v>117.8</v>
      </c>
      <c r="E299" s="4"/>
      <c r="F299" s="4"/>
      <c r="G299" s="2">
        <f t="shared" si="24"/>
        <v>9.865</v>
      </c>
      <c r="H299" s="11" t="str">
        <f t="shared" si="25"/>
        <v>3.636E-2</v>
      </c>
      <c r="I299" s="2">
        <f t="shared" si="26"/>
        <v>120.2</v>
      </c>
      <c r="J299" s="4">
        <f t="shared" si="27"/>
        <v>9.865</v>
      </c>
      <c r="K299" s="9">
        <f t="shared" si="28"/>
        <v>30</v>
      </c>
      <c r="L299" s="1">
        <f t="shared" si="29"/>
        <v>-0.399999999999984</v>
      </c>
    </row>
    <row r="300" s="1" customFormat="1" spans="1:12">
      <c r="A300" s="2">
        <v>9.932</v>
      </c>
      <c r="B300" s="10" t="s">
        <v>291</v>
      </c>
      <c r="C300" s="4">
        <v>9.932</v>
      </c>
      <c r="D300" s="5">
        <v>116.8</v>
      </c>
      <c r="E300" s="4"/>
      <c r="F300" s="4"/>
      <c r="G300" s="2">
        <f t="shared" si="24"/>
        <v>9.899</v>
      </c>
      <c r="H300" s="11" t="str">
        <f t="shared" si="25"/>
        <v>3.632E-2</v>
      </c>
      <c r="I300" s="2">
        <f t="shared" si="26"/>
        <v>117.8</v>
      </c>
      <c r="J300" s="4">
        <f t="shared" si="27"/>
        <v>9.899</v>
      </c>
      <c r="K300" s="9">
        <f t="shared" si="28"/>
        <v>29.6</v>
      </c>
      <c r="L300" s="1">
        <f t="shared" si="29"/>
        <v>-0.399999999999984</v>
      </c>
    </row>
    <row r="301" s="1" customFormat="1" spans="1:12">
      <c r="A301" s="2">
        <v>9.966</v>
      </c>
      <c r="B301" s="10" t="s">
        <v>161</v>
      </c>
      <c r="C301" s="4">
        <v>9.966</v>
      </c>
      <c r="D301" s="5">
        <v>115.7</v>
      </c>
      <c r="E301" s="4"/>
      <c r="F301" s="4"/>
      <c r="G301" s="2">
        <f t="shared" si="24"/>
        <v>9.932</v>
      </c>
      <c r="H301" s="11" t="str">
        <f t="shared" si="25"/>
        <v>3.628E-2</v>
      </c>
      <c r="I301" s="2">
        <f t="shared" si="26"/>
        <v>116.8</v>
      </c>
      <c r="J301" s="4">
        <f t="shared" si="27"/>
        <v>9.932</v>
      </c>
      <c r="K301" s="9">
        <f t="shared" si="28"/>
        <v>29.2</v>
      </c>
      <c r="L301" s="1">
        <f t="shared" si="29"/>
        <v>-0.399999999999984</v>
      </c>
    </row>
    <row r="302" s="1" customFormat="1" spans="1:12">
      <c r="A302" s="2">
        <v>9.999</v>
      </c>
      <c r="B302" s="10" t="s">
        <v>284</v>
      </c>
      <c r="C302" s="4">
        <v>9.999</v>
      </c>
      <c r="D302" s="5">
        <v>113.8</v>
      </c>
      <c r="E302" s="4"/>
      <c r="F302" s="4"/>
      <c r="G302" s="2">
        <f t="shared" si="24"/>
        <v>9.966</v>
      </c>
      <c r="H302" s="11" t="str">
        <f t="shared" si="25"/>
        <v>3.621E-2</v>
      </c>
      <c r="I302" s="2">
        <f t="shared" si="26"/>
        <v>115.7</v>
      </c>
      <c r="J302" s="4">
        <f t="shared" si="27"/>
        <v>9.966</v>
      </c>
      <c r="K302" s="9">
        <f t="shared" si="28"/>
        <v>28.5</v>
      </c>
      <c r="L302" s="1">
        <f t="shared" si="29"/>
        <v>-0.399999999999984</v>
      </c>
    </row>
    <row r="303" s="1" customFormat="1" spans="1:12">
      <c r="A303" s="2">
        <v>10.032</v>
      </c>
      <c r="B303" s="10" t="s">
        <v>292</v>
      </c>
      <c r="C303" s="4">
        <v>10.032</v>
      </c>
      <c r="D303" s="5">
        <v>111.2</v>
      </c>
      <c r="E303" s="4"/>
      <c r="F303" s="4"/>
      <c r="G303" s="2">
        <f t="shared" si="24"/>
        <v>9.999</v>
      </c>
      <c r="H303" s="11" t="str">
        <f t="shared" si="25"/>
        <v>3.612E-2</v>
      </c>
      <c r="I303" s="2">
        <f t="shared" si="26"/>
        <v>113.8</v>
      </c>
      <c r="J303" s="4">
        <f t="shared" si="27"/>
        <v>9.999</v>
      </c>
      <c r="K303" s="9">
        <f t="shared" si="28"/>
        <v>27.6</v>
      </c>
      <c r="L303" s="1">
        <f t="shared" si="29"/>
        <v>-0.399999999999984</v>
      </c>
    </row>
    <row r="304" s="1" customFormat="1" spans="1:12">
      <c r="A304" s="2">
        <v>10.066</v>
      </c>
      <c r="B304" s="10" t="s">
        <v>181</v>
      </c>
      <c r="C304" s="4">
        <v>10.066</v>
      </c>
      <c r="D304" s="5">
        <v>110.1</v>
      </c>
      <c r="E304" s="4"/>
      <c r="F304" s="4"/>
      <c r="G304" s="2">
        <f t="shared" si="24"/>
        <v>10.032</v>
      </c>
      <c r="H304" s="11" t="str">
        <f t="shared" si="25"/>
        <v>3.597E-2</v>
      </c>
      <c r="I304" s="2">
        <f t="shared" si="26"/>
        <v>111.2</v>
      </c>
      <c r="J304" s="4">
        <f t="shared" si="27"/>
        <v>10.032</v>
      </c>
      <c r="K304" s="9">
        <f t="shared" si="28"/>
        <v>26.1</v>
      </c>
      <c r="L304" s="1">
        <f t="shared" si="29"/>
        <v>-0.399999999999984</v>
      </c>
    </row>
    <row r="305" s="1" customFormat="1" spans="1:12">
      <c r="A305" s="2">
        <v>10.099</v>
      </c>
      <c r="B305" s="10" t="s">
        <v>74</v>
      </c>
      <c r="C305" s="4">
        <v>10.099</v>
      </c>
      <c r="D305" s="5">
        <v>109.2</v>
      </c>
      <c r="E305" s="4"/>
      <c r="F305" s="4"/>
      <c r="G305" s="2">
        <f t="shared" si="24"/>
        <v>10.066</v>
      </c>
      <c r="H305" s="11" t="str">
        <f t="shared" si="25"/>
        <v>3.581E-2</v>
      </c>
      <c r="I305" s="2">
        <f t="shared" si="26"/>
        <v>110.1</v>
      </c>
      <c r="J305" s="4">
        <f t="shared" si="27"/>
        <v>10.066</v>
      </c>
      <c r="K305" s="9">
        <f t="shared" si="28"/>
        <v>24.5</v>
      </c>
      <c r="L305" s="1">
        <f t="shared" si="29"/>
        <v>-0.399999999999984</v>
      </c>
    </row>
    <row r="306" s="1" customFormat="1" spans="1:12">
      <c r="A306" s="2">
        <v>10.133</v>
      </c>
      <c r="B306" s="10" t="s">
        <v>122</v>
      </c>
      <c r="C306" s="4">
        <v>10.133</v>
      </c>
      <c r="D306" s="5">
        <v>106.1</v>
      </c>
      <c r="E306" s="4"/>
      <c r="F306" s="4"/>
      <c r="G306" s="2">
        <f t="shared" si="24"/>
        <v>10.099</v>
      </c>
      <c r="H306" s="11" t="str">
        <f t="shared" si="25"/>
        <v>3.563E-2</v>
      </c>
      <c r="I306" s="2">
        <f t="shared" si="26"/>
        <v>109.2</v>
      </c>
      <c r="J306" s="4">
        <f t="shared" si="27"/>
        <v>10.099</v>
      </c>
      <c r="K306" s="9">
        <f t="shared" si="28"/>
        <v>22.7</v>
      </c>
      <c r="L306" s="1">
        <f t="shared" si="29"/>
        <v>-0.399999999999984</v>
      </c>
    </row>
    <row r="307" s="1" customFormat="1" spans="1:12">
      <c r="A307" s="2">
        <v>10.166</v>
      </c>
      <c r="B307" s="10" t="s">
        <v>199</v>
      </c>
      <c r="C307" s="4">
        <v>10.166</v>
      </c>
      <c r="D307" s="5">
        <v>105.6</v>
      </c>
      <c r="E307" s="4"/>
      <c r="F307" s="4"/>
      <c r="G307" s="2">
        <f t="shared" si="24"/>
        <v>10.133</v>
      </c>
      <c r="H307" s="11" t="str">
        <f t="shared" si="25"/>
        <v>3.549E-2</v>
      </c>
      <c r="I307" s="2">
        <f t="shared" si="26"/>
        <v>106.1</v>
      </c>
      <c r="J307" s="4">
        <f t="shared" si="27"/>
        <v>10.133</v>
      </c>
      <c r="K307" s="9">
        <f t="shared" si="28"/>
        <v>21.3</v>
      </c>
      <c r="L307" s="1">
        <f t="shared" si="29"/>
        <v>-0.399999999999984</v>
      </c>
    </row>
    <row r="308" s="1" customFormat="1" spans="1:12">
      <c r="A308" s="2">
        <v>10.2</v>
      </c>
      <c r="B308" s="10" t="s">
        <v>61</v>
      </c>
      <c r="C308" s="4">
        <v>10.2</v>
      </c>
      <c r="D308" s="5">
        <v>103.7</v>
      </c>
      <c r="E308" s="4"/>
      <c r="F308" s="4"/>
      <c r="G308" s="2">
        <f t="shared" si="24"/>
        <v>10.166</v>
      </c>
      <c r="H308" s="11" t="str">
        <f t="shared" si="25"/>
        <v>3.529E-2</v>
      </c>
      <c r="I308" s="2">
        <f t="shared" si="26"/>
        <v>105.6</v>
      </c>
      <c r="J308" s="4">
        <f t="shared" si="27"/>
        <v>10.166</v>
      </c>
      <c r="K308" s="9">
        <f t="shared" si="28"/>
        <v>19.3</v>
      </c>
      <c r="L308" s="1">
        <f t="shared" si="29"/>
        <v>-0.399999999999984</v>
      </c>
    </row>
    <row r="309" s="1" customFormat="1" spans="1:12">
      <c r="A309" s="2">
        <v>10.233</v>
      </c>
      <c r="B309" s="10" t="s">
        <v>194</v>
      </c>
      <c r="C309" s="4">
        <v>10.233</v>
      </c>
      <c r="D309" s="5">
        <v>102.8</v>
      </c>
      <c r="E309" s="4"/>
      <c r="F309" s="4"/>
      <c r="G309" s="2">
        <f t="shared" si="24"/>
        <v>10.2</v>
      </c>
      <c r="H309" s="11" t="str">
        <f t="shared" si="25"/>
        <v>3.509E-2</v>
      </c>
      <c r="I309" s="2">
        <f t="shared" si="26"/>
        <v>103.7</v>
      </c>
      <c r="J309" s="4">
        <f t="shared" si="27"/>
        <v>10.2</v>
      </c>
      <c r="K309" s="9">
        <f t="shared" si="28"/>
        <v>17.3</v>
      </c>
      <c r="L309" s="1">
        <f t="shared" si="29"/>
        <v>-0.399999999999984</v>
      </c>
    </row>
    <row r="310" s="1" customFormat="1" spans="1:12">
      <c r="A310" s="2">
        <v>10.266</v>
      </c>
      <c r="B310" s="10" t="s">
        <v>171</v>
      </c>
      <c r="C310" s="4">
        <v>10.266</v>
      </c>
      <c r="D310" s="5">
        <v>100.5</v>
      </c>
      <c r="E310" s="4"/>
      <c r="F310" s="4"/>
      <c r="G310" s="2">
        <f t="shared" si="24"/>
        <v>10.233</v>
      </c>
      <c r="H310" s="11" t="str">
        <f t="shared" si="25"/>
        <v>3.490E-2</v>
      </c>
      <c r="I310" s="2">
        <f t="shared" si="26"/>
        <v>102.8</v>
      </c>
      <c r="J310" s="4">
        <f t="shared" si="27"/>
        <v>10.233</v>
      </c>
      <c r="K310" s="9">
        <f t="shared" si="28"/>
        <v>15.4</v>
      </c>
      <c r="L310" s="1">
        <f t="shared" si="29"/>
        <v>-0.399999999999984</v>
      </c>
    </row>
    <row r="311" s="1" customFormat="1" spans="1:12">
      <c r="A311" s="2">
        <v>10.3</v>
      </c>
      <c r="B311" s="10" t="s">
        <v>169</v>
      </c>
      <c r="C311" s="4">
        <v>10.3</v>
      </c>
      <c r="D311" s="5">
        <v>99.9</v>
      </c>
      <c r="E311" s="4"/>
      <c r="F311" s="4"/>
      <c r="G311" s="2">
        <f t="shared" si="24"/>
        <v>10.266</v>
      </c>
      <c r="H311" s="11" t="str">
        <f t="shared" si="25"/>
        <v>3.474E-2</v>
      </c>
      <c r="I311" s="2">
        <f t="shared" si="26"/>
        <v>100.5</v>
      </c>
      <c r="J311" s="4">
        <f t="shared" si="27"/>
        <v>10.266</v>
      </c>
      <c r="K311" s="9">
        <f t="shared" si="28"/>
        <v>13.8</v>
      </c>
      <c r="L311" s="1">
        <f t="shared" si="29"/>
        <v>-0.399999999999984</v>
      </c>
    </row>
    <row r="312" s="1" customFormat="1" spans="1:12">
      <c r="A312" s="2">
        <v>10.333</v>
      </c>
      <c r="B312" s="10" t="s">
        <v>144</v>
      </c>
      <c r="C312" s="4">
        <v>10.333</v>
      </c>
      <c r="D312" s="5">
        <v>97.7</v>
      </c>
      <c r="E312" s="4"/>
      <c r="F312" s="4"/>
      <c r="G312" s="2">
        <f t="shared" si="24"/>
        <v>10.3</v>
      </c>
      <c r="H312" s="11" t="str">
        <f t="shared" si="25"/>
        <v>3.461E-2</v>
      </c>
      <c r="I312" s="2">
        <f t="shared" si="26"/>
        <v>99.9</v>
      </c>
      <c r="J312" s="4">
        <f t="shared" si="27"/>
        <v>10.3</v>
      </c>
      <c r="K312" s="9">
        <f t="shared" si="28"/>
        <v>12.5</v>
      </c>
      <c r="L312" s="1">
        <f t="shared" si="29"/>
        <v>-0.399999999999984</v>
      </c>
    </row>
    <row r="313" s="1" customFormat="1" spans="1:12">
      <c r="A313" s="2">
        <v>10.367</v>
      </c>
      <c r="B313" s="10" t="s">
        <v>236</v>
      </c>
      <c r="C313" s="4">
        <v>10.367</v>
      </c>
      <c r="D313" s="5">
        <v>194.1</v>
      </c>
      <c r="E313" s="4"/>
      <c r="F313" s="4"/>
      <c r="G313" s="2">
        <f t="shared" si="24"/>
        <v>10.333</v>
      </c>
      <c r="H313" s="11" t="str">
        <f t="shared" si="25"/>
        <v>3.449E-2</v>
      </c>
      <c r="I313" s="2">
        <f t="shared" si="26"/>
        <v>97.7</v>
      </c>
      <c r="J313" s="4">
        <f t="shared" si="27"/>
        <v>10.333</v>
      </c>
      <c r="K313" s="9">
        <f t="shared" si="28"/>
        <v>11.3</v>
      </c>
      <c r="L313" s="1">
        <f t="shared" si="29"/>
        <v>-0.399999999999984</v>
      </c>
    </row>
    <row r="314" s="1" customFormat="1" spans="1:12">
      <c r="A314" s="2">
        <v>10.4</v>
      </c>
      <c r="B314" s="10" t="s">
        <v>81</v>
      </c>
      <c r="C314" s="4">
        <v>10.4</v>
      </c>
      <c r="D314" s="5">
        <v>253.8</v>
      </c>
      <c r="E314" s="4"/>
      <c r="F314" s="4"/>
      <c r="G314" s="2">
        <f t="shared" si="24"/>
        <v>10.367</v>
      </c>
      <c r="H314" s="11" t="str">
        <f t="shared" si="25"/>
        <v>3.438E-2</v>
      </c>
      <c r="I314" s="2">
        <f t="shared" si="26"/>
        <v>194.1</v>
      </c>
      <c r="J314" s="4">
        <f t="shared" si="27"/>
        <v>10.367</v>
      </c>
      <c r="K314" s="9">
        <f t="shared" si="28"/>
        <v>10.2</v>
      </c>
      <c r="L314" s="1">
        <f t="shared" si="29"/>
        <v>-0.399999999999984</v>
      </c>
    </row>
    <row r="315" s="1" customFormat="1" spans="1:12">
      <c r="A315" s="2">
        <v>10.434</v>
      </c>
      <c r="B315" s="10" t="s">
        <v>235</v>
      </c>
      <c r="C315" s="4">
        <v>10.434</v>
      </c>
      <c r="D315" s="5">
        <v>253.8</v>
      </c>
      <c r="E315" s="4"/>
      <c r="F315" s="4"/>
      <c r="G315" s="2">
        <f t="shared" si="24"/>
        <v>10.4</v>
      </c>
      <c r="H315" s="11" t="str">
        <f t="shared" si="25"/>
        <v>3.425E-2</v>
      </c>
      <c r="I315" s="2">
        <f t="shared" si="26"/>
        <v>253.8</v>
      </c>
      <c r="J315" s="4">
        <f t="shared" si="27"/>
        <v>10.4</v>
      </c>
      <c r="K315" s="9">
        <f t="shared" si="28"/>
        <v>8.90000000000002</v>
      </c>
      <c r="L315" s="1">
        <f t="shared" si="29"/>
        <v>30.5</v>
      </c>
    </row>
    <row r="316" s="1" customFormat="1" spans="1:12">
      <c r="A316" s="2">
        <v>10.467</v>
      </c>
      <c r="B316" s="10" t="s">
        <v>142</v>
      </c>
      <c r="C316" s="4">
        <v>10.467</v>
      </c>
      <c r="D316" s="5">
        <v>253.8</v>
      </c>
      <c r="E316" s="4"/>
      <c r="F316" s="4"/>
      <c r="G316" s="2">
        <f t="shared" si="24"/>
        <v>10.434</v>
      </c>
      <c r="H316" s="11" t="str">
        <f t="shared" si="25"/>
        <v>3.420E-2</v>
      </c>
      <c r="I316" s="2">
        <f t="shared" si="26"/>
        <v>253.8</v>
      </c>
      <c r="J316" s="4">
        <f t="shared" si="27"/>
        <v>10.434</v>
      </c>
      <c r="K316" s="9">
        <f t="shared" si="28"/>
        <v>8.4</v>
      </c>
      <c r="L316" s="1">
        <f t="shared" si="29"/>
        <v>30.5</v>
      </c>
    </row>
    <row r="317" s="1" customFormat="1" spans="1:12">
      <c r="A317" s="2">
        <v>10.501</v>
      </c>
      <c r="B317" s="10" t="s">
        <v>118</v>
      </c>
      <c r="C317" s="4">
        <v>10.501</v>
      </c>
      <c r="D317" s="5">
        <v>253.8</v>
      </c>
      <c r="E317" s="4"/>
      <c r="F317" s="4"/>
      <c r="G317" s="2">
        <f t="shared" si="24"/>
        <v>10.467</v>
      </c>
      <c r="H317" s="11" t="str">
        <f t="shared" si="25"/>
        <v>3.418E-2</v>
      </c>
      <c r="I317" s="2">
        <f t="shared" si="26"/>
        <v>253.8</v>
      </c>
      <c r="J317" s="4">
        <f t="shared" si="27"/>
        <v>10.467</v>
      </c>
      <c r="K317" s="9">
        <f t="shared" si="28"/>
        <v>8.20000000000001</v>
      </c>
      <c r="L317" s="1">
        <f t="shared" si="29"/>
        <v>30.5</v>
      </c>
    </row>
    <row r="318" s="1" customFormat="1" spans="1:12">
      <c r="A318" s="2">
        <v>10.534</v>
      </c>
      <c r="B318" s="10" t="s">
        <v>242</v>
      </c>
      <c r="C318" s="4">
        <v>10.534</v>
      </c>
      <c r="D318" s="5">
        <v>253.8</v>
      </c>
      <c r="E318" s="4"/>
      <c r="F318" s="4"/>
      <c r="G318" s="2">
        <f t="shared" si="24"/>
        <v>10.501</v>
      </c>
      <c r="H318" s="11" t="str">
        <f t="shared" si="25"/>
        <v>3.419E-2</v>
      </c>
      <c r="I318" s="2">
        <f t="shared" si="26"/>
        <v>253.8</v>
      </c>
      <c r="J318" s="4">
        <f t="shared" si="27"/>
        <v>10.501</v>
      </c>
      <c r="K318" s="9">
        <f t="shared" si="28"/>
        <v>8.29999999999997</v>
      </c>
      <c r="L318" s="1">
        <f t="shared" si="29"/>
        <v>30.5</v>
      </c>
    </row>
    <row r="319" s="1" customFormat="1" spans="1:12">
      <c r="A319" s="2">
        <v>10.567</v>
      </c>
      <c r="B319" s="10" t="s">
        <v>18</v>
      </c>
      <c r="C319" s="4">
        <v>10.567</v>
      </c>
      <c r="D319" s="5">
        <v>253.8</v>
      </c>
      <c r="E319" s="4"/>
      <c r="F319" s="4"/>
      <c r="G319" s="2">
        <f t="shared" si="24"/>
        <v>10.534</v>
      </c>
      <c r="H319" s="11" t="str">
        <f t="shared" si="25"/>
        <v>3.421E-2</v>
      </c>
      <c r="I319" s="2">
        <f t="shared" si="26"/>
        <v>253.8</v>
      </c>
      <c r="J319" s="4">
        <f t="shared" si="27"/>
        <v>10.534</v>
      </c>
      <c r="K319" s="9">
        <f t="shared" si="28"/>
        <v>8.49999999999997</v>
      </c>
      <c r="L319" s="1">
        <f t="shared" si="29"/>
        <v>30.5</v>
      </c>
    </row>
    <row r="320" s="1" customFormat="1" spans="1:12">
      <c r="A320" s="2">
        <v>10.601</v>
      </c>
      <c r="B320" s="10" t="s">
        <v>15</v>
      </c>
      <c r="C320" s="4">
        <v>10.601</v>
      </c>
      <c r="D320" s="5">
        <v>253.8</v>
      </c>
      <c r="E320" s="4"/>
      <c r="F320" s="4"/>
      <c r="G320" s="2">
        <f t="shared" si="24"/>
        <v>10.567</v>
      </c>
      <c r="H320" s="11" t="str">
        <f t="shared" si="25"/>
        <v>3.424E-2</v>
      </c>
      <c r="I320" s="2">
        <f t="shared" si="26"/>
        <v>253.8</v>
      </c>
      <c r="J320" s="4">
        <f t="shared" si="27"/>
        <v>10.567</v>
      </c>
      <c r="K320" s="9">
        <f t="shared" si="28"/>
        <v>8.79999999999999</v>
      </c>
      <c r="L320" s="1">
        <f t="shared" si="29"/>
        <v>30.5</v>
      </c>
    </row>
    <row r="321" s="1" customFormat="1" spans="1:12">
      <c r="A321" s="2">
        <v>10.634</v>
      </c>
      <c r="B321" s="10" t="s">
        <v>13</v>
      </c>
      <c r="C321" s="4">
        <v>10.634</v>
      </c>
      <c r="D321" s="5">
        <v>253.8</v>
      </c>
      <c r="E321" s="4"/>
      <c r="F321" s="4"/>
      <c r="G321" s="2">
        <f t="shared" si="24"/>
        <v>10.601</v>
      </c>
      <c r="H321" s="11" t="str">
        <f t="shared" si="25"/>
        <v>3.427E-2</v>
      </c>
      <c r="I321" s="2">
        <f t="shared" si="26"/>
        <v>253.8</v>
      </c>
      <c r="J321" s="4">
        <f t="shared" si="27"/>
        <v>10.601</v>
      </c>
      <c r="K321" s="9">
        <f t="shared" si="28"/>
        <v>9.10000000000001</v>
      </c>
      <c r="L321" s="1">
        <f t="shared" si="29"/>
        <v>30.5</v>
      </c>
    </row>
    <row r="322" s="1" customFormat="1" spans="1:12">
      <c r="A322" s="2">
        <v>10.668</v>
      </c>
      <c r="B322" s="10" t="s">
        <v>12</v>
      </c>
      <c r="C322" s="4">
        <v>10.668</v>
      </c>
      <c r="D322" s="5">
        <v>253.8</v>
      </c>
      <c r="E322" s="4"/>
      <c r="F322" s="4"/>
      <c r="G322" s="2">
        <f t="shared" si="24"/>
        <v>10.634</v>
      </c>
      <c r="H322" s="11" t="str">
        <f t="shared" si="25"/>
        <v>3.431E-2</v>
      </c>
      <c r="I322" s="2">
        <f t="shared" si="26"/>
        <v>253.8</v>
      </c>
      <c r="J322" s="4">
        <f t="shared" si="27"/>
        <v>10.634</v>
      </c>
      <c r="K322" s="9">
        <f t="shared" si="28"/>
        <v>9.49999999999999</v>
      </c>
      <c r="L322" s="1">
        <f t="shared" si="29"/>
        <v>30.5</v>
      </c>
    </row>
    <row r="323" s="1" customFormat="1" spans="1:12">
      <c r="A323" s="2">
        <v>10.701</v>
      </c>
      <c r="B323" s="10" t="s">
        <v>216</v>
      </c>
      <c r="C323" s="4">
        <v>10.701</v>
      </c>
      <c r="D323" s="5">
        <v>253.8</v>
      </c>
      <c r="E323" s="4"/>
      <c r="F323" s="4"/>
      <c r="G323" s="2">
        <f t="shared" si="24"/>
        <v>10.668</v>
      </c>
      <c r="H323" s="11" t="str">
        <f t="shared" si="25"/>
        <v>3.435E-2</v>
      </c>
      <c r="I323" s="2">
        <f t="shared" si="26"/>
        <v>253.8</v>
      </c>
      <c r="J323" s="4">
        <f t="shared" si="27"/>
        <v>10.668</v>
      </c>
      <c r="K323" s="9">
        <f t="shared" si="28"/>
        <v>9.89999999999998</v>
      </c>
      <c r="L323" s="1">
        <f t="shared" si="29"/>
        <v>30.5</v>
      </c>
    </row>
    <row r="324" s="1" customFormat="1" spans="1:12">
      <c r="A324" s="2">
        <v>10.735</v>
      </c>
      <c r="B324" s="10" t="s">
        <v>168</v>
      </c>
      <c r="C324" s="4">
        <v>10.735</v>
      </c>
      <c r="D324" s="5">
        <v>253.8</v>
      </c>
      <c r="E324" s="4"/>
      <c r="F324" s="4"/>
      <c r="G324" s="2">
        <f t="shared" ref="G324:G387" si="30">A323</f>
        <v>10.701</v>
      </c>
      <c r="H324" s="11" t="str">
        <f t="shared" ref="H324:H387" si="31">B323</f>
        <v>3.446E-2</v>
      </c>
      <c r="I324" s="2">
        <f t="shared" ref="I324:I387" si="32">D323</f>
        <v>253.8</v>
      </c>
      <c r="J324" s="4">
        <f t="shared" ref="J324:J387" si="33">G324</f>
        <v>10.701</v>
      </c>
      <c r="K324" s="9">
        <f t="shared" ref="K324:K387" si="34">(H324-$H$4)*10000</f>
        <v>11</v>
      </c>
      <c r="L324" s="1">
        <f t="shared" si="29"/>
        <v>30.5</v>
      </c>
    </row>
    <row r="325" s="1" customFormat="1" spans="1:12">
      <c r="A325" s="2">
        <v>10.768</v>
      </c>
      <c r="B325" s="10" t="s">
        <v>28</v>
      </c>
      <c r="C325" s="4">
        <v>10.768</v>
      </c>
      <c r="D325" s="5">
        <v>253.8</v>
      </c>
      <c r="E325" s="4"/>
      <c r="F325" s="4"/>
      <c r="G325" s="2">
        <f t="shared" si="30"/>
        <v>10.735</v>
      </c>
      <c r="H325" s="11" t="str">
        <f t="shared" si="31"/>
        <v>3.459E-2</v>
      </c>
      <c r="I325" s="2">
        <f t="shared" si="32"/>
        <v>253.8</v>
      </c>
      <c r="J325" s="4">
        <f t="shared" si="33"/>
        <v>10.735</v>
      </c>
      <c r="K325" s="9">
        <f t="shared" si="34"/>
        <v>12.3</v>
      </c>
      <c r="L325" s="1">
        <f t="shared" ref="L325:L388" si="35">IF(I325&lt;230,$V$4,$V$5)</f>
        <v>30.5</v>
      </c>
    </row>
    <row r="326" s="1" customFormat="1" spans="1:12">
      <c r="A326" s="2">
        <v>10.802</v>
      </c>
      <c r="B326" s="10" t="s">
        <v>195</v>
      </c>
      <c r="C326" s="4">
        <v>10.802</v>
      </c>
      <c r="D326" s="5">
        <v>253.8</v>
      </c>
      <c r="E326" s="4"/>
      <c r="F326" s="4"/>
      <c r="G326" s="2">
        <f t="shared" si="30"/>
        <v>10.768</v>
      </c>
      <c r="H326" s="11" t="str">
        <f t="shared" si="31"/>
        <v>3.470E-2</v>
      </c>
      <c r="I326" s="2">
        <f t="shared" si="32"/>
        <v>253.8</v>
      </c>
      <c r="J326" s="4">
        <f t="shared" si="33"/>
        <v>10.768</v>
      </c>
      <c r="K326" s="9">
        <f t="shared" si="34"/>
        <v>13.4</v>
      </c>
      <c r="L326" s="1">
        <f t="shared" si="35"/>
        <v>30.5</v>
      </c>
    </row>
    <row r="327" s="1" customFormat="1" spans="1:12">
      <c r="A327" s="2">
        <v>10.835</v>
      </c>
      <c r="B327" s="10" t="s">
        <v>165</v>
      </c>
      <c r="C327" s="4">
        <v>10.835</v>
      </c>
      <c r="D327" s="5">
        <v>253.8</v>
      </c>
      <c r="E327" s="4"/>
      <c r="F327" s="4"/>
      <c r="G327" s="2">
        <f t="shared" si="30"/>
        <v>10.802</v>
      </c>
      <c r="H327" s="11" t="str">
        <f t="shared" si="31"/>
        <v>3.488E-2</v>
      </c>
      <c r="I327" s="2">
        <f t="shared" si="32"/>
        <v>253.8</v>
      </c>
      <c r="J327" s="4">
        <f t="shared" si="33"/>
        <v>10.802</v>
      </c>
      <c r="K327" s="9">
        <f t="shared" si="34"/>
        <v>15.2</v>
      </c>
      <c r="L327" s="1">
        <f t="shared" si="35"/>
        <v>30.5</v>
      </c>
    </row>
    <row r="328" s="1" customFormat="1" spans="1:12">
      <c r="A328" s="2">
        <v>10.868</v>
      </c>
      <c r="B328" s="10" t="s">
        <v>147</v>
      </c>
      <c r="C328" s="4">
        <v>10.868</v>
      </c>
      <c r="D328" s="5">
        <v>253.8</v>
      </c>
      <c r="E328" s="4"/>
      <c r="F328" s="4"/>
      <c r="G328" s="2">
        <f t="shared" si="30"/>
        <v>10.835</v>
      </c>
      <c r="H328" s="11" t="str">
        <f t="shared" si="31"/>
        <v>3.505E-2</v>
      </c>
      <c r="I328" s="2">
        <f t="shared" si="32"/>
        <v>253.8</v>
      </c>
      <c r="J328" s="4">
        <f t="shared" si="33"/>
        <v>10.835</v>
      </c>
      <c r="K328" s="9">
        <f t="shared" si="34"/>
        <v>16.9</v>
      </c>
      <c r="L328" s="1">
        <f t="shared" si="35"/>
        <v>30.5</v>
      </c>
    </row>
    <row r="329" s="1" customFormat="1" spans="1:12">
      <c r="A329" s="2">
        <v>10.902</v>
      </c>
      <c r="B329" s="10" t="s">
        <v>122</v>
      </c>
      <c r="C329" s="4">
        <v>10.902</v>
      </c>
      <c r="D329" s="5">
        <v>253.8</v>
      </c>
      <c r="E329" s="4"/>
      <c r="F329" s="4"/>
      <c r="G329" s="2">
        <f t="shared" si="30"/>
        <v>10.868</v>
      </c>
      <c r="H329" s="11" t="str">
        <f t="shared" si="31"/>
        <v>3.531E-2</v>
      </c>
      <c r="I329" s="2">
        <f t="shared" si="32"/>
        <v>253.8</v>
      </c>
      <c r="J329" s="4">
        <f t="shared" si="33"/>
        <v>10.868</v>
      </c>
      <c r="K329" s="9">
        <f t="shared" si="34"/>
        <v>19.5</v>
      </c>
      <c r="L329" s="1">
        <f t="shared" si="35"/>
        <v>30.5</v>
      </c>
    </row>
    <row r="330" s="1" customFormat="1" spans="1:12">
      <c r="A330" s="2">
        <v>10.935</v>
      </c>
      <c r="B330" s="10" t="s">
        <v>105</v>
      </c>
      <c r="C330" s="4">
        <v>10.935</v>
      </c>
      <c r="D330" s="5">
        <v>253.8</v>
      </c>
      <c r="E330" s="4"/>
      <c r="F330" s="4"/>
      <c r="G330" s="2">
        <f t="shared" si="30"/>
        <v>10.902</v>
      </c>
      <c r="H330" s="11" t="str">
        <f t="shared" si="31"/>
        <v>3.549E-2</v>
      </c>
      <c r="I330" s="2">
        <f t="shared" si="32"/>
        <v>253.8</v>
      </c>
      <c r="J330" s="4">
        <f t="shared" si="33"/>
        <v>10.902</v>
      </c>
      <c r="K330" s="9">
        <f t="shared" si="34"/>
        <v>21.3</v>
      </c>
      <c r="L330" s="1">
        <f t="shared" si="35"/>
        <v>30.5</v>
      </c>
    </row>
    <row r="331" s="1" customFormat="1" spans="1:12">
      <c r="A331" s="2">
        <v>10.969</v>
      </c>
      <c r="B331" s="10" t="s">
        <v>176</v>
      </c>
      <c r="C331" s="4">
        <v>10.969</v>
      </c>
      <c r="D331" s="5">
        <v>253.8</v>
      </c>
      <c r="E331" s="4"/>
      <c r="F331" s="4"/>
      <c r="G331" s="2">
        <f t="shared" si="30"/>
        <v>10.935</v>
      </c>
      <c r="H331" s="11" t="str">
        <f t="shared" si="31"/>
        <v>3.559E-2</v>
      </c>
      <c r="I331" s="2">
        <f t="shared" si="32"/>
        <v>253.8</v>
      </c>
      <c r="J331" s="4">
        <f t="shared" si="33"/>
        <v>10.935</v>
      </c>
      <c r="K331" s="9">
        <f t="shared" si="34"/>
        <v>22.3</v>
      </c>
      <c r="L331" s="1">
        <f t="shared" si="35"/>
        <v>30.5</v>
      </c>
    </row>
    <row r="332" s="1" customFormat="1" spans="1:12">
      <c r="A332" s="2">
        <v>11.002</v>
      </c>
      <c r="B332" s="10" t="s">
        <v>68</v>
      </c>
      <c r="C332" s="4">
        <v>11.002</v>
      </c>
      <c r="D332" s="5">
        <v>253.8</v>
      </c>
      <c r="E332" s="4"/>
      <c r="F332" s="4"/>
      <c r="G332" s="2">
        <f t="shared" si="30"/>
        <v>10.969</v>
      </c>
      <c r="H332" s="11" t="str">
        <f t="shared" si="31"/>
        <v>3.572E-2</v>
      </c>
      <c r="I332" s="2">
        <f t="shared" si="32"/>
        <v>253.8</v>
      </c>
      <c r="J332" s="4">
        <f t="shared" si="33"/>
        <v>10.969</v>
      </c>
      <c r="K332" s="9">
        <f t="shared" si="34"/>
        <v>23.6</v>
      </c>
      <c r="L332" s="1">
        <f t="shared" si="35"/>
        <v>30.5</v>
      </c>
    </row>
    <row r="333" s="1" customFormat="1" spans="1:12">
      <c r="A333" s="2">
        <v>11.036</v>
      </c>
      <c r="B333" s="10" t="s">
        <v>104</v>
      </c>
      <c r="C333" s="4">
        <v>11.036</v>
      </c>
      <c r="D333" s="5">
        <v>253.8</v>
      </c>
      <c r="E333" s="4"/>
      <c r="F333" s="4"/>
      <c r="G333" s="2">
        <f t="shared" si="30"/>
        <v>11.002</v>
      </c>
      <c r="H333" s="11" t="str">
        <f t="shared" si="31"/>
        <v>3.591E-2</v>
      </c>
      <c r="I333" s="2">
        <f t="shared" si="32"/>
        <v>253.8</v>
      </c>
      <c r="J333" s="4">
        <f t="shared" si="33"/>
        <v>11.002</v>
      </c>
      <c r="K333" s="9">
        <f t="shared" si="34"/>
        <v>25.5</v>
      </c>
      <c r="L333" s="1">
        <f t="shared" si="35"/>
        <v>30.5</v>
      </c>
    </row>
    <row r="334" s="1" customFormat="1" spans="1:12">
      <c r="A334" s="2">
        <v>11.069</v>
      </c>
      <c r="B334" s="10" t="s">
        <v>153</v>
      </c>
      <c r="C334" s="4">
        <v>11.069</v>
      </c>
      <c r="D334" s="5">
        <v>253.8</v>
      </c>
      <c r="E334" s="4"/>
      <c r="F334" s="4"/>
      <c r="G334" s="2">
        <f t="shared" si="30"/>
        <v>11.036</v>
      </c>
      <c r="H334" s="11" t="str">
        <f t="shared" si="31"/>
        <v>3.608E-2</v>
      </c>
      <c r="I334" s="2">
        <f t="shared" si="32"/>
        <v>253.8</v>
      </c>
      <c r="J334" s="4">
        <f t="shared" si="33"/>
        <v>11.036</v>
      </c>
      <c r="K334" s="9">
        <f t="shared" si="34"/>
        <v>27.2</v>
      </c>
      <c r="L334" s="1">
        <f t="shared" si="35"/>
        <v>30.5</v>
      </c>
    </row>
    <row r="335" s="1" customFormat="1" spans="1:12">
      <c r="A335" s="2">
        <v>11.103</v>
      </c>
      <c r="B335" s="10" t="s">
        <v>293</v>
      </c>
      <c r="C335" s="4">
        <v>11.103</v>
      </c>
      <c r="D335" s="5">
        <v>253.8</v>
      </c>
      <c r="E335" s="4"/>
      <c r="F335" s="4"/>
      <c r="G335" s="2">
        <f t="shared" si="30"/>
        <v>11.069</v>
      </c>
      <c r="H335" s="11" t="str">
        <f t="shared" si="31"/>
        <v>3.619E-2</v>
      </c>
      <c r="I335" s="2">
        <f t="shared" si="32"/>
        <v>253.8</v>
      </c>
      <c r="J335" s="4">
        <f t="shared" si="33"/>
        <v>11.069</v>
      </c>
      <c r="K335" s="9">
        <f t="shared" si="34"/>
        <v>28.3</v>
      </c>
      <c r="L335" s="1">
        <f t="shared" si="35"/>
        <v>30.5</v>
      </c>
    </row>
    <row r="336" s="1" customFormat="1" spans="1:12">
      <c r="A336" s="2">
        <v>11.136</v>
      </c>
      <c r="B336" s="10" t="s">
        <v>288</v>
      </c>
      <c r="C336" s="4">
        <v>11.136</v>
      </c>
      <c r="D336" s="5">
        <v>253.8</v>
      </c>
      <c r="E336" s="4"/>
      <c r="F336" s="4"/>
      <c r="G336" s="2">
        <f t="shared" si="30"/>
        <v>11.103</v>
      </c>
      <c r="H336" s="11" t="str">
        <f t="shared" si="31"/>
        <v>3.624E-2</v>
      </c>
      <c r="I336" s="2">
        <f t="shared" si="32"/>
        <v>253.8</v>
      </c>
      <c r="J336" s="4">
        <f t="shared" si="33"/>
        <v>11.103</v>
      </c>
      <c r="K336" s="9">
        <f t="shared" si="34"/>
        <v>28.8</v>
      </c>
      <c r="L336" s="1">
        <f t="shared" si="35"/>
        <v>30.5</v>
      </c>
    </row>
    <row r="337" s="1" customFormat="1" spans="1:12">
      <c r="A337" s="2">
        <v>11.169</v>
      </c>
      <c r="B337" s="10" t="s">
        <v>159</v>
      </c>
      <c r="C337" s="4">
        <v>11.169</v>
      </c>
      <c r="D337" s="5">
        <v>234.5</v>
      </c>
      <c r="E337" s="4"/>
      <c r="F337" s="4"/>
      <c r="G337" s="2">
        <f t="shared" si="30"/>
        <v>11.136</v>
      </c>
      <c r="H337" s="11" t="str">
        <f t="shared" si="31"/>
        <v>3.634E-2</v>
      </c>
      <c r="I337" s="2">
        <f t="shared" si="32"/>
        <v>253.8</v>
      </c>
      <c r="J337" s="4">
        <f t="shared" si="33"/>
        <v>11.136</v>
      </c>
      <c r="K337" s="9">
        <f t="shared" si="34"/>
        <v>29.8</v>
      </c>
      <c r="L337" s="1">
        <f t="shared" si="35"/>
        <v>30.5</v>
      </c>
    </row>
    <row r="338" s="1" customFormat="1" spans="1:12">
      <c r="A338" s="2">
        <v>11.203</v>
      </c>
      <c r="B338" s="10" t="s">
        <v>156</v>
      </c>
      <c r="C338" s="4">
        <v>11.203</v>
      </c>
      <c r="D338" s="5">
        <v>130.5</v>
      </c>
      <c r="E338" s="4"/>
      <c r="F338" s="4"/>
      <c r="G338" s="2">
        <f t="shared" si="30"/>
        <v>11.169</v>
      </c>
      <c r="H338" s="11" t="str">
        <f t="shared" si="31"/>
        <v>3.640E-2</v>
      </c>
      <c r="I338" s="2">
        <f t="shared" si="32"/>
        <v>234.5</v>
      </c>
      <c r="J338" s="4">
        <f t="shared" si="33"/>
        <v>11.169</v>
      </c>
      <c r="K338" s="9">
        <f t="shared" si="34"/>
        <v>30.4</v>
      </c>
      <c r="L338" s="1">
        <f t="shared" si="35"/>
        <v>30.5</v>
      </c>
    </row>
    <row r="339" s="1" customFormat="1" spans="1:12">
      <c r="A339" s="2">
        <v>11.236</v>
      </c>
      <c r="B339" s="10" t="s">
        <v>159</v>
      </c>
      <c r="C339" s="4">
        <v>11.236</v>
      </c>
      <c r="D339" s="5">
        <v>146.1</v>
      </c>
      <c r="E339" s="4"/>
      <c r="F339" s="4"/>
      <c r="G339" s="2">
        <f t="shared" si="30"/>
        <v>11.203</v>
      </c>
      <c r="H339" s="11" t="str">
        <f t="shared" si="31"/>
        <v>3.641E-2</v>
      </c>
      <c r="I339" s="2">
        <f t="shared" si="32"/>
        <v>130.5</v>
      </c>
      <c r="J339" s="4">
        <f t="shared" si="33"/>
        <v>11.203</v>
      </c>
      <c r="K339" s="9">
        <f t="shared" si="34"/>
        <v>30.5</v>
      </c>
      <c r="L339" s="1">
        <f t="shared" si="35"/>
        <v>-0.399999999999984</v>
      </c>
    </row>
    <row r="340" s="1" customFormat="1" spans="1:12">
      <c r="A340" s="2">
        <v>11.27</v>
      </c>
      <c r="B340" s="10" t="s">
        <v>102</v>
      </c>
      <c r="C340" s="4">
        <v>11.27</v>
      </c>
      <c r="D340" s="5">
        <v>144.6</v>
      </c>
      <c r="E340" s="4"/>
      <c r="F340" s="4"/>
      <c r="G340" s="2">
        <f t="shared" si="30"/>
        <v>11.236</v>
      </c>
      <c r="H340" s="11" t="str">
        <f t="shared" si="31"/>
        <v>3.640E-2</v>
      </c>
      <c r="I340" s="2">
        <f t="shared" si="32"/>
        <v>146.1</v>
      </c>
      <c r="J340" s="4">
        <f t="shared" si="33"/>
        <v>11.236</v>
      </c>
      <c r="K340" s="9">
        <f t="shared" si="34"/>
        <v>30.4</v>
      </c>
      <c r="L340" s="1">
        <f t="shared" si="35"/>
        <v>-0.399999999999984</v>
      </c>
    </row>
    <row r="341" s="1" customFormat="1" spans="1:12">
      <c r="A341" s="2">
        <v>11.303</v>
      </c>
      <c r="B341" s="10" t="s">
        <v>160</v>
      </c>
      <c r="C341" s="4">
        <v>11.303</v>
      </c>
      <c r="D341" s="5">
        <v>144</v>
      </c>
      <c r="E341" s="4"/>
      <c r="F341" s="4"/>
      <c r="G341" s="2">
        <f t="shared" si="30"/>
        <v>11.27</v>
      </c>
      <c r="H341" s="11" t="str">
        <f t="shared" si="31"/>
        <v>3.639E-2</v>
      </c>
      <c r="I341" s="2">
        <f t="shared" si="32"/>
        <v>144.6</v>
      </c>
      <c r="J341" s="4">
        <f t="shared" si="33"/>
        <v>11.27</v>
      </c>
      <c r="K341" s="9">
        <f t="shared" si="34"/>
        <v>30.3</v>
      </c>
      <c r="L341" s="1">
        <f t="shared" si="35"/>
        <v>-0.399999999999984</v>
      </c>
    </row>
    <row r="342" s="1" customFormat="1" spans="1:12">
      <c r="A342" s="2">
        <v>11.337</v>
      </c>
      <c r="B342" s="10" t="s">
        <v>288</v>
      </c>
      <c r="C342" s="4">
        <v>11.337</v>
      </c>
      <c r="D342" s="5">
        <v>140.4</v>
      </c>
      <c r="E342" s="4"/>
      <c r="F342" s="4"/>
      <c r="G342" s="2">
        <f t="shared" si="30"/>
        <v>11.303</v>
      </c>
      <c r="H342" s="11" t="str">
        <f t="shared" si="31"/>
        <v>3.636E-2</v>
      </c>
      <c r="I342" s="2">
        <f t="shared" si="32"/>
        <v>144</v>
      </c>
      <c r="J342" s="4">
        <f t="shared" si="33"/>
        <v>11.303</v>
      </c>
      <c r="K342" s="9">
        <f t="shared" si="34"/>
        <v>30</v>
      </c>
      <c r="L342" s="1">
        <f t="shared" si="35"/>
        <v>-0.399999999999984</v>
      </c>
    </row>
    <row r="343" s="1" customFormat="1" spans="1:12">
      <c r="A343" s="2">
        <v>11.37</v>
      </c>
      <c r="B343" s="10" t="s">
        <v>155</v>
      </c>
      <c r="C343" s="4">
        <v>11.37</v>
      </c>
      <c r="D343" s="5">
        <v>141.5</v>
      </c>
      <c r="E343" s="4"/>
      <c r="F343" s="4"/>
      <c r="G343" s="2">
        <f t="shared" si="30"/>
        <v>11.337</v>
      </c>
      <c r="H343" s="11" t="str">
        <f t="shared" si="31"/>
        <v>3.634E-2</v>
      </c>
      <c r="I343" s="2">
        <f t="shared" si="32"/>
        <v>140.4</v>
      </c>
      <c r="J343" s="4">
        <f t="shared" si="33"/>
        <v>11.337</v>
      </c>
      <c r="K343" s="9">
        <f t="shared" si="34"/>
        <v>29.8</v>
      </c>
      <c r="L343" s="1">
        <f t="shared" si="35"/>
        <v>-0.399999999999984</v>
      </c>
    </row>
    <row r="344" s="1" customFormat="1" spans="1:12">
      <c r="A344" s="2">
        <v>11.404</v>
      </c>
      <c r="B344" s="10" t="s">
        <v>132</v>
      </c>
      <c r="C344" s="4">
        <v>11.404</v>
      </c>
      <c r="D344" s="5">
        <v>139.5</v>
      </c>
      <c r="E344" s="4"/>
      <c r="F344" s="4"/>
      <c r="G344" s="2">
        <f t="shared" si="30"/>
        <v>11.37</v>
      </c>
      <c r="H344" s="11" t="str">
        <f t="shared" si="31"/>
        <v>3.630E-2</v>
      </c>
      <c r="I344" s="2">
        <f t="shared" si="32"/>
        <v>141.5</v>
      </c>
      <c r="J344" s="4">
        <f t="shared" si="33"/>
        <v>11.37</v>
      </c>
      <c r="K344" s="9">
        <f t="shared" si="34"/>
        <v>29.4</v>
      </c>
      <c r="L344" s="1">
        <f t="shared" si="35"/>
        <v>-0.399999999999984</v>
      </c>
    </row>
    <row r="345" s="1" customFormat="1" spans="1:12">
      <c r="A345" s="2">
        <v>11.437</v>
      </c>
      <c r="B345" s="10" t="s">
        <v>153</v>
      </c>
      <c r="C345" s="4">
        <v>11.437</v>
      </c>
      <c r="D345" s="5">
        <v>137.7</v>
      </c>
      <c r="E345" s="4"/>
      <c r="F345" s="4"/>
      <c r="G345" s="2">
        <f t="shared" si="30"/>
        <v>11.404</v>
      </c>
      <c r="H345" s="11" t="str">
        <f t="shared" si="31"/>
        <v>3.626E-2</v>
      </c>
      <c r="I345" s="2">
        <f t="shared" si="32"/>
        <v>139.5</v>
      </c>
      <c r="J345" s="4">
        <f t="shared" si="33"/>
        <v>11.404</v>
      </c>
      <c r="K345" s="9">
        <f t="shared" si="34"/>
        <v>29</v>
      </c>
      <c r="L345" s="1">
        <f t="shared" si="35"/>
        <v>-0.399999999999984</v>
      </c>
    </row>
    <row r="346" s="1" customFormat="1" spans="1:12">
      <c r="A346" s="2">
        <v>11.47</v>
      </c>
      <c r="B346" s="10" t="s">
        <v>294</v>
      </c>
      <c r="C346" s="4">
        <v>11.47</v>
      </c>
      <c r="D346" s="5">
        <v>136.8</v>
      </c>
      <c r="E346" s="4"/>
      <c r="F346" s="4"/>
      <c r="G346" s="2">
        <f t="shared" si="30"/>
        <v>11.437</v>
      </c>
      <c r="H346" s="11" t="str">
        <f t="shared" si="31"/>
        <v>3.619E-2</v>
      </c>
      <c r="I346" s="2">
        <f t="shared" si="32"/>
        <v>137.7</v>
      </c>
      <c r="J346" s="4">
        <f t="shared" si="33"/>
        <v>11.437</v>
      </c>
      <c r="K346" s="9">
        <f t="shared" si="34"/>
        <v>28.3</v>
      </c>
      <c r="L346" s="1">
        <f t="shared" si="35"/>
        <v>-0.399999999999984</v>
      </c>
    </row>
    <row r="347" s="1" customFormat="1" spans="1:12">
      <c r="A347" s="2">
        <v>11.504</v>
      </c>
      <c r="B347" s="10" t="s">
        <v>295</v>
      </c>
      <c r="C347" s="4">
        <v>11.504</v>
      </c>
      <c r="D347" s="5">
        <v>134.9</v>
      </c>
      <c r="E347" s="4"/>
      <c r="F347" s="4"/>
      <c r="G347" s="2">
        <f t="shared" si="30"/>
        <v>11.47</v>
      </c>
      <c r="H347" s="11" t="str">
        <f t="shared" si="31"/>
        <v>3.606E-2</v>
      </c>
      <c r="I347" s="2">
        <f t="shared" si="32"/>
        <v>136.8</v>
      </c>
      <c r="J347" s="4">
        <f t="shared" si="33"/>
        <v>11.47</v>
      </c>
      <c r="K347" s="9">
        <f t="shared" si="34"/>
        <v>27</v>
      </c>
      <c r="L347" s="1">
        <f t="shared" si="35"/>
        <v>-0.399999999999984</v>
      </c>
    </row>
    <row r="348" s="1" customFormat="1" spans="1:12">
      <c r="A348" s="2">
        <v>11.537</v>
      </c>
      <c r="B348" s="10" t="s">
        <v>181</v>
      </c>
      <c r="C348" s="4">
        <v>11.537</v>
      </c>
      <c r="D348" s="5">
        <v>133.9</v>
      </c>
      <c r="E348" s="4"/>
      <c r="F348" s="4"/>
      <c r="G348" s="2">
        <f t="shared" si="30"/>
        <v>11.504</v>
      </c>
      <c r="H348" s="11" t="str">
        <f t="shared" si="31"/>
        <v>3.596E-2</v>
      </c>
      <c r="I348" s="2">
        <f t="shared" si="32"/>
        <v>134.9</v>
      </c>
      <c r="J348" s="4">
        <f t="shared" si="33"/>
        <v>11.504</v>
      </c>
      <c r="K348" s="9">
        <f t="shared" si="34"/>
        <v>26</v>
      </c>
      <c r="L348" s="1">
        <f t="shared" si="35"/>
        <v>-0.399999999999984</v>
      </c>
    </row>
    <row r="349" s="1" customFormat="1" spans="1:12">
      <c r="A349" s="2">
        <v>11.571</v>
      </c>
      <c r="B349" s="10" t="s">
        <v>149</v>
      </c>
      <c r="C349" s="4">
        <v>11.571</v>
      </c>
      <c r="D349" s="5">
        <v>132.9</v>
      </c>
      <c r="E349" s="4"/>
      <c r="F349" s="4"/>
      <c r="G349" s="2">
        <f t="shared" si="30"/>
        <v>11.537</v>
      </c>
      <c r="H349" s="11" t="str">
        <f t="shared" si="31"/>
        <v>3.581E-2</v>
      </c>
      <c r="I349" s="2">
        <f t="shared" si="32"/>
        <v>133.9</v>
      </c>
      <c r="J349" s="4">
        <f t="shared" si="33"/>
        <v>11.537</v>
      </c>
      <c r="K349" s="9">
        <f t="shared" si="34"/>
        <v>24.5</v>
      </c>
      <c r="L349" s="1">
        <f t="shared" si="35"/>
        <v>-0.399999999999984</v>
      </c>
    </row>
    <row r="350" s="1" customFormat="1" spans="1:12">
      <c r="A350" s="2">
        <v>11.604</v>
      </c>
      <c r="B350" s="10" t="s">
        <v>92</v>
      </c>
      <c r="C350" s="4">
        <v>11.604</v>
      </c>
      <c r="D350" s="5">
        <v>132.2</v>
      </c>
      <c r="E350" s="4"/>
      <c r="F350" s="4"/>
      <c r="G350" s="2">
        <f t="shared" si="30"/>
        <v>11.571</v>
      </c>
      <c r="H350" s="11" t="str">
        <f t="shared" si="31"/>
        <v>3.564E-2</v>
      </c>
      <c r="I350" s="2">
        <f t="shared" si="32"/>
        <v>132.9</v>
      </c>
      <c r="J350" s="4">
        <f t="shared" si="33"/>
        <v>11.571</v>
      </c>
      <c r="K350" s="9">
        <f t="shared" si="34"/>
        <v>22.8</v>
      </c>
      <c r="L350" s="1">
        <f t="shared" si="35"/>
        <v>-0.399999999999984</v>
      </c>
    </row>
    <row r="351" s="1" customFormat="1" spans="1:12">
      <c r="A351" s="2">
        <v>11.638</v>
      </c>
      <c r="B351" s="10" t="s">
        <v>207</v>
      </c>
      <c r="C351" s="4">
        <v>11.638</v>
      </c>
      <c r="D351" s="5">
        <v>130.6</v>
      </c>
      <c r="E351" s="4"/>
      <c r="F351" s="4"/>
      <c r="G351" s="2">
        <f t="shared" si="30"/>
        <v>11.604</v>
      </c>
      <c r="H351" s="11" t="str">
        <f t="shared" si="31"/>
        <v>3.554E-2</v>
      </c>
      <c r="I351" s="2">
        <f t="shared" si="32"/>
        <v>132.2</v>
      </c>
      <c r="J351" s="4">
        <f t="shared" si="33"/>
        <v>11.604</v>
      </c>
      <c r="K351" s="9">
        <f t="shared" si="34"/>
        <v>21.8</v>
      </c>
      <c r="L351" s="1">
        <f t="shared" si="35"/>
        <v>-0.399999999999984</v>
      </c>
    </row>
    <row r="352" s="1" customFormat="1" spans="1:12">
      <c r="A352" s="2">
        <v>11.671</v>
      </c>
      <c r="B352" s="10" t="s">
        <v>198</v>
      </c>
      <c r="C352" s="4">
        <v>11.671</v>
      </c>
      <c r="D352" s="5">
        <v>130.2</v>
      </c>
      <c r="E352" s="4"/>
      <c r="F352" s="4"/>
      <c r="G352" s="2">
        <f t="shared" si="30"/>
        <v>11.638</v>
      </c>
      <c r="H352" s="11" t="str">
        <f t="shared" si="31"/>
        <v>3.541E-2</v>
      </c>
      <c r="I352" s="2">
        <f t="shared" si="32"/>
        <v>130.6</v>
      </c>
      <c r="J352" s="4">
        <f t="shared" si="33"/>
        <v>11.638</v>
      </c>
      <c r="K352" s="9">
        <f t="shared" si="34"/>
        <v>20.5</v>
      </c>
      <c r="L352" s="1">
        <f t="shared" si="35"/>
        <v>-0.399999999999984</v>
      </c>
    </row>
    <row r="353" s="1" customFormat="1" spans="1:12">
      <c r="A353" s="2">
        <v>11.704</v>
      </c>
      <c r="B353" s="10" t="s">
        <v>138</v>
      </c>
      <c r="C353" s="4">
        <v>11.704</v>
      </c>
      <c r="D353" s="5">
        <v>128</v>
      </c>
      <c r="E353" s="4"/>
      <c r="F353" s="4"/>
      <c r="G353" s="2">
        <f t="shared" si="30"/>
        <v>11.671</v>
      </c>
      <c r="H353" s="11" t="str">
        <f t="shared" si="31"/>
        <v>3.525E-2</v>
      </c>
      <c r="I353" s="2">
        <f t="shared" si="32"/>
        <v>130.2</v>
      </c>
      <c r="J353" s="4">
        <f t="shared" si="33"/>
        <v>11.671</v>
      </c>
      <c r="K353" s="9">
        <f t="shared" si="34"/>
        <v>18.9</v>
      </c>
      <c r="L353" s="1">
        <f t="shared" si="35"/>
        <v>-0.399999999999984</v>
      </c>
    </row>
    <row r="354" s="1" customFormat="1" spans="1:12">
      <c r="A354" s="2">
        <v>11.738</v>
      </c>
      <c r="B354" s="10" t="s">
        <v>108</v>
      </c>
      <c r="C354" s="4">
        <v>11.738</v>
      </c>
      <c r="D354" s="5">
        <v>127.3</v>
      </c>
      <c r="E354" s="4"/>
      <c r="F354" s="4"/>
      <c r="G354" s="2">
        <f t="shared" si="30"/>
        <v>11.704</v>
      </c>
      <c r="H354" s="11" t="str">
        <f t="shared" si="31"/>
        <v>3.508E-2</v>
      </c>
      <c r="I354" s="2">
        <f t="shared" si="32"/>
        <v>128</v>
      </c>
      <c r="J354" s="4">
        <f t="shared" si="33"/>
        <v>11.704</v>
      </c>
      <c r="K354" s="9">
        <f t="shared" si="34"/>
        <v>17.2</v>
      </c>
      <c r="L354" s="1">
        <f t="shared" si="35"/>
        <v>-0.399999999999984</v>
      </c>
    </row>
    <row r="355" s="1" customFormat="1" spans="1:12">
      <c r="A355" s="2">
        <v>11.771</v>
      </c>
      <c r="B355" s="10" t="s">
        <v>205</v>
      </c>
      <c r="C355" s="4">
        <v>11.771</v>
      </c>
      <c r="D355" s="5">
        <v>125.5</v>
      </c>
      <c r="E355" s="4"/>
      <c r="F355" s="4"/>
      <c r="G355" s="2">
        <f t="shared" si="30"/>
        <v>11.738</v>
      </c>
      <c r="H355" s="11" t="str">
        <f t="shared" si="31"/>
        <v>3.497E-2</v>
      </c>
      <c r="I355" s="2">
        <f t="shared" si="32"/>
        <v>127.3</v>
      </c>
      <c r="J355" s="4">
        <f t="shared" si="33"/>
        <v>11.738</v>
      </c>
      <c r="K355" s="9">
        <f t="shared" si="34"/>
        <v>16.1</v>
      </c>
      <c r="L355" s="1">
        <f t="shared" si="35"/>
        <v>-0.399999999999984</v>
      </c>
    </row>
    <row r="356" s="1" customFormat="1" spans="1:12">
      <c r="A356" s="2">
        <v>11.805</v>
      </c>
      <c r="B356" s="10" t="s">
        <v>80</v>
      </c>
      <c r="C356" s="4">
        <v>11.805</v>
      </c>
      <c r="D356" s="5">
        <v>123.2</v>
      </c>
      <c r="E356" s="4"/>
      <c r="F356" s="4"/>
      <c r="G356" s="2">
        <f t="shared" si="30"/>
        <v>11.771</v>
      </c>
      <c r="H356" s="11" t="str">
        <f t="shared" si="31"/>
        <v>3.481E-2</v>
      </c>
      <c r="I356" s="2">
        <f t="shared" si="32"/>
        <v>125.5</v>
      </c>
      <c r="J356" s="4">
        <f t="shared" si="33"/>
        <v>11.771</v>
      </c>
      <c r="K356" s="9">
        <f t="shared" si="34"/>
        <v>14.5</v>
      </c>
      <c r="L356" s="1">
        <f t="shared" si="35"/>
        <v>-0.399999999999984</v>
      </c>
    </row>
    <row r="357" s="1" customFormat="1" spans="1:12">
      <c r="A357" s="2">
        <v>11.838</v>
      </c>
      <c r="B357" s="10" t="s">
        <v>204</v>
      </c>
      <c r="C357" s="4">
        <v>11.838</v>
      </c>
      <c r="D357" s="5">
        <v>123.5</v>
      </c>
      <c r="E357" s="4"/>
      <c r="F357" s="4"/>
      <c r="G357" s="2">
        <f t="shared" si="30"/>
        <v>11.805</v>
      </c>
      <c r="H357" s="11" t="str">
        <f t="shared" si="31"/>
        <v>3.472E-2</v>
      </c>
      <c r="I357" s="2">
        <f t="shared" si="32"/>
        <v>123.2</v>
      </c>
      <c r="J357" s="4">
        <f t="shared" si="33"/>
        <v>11.805</v>
      </c>
      <c r="K357" s="9">
        <f t="shared" si="34"/>
        <v>13.6</v>
      </c>
      <c r="L357" s="1">
        <f t="shared" si="35"/>
        <v>-0.399999999999984</v>
      </c>
    </row>
    <row r="358" s="1" customFormat="1" spans="1:12">
      <c r="A358" s="2">
        <v>11.872</v>
      </c>
      <c r="B358" s="10" t="s">
        <v>168</v>
      </c>
      <c r="C358" s="4">
        <v>11.872</v>
      </c>
      <c r="D358" s="5">
        <v>122.7</v>
      </c>
      <c r="E358" s="4"/>
      <c r="F358" s="4"/>
      <c r="G358" s="2">
        <f t="shared" si="30"/>
        <v>11.838</v>
      </c>
      <c r="H358" s="11" t="str">
        <f t="shared" si="31"/>
        <v>3.468E-2</v>
      </c>
      <c r="I358" s="2">
        <f t="shared" si="32"/>
        <v>123.5</v>
      </c>
      <c r="J358" s="4">
        <f t="shared" si="33"/>
        <v>11.838</v>
      </c>
      <c r="K358" s="9">
        <f t="shared" si="34"/>
        <v>13.2</v>
      </c>
      <c r="L358" s="1">
        <f t="shared" si="35"/>
        <v>-0.399999999999984</v>
      </c>
    </row>
    <row r="359" s="1" customFormat="1" spans="1:12">
      <c r="A359" s="2">
        <v>11.905</v>
      </c>
      <c r="B359" s="10" t="s">
        <v>223</v>
      </c>
      <c r="C359" s="4">
        <v>11.905</v>
      </c>
      <c r="D359" s="5">
        <v>121.2</v>
      </c>
      <c r="E359" s="4"/>
      <c r="F359" s="4"/>
      <c r="G359" s="2">
        <f t="shared" si="30"/>
        <v>11.872</v>
      </c>
      <c r="H359" s="11" t="str">
        <f t="shared" si="31"/>
        <v>3.459E-2</v>
      </c>
      <c r="I359" s="2">
        <f t="shared" si="32"/>
        <v>122.7</v>
      </c>
      <c r="J359" s="4">
        <f t="shared" si="33"/>
        <v>11.872</v>
      </c>
      <c r="K359" s="9">
        <f t="shared" si="34"/>
        <v>12.3</v>
      </c>
      <c r="L359" s="1">
        <f t="shared" si="35"/>
        <v>-0.399999999999984</v>
      </c>
    </row>
    <row r="360" s="1" customFormat="1" spans="1:12">
      <c r="A360" s="2">
        <v>11.939</v>
      </c>
      <c r="B360" s="10" t="s">
        <v>167</v>
      </c>
      <c r="C360" s="4">
        <v>11.939</v>
      </c>
      <c r="D360" s="5">
        <v>251.6</v>
      </c>
      <c r="E360" s="4"/>
      <c r="F360" s="4"/>
      <c r="G360" s="2">
        <f t="shared" si="30"/>
        <v>11.905</v>
      </c>
      <c r="H360" s="11" t="str">
        <f t="shared" si="31"/>
        <v>3.455E-2</v>
      </c>
      <c r="I360" s="2">
        <f t="shared" si="32"/>
        <v>121.2</v>
      </c>
      <c r="J360" s="4">
        <f t="shared" si="33"/>
        <v>11.905</v>
      </c>
      <c r="K360" s="9">
        <f t="shared" si="34"/>
        <v>11.9</v>
      </c>
      <c r="L360" s="1">
        <f t="shared" si="35"/>
        <v>-0.399999999999984</v>
      </c>
    </row>
    <row r="361" s="1" customFormat="1" spans="1:12">
      <c r="A361" s="2">
        <v>11.972</v>
      </c>
      <c r="B361" s="10" t="s">
        <v>167</v>
      </c>
      <c r="C361" s="4">
        <v>11.972</v>
      </c>
      <c r="D361" s="5">
        <v>253.8</v>
      </c>
      <c r="E361" s="4"/>
      <c r="F361" s="4"/>
      <c r="G361" s="2">
        <f t="shared" si="30"/>
        <v>11.939</v>
      </c>
      <c r="H361" s="11" t="str">
        <f t="shared" si="31"/>
        <v>3.453E-2</v>
      </c>
      <c r="I361" s="2">
        <f t="shared" si="32"/>
        <v>251.6</v>
      </c>
      <c r="J361" s="4">
        <f t="shared" si="33"/>
        <v>11.939</v>
      </c>
      <c r="K361" s="9">
        <f t="shared" si="34"/>
        <v>11.7</v>
      </c>
      <c r="L361" s="1">
        <f t="shared" si="35"/>
        <v>30.5</v>
      </c>
    </row>
    <row r="362" s="1" customFormat="1" spans="1:12">
      <c r="A362" s="2">
        <v>12.005</v>
      </c>
      <c r="B362" s="10" t="s">
        <v>223</v>
      </c>
      <c r="C362" s="4">
        <v>12.005</v>
      </c>
      <c r="D362" s="5">
        <v>253.8</v>
      </c>
      <c r="E362" s="4"/>
      <c r="F362" s="4"/>
      <c r="G362" s="2">
        <f t="shared" si="30"/>
        <v>11.972</v>
      </c>
      <c r="H362" s="11" t="str">
        <f t="shared" si="31"/>
        <v>3.453E-2</v>
      </c>
      <c r="I362" s="2">
        <f t="shared" si="32"/>
        <v>253.8</v>
      </c>
      <c r="J362" s="4">
        <f t="shared" si="33"/>
        <v>11.972</v>
      </c>
      <c r="K362" s="9">
        <f t="shared" si="34"/>
        <v>11.7</v>
      </c>
      <c r="L362" s="1">
        <f t="shared" si="35"/>
        <v>30.5</v>
      </c>
    </row>
    <row r="363" s="1" customFormat="1" spans="1:12">
      <c r="A363" s="2">
        <v>12.039</v>
      </c>
      <c r="B363" s="10" t="s">
        <v>110</v>
      </c>
      <c r="C363" s="4">
        <v>12.039</v>
      </c>
      <c r="D363" s="5">
        <v>253.8</v>
      </c>
      <c r="E363" s="4"/>
      <c r="F363" s="4"/>
      <c r="G363" s="2">
        <f t="shared" si="30"/>
        <v>12.005</v>
      </c>
      <c r="H363" s="11" t="str">
        <f t="shared" si="31"/>
        <v>3.455E-2</v>
      </c>
      <c r="I363" s="2">
        <f t="shared" si="32"/>
        <v>253.8</v>
      </c>
      <c r="J363" s="4">
        <f t="shared" si="33"/>
        <v>12.005</v>
      </c>
      <c r="K363" s="9">
        <f t="shared" si="34"/>
        <v>11.9</v>
      </c>
      <c r="L363" s="1">
        <f t="shared" si="35"/>
        <v>30.5</v>
      </c>
    </row>
    <row r="364" s="1" customFormat="1" spans="1:12">
      <c r="A364" s="2">
        <v>12.072</v>
      </c>
      <c r="B364" s="10" t="s">
        <v>168</v>
      </c>
      <c r="C364" s="4">
        <v>12.072</v>
      </c>
      <c r="D364" s="5">
        <v>253.8</v>
      </c>
      <c r="E364" s="4"/>
      <c r="F364" s="4"/>
      <c r="G364" s="2">
        <f t="shared" si="30"/>
        <v>12.039</v>
      </c>
      <c r="H364" s="11" t="str">
        <f t="shared" si="31"/>
        <v>3.457E-2</v>
      </c>
      <c r="I364" s="2">
        <f t="shared" si="32"/>
        <v>253.8</v>
      </c>
      <c r="J364" s="4">
        <f t="shared" si="33"/>
        <v>12.039</v>
      </c>
      <c r="K364" s="9">
        <f t="shared" si="34"/>
        <v>12.1</v>
      </c>
      <c r="L364" s="1">
        <f t="shared" si="35"/>
        <v>30.5</v>
      </c>
    </row>
    <row r="365" s="1" customFormat="1" spans="1:12">
      <c r="A365" s="2">
        <v>12.106</v>
      </c>
      <c r="B365" s="10" t="s">
        <v>27</v>
      </c>
      <c r="C365" s="4">
        <v>12.106</v>
      </c>
      <c r="D365" s="5">
        <v>253.8</v>
      </c>
      <c r="E365" s="4"/>
      <c r="F365" s="4"/>
      <c r="G365" s="2">
        <f t="shared" si="30"/>
        <v>12.072</v>
      </c>
      <c r="H365" s="11" t="str">
        <f t="shared" si="31"/>
        <v>3.459E-2</v>
      </c>
      <c r="I365" s="2">
        <f t="shared" si="32"/>
        <v>253.8</v>
      </c>
      <c r="J365" s="4">
        <f t="shared" si="33"/>
        <v>12.072</v>
      </c>
      <c r="K365" s="9">
        <f t="shared" si="34"/>
        <v>12.3</v>
      </c>
      <c r="L365" s="1">
        <f t="shared" si="35"/>
        <v>30.5</v>
      </c>
    </row>
    <row r="366" s="1" customFormat="1" spans="1:12">
      <c r="A366" s="2">
        <v>12.139</v>
      </c>
      <c r="B366" s="10" t="s">
        <v>217</v>
      </c>
      <c r="C366" s="4">
        <v>12.139</v>
      </c>
      <c r="D366" s="5">
        <v>253.8</v>
      </c>
      <c r="E366" s="4"/>
      <c r="F366" s="4"/>
      <c r="G366" s="2">
        <f t="shared" si="30"/>
        <v>12.106</v>
      </c>
      <c r="H366" s="11" t="str">
        <f t="shared" si="31"/>
        <v>3.463E-2</v>
      </c>
      <c r="I366" s="2">
        <f t="shared" si="32"/>
        <v>253.8</v>
      </c>
      <c r="J366" s="4">
        <f t="shared" si="33"/>
        <v>12.106</v>
      </c>
      <c r="K366" s="9">
        <f t="shared" si="34"/>
        <v>12.7</v>
      </c>
      <c r="L366" s="1">
        <f t="shared" si="35"/>
        <v>30.5</v>
      </c>
    </row>
    <row r="367" s="1" customFormat="1" spans="1:12">
      <c r="A367" s="2">
        <v>12.173</v>
      </c>
      <c r="B367" s="10" t="s">
        <v>171</v>
      </c>
      <c r="C367" s="4">
        <v>12.173</v>
      </c>
      <c r="D367" s="5">
        <v>253.8</v>
      </c>
      <c r="E367" s="4"/>
      <c r="F367" s="4"/>
      <c r="G367" s="2">
        <f t="shared" si="30"/>
        <v>12.139</v>
      </c>
      <c r="H367" s="11" t="str">
        <f t="shared" si="31"/>
        <v>3.467E-2</v>
      </c>
      <c r="I367" s="2">
        <f t="shared" si="32"/>
        <v>253.8</v>
      </c>
      <c r="J367" s="4">
        <f t="shared" si="33"/>
        <v>12.139</v>
      </c>
      <c r="K367" s="9">
        <f t="shared" si="34"/>
        <v>13.1</v>
      </c>
      <c r="L367" s="1">
        <f t="shared" si="35"/>
        <v>30.5</v>
      </c>
    </row>
    <row r="368" s="1" customFormat="1" spans="1:12">
      <c r="A368" s="2">
        <v>12.206</v>
      </c>
      <c r="B368" s="10" t="s">
        <v>195</v>
      </c>
      <c r="C368" s="4">
        <v>12.206</v>
      </c>
      <c r="D368" s="5">
        <v>253.8</v>
      </c>
      <c r="E368" s="4"/>
      <c r="F368" s="4"/>
      <c r="G368" s="2">
        <f t="shared" si="30"/>
        <v>12.173</v>
      </c>
      <c r="H368" s="11" t="str">
        <f t="shared" si="31"/>
        <v>3.474E-2</v>
      </c>
      <c r="I368" s="2">
        <f t="shared" si="32"/>
        <v>253.8</v>
      </c>
      <c r="J368" s="4">
        <f t="shared" si="33"/>
        <v>12.173</v>
      </c>
      <c r="K368" s="9">
        <f t="shared" si="34"/>
        <v>13.8</v>
      </c>
      <c r="L368" s="1">
        <f t="shared" si="35"/>
        <v>30.5</v>
      </c>
    </row>
    <row r="369" s="1" customFormat="1" spans="1:12">
      <c r="A369" s="2">
        <v>12.24</v>
      </c>
      <c r="B369" s="10" t="s">
        <v>36</v>
      </c>
      <c r="C369" s="4">
        <v>12.24</v>
      </c>
      <c r="D369" s="5">
        <v>253.8</v>
      </c>
      <c r="E369" s="4"/>
      <c r="F369" s="4"/>
      <c r="G369" s="2">
        <f t="shared" si="30"/>
        <v>12.206</v>
      </c>
      <c r="H369" s="11" t="str">
        <f t="shared" si="31"/>
        <v>3.488E-2</v>
      </c>
      <c r="I369" s="2">
        <f t="shared" si="32"/>
        <v>253.8</v>
      </c>
      <c r="J369" s="4">
        <f t="shared" si="33"/>
        <v>12.206</v>
      </c>
      <c r="K369" s="9">
        <f t="shared" si="34"/>
        <v>15.2</v>
      </c>
      <c r="L369" s="1">
        <f t="shared" si="35"/>
        <v>30.5</v>
      </c>
    </row>
    <row r="370" s="1" customFormat="1" spans="1:12">
      <c r="A370" s="2">
        <v>12.273</v>
      </c>
      <c r="B370" s="10" t="s">
        <v>138</v>
      </c>
      <c r="C370" s="4">
        <v>12.273</v>
      </c>
      <c r="D370" s="5">
        <v>253.8</v>
      </c>
      <c r="E370" s="4"/>
      <c r="F370" s="4"/>
      <c r="G370" s="2">
        <f t="shared" si="30"/>
        <v>12.24</v>
      </c>
      <c r="H370" s="11" t="str">
        <f t="shared" si="31"/>
        <v>3.498E-2</v>
      </c>
      <c r="I370" s="2">
        <f t="shared" si="32"/>
        <v>253.8</v>
      </c>
      <c r="J370" s="4">
        <f t="shared" si="33"/>
        <v>12.24</v>
      </c>
      <c r="K370" s="9">
        <f t="shared" si="34"/>
        <v>16.2</v>
      </c>
      <c r="L370" s="1">
        <f t="shared" si="35"/>
        <v>30.5</v>
      </c>
    </row>
    <row r="371" s="1" customFormat="1" spans="1:12">
      <c r="A371" s="2">
        <v>12.306</v>
      </c>
      <c r="B371" s="10" t="s">
        <v>215</v>
      </c>
      <c r="C371" s="4">
        <v>12.306</v>
      </c>
      <c r="D371" s="5">
        <v>253.8</v>
      </c>
      <c r="E371" s="4"/>
      <c r="F371" s="4"/>
      <c r="G371" s="2">
        <f t="shared" si="30"/>
        <v>12.273</v>
      </c>
      <c r="H371" s="11" t="str">
        <f t="shared" si="31"/>
        <v>3.508E-2</v>
      </c>
      <c r="I371" s="2">
        <f t="shared" si="32"/>
        <v>253.8</v>
      </c>
      <c r="J371" s="4">
        <f t="shared" si="33"/>
        <v>12.273</v>
      </c>
      <c r="K371" s="9">
        <f t="shared" si="34"/>
        <v>17.2</v>
      </c>
      <c r="L371" s="1">
        <f t="shared" si="35"/>
        <v>30.5</v>
      </c>
    </row>
    <row r="372" s="1" customFormat="1" spans="1:12">
      <c r="A372" s="2">
        <v>12.34</v>
      </c>
      <c r="B372" s="10" t="s">
        <v>76</v>
      </c>
      <c r="C372" s="4">
        <v>12.34</v>
      </c>
      <c r="D372" s="5">
        <v>253.8</v>
      </c>
      <c r="E372" s="4"/>
      <c r="F372" s="4"/>
      <c r="G372" s="2">
        <f t="shared" si="30"/>
        <v>12.306</v>
      </c>
      <c r="H372" s="11" t="str">
        <f t="shared" si="31"/>
        <v>3.522E-2</v>
      </c>
      <c r="I372" s="2">
        <f t="shared" si="32"/>
        <v>253.8</v>
      </c>
      <c r="J372" s="4">
        <f t="shared" si="33"/>
        <v>12.306</v>
      </c>
      <c r="K372" s="9">
        <f t="shared" si="34"/>
        <v>18.6</v>
      </c>
      <c r="L372" s="1">
        <f t="shared" si="35"/>
        <v>30.5</v>
      </c>
    </row>
    <row r="373" s="1" customFormat="1" spans="1:12">
      <c r="A373" s="2">
        <v>12.373</v>
      </c>
      <c r="B373" s="10" t="s">
        <v>75</v>
      </c>
      <c r="C373" s="4">
        <v>12.373</v>
      </c>
      <c r="D373" s="5">
        <v>253.8</v>
      </c>
      <c r="E373" s="4"/>
      <c r="F373" s="4"/>
      <c r="G373" s="2">
        <f t="shared" si="30"/>
        <v>12.34</v>
      </c>
      <c r="H373" s="11" t="str">
        <f t="shared" si="31"/>
        <v>3.533E-2</v>
      </c>
      <c r="I373" s="2">
        <f t="shared" si="32"/>
        <v>253.8</v>
      </c>
      <c r="J373" s="4">
        <f t="shared" si="33"/>
        <v>12.34</v>
      </c>
      <c r="K373" s="9">
        <f t="shared" si="34"/>
        <v>19.7</v>
      </c>
      <c r="L373" s="1">
        <f t="shared" si="35"/>
        <v>30.5</v>
      </c>
    </row>
    <row r="374" s="1" customFormat="1" spans="1:12">
      <c r="A374" s="2">
        <v>12.407</v>
      </c>
      <c r="B374" s="10" t="s">
        <v>296</v>
      </c>
      <c r="C374" s="4">
        <v>12.407</v>
      </c>
      <c r="D374" s="5">
        <v>253.8</v>
      </c>
      <c r="E374" s="4"/>
      <c r="F374" s="4"/>
      <c r="G374" s="2">
        <f t="shared" si="30"/>
        <v>12.373</v>
      </c>
      <c r="H374" s="11" t="str">
        <f t="shared" si="31"/>
        <v>3.548E-2</v>
      </c>
      <c r="I374" s="2">
        <f t="shared" si="32"/>
        <v>253.8</v>
      </c>
      <c r="J374" s="4">
        <f t="shared" si="33"/>
        <v>12.373</v>
      </c>
      <c r="K374" s="9">
        <f t="shared" si="34"/>
        <v>21.2</v>
      </c>
      <c r="L374" s="1">
        <f t="shared" si="35"/>
        <v>30.5</v>
      </c>
    </row>
    <row r="375" s="1" customFormat="1" spans="1:12">
      <c r="A375" s="2">
        <v>12.44</v>
      </c>
      <c r="B375" s="10" t="s">
        <v>210</v>
      </c>
      <c r="C375" s="4">
        <v>12.44</v>
      </c>
      <c r="D375" s="5">
        <v>253.8</v>
      </c>
      <c r="E375" s="4"/>
      <c r="F375" s="4"/>
      <c r="G375" s="2">
        <f t="shared" si="30"/>
        <v>12.407</v>
      </c>
      <c r="H375" s="11" t="str">
        <f t="shared" si="31"/>
        <v>3.556E-2</v>
      </c>
      <c r="I375" s="2">
        <f t="shared" si="32"/>
        <v>253.8</v>
      </c>
      <c r="J375" s="4">
        <f t="shared" si="33"/>
        <v>12.407</v>
      </c>
      <c r="K375" s="9">
        <f t="shared" si="34"/>
        <v>22</v>
      </c>
      <c r="L375" s="1">
        <f t="shared" si="35"/>
        <v>30.5</v>
      </c>
    </row>
    <row r="376" s="1" customFormat="1" spans="1:12">
      <c r="A376" s="2">
        <v>12.474</v>
      </c>
      <c r="B376" s="10" t="s">
        <v>182</v>
      </c>
      <c r="C376" s="4">
        <v>12.474</v>
      </c>
      <c r="D376" s="5">
        <v>253.8</v>
      </c>
      <c r="E376" s="4"/>
      <c r="F376" s="4"/>
      <c r="G376" s="2">
        <f t="shared" si="30"/>
        <v>12.44</v>
      </c>
      <c r="H376" s="11" t="str">
        <f t="shared" si="31"/>
        <v>3.566E-2</v>
      </c>
      <c r="I376" s="2">
        <f t="shared" si="32"/>
        <v>253.8</v>
      </c>
      <c r="J376" s="4">
        <f t="shared" si="33"/>
        <v>12.44</v>
      </c>
      <c r="K376" s="9">
        <f t="shared" si="34"/>
        <v>23</v>
      </c>
      <c r="L376" s="1">
        <f t="shared" si="35"/>
        <v>30.5</v>
      </c>
    </row>
    <row r="377" s="1" customFormat="1" spans="1:12">
      <c r="A377" s="2">
        <v>12.507</v>
      </c>
      <c r="B377" s="10" t="s">
        <v>179</v>
      </c>
      <c r="C377" s="4">
        <v>12.507</v>
      </c>
      <c r="D377" s="5">
        <v>253.8</v>
      </c>
      <c r="E377" s="4"/>
      <c r="F377" s="4"/>
      <c r="G377" s="2">
        <f t="shared" si="30"/>
        <v>12.474</v>
      </c>
      <c r="H377" s="11" t="str">
        <f t="shared" si="31"/>
        <v>3.578E-2</v>
      </c>
      <c r="I377" s="2">
        <f t="shared" si="32"/>
        <v>253.8</v>
      </c>
      <c r="J377" s="4">
        <f t="shared" si="33"/>
        <v>12.474</v>
      </c>
      <c r="K377" s="9">
        <f t="shared" si="34"/>
        <v>24.2</v>
      </c>
      <c r="L377" s="1">
        <f t="shared" si="35"/>
        <v>30.5</v>
      </c>
    </row>
    <row r="378" s="1" customFormat="1" spans="1:12">
      <c r="A378" s="2">
        <v>12.541</v>
      </c>
      <c r="B378" s="10" t="s">
        <v>94</v>
      </c>
      <c r="C378" s="4">
        <v>12.541</v>
      </c>
      <c r="D378" s="5">
        <v>253.8</v>
      </c>
      <c r="E378" s="4"/>
      <c r="F378" s="4"/>
      <c r="G378" s="2">
        <f t="shared" si="30"/>
        <v>12.507</v>
      </c>
      <c r="H378" s="11" t="str">
        <f t="shared" si="31"/>
        <v>3.586E-2</v>
      </c>
      <c r="I378" s="2">
        <f t="shared" si="32"/>
        <v>253.8</v>
      </c>
      <c r="J378" s="4">
        <f t="shared" si="33"/>
        <v>12.507</v>
      </c>
      <c r="K378" s="9">
        <f t="shared" si="34"/>
        <v>25</v>
      </c>
      <c r="L378" s="1">
        <f t="shared" si="35"/>
        <v>30.5</v>
      </c>
    </row>
    <row r="379" s="1" customFormat="1" spans="1:12">
      <c r="A379" s="2">
        <v>12.574</v>
      </c>
      <c r="B379" s="10" t="s">
        <v>287</v>
      </c>
      <c r="C379" s="4">
        <v>12.574</v>
      </c>
      <c r="D379" s="5">
        <v>253.8</v>
      </c>
      <c r="E379" s="4"/>
      <c r="F379" s="4"/>
      <c r="G379" s="2">
        <f t="shared" si="30"/>
        <v>12.541</v>
      </c>
      <c r="H379" s="11" t="str">
        <f t="shared" si="31"/>
        <v>3.590E-2</v>
      </c>
      <c r="I379" s="2">
        <f t="shared" si="32"/>
        <v>253.8</v>
      </c>
      <c r="J379" s="4">
        <f t="shared" si="33"/>
        <v>12.541</v>
      </c>
      <c r="K379" s="9">
        <f t="shared" si="34"/>
        <v>25.4</v>
      </c>
      <c r="L379" s="1">
        <f t="shared" si="35"/>
        <v>30.5</v>
      </c>
    </row>
    <row r="380" s="1" customFormat="1" spans="1:12">
      <c r="A380" s="2">
        <v>12.607</v>
      </c>
      <c r="B380" s="10" t="s">
        <v>297</v>
      </c>
      <c r="C380" s="4">
        <v>12.607</v>
      </c>
      <c r="D380" s="5">
        <v>253.8</v>
      </c>
      <c r="E380" s="4"/>
      <c r="F380" s="4"/>
      <c r="G380" s="2">
        <f t="shared" si="30"/>
        <v>12.574</v>
      </c>
      <c r="H380" s="11" t="str">
        <f t="shared" si="31"/>
        <v>3.601E-2</v>
      </c>
      <c r="I380" s="2">
        <f t="shared" si="32"/>
        <v>253.8</v>
      </c>
      <c r="J380" s="4">
        <f t="shared" si="33"/>
        <v>12.574</v>
      </c>
      <c r="K380" s="9">
        <f t="shared" si="34"/>
        <v>26.5</v>
      </c>
      <c r="L380" s="1">
        <f t="shared" si="35"/>
        <v>30.5</v>
      </c>
    </row>
    <row r="381" s="1" customFormat="1" spans="1:12">
      <c r="A381" s="2">
        <v>12.641</v>
      </c>
      <c r="B381" s="10" t="s">
        <v>104</v>
      </c>
      <c r="C381" s="4">
        <v>12.641</v>
      </c>
      <c r="D381" s="5">
        <v>253.8</v>
      </c>
      <c r="E381" s="4"/>
      <c r="F381" s="4"/>
      <c r="G381" s="2">
        <f t="shared" si="30"/>
        <v>12.607</v>
      </c>
      <c r="H381" s="11" t="str">
        <f t="shared" si="31"/>
        <v>3.607E-2</v>
      </c>
      <c r="I381" s="2">
        <f t="shared" si="32"/>
        <v>253.8</v>
      </c>
      <c r="J381" s="4">
        <f t="shared" si="33"/>
        <v>12.607</v>
      </c>
      <c r="K381" s="9">
        <f t="shared" si="34"/>
        <v>27.1</v>
      </c>
      <c r="L381" s="1">
        <f t="shared" si="35"/>
        <v>30.5</v>
      </c>
    </row>
    <row r="382" s="1" customFormat="1" spans="1:12">
      <c r="A382" s="2">
        <v>12.674</v>
      </c>
      <c r="B382" s="10" t="s">
        <v>104</v>
      </c>
      <c r="C382" s="4">
        <v>12.674</v>
      </c>
      <c r="D382" s="5">
        <v>253.8</v>
      </c>
      <c r="E382" s="4"/>
      <c r="F382" s="4"/>
      <c r="G382" s="2">
        <f t="shared" si="30"/>
        <v>12.641</v>
      </c>
      <c r="H382" s="11" t="str">
        <f t="shared" si="31"/>
        <v>3.608E-2</v>
      </c>
      <c r="I382" s="2">
        <f t="shared" si="32"/>
        <v>253.8</v>
      </c>
      <c r="J382" s="4">
        <f t="shared" si="33"/>
        <v>12.641</v>
      </c>
      <c r="K382" s="9">
        <f t="shared" si="34"/>
        <v>27.2</v>
      </c>
      <c r="L382" s="1">
        <f t="shared" si="35"/>
        <v>30.5</v>
      </c>
    </row>
    <row r="383" s="1" customFormat="1" spans="1:12">
      <c r="A383" s="2">
        <v>12.708</v>
      </c>
      <c r="B383" s="10" t="s">
        <v>298</v>
      </c>
      <c r="C383" s="4">
        <v>12.708</v>
      </c>
      <c r="D383" s="5">
        <v>253.8</v>
      </c>
      <c r="E383" s="4"/>
      <c r="F383" s="4"/>
      <c r="G383" s="2">
        <f t="shared" si="30"/>
        <v>12.674</v>
      </c>
      <c r="H383" s="11" t="str">
        <f t="shared" si="31"/>
        <v>3.608E-2</v>
      </c>
      <c r="I383" s="2">
        <f t="shared" si="32"/>
        <v>253.8</v>
      </c>
      <c r="J383" s="4">
        <f t="shared" si="33"/>
        <v>12.674</v>
      </c>
      <c r="K383" s="9">
        <f t="shared" si="34"/>
        <v>27.2</v>
      </c>
      <c r="L383" s="1">
        <f t="shared" si="35"/>
        <v>30.5</v>
      </c>
    </row>
    <row r="384" s="1" customFormat="1" spans="1:12">
      <c r="A384" s="2">
        <v>12.741</v>
      </c>
      <c r="B384" s="10" t="s">
        <v>294</v>
      </c>
      <c r="C384" s="4">
        <v>12.741</v>
      </c>
      <c r="D384" s="5">
        <v>131.5</v>
      </c>
      <c r="E384" s="4"/>
      <c r="F384" s="4"/>
      <c r="G384" s="2">
        <f t="shared" si="30"/>
        <v>12.708</v>
      </c>
      <c r="H384" s="11" t="str">
        <f t="shared" si="31"/>
        <v>3.609E-2</v>
      </c>
      <c r="I384" s="2">
        <f t="shared" si="32"/>
        <v>253.8</v>
      </c>
      <c r="J384" s="4">
        <f t="shared" si="33"/>
        <v>12.708</v>
      </c>
      <c r="K384" s="9">
        <f t="shared" si="34"/>
        <v>27.3</v>
      </c>
      <c r="L384" s="1">
        <f t="shared" si="35"/>
        <v>30.5</v>
      </c>
    </row>
    <row r="385" s="1" customFormat="1" spans="1:12">
      <c r="A385" s="2">
        <v>12.775</v>
      </c>
      <c r="B385" s="10" t="s">
        <v>95</v>
      </c>
      <c r="C385" s="4">
        <v>12.775</v>
      </c>
      <c r="D385" s="5">
        <v>156.7</v>
      </c>
      <c r="E385" s="4"/>
      <c r="F385" s="4"/>
      <c r="G385" s="2">
        <f t="shared" si="30"/>
        <v>12.741</v>
      </c>
      <c r="H385" s="11" t="str">
        <f t="shared" si="31"/>
        <v>3.606E-2</v>
      </c>
      <c r="I385" s="2">
        <f t="shared" si="32"/>
        <v>131.5</v>
      </c>
      <c r="J385" s="4">
        <f t="shared" si="33"/>
        <v>12.741</v>
      </c>
      <c r="K385" s="9">
        <f t="shared" si="34"/>
        <v>27</v>
      </c>
      <c r="L385" s="1">
        <f t="shared" si="35"/>
        <v>-0.399999999999984</v>
      </c>
    </row>
    <row r="386" s="1" customFormat="1" spans="1:12">
      <c r="A386" s="2">
        <v>12.808</v>
      </c>
      <c r="B386" s="10" t="s">
        <v>287</v>
      </c>
      <c r="C386" s="4">
        <v>12.808</v>
      </c>
      <c r="D386" s="5">
        <v>155.8</v>
      </c>
      <c r="E386" s="4"/>
      <c r="F386" s="4"/>
      <c r="G386" s="2">
        <f t="shared" si="30"/>
        <v>12.775</v>
      </c>
      <c r="H386" s="11" t="str">
        <f t="shared" si="31"/>
        <v>3.605E-2</v>
      </c>
      <c r="I386" s="2">
        <f t="shared" si="32"/>
        <v>156.7</v>
      </c>
      <c r="J386" s="4">
        <f t="shared" si="33"/>
        <v>12.775</v>
      </c>
      <c r="K386" s="9">
        <f t="shared" si="34"/>
        <v>26.9</v>
      </c>
      <c r="L386" s="1">
        <f t="shared" si="35"/>
        <v>-0.399999999999984</v>
      </c>
    </row>
    <row r="387" s="1" customFormat="1" spans="1:12">
      <c r="A387" s="2">
        <v>12.841</v>
      </c>
      <c r="B387" s="10" t="s">
        <v>285</v>
      </c>
      <c r="C387" s="4">
        <v>12.841</v>
      </c>
      <c r="D387" s="5">
        <v>153.7</v>
      </c>
      <c r="E387" s="4"/>
      <c r="F387" s="4"/>
      <c r="G387" s="2">
        <f t="shared" si="30"/>
        <v>12.808</v>
      </c>
      <c r="H387" s="11" t="str">
        <f t="shared" si="31"/>
        <v>3.601E-2</v>
      </c>
      <c r="I387" s="2">
        <f t="shared" si="32"/>
        <v>155.8</v>
      </c>
      <c r="J387" s="4">
        <f t="shared" si="33"/>
        <v>12.808</v>
      </c>
      <c r="K387" s="9">
        <f t="shared" si="34"/>
        <v>26.5</v>
      </c>
      <c r="L387" s="1">
        <f t="shared" si="35"/>
        <v>-0.399999999999984</v>
      </c>
    </row>
    <row r="388" s="1" customFormat="1" spans="1:12">
      <c r="A388" s="2">
        <v>12.875</v>
      </c>
      <c r="B388" s="10" t="s">
        <v>292</v>
      </c>
      <c r="C388" s="4">
        <v>12.875</v>
      </c>
      <c r="D388" s="5">
        <v>153.2</v>
      </c>
      <c r="E388" s="4"/>
      <c r="F388" s="4"/>
      <c r="G388" s="2">
        <f t="shared" ref="G388:G451" si="36">A387</f>
        <v>12.841</v>
      </c>
      <c r="H388" s="11" t="str">
        <f t="shared" ref="H388:H451" si="37">B387</f>
        <v>3.600E-2</v>
      </c>
      <c r="I388" s="2">
        <f t="shared" ref="I388:I451" si="38">D387</f>
        <v>153.7</v>
      </c>
      <c r="J388" s="4">
        <f t="shared" ref="J388:J451" si="39">G388</f>
        <v>12.841</v>
      </c>
      <c r="K388" s="9">
        <f t="shared" ref="K388:K451" si="40">(H388-$H$4)*10000</f>
        <v>26.4</v>
      </c>
      <c r="L388" s="1">
        <f t="shared" si="35"/>
        <v>-0.399999999999984</v>
      </c>
    </row>
    <row r="389" s="1" customFormat="1" spans="1:12">
      <c r="A389" s="2">
        <v>12.908</v>
      </c>
      <c r="B389" s="10" t="s">
        <v>280</v>
      </c>
      <c r="C389" s="4">
        <v>12.908</v>
      </c>
      <c r="D389" s="5">
        <v>151.9</v>
      </c>
      <c r="E389" s="4"/>
      <c r="F389" s="4"/>
      <c r="G389" s="2">
        <f t="shared" si="36"/>
        <v>12.875</v>
      </c>
      <c r="H389" s="11" t="str">
        <f t="shared" si="37"/>
        <v>3.597E-2</v>
      </c>
      <c r="I389" s="2">
        <f t="shared" si="38"/>
        <v>153.2</v>
      </c>
      <c r="J389" s="4">
        <f t="shared" si="39"/>
        <v>12.875</v>
      </c>
      <c r="K389" s="9">
        <f t="shared" si="40"/>
        <v>26.1</v>
      </c>
      <c r="L389" s="1">
        <f t="shared" ref="L389:L452" si="41">IF(I389&lt;230,$V$4,$V$5)</f>
        <v>-0.399999999999984</v>
      </c>
    </row>
    <row r="390" s="1" customFormat="1" spans="1:12">
      <c r="A390" s="2">
        <v>12.942</v>
      </c>
      <c r="B390" s="10" t="s">
        <v>70</v>
      </c>
      <c r="C390" s="4">
        <v>12.942</v>
      </c>
      <c r="D390" s="5">
        <v>151.6</v>
      </c>
      <c r="E390" s="4"/>
      <c r="F390" s="4"/>
      <c r="G390" s="2">
        <f t="shared" si="36"/>
        <v>12.908</v>
      </c>
      <c r="H390" s="11" t="str">
        <f t="shared" si="37"/>
        <v>3.593E-2</v>
      </c>
      <c r="I390" s="2">
        <f t="shared" si="38"/>
        <v>151.9</v>
      </c>
      <c r="J390" s="4">
        <f t="shared" si="39"/>
        <v>12.908</v>
      </c>
      <c r="K390" s="9">
        <f t="shared" si="40"/>
        <v>25.7</v>
      </c>
      <c r="L390" s="1">
        <f t="shared" si="41"/>
        <v>-0.399999999999984</v>
      </c>
    </row>
    <row r="391" s="1" customFormat="1" spans="1:12">
      <c r="A391" s="2">
        <v>12.975</v>
      </c>
      <c r="B391" s="10" t="s">
        <v>66</v>
      </c>
      <c r="C391" s="4">
        <v>12.975</v>
      </c>
      <c r="D391" s="5">
        <v>150.9</v>
      </c>
      <c r="E391" s="4"/>
      <c r="F391" s="4"/>
      <c r="G391" s="2">
        <f t="shared" si="36"/>
        <v>12.942</v>
      </c>
      <c r="H391" s="11" t="str">
        <f t="shared" si="37"/>
        <v>3.589E-2</v>
      </c>
      <c r="I391" s="2">
        <f t="shared" si="38"/>
        <v>151.6</v>
      </c>
      <c r="J391" s="4">
        <f t="shared" si="39"/>
        <v>12.942</v>
      </c>
      <c r="K391" s="9">
        <f t="shared" si="40"/>
        <v>25.3</v>
      </c>
      <c r="L391" s="1">
        <f t="shared" si="41"/>
        <v>-0.399999999999984</v>
      </c>
    </row>
    <row r="392" s="1" customFormat="1" spans="1:12">
      <c r="A392" s="2">
        <v>13.009</v>
      </c>
      <c r="B392" s="10" t="s">
        <v>65</v>
      </c>
      <c r="C392" s="4">
        <v>13.009</v>
      </c>
      <c r="D392" s="5">
        <v>149.4</v>
      </c>
      <c r="E392" s="4"/>
      <c r="F392" s="4"/>
      <c r="G392" s="2">
        <f t="shared" si="36"/>
        <v>12.975</v>
      </c>
      <c r="H392" s="11" t="str">
        <f t="shared" si="37"/>
        <v>3.575E-2</v>
      </c>
      <c r="I392" s="2">
        <f t="shared" si="38"/>
        <v>150.9</v>
      </c>
      <c r="J392" s="4">
        <f t="shared" si="39"/>
        <v>12.975</v>
      </c>
      <c r="K392" s="9">
        <f t="shared" si="40"/>
        <v>23.9</v>
      </c>
      <c r="L392" s="1">
        <f t="shared" si="41"/>
        <v>-0.399999999999984</v>
      </c>
    </row>
    <row r="393" s="1" customFormat="1" spans="1:12">
      <c r="A393" s="2">
        <v>13.042</v>
      </c>
      <c r="B393" s="10" t="s">
        <v>209</v>
      </c>
      <c r="C393" s="4">
        <v>13.042</v>
      </c>
      <c r="D393" s="5">
        <v>147.3</v>
      </c>
      <c r="E393" s="4"/>
      <c r="F393" s="4"/>
      <c r="G393" s="2">
        <f t="shared" si="36"/>
        <v>13.009</v>
      </c>
      <c r="H393" s="11" t="str">
        <f t="shared" si="37"/>
        <v>3.567E-2</v>
      </c>
      <c r="I393" s="2">
        <f t="shared" si="38"/>
        <v>149.4</v>
      </c>
      <c r="J393" s="4">
        <f t="shared" si="39"/>
        <v>13.009</v>
      </c>
      <c r="K393" s="9">
        <f t="shared" si="40"/>
        <v>23.1</v>
      </c>
      <c r="L393" s="1">
        <f t="shared" si="41"/>
        <v>-0.399999999999984</v>
      </c>
    </row>
    <row r="394" s="1" customFormat="1" spans="1:12">
      <c r="A394" s="2">
        <v>13.076</v>
      </c>
      <c r="B394" s="10" t="s">
        <v>64</v>
      </c>
      <c r="C394" s="4">
        <v>13.076</v>
      </c>
      <c r="D394" s="5">
        <v>147.7</v>
      </c>
      <c r="E394" s="4"/>
      <c r="F394" s="4"/>
      <c r="G394" s="2">
        <f t="shared" si="36"/>
        <v>13.042</v>
      </c>
      <c r="H394" s="11" t="str">
        <f t="shared" si="37"/>
        <v>3.561E-2</v>
      </c>
      <c r="I394" s="2">
        <f t="shared" si="38"/>
        <v>147.3</v>
      </c>
      <c r="J394" s="4">
        <f t="shared" si="39"/>
        <v>13.042</v>
      </c>
      <c r="K394" s="9">
        <f t="shared" si="40"/>
        <v>22.5</v>
      </c>
      <c r="L394" s="1">
        <f t="shared" si="41"/>
        <v>-0.399999999999984</v>
      </c>
    </row>
    <row r="395" s="1" customFormat="1" spans="1:12">
      <c r="A395" s="2">
        <v>13.109</v>
      </c>
      <c r="B395" s="10" t="s">
        <v>299</v>
      </c>
      <c r="C395" s="4">
        <v>13.109</v>
      </c>
      <c r="D395" s="5">
        <v>146.4</v>
      </c>
      <c r="E395" s="4"/>
      <c r="F395" s="4"/>
      <c r="G395" s="2">
        <f t="shared" si="36"/>
        <v>13.076</v>
      </c>
      <c r="H395" s="11" t="str">
        <f t="shared" si="37"/>
        <v>3.557E-2</v>
      </c>
      <c r="I395" s="2">
        <f t="shared" si="38"/>
        <v>147.7</v>
      </c>
      <c r="J395" s="4">
        <f t="shared" si="39"/>
        <v>13.076</v>
      </c>
      <c r="K395" s="9">
        <f t="shared" si="40"/>
        <v>22.1</v>
      </c>
      <c r="L395" s="1">
        <f t="shared" si="41"/>
        <v>-0.399999999999984</v>
      </c>
    </row>
    <row r="396" s="1" customFormat="1" spans="1:12">
      <c r="A396" s="2">
        <v>13.142</v>
      </c>
      <c r="B396" s="10" t="s">
        <v>227</v>
      </c>
      <c r="C396" s="4">
        <v>13.142</v>
      </c>
      <c r="D396" s="5">
        <v>144.8</v>
      </c>
      <c r="E396" s="4"/>
      <c r="F396" s="4"/>
      <c r="G396" s="2">
        <f t="shared" si="36"/>
        <v>13.109</v>
      </c>
      <c r="H396" s="11" t="str">
        <f t="shared" si="37"/>
        <v>3.546E-2</v>
      </c>
      <c r="I396" s="2">
        <f t="shared" si="38"/>
        <v>146.4</v>
      </c>
      <c r="J396" s="4">
        <f t="shared" si="39"/>
        <v>13.109</v>
      </c>
      <c r="K396" s="9">
        <f t="shared" si="40"/>
        <v>21</v>
      </c>
      <c r="L396" s="1">
        <f t="shared" si="41"/>
        <v>-0.399999999999984</v>
      </c>
    </row>
    <row r="397" s="1" customFormat="1" spans="1:12">
      <c r="A397" s="2">
        <v>13.176</v>
      </c>
      <c r="B397" s="10" t="s">
        <v>76</v>
      </c>
      <c r="C397" s="4">
        <v>13.176</v>
      </c>
      <c r="D397" s="5">
        <v>143.2</v>
      </c>
      <c r="E397" s="4"/>
      <c r="F397" s="4"/>
      <c r="G397" s="2">
        <f t="shared" si="36"/>
        <v>13.142</v>
      </c>
      <c r="H397" s="11" t="str">
        <f t="shared" si="37"/>
        <v>3.538E-2</v>
      </c>
      <c r="I397" s="2">
        <f t="shared" si="38"/>
        <v>144.8</v>
      </c>
      <c r="J397" s="4">
        <f t="shared" si="39"/>
        <v>13.142</v>
      </c>
      <c r="K397" s="9">
        <f t="shared" si="40"/>
        <v>20.2</v>
      </c>
      <c r="L397" s="1">
        <f t="shared" si="41"/>
        <v>-0.399999999999984</v>
      </c>
    </row>
    <row r="398" s="1" customFormat="1" spans="1:12">
      <c r="A398" s="2">
        <v>13.209</v>
      </c>
      <c r="B398" s="10" t="s">
        <v>62</v>
      </c>
      <c r="C398" s="4">
        <v>13.209</v>
      </c>
      <c r="D398" s="5">
        <v>142.9</v>
      </c>
      <c r="E398" s="4"/>
      <c r="F398" s="4"/>
      <c r="G398" s="2">
        <f t="shared" si="36"/>
        <v>13.176</v>
      </c>
      <c r="H398" s="11" t="str">
        <f t="shared" si="37"/>
        <v>3.533E-2</v>
      </c>
      <c r="I398" s="2">
        <f t="shared" si="38"/>
        <v>143.2</v>
      </c>
      <c r="J398" s="4">
        <f t="shared" si="39"/>
        <v>13.176</v>
      </c>
      <c r="K398" s="9">
        <f t="shared" si="40"/>
        <v>19.7</v>
      </c>
      <c r="L398" s="1">
        <f t="shared" si="41"/>
        <v>-0.399999999999984</v>
      </c>
    </row>
    <row r="399" s="1" customFormat="1" spans="1:12">
      <c r="A399" s="2">
        <v>13.243</v>
      </c>
      <c r="B399" s="10" t="s">
        <v>77</v>
      </c>
      <c r="C399" s="4">
        <v>13.243</v>
      </c>
      <c r="D399" s="5">
        <v>140.9</v>
      </c>
      <c r="E399" s="4"/>
      <c r="F399" s="4"/>
      <c r="G399" s="2">
        <f t="shared" si="36"/>
        <v>13.209</v>
      </c>
      <c r="H399" s="11" t="str">
        <f t="shared" si="37"/>
        <v>3.527E-2</v>
      </c>
      <c r="I399" s="2">
        <f t="shared" si="38"/>
        <v>142.9</v>
      </c>
      <c r="J399" s="4">
        <f t="shared" si="39"/>
        <v>13.209</v>
      </c>
      <c r="K399" s="9">
        <f t="shared" si="40"/>
        <v>19.1</v>
      </c>
      <c r="L399" s="1">
        <f t="shared" si="41"/>
        <v>-0.399999999999984</v>
      </c>
    </row>
    <row r="400" s="1" customFormat="1" spans="1:12">
      <c r="A400" s="2">
        <v>13.276</v>
      </c>
      <c r="B400" s="10" t="s">
        <v>232</v>
      </c>
      <c r="C400" s="4">
        <v>13.276</v>
      </c>
      <c r="D400" s="5">
        <v>140.5</v>
      </c>
      <c r="E400" s="4"/>
      <c r="F400" s="4"/>
      <c r="G400" s="2">
        <f t="shared" si="36"/>
        <v>13.243</v>
      </c>
      <c r="H400" s="11" t="str">
        <f t="shared" si="37"/>
        <v>3.517E-2</v>
      </c>
      <c r="I400" s="2">
        <f t="shared" si="38"/>
        <v>140.9</v>
      </c>
      <c r="J400" s="4">
        <f t="shared" si="39"/>
        <v>13.243</v>
      </c>
      <c r="K400" s="9">
        <f t="shared" si="40"/>
        <v>18.1</v>
      </c>
      <c r="L400" s="1">
        <f t="shared" si="41"/>
        <v>-0.399999999999984</v>
      </c>
    </row>
    <row r="401" s="1" customFormat="1" spans="1:12">
      <c r="A401" s="2">
        <v>13.31</v>
      </c>
      <c r="B401" s="10" t="s">
        <v>138</v>
      </c>
      <c r="C401" s="4">
        <v>13.31</v>
      </c>
      <c r="D401" s="5">
        <v>139.2</v>
      </c>
      <c r="E401" s="4"/>
      <c r="F401" s="4"/>
      <c r="G401" s="2">
        <f t="shared" si="36"/>
        <v>13.276</v>
      </c>
      <c r="H401" s="11" t="str">
        <f t="shared" si="37"/>
        <v>3.512E-2</v>
      </c>
      <c r="I401" s="2">
        <f t="shared" si="38"/>
        <v>140.5</v>
      </c>
      <c r="J401" s="4">
        <f t="shared" si="39"/>
        <v>13.276</v>
      </c>
      <c r="K401" s="9">
        <f t="shared" si="40"/>
        <v>17.6</v>
      </c>
      <c r="L401" s="1">
        <f t="shared" si="41"/>
        <v>-0.399999999999984</v>
      </c>
    </row>
    <row r="402" s="1" customFormat="1" spans="1:12">
      <c r="A402" s="2">
        <v>13.343</v>
      </c>
      <c r="B402" s="10" t="s">
        <v>61</v>
      </c>
      <c r="C402" s="4">
        <v>13.343</v>
      </c>
      <c r="D402" s="5">
        <v>138.1</v>
      </c>
      <c r="E402" s="4"/>
      <c r="F402" s="4"/>
      <c r="G402" s="2">
        <f t="shared" si="36"/>
        <v>13.31</v>
      </c>
      <c r="H402" s="11" t="str">
        <f t="shared" si="37"/>
        <v>3.508E-2</v>
      </c>
      <c r="I402" s="2">
        <f t="shared" si="38"/>
        <v>139.2</v>
      </c>
      <c r="J402" s="4">
        <f t="shared" si="39"/>
        <v>13.31</v>
      </c>
      <c r="K402" s="9">
        <f t="shared" si="40"/>
        <v>17.2</v>
      </c>
      <c r="L402" s="1">
        <f t="shared" si="41"/>
        <v>-0.399999999999984</v>
      </c>
    </row>
    <row r="403" s="1" customFormat="1" spans="1:12">
      <c r="A403" s="2">
        <v>13.377</v>
      </c>
      <c r="B403" s="10" t="s">
        <v>138</v>
      </c>
      <c r="C403" s="4">
        <v>13.377</v>
      </c>
      <c r="D403" s="5">
        <v>137.6</v>
      </c>
      <c r="E403" s="4"/>
      <c r="F403" s="4"/>
      <c r="G403" s="2">
        <f t="shared" si="36"/>
        <v>13.343</v>
      </c>
      <c r="H403" s="11" t="str">
        <f t="shared" si="37"/>
        <v>3.509E-2</v>
      </c>
      <c r="I403" s="2">
        <f t="shared" si="38"/>
        <v>138.1</v>
      </c>
      <c r="J403" s="4">
        <f t="shared" si="39"/>
        <v>13.343</v>
      </c>
      <c r="K403" s="9">
        <f t="shared" si="40"/>
        <v>17.3</v>
      </c>
      <c r="L403" s="1">
        <f t="shared" si="41"/>
        <v>-0.399999999999984</v>
      </c>
    </row>
    <row r="404" s="1" customFormat="1" spans="1:12">
      <c r="A404" s="2">
        <v>13.41</v>
      </c>
      <c r="B404" s="10" t="s">
        <v>61</v>
      </c>
      <c r="C404" s="4">
        <v>13.41</v>
      </c>
      <c r="D404" s="5">
        <v>136</v>
      </c>
      <c r="E404" s="4"/>
      <c r="F404" s="4"/>
      <c r="G404" s="2">
        <f t="shared" si="36"/>
        <v>13.377</v>
      </c>
      <c r="H404" s="11" t="str">
        <f t="shared" si="37"/>
        <v>3.508E-2</v>
      </c>
      <c r="I404" s="2">
        <f t="shared" si="38"/>
        <v>137.6</v>
      </c>
      <c r="J404" s="4">
        <f t="shared" si="39"/>
        <v>13.377</v>
      </c>
      <c r="K404" s="9">
        <f t="shared" si="40"/>
        <v>17.2</v>
      </c>
      <c r="L404" s="1">
        <f t="shared" si="41"/>
        <v>-0.399999999999984</v>
      </c>
    </row>
    <row r="405" s="1" customFormat="1" spans="1:12">
      <c r="A405" s="2">
        <v>13.443</v>
      </c>
      <c r="B405" s="10" t="s">
        <v>120</v>
      </c>
      <c r="C405" s="4">
        <v>13.443</v>
      </c>
      <c r="D405" s="5">
        <v>135.6</v>
      </c>
      <c r="E405" s="4"/>
      <c r="F405" s="4"/>
      <c r="G405" s="2">
        <f t="shared" si="36"/>
        <v>13.41</v>
      </c>
      <c r="H405" s="11" t="str">
        <f t="shared" si="37"/>
        <v>3.509E-2</v>
      </c>
      <c r="I405" s="2">
        <f t="shared" si="38"/>
        <v>136</v>
      </c>
      <c r="J405" s="4">
        <f t="shared" si="39"/>
        <v>13.41</v>
      </c>
      <c r="K405" s="9">
        <f t="shared" si="40"/>
        <v>17.3</v>
      </c>
      <c r="L405" s="1">
        <f t="shared" si="41"/>
        <v>-0.399999999999984</v>
      </c>
    </row>
    <row r="406" s="1" customFormat="1" spans="1:12">
      <c r="A406" s="2">
        <v>13.477</v>
      </c>
      <c r="B406" s="10" t="s">
        <v>232</v>
      </c>
      <c r="C406" s="4">
        <v>13.477</v>
      </c>
      <c r="D406" s="5">
        <v>147</v>
      </c>
      <c r="E406" s="4"/>
      <c r="F406" s="4"/>
      <c r="G406" s="2">
        <f t="shared" si="36"/>
        <v>13.443</v>
      </c>
      <c r="H406" s="11" t="str">
        <f t="shared" si="37"/>
        <v>3.510E-2</v>
      </c>
      <c r="I406" s="2">
        <f t="shared" si="38"/>
        <v>135.6</v>
      </c>
      <c r="J406" s="4">
        <f t="shared" si="39"/>
        <v>13.443</v>
      </c>
      <c r="K406" s="9">
        <f t="shared" si="40"/>
        <v>17.4</v>
      </c>
      <c r="L406" s="1">
        <f t="shared" si="41"/>
        <v>-0.399999999999984</v>
      </c>
    </row>
    <row r="407" s="1" customFormat="1" spans="1:12">
      <c r="A407" s="2">
        <v>13.51</v>
      </c>
      <c r="B407" s="10" t="s">
        <v>146</v>
      </c>
      <c r="C407" s="4">
        <v>13.51</v>
      </c>
      <c r="D407" s="5">
        <v>253.8</v>
      </c>
      <c r="E407" s="4"/>
      <c r="F407" s="4"/>
      <c r="G407" s="2">
        <f t="shared" si="36"/>
        <v>13.477</v>
      </c>
      <c r="H407" s="11" t="str">
        <f t="shared" si="37"/>
        <v>3.512E-2</v>
      </c>
      <c r="I407" s="2">
        <f t="shared" si="38"/>
        <v>147</v>
      </c>
      <c r="J407" s="4">
        <f t="shared" si="39"/>
        <v>13.477</v>
      </c>
      <c r="K407" s="9">
        <f t="shared" si="40"/>
        <v>17.6</v>
      </c>
      <c r="L407" s="1">
        <f t="shared" si="41"/>
        <v>-0.399999999999984</v>
      </c>
    </row>
    <row r="408" s="1" customFormat="1" spans="1:12">
      <c r="A408" s="2">
        <v>13.544</v>
      </c>
      <c r="B408" s="10" t="s">
        <v>218</v>
      </c>
      <c r="C408" s="4">
        <v>13.544</v>
      </c>
      <c r="D408" s="5">
        <v>253.8</v>
      </c>
      <c r="E408" s="4"/>
      <c r="F408" s="4"/>
      <c r="G408" s="2">
        <f t="shared" si="36"/>
        <v>13.51</v>
      </c>
      <c r="H408" s="11" t="str">
        <f t="shared" si="37"/>
        <v>3.514E-2</v>
      </c>
      <c r="I408" s="2">
        <f t="shared" si="38"/>
        <v>253.8</v>
      </c>
      <c r="J408" s="4">
        <f t="shared" si="39"/>
        <v>13.51</v>
      </c>
      <c r="K408" s="9">
        <f t="shared" si="40"/>
        <v>17.8</v>
      </c>
      <c r="L408" s="1">
        <f t="shared" si="41"/>
        <v>30.5</v>
      </c>
    </row>
    <row r="409" s="1" customFormat="1" spans="1:12">
      <c r="A409" s="2">
        <v>13.577</v>
      </c>
      <c r="B409" s="10" t="s">
        <v>77</v>
      </c>
      <c r="C409" s="4">
        <v>13.577</v>
      </c>
      <c r="D409" s="5">
        <v>253.8</v>
      </c>
      <c r="E409" s="4"/>
      <c r="F409" s="4"/>
      <c r="G409" s="2">
        <f t="shared" si="36"/>
        <v>13.544</v>
      </c>
      <c r="H409" s="11" t="str">
        <f t="shared" si="37"/>
        <v>3.516E-2</v>
      </c>
      <c r="I409" s="2">
        <f t="shared" si="38"/>
        <v>253.8</v>
      </c>
      <c r="J409" s="4">
        <f t="shared" si="39"/>
        <v>13.544</v>
      </c>
      <c r="K409" s="9">
        <f t="shared" si="40"/>
        <v>18</v>
      </c>
      <c r="L409" s="1">
        <f t="shared" si="41"/>
        <v>30.5</v>
      </c>
    </row>
    <row r="410" s="1" customFormat="1" spans="1:12">
      <c r="A410" s="2">
        <v>13.611</v>
      </c>
      <c r="B410" s="10" t="s">
        <v>197</v>
      </c>
      <c r="C410" s="4">
        <v>13.611</v>
      </c>
      <c r="D410" s="5">
        <v>253.8</v>
      </c>
      <c r="E410" s="4"/>
      <c r="F410" s="4"/>
      <c r="G410" s="2">
        <f t="shared" si="36"/>
        <v>13.577</v>
      </c>
      <c r="H410" s="11" t="str">
        <f t="shared" si="37"/>
        <v>3.517E-2</v>
      </c>
      <c r="I410" s="2">
        <f t="shared" si="38"/>
        <v>253.8</v>
      </c>
      <c r="J410" s="4">
        <f t="shared" si="39"/>
        <v>13.577</v>
      </c>
      <c r="K410" s="9">
        <f t="shared" si="40"/>
        <v>18.1</v>
      </c>
      <c r="L410" s="1">
        <f t="shared" si="41"/>
        <v>30.5</v>
      </c>
    </row>
    <row r="411" s="1" customFormat="1" spans="1:12">
      <c r="A411" s="2">
        <v>13.644</v>
      </c>
      <c r="B411" s="10" t="s">
        <v>300</v>
      </c>
      <c r="C411" s="4">
        <v>13.644</v>
      </c>
      <c r="D411" s="5">
        <v>253.8</v>
      </c>
      <c r="E411" s="4"/>
      <c r="F411" s="4"/>
      <c r="G411" s="2">
        <f t="shared" si="36"/>
        <v>13.611</v>
      </c>
      <c r="H411" s="11" t="str">
        <f t="shared" si="37"/>
        <v>3.520E-2</v>
      </c>
      <c r="I411" s="2">
        <f t="shared" si="38"/>
        <v>253.8</v>
      </c>
      <c r="J411" s="4">
        <f t="shared" si="39"/>
        <v>13.611</v>
      </c>
      <c r="K411" s="9">
        <f t="shared" si="40"/>
        <v>18.4</v>
      </c>
      <c r="L411" s="1">
        <f t="shared" si="41"/>
        <v>30.5</v>
      </c>
    </row>
    <row r="412" s="1" customFormat="1" spans="1:12">
      <c r="A412" s="2">
        <v>13.678</v>
      </c>
      <c r="B412" s="10" t="s">
        <v>200</v>
      </c>
      <c r="C412" s="4">
        <v>13.678</v>
      </c>
      <c r="D412" s="5">
        <v>253.8</v>
      </c>
      <c r="E412" s="4"/>
      <c r="F412" s="4"/>
      <c r="G412" s="2">
        <f t="shared" si="36"/>
        <v>13.644</v>
      </c>
      <c r="H412" s="11" t="str">
        <f t="shared" si="37"/>
        <v>3.523E-2</v>
      </c>
      <c r="I412" s="2">
        <f t="shared" si="38"/>
        <v>253.8</v>
      </c>
      <c r="J412" s="4">
        <f t="shared" si="39"/>
        <v>13.644</v>
      </c>
      <c r="K412" s="9">
        <f t="shared" si="40"/>
        <v>18.7</v>
      </c>
      <c r="L412" s="1">
        <f t="shared" si="41"/>
        <v>30.5</v>
      </c>
    </row>
    <row r="413" s="1" customFormat="1" spans="1:12">
      <c r="A413" s="2">
        <v>13.711</v>
      </c>
      <c r="B413" s="10" t="s">
        <v>199</v>
      </c>
      <c r="C413" s="4">
        <v>13.711</v>
      </c>
      <c r="D413" s="5">
        <v>253.8</v>
      </c>
      <c r="E413" s="4"/>
      <c r="F413" s="4"/>
      <c r="G413" s="2">
        <f t="shared" si="36"/>
        <v>13.678</v>
      </c>
      <c r="H413" s="11" t="str">
        <f t="shared" si="37"/>
        <v>3.526E-2</v>
      </c>
      <c r="I413" s="2">
        <f t="shared" si="38"/>
        <v>253.8</v>
      </c>
      <c r="J413" s="4">
        <f t="shared" si="39"/>
        <v>13.678</v>
      </c>
      <c r="K413" s="9">
        <f t="shared" si="40"/>
        <v>19</v>
      </c>
      <c r="L413" s="1">
        <f t="shared" si="41"/>
        <v>30.5</v>
      </c>
    </row>
    <row r="414" s="1" customFormat="1" spans="1:12">
      <c r="A414" s="2">
        <v>13.744</v>
      </c>
      <c r="B414" s="10" t="s">
        <v>121</v>
      </c>
      <c r="C414" s="4">
        <v>13.744</v>
      </c>
      <c r="D414" s="5">
        <v>253.8</v>
      </c>
      <c r="E414" s="4"/>
      <c r="F414" s="4"/>
      <c r="G414" s="2">
        <f t="shared" si="36"/>
        <v>13.711</v>
      </c>
      <c r="H414" s="11" t="str">
        <f t="shared" si="37"/>
        <v>3.529E-2</v>
      </c>
      <c r="I414" s="2">
        <f t="shared" si="38"/>
        <v>253.8</v>
      </c>
      <c r="J414" s="4">
        <f t="shared" si="39"/>
        <v>13.711</v>
      </c>
      <c r="K414" s="9">
        <f t="shared" si="40"/>
        <v>19.3</v>
      </c>
      <c r="L414" s="1">
        <f t="shared" si="41"/>
        <v>30.5</v>
      </c>
    </row>
    <row r="415" s="1" customFormat="1" spans="1:12">
      <c r="A415" s="2">
        <v>13.778</v>
      </c>
      <c r="B415" s="10" t="s">
        <v>207</v>
      </c>
      <c r="C415" s="4">
        <v>13.778</v>
      </c>
      <c r="D415" s="5">
        <v>253.8</v>
      </c>
      <c r="E415" s="4"/>
      <c r="F415" s="4"/>
      <c r="G415" s="2">
        <f t="shared" si="36"/>
        <v>13.744</v>
      </c>
      <c r="H415" s="11" t="str">
        <f t="shared" si="37"/>
        <v>3.530E-2</v>
      </c>
      <c r="I415" s="2">
        <f t="shared" si="38"/>
        <v>253.8</v>
      </c>
      <c r="J415" s="4">
        <f t="shared" si="39"/>
        <v>13.744</v>
      </c>
      <c r="K415" s="9">
        <f t="shared" si="40"/>
        <v>19.4</v>
      </c>
      <c r="L415" s="1">
        <f t="shared" si="41"/>
        <v>30.5</v>
      </c>
    </row>
    <row r="416" s="1" customFormat="1" spans="1:12">
      <c r="A416" s="2">
        <v>13.811</v>
      </c>
      <c r="B416" s="10" t="s">
        <v>75</v>
      </c>
      <c r="C416" s="4">
        <v>13.811</v>
      </c>
      <c r="D416" s="5">
        <v>253.8</v>
      </c>
      <c r="E416" s="4"/>
      <c r="F416" s="4"/>
      <c r="G416" s="2">
        <f t="shared" si="36"/>
        <v>13.778</v>
      </c>
      <c r="H416" s="11" t="str">
        <f t="shared" si="37"/>
        <v>3.541E-2</v>
      </c>
      <c r="I416" s="2">
        <f t="shared" si="38"/>
        <v>253.8</v>
      </c>
      <c r="J416" s="4">
        <f t="shared" si="39"/>
        <v>13.778</v>
      </c>
      <c r="K416" s="9">
        <f t="shared" si="40"/>
        <v>20.5</v>
      </c>
      <c r="L416" s="1">
        <f t="shared" si="41"/>
        <v>30.5</v>
      </c>
    </row>
    <row r="417" s="1" customFormat="1" spans="1:12">
      <c r="A417" s="2">
        <v>13.845</v>
      </c>
      <c r="B417" s="10" t="s">
        <v>225</v>
      </c>
      <c r="C417" s="4">
        <v>13.845</v>
      </c>
      <c r="D417" s="5">
        <v>253.8</v>
      </c>
      <c r="E417" s="4"/>
      <c r="F417" s="4"/>
      <c r="G417" s="2">
        <f t="shared" si="36"/>
        <v>13.811</v>
      </c>
      <c r="H417" s="11" t="str">
        <f t="shared" si="37"/>
        <v>3.548E-2</v>
      </c>
      <c r="I417" s="2">
        <f t="shared" si="38"/>
        <v>253.8</v>
      </c>
      <c r="J417" s="4">
        <f t="shared" si="39"/>
        <v>13.811</v>
      </c>
      <c r="K417" s="9">
        <f t="shared" si="40"/>
        <v>21.2</v>
      </c>
      <c r="L417" s="1">
        <f t="shared" si="41"/>
        <v>30.5</v>
      </c>
    </row>
    <row r="418" s="1" customFormat="1" spans="1:12">
      <c r="A418" s="2">
        <v>13.878</v>
      </c>
      <c r="B418" s="10" t="s">
        <v>184</v>
      </c>
      <c r="C418" s="4">
        <v>13.878</v>
      </c>
      <c r="D418" s="5">
        <v>253.8</v>
      </c>
      <c r="E418" s="4"/>
      <c r="F418" s="4"/>
      <c r="G418" s="2">
        <f t="shared" si="36"/>
        <v>13.845</v>
      </c>
      <c r="H418" s="11" t="str">
        <f t="shared" si="37"/>
        <v>3.550E-2</v>
      </c>
      <c r="I418" s="2">
        <f t="shared" si="38"/>
        <v>253.8</v>
      </c>
      <c r="J418" s="4">
        <f t="shared" si="39"/>
        <v>13.845</v>
      </c>
      <c r="K418" s="9">
        <f t="shared" si="40"/>
        <v>21.4</v>
      </c>
      <c r="L418" s="1">
        <f t="shared" si="41"/>
        <v>30.5</v>
      </c>
    </row>
    <row r="419" s="1" customFormat="1" spans="1:12">
      <c r="A419" s="2">
        <v>13.912</v>
      </c>
      <c r="B419" s="10" t="s">
        <v>208</v>
      </c>
      <c r="C419" s="4">
        <v>13.912</v>
      </c>
      <c r="D419" s="5">
        <v>253.8</v>
      </c>
      <c r="E419" s="4"/>
      <c r="F419" s="4"/>
      <c r="G419" s="2">
        <f t="shared" si="36"/>
        <v>13.878</v>
      </c>
      <c r="H419" s="11" t="str">
        <f t="shared" si="37"/>
        <v>3.553E-2</v>
      </c>
      <c r="I419" s="2">
        <f t="shared" si="38"/>
        <v>253.8</v>
      </c>
      <c r="J419" s="4">
        <f t="shared" si="39"/>
        <v>13.878</v>
      </c>
      <c r="K419" s="9">
        <f t="shared" si="40"/>
        <v>21.7</v>
      </c>
      <c r="L419" s="1">
        <f t="shared" si="41"/>
        <v>30.5</v>
      </c>
    </row>
    <row r="420" s="1" customFormat="1" spans="1:12">
      <c r="A420" s="2">
        <v>13.945</v>
      </c>
      <c r="B420" s="10" t="s">
        <v>208</v>
      </c>
      <c r="C420" s="4">
        <v>13.945</v>
      </c>
      <c r="D420" s="5">
        <v>253.8</v>
      </c>
      <c r="E420" s="4"/>
      <c r="F420" s="4"/>
      <c r="G420" s="2">
        <f t="shared" si="36"/>
        <v>13.912</v>
      </c>
      <c r="H420" s="11" t="str">
        <f t="shared" si="37"/>
        <v>3.555E-2</v>
      </c>
      <c r="I420" s="2">
        <f t="shared" si="38"/>
        <v>253.8</v>
      </c>
      <c r="J420" s="4">
        <f t="shared" si="39"/>
        <v>13.912</v>
      </c>
      <c r="K420" s="9">
        <f t="shared" si="40"/>
        <v>21.9</v>
      </c>
      <c r="L420" s="1">
        <f t="shared" si="41"/>
        <v>30.5</v>
      </c>
    </row>
    <row r="421" s="1" customFormat="1" spans="1:12">
      <c r="A421" s="2">
        <v>13.978</v>
      </c>
      <c r="B421" s="10" t="s">
        <v>208</v>
      </c>
      <c r="C421" s="4">
        <v>13.978</v>
      </c>
      <c r="D421" s="5">
        <v>253.8</v>
      </c>
      <c r="E421" s="4"/>
      <c r="F421" s="4"/>
      <c r="G421" s="2">
        <f t="shared" si="36"/>
        <v>13.945</v>
      </c>
      <c r="H421" s="11" t="str">
        <f t="shared" si="37"/>
        <v>3.555E-2</v>
      </c>
      <c r="I421" s="2">
        <f t="shared" si="38"/>
        <v>253.8</v>
      </c>
      <c r="J421" s="4">
        <f t="shared" si="39"/>
        <v>13.945</v>
      </c>
      <c r="K421" s="9">
        <f t="shared" si="40"/>
        <v>21.9</v>
      </c>
      <c r="L421" s="1">
        <f t="shared" si="41"/>
        <v>30.5</v>
      </c>
    </row>
    <row r="422" s="1" customFormat="1" spans="1:12">
      <c r="A422" s="2">
        <v>14.012</v>
      </c>
      <c r="B422" s="10" t="s">
        <v>296</v>
      </c>
      <c r="C422" s="4">
        <v>14.012</v>
      </c>
      <c r="D422" s="5">
        <v>253.8</v>
      </c>
      <c r="E422" s="4"/>
      <c r="F422" s="4"/>
      <c r="G422" s="2">
        <f t="shared" si="36"/>
        <v>13.978</v>
      </c>
      <c r="H422" s="11" t="str">
        <f t="shared" si="37"/>
        <v>3.555E-2</v>
      </c>
      <c r="I422" s="2">
        <f t="shared" si="38"/>
        <v>253.8</v>
      </c>
      <c r="J422" s="4">
        <f t="shared" si="39"/>
        <v>13.978</v>
      </c>
      <c r="K422" s="9">
        <f t="shared" si="40"/>
        <v>21.9</v>
      </c>
      <c r="L422" s="1">
        <f t="shared" si="41"/>
        <v>30.5</v>
      </c>
    </row>
    <row r="423" s="1" customFormat="1" spans="1:12">
      <c r="A423" s="2">
        <v>14.045</v>
      </c>
      <c r="B423" s="10" t="s">
        <v>208</v>
      </c>
      <c r="C423" s="4">
        <v>14.045</v>
      </c>
      <c r="D423" s="5">
        <v>253.8</v>
      </c>
      <c r="E423" s="4"/>
      <c r="F423" s="4"/>
      <c r="G423" s="2">
        <f t="shared" si="36"/>
        <v>14.012</v>
      </c>
      <c r="H423" s="11" t="str">
        <f t="shared" si="37"/>
        <v>3.556E-2</v>
      </c>
      <c r="I423" s="2">
        <f t="shared" si="38"/>
        <v>253.8</v>
      </c>
      <c r="J423" s="4">
        <f t="shared" si="39"/>
        <v>14.012</v>
      </c>
      <c r="K423" s="9">
        <f t="shared" si="40"/>
        <v>22</v>
      </c>
      <c r="L423" s="1">
        <f t="shared" si="41"/>
        <v>30.5</v>
      </c>
    </row>
    <row r="424" s="1" customFormat="1" spans="1:12">
      <c r="A424" s="2">
        <v>14.079</v>
      </c>
      <c r="B424" s="10" t="s">
        <v>92</v>
      </c>
      <c r="C424" s="4">
        <v>14.079</v>
      </c>
      <c r="D424" s="5">
        <v>253.8</v>
      </c>
      <c r="E424" s="4"/>
      <c r="F424" s="4"/>
      <c r="G424" s="2">
        <f t="shared" si="36"/>
        <v>14.045</v>
      </c>
      <c r="H424" s="11" t="str">
        <f t="shared" si="37"/>
        <v>3.555E-2</v>
      </c>
      <c r="I424" s="2">
        <f t="shared" si="38"/>
        <v>253.8</v>
      </c>
      <c r="J424" s="4">
        <f t="shared" si="39"/>
        <v>14.045</v>
      </c>
      <c r="K424" s="9">
        <f t="shared" si="40"/>
        <v>21.9</v>
      </c>
      <c r="L424" s="1">
        <f t="shared" si="41"/>
        <v>30.5</v>
      </c>
    </row>
    <row r="425" s="1" customFormat="1" spans="1:12">
      <c r="A425" s="2">
        <v>14.112</v>
      </c>
      <c r="B425" s="10" t="s">
        <v>213</v>
      </c>
      <c r="C425" s="4">
        <v>14.112</v>
      </c>
      <c r="D425" s="5">
        <v>253.8</v>
      </c>
      <c r="E425" s="4"/>
      <c r="F425" s="4"/>
      <c r="G425" s="2">
        <f t="shared" si="36"/>
        <v>14.079</v>
      </c>
      <c r="H425" s="11" t="str">
        <f t="shared" si="37"/>
        <v>3.554E-2</v>
      </c>
      <c r="I425" s="2">
        <f t="shared" si="38"/>
        <v>253.8</v>
      </c>
      <c r="J425" s="4">
        <f t="shared" si="39"/>
        <v>14.079</v>
      </c>
      <c r="K425" s="9">
        <f t="shared" si="40"/>
        <v>21.8</v>
      </c>
      <c r="L425" s="1">
        <f t="shared" si="41"/>
        <v>30.5</v>
      </c>
    </row>
    <row r="426" s="1" customFormat="1" spans="1:12">
      <c r="A426" s="2">
        <v>14.146</v>
      </c>
      <c r="B426" s="10" t="s">
        <v>213</v>
      </c>
      <c r="C426" s="4">
        <v>14.146</v>
      </c>
      <c r="D426" s="5">
        <v>253.8</v>
      </c>
      <c r="E426" s="4"/>
      <c r="F426" s="4"/>
      <c r="G426" s="2">
        <f t="shared" si="36"/>
        <v>14.112</v>
      </c>
      <c r="H426" s="11" t="str">
        <f t="shared" si="37"/>
        <v>3.552E-2</v>
      </c>
      <c r="I426" s="2">
        <f t="shared" si="38"/>
        <v>253.8</v>
      </c>
      <c r="J426" s="4">
        <f t="shared" si="39"/>
        <v>14.112</v>
      </c>
      <c r="K426" s="9">
        <f t="shared" si="40"/>
        <v>21.6</v>
      </c>
      <c r="L426" s="1">
        <f t="shared" si="41"/>
        <v>30.5</v>
      </c>
    </row>
    <row r="427" s="1" customFormat="1" spans="1:12">
      <c r="A427" s="2">
        <v>14.179</v>
      </c>
      <c r="B427" s="10" t="s">
        <v>226</v>
      </c>
      <c r="C427" s="4">
        <v>14.179</v>
      </c>
      <c r="D427" s="5">
        <v>253.8</v>
      </c>
      <c r="E427" s="4"/>
      <c r="F427" s="4"/>
      <c r="G427" s="2">
        <f t="shared" si="36"/>
        <v>14.146</v>
      </c>
      <c r="H427" s="11" t="str">
        <f t="shared" si="37"/>
        <v>3.552E-2</v>
      </c>
      <c r="I427" s="2">
        <f t="shared" si="38"/>
        <v>253.8</v>
      </c>
      <c r="J427" s="4">
        <f t="shared" si="39"/>
        <v>14.146</v>
      </c>
      <c r="K427" s="9">
        <f t="shared" si="40"/>
        <v>21.6</v>
      </c>
      <c r="L427" s="1">
        <f t="shared" si="41"/>
        <v>30.5</v>
      </c>
    </row>
    <row r="428" s="1" customFormat="1" spans="1:12">
      <c r="A428" s="2">
        <v>14.213</v>
      </c>
      <c r="B428" s="10" t="s">
        <v>122</v>
      </c>
      <c r="C428" s="4">
        <v>14.213</v>
      </c>
      <c r="D428" s="5">
        <v>253.8</v>
      </c>
      <c r="E428" s="4"/>
      <c r="F428" s="4"/>
      <c r="G428" s="2">
        <f t="shared" si="36"/>
        <v>14.179</v>
      </c>
      <c r="H428" s="11" t="str">
        <f t="shared" si="37"/>
        <v>3.551E-2</v>
      </c>
      <c r="I428" s="2">
        <f t="shared" si="38"/>
        <v>253.8</v>
      </c>
      <c r="J428" s="4">
        <f t="shared" si="39"/>
        <v>14.179</v>
      </c>
      <c r="K428" s="9">
        <f t="shared" si="40"/>
        <v>21.5</v>
      </c>
      <c r="L428" s="1">
        <f t="shared" si="41"/>
        <v>30.5</v>
      </c>
    </row>
    <row r="429" s="1" customFormat="1" spans="1:12">
      <c r="A429" s="2">
        <v>14.246</v>
      </c>
      <c r="B429" s="10" t="s">
        <v>148</v>
      </c>
      <c r="C429" s="4">
        <v>14.246</v>
      </c>
      <c r="D429" s="5">
        <v>253.8</v>
      </c>
      <c r="E429" s="4"/>
      <c r="F429" s="4"/>
      <c r="G429" s="2">
        <f t="shared" si="36"/>
        <v>14.213</v>
      </c>
      <c r="H429" s="11" t="str">
        <f t="shared" si="37"/>
        <v>3.549E-2</v>
      </c>
      <c r="I429" s="2">
        <f t="shared" si="38"/>
        <v>253.8</v>
      </c>
      <c r="J429" s="4">
        <f t="shared" si="39"/>
        <v>14.213</v>
      </c>
      <c r="K429" s="9">
        <f t="shared" si="40"/>
        <v>21.3</v>
      </c>
      <c r="L429" s="1">
        <f t="shared" si="41"/>
        <v>30.5</v>
      </c>
    </row>
    <row r="430" s="1" customFormat="1" spans="1:12">
      <c r="A430" s="2">
        <v>14.279</v>
      </c>
      <c r="B430" s="10" t="s">
        <v>148</v>
      </c>
      <c r="C430" s="4">
        <v>14.279</v>
      </c>
      <c r="D430" s="5">
        <v>139.9</v>
      </c>
      <c r="E430" s="4"/>
      <c r="F430" s="4"/>
      <c r="G430" s="2">
        <f t="shared" si="36"/>
        <v>14.246</v>
      </c>
      <c r="H430" s="11" t="str">
        <f t="shared" si="37"/>
        <v>3.547E-2</v>
      </c>
      <c r="I430" s="2">
        <f t="shared" si="38"/>
        <v>253.8</v>
      </c>
      <c r="J430" s="4">
        <f t="shared" si="39"/>
        <v>14.246</v>
      </c>
      <c r="K430" s="9">
        <f t="shared" si="40"/>
        <v>21.1</v>
      </c>
      <c r="L430" s="1">
        <f t="shared" si="41"/>
        <v>30.5</v>
      </c>
    </row>
    <row r="431" s="1" customFormat="1" spans="1:12">
      <c r="A431" s="2">
        <v>14.313</v>
      </c>
      <c r="B431" s="10" t="s">
        <v>175</v>
      </c>
      <c r="C431" s="4">
        <v>14.313</v>
      </c>
      <c r="D431" s="5">
        <v>163.1</v>
      </c>
      <c r="E431" s="4"/>
      <c r="F431" s="4"/>
      <c r="G431" s="2">
        <f t="shared" si="36"/>
        <v>14.279</v>
      </c>
      <c r="H431" s="11" t="str">
        <f t="shared" si="37"/>
        <v>3.547E-2</v>
      </c>
      <c r="I431" s="2">
        <f t="shared" si="38"/>
        <v>139.9</v>
      </c>
      <c r="J431" s="4">
        <f t="shared" si="39"/>
        <v>14.279</v>
      </c>
      <c r="K431" s="9">
        <f t="shared" si="40"/>
        <v>21.1</v>
      </c>
      <c r="L431" s="1">
        <f t="shared" si="41"/>
        <v>-0.399999999999984</v>
      </c>
    </row>
    <row r="432" s="1" customFormat="1" spans="1:12">
      <c r="A432" s="2">
        <v>14.346</v>
      </c>
      <c r="B432" s="10" t="s">
        <v>185</v>
      </c>
      <c r="C432" s="4">
        <v>14.346</v>
      </c>
      <c r="D432" s="5">
        <v>161.7</v>
      </c>
      <c r="E432" s="4"/>
      <c r="F432" s="4"/>
      <c r="G432" s="2">
        <f t="shared" si="36"/>
        <v>14.313</v>
      </c>
      <c r="H432" s="11" t="str">
        <f t="shared" si="37"/>
        <v>3.545E-2</v>
      </c>
      <c r="I432" s="2">
        <f t="shared" si="38"/>
        <v>163.1</v>
      </c>
      <c r="J432" s="4">
        <f t="shared" si="39"/>
        <v>14.313</v>
      </c>
      <c r="K432" s="9">
        <f t="shared" si="40"/>
        <v>20.9</v>
      </c>
      <c r="L432" s="1">
        <f t="shared" si="41"/>
        <v>-0.399999999999984</v>
      </c>
    </row>
    <row r="433" s="1" customFormat="1" spans="1:12">
      <c r="A433" s="2">
        <v>14.38</v>
      </c>
      <c r="B433" s="10" t="s">
        <v>63</v>
      </c>
      <c r="C433" s="4">
        <v>14.38</v>
      </c>
      <c r="D433" s="5">
        <v>161.1</v>
      </c>
      <c r="E433" s="4"/>
      <c r="F433" s="4"/>
      <c r="G433" s="2">
        <f t="shared" si="36"/>
        <v>14.346</v>
      </c>
      <c r="H433" s="11" t="str">
        <f t="shared" si="37"/>
        <v>3.543E-2</v>
      </c>
      <c r="I433" s="2">
        <f t="shared" si="38"/>
        <v>161.7</v>
      </c>
      <c r="J433" s="4">
        <f t="shared" si="39"/>
        <v>14.346</v>
      </c>
      <c r="K433" s="9">
        <f t="shared" si="40"/>
        <v>20.7</v>
      </c>
      <c r="L433" s="1">
        <f t="shared" si="41"/>
        <v>-0.399999999999984</v>
      </c>
    </row>
    <row r="434" s="1" customFormat="1" spans="1:12">
      <c r="A434" s="2">
        <v>14.413</v>
      </c>
      <c r="B434" s="10" t="s">
        <v>63</v>
      </c>
      <c r="C434" s="4">
        <v>14.413</v>
      </c>
      <c r="D434" s="5">
        <v>160</v>
      </c>
      <c r="E434" s="4"/>
      <c r="F434" s="4"/>
      <c r="G434" s="2">
        <f t="shared" si="36"/>
        <v>14.38</v>
      </c>
      <c r="H434" s="11" t="str">
        <f t="shared" si="37"/>
        <v>3.542E-2</v>
      </c>
      <c r="I434" s="2">
        <f t="shared" si="38"/>
        <v>161.1</v>
      </c>
      <c r="J434" s="4">
        <f t="shared" si="39"/>
        <v>14.38</v>
      </c>
      <c r="K434" s="9">
        <f t="shared" si="40"/>
        <v>20.6</v>
      </c>
      <c r="L434" s="1">
        <f t="shared" si="41"/>
        <v>-0.399999999999984</v>
      </c>
    </row>
    <row r="435" s="1" customFormat="1" spans="1:12">
      <c r="A435" s="2">
        <v>14.447</v>
      </c>
      <c r="B435" s="10" t="s">
        <v>63</v>
      </c>
      <c r="C435" s="4">
        <v>14.447</v>
      </c>
      <c r="D435" s="5">
        <v>158.8</v>
      </c>
      <c r="E435" s="4"/>
      <c r="F435" s="4"/>
      <c r="G435" s="2">
        <f t="shared" si="36"/>
        <v>14.413</v>
      </c>
      <c r="H435" s="11" t="str">
        <f t="shared" si="37"/>
        <v>3.542E-2</v>
      </c>
      <c r="I435" s="2">
        <f t="shared" si="38"/>
        <v>160</v>
      </c>
      <c r="J435" s="4">
        <f t="shared" si="39"/>
        <v>14.413</v>
      </c>
      <c r="K435" s="9">
        <f t="shared" si="40"/>
        <v>20.6</v>
      </c>
      <c r="L435" s="1">
        <f t="shared" si="41"/>
        <v>-0.399999999999984</v>
      </c>
    </row>
    <row r="436" s="1" customFormat="1" spans="1:12">
      <c r="A436" s="2">
        <v>14.48</v>
      </c>
      <c r="B436" s="10" t="s">
        <v>63</v>
      </c>
      <c r="C436" s="4">
        <v>14.48</v>
      </c>
      <c r="D436" s="5">
        <v>157.8</v>
      </c>
      <c r="E436" s="4"/>
      <c r="F436" s="4"/>
      <c r="G436" s="2">
        <f t="shared" si="36"/>
        <v>14.447</v>
      </c>
      <c r="H436" s="11" t="str">
        <f t="shared" si="37"/>
        <v>3.542E-2</v>
      </c>
      <c r="I436" s="2">
        <f t="shared" si="38"/>
        <v>158.8</v>
      </c>
      <c r="J436" s="4">
        <f t="shared" si="39"/>
        <v>14.447</v>
      </c>
      <c r="K436" s="9">
        <f t="shared" si="40"/>
        <v>20.6</v>
      </c>
      <c r="L436" s="1">
        <f t="shared" si="41"/>
        <v>-0.399999999999984</v>
      </c>
    </row>
    <row r="437" s="1" customFormat="1" spans="1:12">
      <c r="A437" s="2">
        <v>14.514</v>
      </c>
      <c r="B437" s="10" t="s">
        <v>207</v>
      </c>
      <c r="C437" s="4">
        <v>14.514</v>
      </c>
      <c r="D437" s="5">
        <v>157.4</v>
      </c>
      <c r="E437" s="4"/>
      <c r="F437" s="4"/>
      <c r="G437" s="2">
        <f t="shared" si="36"/>
        <v>14.48</v>
      </c>
      <c r="H437" s="11" t="str">
        <f t="shared" si="37"/>
        <v>3.542E-2</v>
      </c>
      <c r="I437" s="2">
        <f t="shared" si="38"/>
        <v>157.8</v>
      </c>
      <c r="J437" s="4">
        <f t="shared" si="39"/>
        <v>14.48</v>
      </c>
      <c r="K437" s="9">
        <f t="shared" si="40"/>
        <v>20.6</v>
      </c>
      <c r="L437" s="1">
        <f t="shared" si="41"/>
        <v>-0.399999999999984</v>
      </c>
    </row>
    <row r="438" s="1" customFormat="1" spans="1:12">
      <c r="A438" s="2">
        <v>14.547</v>
      </c>
      <c r="B438" s="10" t="s">
        <v>207</v>
      </c>
      <c r="C438" s="4">
        <v>14.547</v>
      </c>
      <c r="D438" s="5">
        <v>156.4</v>
      </c>
      <c r="E438" s="4"/>
      <c r="F438" s="4"/>
      <c r="G438" s="2">
        <f t="shared" si="36"/>
        <v>14.514</v>
      </c>
      <c r="H438" s="11" t="str">
        <f t="shared" si="37"/>
        <v>3.541E-2</v>
      </c>
      <c r="I438" s="2">
        <f t="shared" si="38"/>
        <v>157.4</v>
      </c>
      <c r="J438" s="4">
        <f t="shared" si="39"/>
        <v>14.514</v>
      </c>
      <c r="K438" s="9">
        <f t="shared" si="40"/>
        <v>20.5</v>
      </c>
      <c r="L438" s="1">
        <f t="shared" si="41"/>
        <v>-0.399999999999984</v>
      </c>
    </row>
    <row r="439" s="1" customFormat="1" spans="1:12">
      <c r="A439" s="2">
        <v>14.58</v>
      </c>
      <c r="B439" s="10" t="s">
        <v>185</v>
      </c>
      <c r="C439" s="4">
        <v>14.58</v>
      </c>
      <c r="D439" s="5">
        <v>154.9</v>
      </c>
      <c r="E439" s="4"/>
      <c r="F439" s="4"/>
      <c r="G439" s="2">
        <f t="shared" si="36"/>
        <v>14.547</v>
      </c>
      <c r="H439" s="11" t="str">
        <f t="shared" si="37"/>
        <v>3.541E-2</v>
      </c>
      <c r="I439" s="2">
        <f t="shared" si="38"/>
        <v>156.4</v>
      </c>
      <c r="J439" s="4">
        <f t="shared" si="39"/>
        <v>14.547</v>
      </c>
      <c r="K439" s="9">
        <f t="shared" si="40"/>
        <v>20.5</v>
      </c>
      <c r="L439" s="1">
        <f t="shared" si="41"/>
        <v>-0.399999999999984</v>
      </c>
    </row>
    <row r="440" s="1" customFormat="1" spans="1:12">
      <c r="A440" s="2">
        <v>14.614</v>
      </c>
      <c r="B440" s="10" t="s">
        <v>63</v>
      </c>
      <c r="C440" s="4">
        <v>14.614</v>
      </c>
      <c r="D440" s="5">
        <v>154.4</v>
      </c>
      <c r="E440" s="4"/>
      <c r="F440" s="4"/>
      <c r="G440" s="2">
        <f t="shared" si="36"/>
        <v>14.58</v>
      </c>
      <c r="H440" s="11" t="str">
        <f t="shared" si="37"/>
        <v>3.543E-2</v>
      </c>
      <c r="I440" s="2">
        <f t="shared" si="38"/>
        <v>154.9</v>
      </c>
      <c r="J440" s="4">
        <f t="shared" si="39"/>
        <v>14.58</v>
      </c>
      <c r="K440" s="9">
        <f t="shared" si="40"/>
        <v>20.7</v>
      </c>
      <c r="L440" s="1">
        <f t="shared" si="41"/>
        <v>-0.399999999999984</v>
      </c>
    </row>
    <row r="441" s="1" customFormat="1" spans="1:12">
      <c r="A441" s="2">
        <v>14.647</v>
      </c>
      <c r="B441" s="10" t="s">
        <v>63</v>
      </c>
      <c r="C441" s="4">
        <v>14.647</v>
      </c>
      <c r="D441" s="5">
        <v>152.5</v>
      </c>
      <c r="E441" s="4"/>
      <c r="F441" s="4"/>
      <c r="G441" s="2">
        <f t="shared" si="36"/>
        <v>14.614</v>
      </c>
      <c r="H441" s="11" t="str">
        <f t="shared" si="37"/>
        <v>3.542E-2</v>
      </c>
      <c r="I441" s="2">
        <f t="shared" si="38"/>
        <v>154.4</v>
      </c>
      <c r="J441" s="4">
        <f t="shared" si="39"/>
        <v>14.614</v>
      </c>
      <c r="K441" s="9">
        <f t="shared" si="40"/>
        <v>20.6</v>
      </c>
      <c r="L441" s="1">
        <f t="shared" si="41"/>
        <v>-0.399999999999984</v>
      </c>
    </row>
    <row r="442" s="1" customFormat="1" spans="1:12">
      <c r="A442" s="2">
        <v>14.681</v>
      </c>
      <c r="B442" s="10" t="s">
        <v>185</v>
      </c>
      <c r="C442" s="4">
        <v>14.681</v>
      </c>
      <c r="D442" s="5">
        <v>151.5</v>
      </c>
      <c r="E442" s="4"/>
      <c r="F442" s="4"/>
      <c r="G442" s="2">
        <f t="shared" si="36"/>
        <v>14.647</v>
      </c>
      <c r="H442" s="11" t="str">
        <f t="shared" si="37"/>
        <v>3.542E-2</v>
      </c>
      <c r="I442" s="2">
        <f t="shared" si="38"/>
        <v>152.5</v>
      </c>
      <c r="J442" s="4">
        <f t="shared" si="39"/>
        <v>14.647</v>
      </c>
      <c r="K442" s="9">
        <f t="shared" si="40"/>
        <v>20.6</v>
      </c>
      <c r="L442" s="1">
        <f t="shared" si="41"/>
        <v>-0.399999999999984</v>
      </c>
    </row>
    <row r="443" s="1" customFormat="1" spans="1:12">
      <c r="A443" s="2">
        <v>14.714</v>
      </c>
      <c r="B443" s="10" t="s">
        <v>185</v>
      </c>
      <c r="C443" s="4">
        <v>14.714</v>
      </c>
      <c r="D443" s="5">
        <v>151.7</v>
      </c>
      <c r="E443" s="4"/>
      <c r="F443" s="4"/>
      <c r="G443" s="2">
        <f t="shared" si="36"/>
        <v>14.681</v>
      </c>
      <c r="H443" s="11" t="str">
        <f t="shared" si="37"/>
        <v>3.543E-2</v>
      </c>
      <c r="I443" s="2">
        <f t="shared" si="38"/>
        <v>151.5</v>
      </c>
      <c r="J443" s="4">
        <f t="shared" si="39"/>
        <v>14.681</v>
      </c>
      <c r="K443" s="9">
        <f t="shared" si="40"/>
        <v>20.7</v>
      </c>
      <c r="L443" s="1">
        <f t="shared" si="41"/>
        <v>-0.399999999999984</v>
      </c>
    </row>
    <row r="444" s="1" customFormat="1" spans="1:12">
      <c r="A444" s="2">
        <v>14.748</v>
      </c>
      <c r="B444" s="10" t="s">
        <v>185</v>
      </c>
      <c r="C444" s="4">
        <v>14.748</v>
      </c>
      <c r="D444" s="5">
        <v>150.8</v>
      </c>
      <c r="E444" s="4"/>
      <c r="F444" s="4"/>
      <c r="G444" s="2">
        <f t="shared" si="36"/>
        <v>14.714</v>
      </c>
      <c r="H444" s="11" t="str">
        <f t="shared" si="37"/>
        <v>3.543E-2</v>
      </c>
      <c r="I444" s="2">
        <f t="shared" si="38"/>
        <v>151.7</v>
      </c>
      <c r="J444" s="4">
        <f t="shared" si="39"/>
        <v>14.714</v>
      </c>
      <c r="K444" s="9">
        <f t="shared" si="40"/>
        <v>20.7</v>
      </c>
      <c r="L444" s="1">
        <f t="shared" si="41"/>
        <v>-0.399999999999984</v>
      </c>
    </row>
    <row r="445" s="1" customFormat="1" spans="1:12">
      <c r="A445" s="2">
        <v>14.781</v>
      </c>
      <c r="B445" s="10" t="s">
        <v>214</v>
      </c>
      <c r="C445" s="4">
        <v>14.781</v>
      </c>
      <c r="D445" s="5">
        <v>149.7</v>
      </c>
      <c r="E445" s="4"/>
      <c r="F445" s="4"/>
      <c r="G445" s="2">
        <f t="shared" si="36"/>
        <v>14.748</v>
      </c>
      <c r="H445" s="11" t="str">
        <f t="shared" si="37"/>
        <v>3.543E-2</v>
      </c>
      <c r="I445" s="2">
        <f t="shared" si="38"/>
        <v>150.8</v>
      </c>
      <c r="J445" s="4">
        <f t="shared" si="39"/>
        <v>14.748</v>
      </c>
      <c r="K445" s="9">
        <f t="shared" si="40"/>
        <v>20.7</v>
      </c>
      <c r="L445" s="1">
        <f t="shared" si="41"/>
        <v>-0.399999999999984</v>
      </c>
    </row>
    <row r="446" s="1" customFormat="1" spans="1:12">
      <c r="A446" s="2">
        <v>14.815</v>
      </c>
      <c r="B446" s="10" t="s">
        <v>185</v>
      </c>
      <c r="C446" s="4">
        <v>14.815</v>
      </c>
      <c r="D446" s="5">
        <v>148.3</v>
      </c>
      <c r="E446" s="4"/>
      <c r="F446" s="4"/>
      <c r="G446" s="2">
        <f t="shared" si="36"/>
        <v>14.781</v>
      </c>
      <c r="H446" s="11" t="str">
        <f t="shared" si="37"/>
        <v>3.544E-2</v>
      </c>
      <c r="I446" s="2">
        <f t="shared" si="38"/>
        <v>149.7</v>
      </c>
      <c r="J446" s="4">
        <f t="shared" si="39"/>
        <v>14.781</v>
      </c>
      <c r="K446" s="9">
        <f t="shared" si="40"/>
        <v>20.8</v>
      </c>
      <c r="L446" s="1">
        <f t="shared" si="41"/>
        <v>-0.399999999999984</v>
      </c>
    </row>
    <row r="447" s="1" customFormat="1" spans="1:12">
      <c r="A447" s="2">
        <v>14.848</v>
      </c>
      <c r="B447" s="10" t="s">
        <v>214</v>
      </c>
      <c r="C447" s="4">
        <v>14.848</v>
      </c>
      <c r="D447" s="5">
        <v>146.8</v>
      </c>
      <c r="E447" s="4"/>
      <c r="F447" s="4"/>
      <c r="G447" s="2">
        <f t="shared" si="36"/>
        <v>14.815</v>
      </c>
      <c r="H447" s="11" t="str">
        <f t="shared" si="37"/>
        <v>3.543E-2</v>
      </c>
      <c r="I447" s="2">
        <f t="shared" si="38"/>
        <v>148.3</v>
      </c>
      <c r="J447" s="4">
        <f t="shared" si="39"/>
        <v>14.815</v>
      </c>
      <c r="K447" s="9">
        <f t="shared" si="40"/>
        <v>20.7</v>
      </c>
      <c r="L447" s="1">
        <f t="shared" si="41"/>
        <v>-0.399999999999984</v>
      </c>
    </row>
    <row r="448" s="1" customFormat="1" spans="1:12">
      <c r="A448" s="2">
        <v>14.881</v>
      </c>
      <c r="B448" s="10" t="s">
        <v>185</v>
      </c>
      <c r="C448" s="4">
        <v>14.881</v>
      </c>
      <c r="D448" s="5">
        <v>145.6</v>
      </c>
      <c r="E448" s="4"/>
      <c r="F448" s="4"/>
      <c r="G448" s="2">
        <f t="shared" si="36"/>
        <v>14.848</v>
      </c>
      <c r="H448" s="11" t="str">
        <f t="shared" si="37"/>
        <v>3.544E-2</v>
      </c>
      <c r="I448" s="2">
        <f t="shared" si="38"/>
        <v>146.8</v>
      </c>
      <c r="J448" s="4">
        <f t="shared" si="39"/>
        <v>14.848</v>
      </c>
      <c r="K448" s="9">
        <f t="shared" si="40"/>
        <v>20.8</v>
      </c>
      <c r="L448" s="1">
        <f t="shared" si="41"/>
        <v>-0.399999999999984</v>
      </c>
    </row>
    <row r="449" s="1" customFormat="1" spans="1:12">
      <c r="A449" s="2">
        <v>14.915</v>
      </c>
      <c r="B449" s="10" t="s">
        <v>214</v>
      </c>
      <c r="C449" s="4">
        <v>14.915</v>
      </c>
      <c r="D449" s="5">
        <v>145.7</v>
      </c>
      <c r="E449" s="4"/>
      <c r="F449" s="4"/>
      <c r="G449" s="2">
        <f t="shared" si="36"/>
        <v>14.881</v>
      </c>
      <c r="H449" s="11" t="str">
        <f t="shared" si="37"/>
        <v>3.543E-2</v>
      </c>
      <c r="I449" s="2">
        <f t="shared" si="38"/>
        <v>145.6</v>
      </c>
      <c r="J449" s="4">
        <f t="shared" si="39"/>
        <v>14.881</v>
      </c>
      <c r="K449" s="9">
        <f t="shared" si="40"/>
        <v>20.7</v>
      </c>
      <c r="L449" s="1">
        <f t="shared" si="41"/>
        <v>-0.399999999999984</v>
      </c>
    </row>
    <row r="450" s="1" customFormat="1" spans="1:12">
      <c r="A450" s="2">
        <v>14.948</v>
      </c>
      <c r="B450" s="10" t="s">
        <v>175</v>
      </c>
      <c r="C450" s="4">
        <v>14.948</v>
      </c>
      <c r="D450" s="5">
        <v>144.5</v>
      </c>
      <c r="E450" s="4"/>
      <c r="F450" s="4"/>
      <c r="G450" s="2">
        <f t="shared" si="36"/>
        <v>14.915</v>
      </c>
      <c r="H450" s="11" t="str">
        <f t="shared" si="37"/>
        <v>3.544E-2</v>
      </c>
      <c r="I450" s="2">
        <f t="shared" si="38"/>
        <v>145.7</v>
      </c>
      <c r="J450" s="4">
        <f t="shared" si="39"/>
        <v>14.915</v>
      </c>
      <c r="K450" s="9">
        <f t="shared" si="40"/>
        <v>20.8</v>
      </c>
      <c r="L450" s="1">
        <f t="shared" si="41"/>
        <v>-0.399999999999984</v>
      </c>
    </row>
    <row r="451" s="1" customFormat="1" spans="1:12">
      <c r="A451" s="2">
        <v>14.982</v>
      </c>
      <c r="B451" s="10" t="s">
        <v>175</v>
      </c>
      <c r="C451" s="4">
        <v>14.982</v>
      </c>
      <c r="D451" s="5">
        <v>142.9</v>
      </c>
      <c r="E451" s="4"/>
      <c r="F451" s="4"/>
      <c r="G451" s="2">
        <f t="shared" si="36"/>
        <v>14.948</v>
      </c>
      <c r="H451" s="11" t="str">
        <f t="shared" si="37"/>
        <v>3.545E-2</v>
      </c>
      <c r="I451" s="2">
        <f t="shared" si="38"/>
        <v>144.5</v>
      </c>
      <c r="J451" s="4">
        <f t="shared" si="39"/>
        <v>14.948</v>
      </c>
      <c r="K451" s="9">
        <f t="shared" si="40"/>
        <v>20.9</v>
      </c>
      <c r="L451" s="1">
        <f t="shared" si="41"/>
        <v>-0.399999999999984</v>
      </c>
    </row>
    <row r="452" s="1" customFormat="1" spans="1:12">
      <c r="A452" s="2">
        <v>15.015</v>
      </c>
      <c r="B452" s="10" t="s">
        <v>299</v>
      </c>
      <c r="C452" s="4">
        <v>15.015</v>
      </c>
      <c r="D452" s="5">
        <v>141.4</v>
      </c>
      <c r="E452" s="4"/>
      <c r="F452" s="4"/>
      <c r="G452" s="2">
        <f t="shared" ref="G452:G515" si="42">A451</f>
        <v>14.982</v>
      </c>
      <c r="H452" s="11" t="str">
        <f t="shared" ref="H452:H515" si="43">B451</f>
        <v>3.545E-2</v>
      </c>
      <c r="I452" s="2">
        <f t="shared" ref="I452:I515" si="44">D451</f>
        <v>142.9</v>
      </c>
      <c r="J452" s="4">
        <f t="shared" ref="J452:J515" si="45">G452</f>
        <v>14.982</v>
      </c>
      <c r="K452" s="9">
        <f t="shared" ref="K452:K515" si="46">(H452-$H$4)*10000</f>
        <v>20.9</v>
      </c>
      <c r="L452" s="1">
        <f t="shared" si="41"/>
        <v>-0.399999999999984</v>
      </c>
    </row>
    <row r="453" s="1" customFormat="1" spans="1:12">
      <c r="A453" s="2">
        <v>15.049</v>
      </c>
      <c r="B453" s="10" t="s">
        <v>299</v>
      </c>
      <c r="C453" s="4">
        <v>15.049</v>
      </c>
      <c r="D453" s="5">
        <v>253.7</v>
      </c>
      <c r="E453" s="4"/>
      <c r="F453" s="4"/>
      <c r="G453" s="2">
        <f t="shared" si="42"/>
        <v>15.015</v>
      </c>
      <c r="H453" s="11" t="str">
        <f t="shared" si="43"/>
        <v>3.546E-2</v>
      </c>
      <c r="I453" s="2">
        <f t="shared" si="44"/>
        <v>141.4</v>
      </c>
      <c r="J453" s="4">
        <f t="shared" si="45"/>
        <v>15.015</v>
      </c>
      <c r="K453" s="9">
        <f t="shared" si="46"/>
        <v>21</v>
      </c>
      <c r="L453" s="1">
        <f t="shared" ref="L453:L516" si="47">IF(I453&lt;230,$V$4,$V$5)</f>
        <v>-0.399999999999984</v>
      </c>
    </row>
    <row r="454" s="1" customFormat="1" spans="1:12">
      <c r="A454" s="2">
        <v>15.082</v>
      </c>
      <c r="B454" s="10" t="s">
        <v>299</v>
      </c>
      <c r="C454" s="4">
        <v>15.082</v>
      </c>
      <c r="D454" s="5">
        <v>253.7</v>
      </c>
      <c r="E454" s="4"/>
      <c r="F454" s="4"/>
      <c r="G454" s="2">
        <f t="shared" si="42"/>
        <v>15.049</v>
      </c>
      <c r="H454" s="11" t="str">
        <f t="shared" si="43"/>
        <v>3.546E-2</v>
      </c>
      <c r="I454" s="2">
        <f t="shared" si="44"/>
        <v>253.7</v>
      </c>
      <c r="J454" s="4">
        <f t="shared" si="45"/>
        <v>15.049</v>
      </c>
      <c r="K454" s="9">
        <f t="shared" si="46"/>
        <v>21</v>
      </c>
      <c r="L454" s="1">
        <f t="shared" si="47"/>
        <v>30.5</v>
      </c>
    </row>
    <row r="455" s="1" customFormat="1" spans="1:12">
      <c r="A455" s="2">
        <v>15.115</v>
      </c>
      <c r="B455" s="10" t="s">
        <v>299</v>
      </c>
      <c r="C455" s="4">
        <v>15.115</v>
      </c>
      <c r="D455" s="5">
        <v>253.7</v>
      </c>
      <c r="E455" s="4"/>
      <c r="F455" s="4"/>
      <c r="G455" s="2">
        <f t="shared" si="42"/>
        <v>15.082</v>
      </c>
      <c r="H455" s="11" t="str">
        <f t="shared" si="43"/>
        <v>3.546E-2</v>
      </c>
      <c r="I455" s="2">
        <f t="shared" si="44"/>
        <v>253.7</v>
      </c>
      <c r="J455" s="4">
        <f t="shared" si="45"/>
        <v>15.082</v>
      </c>
      <c r="K455" s="9">
        <f t="shared" si="46"/>
        <v>21</v>
      </c>
      <c r="L455" s="1">
        <f t="shared" si="47"/>
        <v>30.5</v>
      </c>
    </row>
    <row r="456" s="1" customFormat="1" spans="1:12">
      <c r="A456" s="2">
        <v>15.149</v>
      </c>
      <c r="B456" s="10" t="s">
        <v>299</v>
      </c>
      <c r="C456" s="4">
        <v>15.149</v>
      </c>
      <c r="D456" s="5">
        <v>253.7</v>
      </c>
      <c r="E456" s="4"/>
      <c r="F456" s="4"/>
      <c r="G456" s="2">
        <f t="shared" si="42"/>
        <v>15.115</v>
      </c>
      <c r="H456" s="11" t="str">
        <f t="shared" si="43"/>
        <v>3.546E-2</v>
      </c>
      <c r="I456" s="2">
        <f t="shared" si="44"/>
        <v>253.7</v>
      </c>
      <c r="J456" s="4">
        <f t="shared" si="45"/>
        <v>15.115</v>
      </c>
      <c r="K456" s="9">
        <f t="shared" si="46"/>
        <v>21</v>
      </c>
      <c r="L456" s="1">
        <f t="shared" si="47"/>
        <v>30.5</v>
      </c>
    </row>
    <row r="457" s="1" customFormat="1" spans="1:12">
      <c r="A457" s="2">
        <v>15.182</v>
      </c>
      <c r="B457" s="10" t="s">
        <v>299</v>
      </c>
      <c r="C457" s="4">
        <v>15.182</v>
      </c>
      <c r="D457" s="5">
        <v>253.7</v>
      </c>
      <c r="E457" s="4"/>
      <c r="F457" s="4"/>
      <c r="G457" s="2">
        <f t="shared" si="42"/>
        <v>15.149</v>
      </c>
      <c r="H457" s="11" t="str">
        <f t="shared" si="43"/>
        <v>3.546E-2</v>
      </c>
      <c r="I457" s="2">
        <f t="shared" si="44"/>
        <v>253.7</v>
      </c>
      <c r="J457" s="4">
        <f t="shared" si="45"/>
        <v>15.149</v>
      </c>
      <c r="K457" s="9">
        <f t="shared" si="46"/>
        <v>21</v>
      </c>
      <c r="L457" s="1">
        <f t="shared" si="47"/>
        <v>30.5</v>
      </c>
    </row>
    <row r="458" s="1" customFormat="1" spans="1:12">
      <c r="A458" s="2">
        <v>15.216</v>
      </c>
      <c r="B458" s="10" t="s">
        <v>299</v>
      </c>
      <c r="C458" s="4">
        <v>15.216</v>
      </c>
      <c r="D458" s="5">
        <v>253.7</v>
      </c>
      <c r="E458" s="4"/>
      <c r="F458" s="4"/>
      <c r="G458" s="2">
        <f t="shared" si="42"/>
        <v>15.182</v>
      </c>
      <c r="H458" s="11" t="str">
        <f t="shared" si="43"/>
        <v>3.546E-2</v>
      </c>
      <c r="I458" s="2">
        <f t="shared" si="44"/>
        <v>253.7</v>
      </c>
      <c r="J458" s="4">
        <f t="shared" si="45"/>
        <v>15.182</v>
      </c>
      <c r="K458" s="9">
        <f t="shared" si="46"/>
        <v>21</v>
      </c>
      <c r="L458" s="1">
        <f t="shared" si="47"/>
        <v>30.5</v>
      </c>
    </row>
    <row r="459" s="1" customFormat="1" spans="1:12">
      <c r="A459" s="2">
        <v>15.249</v>
      </c>
      <c r="B459" s="10" t="s">
        <v>299</v>
      </c>
      <c r="C459" s="4">
        <v>15.249</v>
      </c>
      <c r="D459" s="5">
        <v>253.7</v>
      </c>
      <c r="E459" s="4"/>
      <c r="F459" s="4"/>
      <c r="G459" s="2">
        <f t="shared" si="42"/>
        <v>15.216</v>
      </c>
      <c r="H459" s="11" t="str">
        <f t="shared" si="43"/>
        <v>3.546E-2</v>
      </c>
      <c r="I459" s="2">
        <f t="shared" si="44"/>
        <v>253.7</v>
      </c>
      <c r="J459" s="4">
        <f t="shared" si="45"/>
        <v>15.216</v>
      </c>
      <c r="K459" s="9">
        <f t="shared" si="46"/>
        <v>21</v>
      </c>
      <c r="L459" s="1">
        <f t="shared" si="47"/>
        <v>30.5</v>
      </c>
    </row>
    <row r="460" s="1" customFormat="1" spans="1:12">
      <c r="A460" s="2">
        <v>15.283</v>
      </c>
      <c r="B460" s="10" t="s">
        <v>214</v>
      </c>
      <c r="C460" s="4">
        <v>15.283</v>
      </c>
      <c r="D460" s="5">
        <v>253.7</v>
      </c>
      <c r="E460" s="4"/>
      <c r="F460" s="4"/>
      <c r="G460" s="2">
        <f t="shared" si="42"/>
        <v>15.249</v>
      </c>
      <c r="H460" s="11" t="str">
        <f t="shared" si="43"/>
        <v>3.546E-2</v>
      </c>
      <c r="I460" s="2">
        <f t="shared" si="44"/>
        <v>253.7</v>
      </c>
      <c r="J460" s="4">
        <f t="shared" si="45"/>
        <v>15.249</v>
      </c>
      <c r="K460" s="9">
        <f t="shared" si="46"/>
        <v>21</v>
      </c>
      <c r="L460" s="1">
        <f t="shared" si="47"/>
        <v>30.5</v>
      </c>
    </row>
    <row r="461" s="1" customFormat="1" spans="1:12">
      <c r="A461" s="2">
        <v>15.316</v>
      </c>
      <c r="B461" s="10" t="s">
        <v>214</v>
      </c>
      <c r="C461" s="4">
        <v>15.316</v>
      </c>
      <c r="D461" s="5">
        <v>253.7</v>
      </c>
      <c r="E461" s="4"/>
      <c r="F461" s="4"/>
      <c r="G461" s="2">
        <f t="shared" si="42"/>
        <v>15.283</v>
      </c>
      <c r="H461" s="11" t="str">
        <f t="shared" si="43"/>
        <v>3.544E-2</v>
      </c>
      <c r="I461" s="2">
        <f t="shared" si="44"/>
        <v>253.7</v>
      </c>
      <c r="J461" s="4">
        <f t="shared" si="45"/>
        <v>15.283</v>
      </c>
      <c r="K461" s="9">
        <f t="shared" si="46"/>
        <v>20.8</v>
      </c>
      <c r="L461" s="1">
        <f t="shared" si="47"/>
        <v>30.5</v>
      </c>
    </row>
    <row r="462" s="1" customFormat="1" spans="1:12">
      <c r="A462" s="2">
        <v>15.35</v>
      </c>
      <c r="B462" s="10" t="s">
        <v>214</v>
      </c>
      <c r="C462" s="4">
        <v>15.35</v>
      </c>
      <c r="D462" s="5">
        <v>253.7</v>
      </c>
      <c r="E462" s="4"/>
      <c r="F462" s="4"/>
      <c r="G462" s="2">
        <f t="shared" si="42"/>
        <v>15.316</v>
      </c>
      <c r="H462" s="11" t="str">
        <f t="shared" si="43"/>
        <v>3.544E-2</v>
      </c>
      <c r="I462" s="2">
        <f t="shared" si="44"/>
        <v>253.7</v>
      </c>
      <c r="J462" s="4">
        <f t="shared" si="45"/>
        <v>15.316</v>
      </c>
      <c r="K462" s="9">
        <f t="shared" si="46"/>
        <v>20.8</v>
      </c>
      <c r="L462" s="1">
        <f t="shared" si="47"/>
        <v>30.5</v>
      </c>
    </row>
    <row r="463" s="1" customFormat="1" spans="1:12">
      <c r="A463" s="2">
        <v>15.383</v>
      </c>
      <c r="B463" s="10" t="s">
        <v>214</v>
      </c>
      <c r="C463" s="4">
        <v>15.383</v>
      </c>
      <c r="D463" s="5">
        <v>253.7</v>
      </c>
      <c r="E463" s="4"/>
      <c r="F463" s="4"/>
      <c r="G463" s="2">
        <f t="shared" si="42"/>
        <v>15.35</v>
      </c>
      <c r="H463" s="11" t="str">
        <f t="shared" si="43"/>
        <v>3.544E-2</v>
      </c>
      <c r="I463" s="2">
        <f t="shared" si="44"/>
        <v>253.7</v>
      </c>
      <c r="J463" s="4">
        <f t="shared" si="45"/>
        <v>15.35</v>
      </c>
      <c r="K463" s="9">
        <f t="shared" si="46"/>
        <v>20.8</v>
      </c>
      <c r="L463" s="1">
        <f t="shared" si="47"/>
        <v>30.5</v>
      </c>
    </row>
    <row r="464" s="1" customFormat="1" spans="1:12">
      <c r="A464" s="2">
        <v>15.416</v>
      </c>
      <c r="B464" s="10" t="s">
        <v>185</v>
      </c>
      <c r="C464" s="4">
        <v>15.416</v>
      </c>
      <c r="D464" s="5">
        <v>253.7</v>
      </c>
      <c r="E464" s="4"/>
      <c r="F464" s="4"/>
      <c r="G464" s="2">
        <f t="shared" si="42"/>
        <v>15.383</v>
      </c>
      <c r="H464" s="11" t="str">
        <f t="shared" si="43"/>
        <v>3.544E-2</v>
      </c>
      <c r="I464" s="2">
        <f t="shared" si="44"/>
        <v>253.7</v>
      </c>
      <c r="J464" s="4">
        <f t="shared" si="45"/>
        <v>15.383</v>
      </c>
      <c r="K464" s="9">
        <f t="shared" si="46"/>
        <v>20.8</v>
      </c>
      <c r="L464" s="1">
        <f t="shared" si="47"/>
        <v>30.5</v>
      </c>
    </row>
    <row r="465" s="1" customFormat="1" spans="1:12">
      <c r="A465" s="2">
        <v>15.45</v>
      </c>
      <c r="B465" s="10" t="s">
        <v>63</v>
      </c>
      <c r="C465" s="4">
        <v>15.45</v>
      </c>
      <c r="D465" s="5">
        <v>253.7</v>
      </c>
      <c r="E465" s="4"/>
      <c r="F465" s="4"/>
      <c r="G465" s="2">
        <f t="shared" si="42"/>
        <v>15.416</v>
      </c>
      <c r="H465" s="11" t="str">
        <f t="shared" si="43"/>
        <v>3.543E-2</v>
      </c>
      <c r="I465" s="2">
        <f t="shared" si="44"/>
        <v>253.7</v>
      </c>
      <c r="J465" s="4">
        <f t="shared" si="45"/>
        <v>15.416</v>
      </c>
      <c r="K465" s="9">
        <f t="shared" si="46"/>
        <v>20.7</v>
      </c>
      <c r="L465" s="1">
        <f t="shared" si="47"/>
        <v>30.5</v>
      </c>
    </row>
    <row r="466" s="1" customFormat="1" spans="1:12">
      <c r="A466" s="2">
        <v>15.483</v>
      </c>
      <c r="B466" s="10" t="s">
        <v>185</v>
      </c>
      <c r="C466" s="4">
        <v>15.483</v>
      </c>
      <c r="D466" s="5">
        <v>253.8</v>
      </c>
      <c r="E466" s="4"/>
      <c r="F466" s="4"/>
      <c r="G466" s="2">
        <f t="shared" si="42"/>
        <v>15.45</v>
      </c>
      <c r="H466" s="11" t="str">
        <f t="shared" si="43"/>
        <v>3.542E-2</v>
      </c>
      <c r="I466" s="2">
        <f t="shared" si="44"/>
        <v>253.7</v>
      </c>
      <c r="J466" s="4">
        <f t="shared" si="45"/>
        <v>15.45</v>
      </c>
      <c r="K466" s="9">
        <f t="shared" si="46"/>
        <v>20.6</v>
      </c>
      <c r="L466" s="1">
        <f t="shared" si="47"/>
        <v>30.5</v>
      </c>
    </row>
    <row r="467" s="1" customFormat="1" spans="1:12">
      <c r="A467" s="2">
        <v>15.517</v>
      </c>
      <c r="B467" s="10" t="s">
        <v>185</v>
      </c>
      <c r="C467" s="4">
        <v>15.517</v>
      </c>
      <c r="D467" s="5">
        <v>253.8</v>
      </c>
      <c r="E467" s="4"/>
      <c r="F467" s="4"/>
      <c r="G467" s="2">
        <f t="shared" si="42"/>
        <v>15.483</v>
      </c>
      <c r="H467" s="11" t="str">
        <f t="shared" si="43"/>
        <v>3.543E-2</v>
      </c>
      <c r="I467" s="2">
        <f t="shared" si="44"/>
        <v>253.8</v>
      </c>
      <c r="J467" s="4">
        <f t="shared" si="45"/>
        <v>15.483</v>
      </c>
      <c r="K467" s="9">
        <f t="shared" si="46"/>
        <v>20.7</v>
      </c>
      <c r="L467" s="1">
        <f t="shared" si="47"/>
        <v>30.5</v>
      </c>
    </row>
    <row r="468" s="1" customFormat="1" spans="1:12">
      <c r="A468" s="2">
        <v>15.55</v>
      </c>
      <c r="B468" s="10" t="s">
        <v>185</v>
      </c>
      <c r="C468" s="4">
        <v>15.55</v>
      </c>
      <c r="D468" s="5">
        <v>253.8</v>
      </c>
      <c r="E468" s="4"/>
      <c r="F468" s="4"/>
      <c r="G468" s="2">
        <f t="shared" si="42"/>
        <v>15.517</v>
      </c>
      <c r="H468" s="11" t="str">
        <f t="shared" si="43"/>
        <v>3.543E-2</v>
      </c>
      <c r="I468" s="2">
        <f t="shared" si="44"/>
        <v>253.8</v>
      </c>
      <c r="J468" s="4">
        <f t="shared" si="45"/>
        <v>15.517</v>
      </c>
      <c r="K468" s="9">
        <f t="shared" si="46"/>
        <v>20.7</v>
      </c>
      <c r="L468" s="1">
        <f t="shared" si="47"/>
        <v>30.5</v>
      </c>
    </row>
    <row r="469" s="1" customFormat="1" spans="1:12">
      <c r="A469" s="2">
        <v>15.584</v>
      </c>
      <c r="B469" s="10" t="s">
        <v>214</v>
      </c>
      <c r="C469" s="4">
        <v>15.584</v>
      </c>
      <c r="D469" s="5">
        <v>253.8</v>
      </c>
      <c r="E469" s="4"/>
      <c r="F469" s="4"/>
      <c r="G469" s="2">
        <f t="shared" si="42"/>
        <v>15.55</v>
      </c>
      <c r="H469" s="11" t="str">
        <f t="shared" si="43"/>
        <v>3.543E-2</v>
      </c>
      <c r="I469" s="2">
        <f t="shared" si="44"/>
        <v>253.8</v>
      </c>
      <c r="J469" s="4">
        <f t="shared" si="45"/>
        <v>15.55</v>
      </c>
      <c r="K469" s="9">
        <f t="shared" si="46"/>
        <v>20.7</v>
      </c>
      <c r="L469" s="1">
        <f t="shared" si="47"/>
        <v>30.5</v>
      </c>
    </row>
    <row r="470" s="1" customFormat="1" spans="1:12">
      <c r="A470" s="2">
        <v>15.617</v>
      </c>
      <c r="B470" s="10" t="s">
        <v>214</v>
      </c>
      <c r="C470" s="4">
        <v>15.617</v>
      </c>
      <c r="D470" s="5">
        <v>253.8</v>
      </c>
      <c r="E470" s="4"/>
      <c r="F470" s="4"/>
      <c r="G470" s="2">
        <f t="shared" si="42"/>
        <v>15.584</v>
      </c>
      <c r="H470" s="11" t="str">
        <f t="shared" si="43"/>
        <v>3.544E-2</v>
      </c>
      <c r="I470" s="2">
        <f t="shared" si="44"/>
        <v>253.8</v>
      </c>
      <c r="J470" s="4">
        <f t="shared" si="45"/>
        <v>15.584</v>
      </c>
      <c r="K470" s="9">
        <f t="shared" si="46"/>
        <v>20.8</v>
      </c>
      <c r="L470" s="1">
        <f t="shared" si="47"/>
        <v>30.5</v>
      </c>
    </row>
    <row r="471" s="1" customFormat="1" spans="1:12">
      <c r="A471" s="2">
        <v>15.651</v>
      </c>
      <c r="B471" s="10" t="s">
        <v>299</v>
      </c>
      <c r="C471" s="4">
        <v>15.651</v>
      </c>
      <c r="D471" s="5">
        <v>253.8</v>
      </c>
      <c r="E471" s="4"/>
      <c r="F471" s="4"/>
      <c r="G471" s="2">
        <f t="shared" si="42"/>
        <v>15.617</v>
      </c>
      <c r="H471" s="11" t="str">
        <f t="shared" si="43"/>
        <v>3.544E-2</v>
      </c>
      <c r="I471" s="2">
        <f t="shared" si="44"/>
        <v>253.8</v>
      </c>
      <c r="J471" s="4">
        <f t="shared" si="45"/>
        <v>15.617</v>
      </c>
      <c r="K471" s="9">
        <f t="shared" si="46"/>
        <v>20.8</v>
      </c>
      <c r="L471" s="1">
        <f t="shared" si="47"/>
        <v>30.5</v>
      </c>
    </row>
    <row r="472" s="1" customFormat="1" spans="1:12">
      <c r="A472" s="2">
        <v>15.684</v>
      </c>
      <c r="B472" s="10" t="s">
        <v>299</v>
      </c>
      <c r="C472" s="4">
        <v>15.684</v>
      </c>
      <c r="D472" s="5">
        <v>253.8</v>
      </c>
      <c r="E472" s="4"/>
      <c r="F472" s="4"/>
      <c r="G472" s="2">
        <f t="shared" si="42"/>
        <v>15.651</v>
      </c>
      <c r="H472" s="11" t="str">
        <f t="shared" si="43"/>
        <v>3.546E-2</v>
      </c>
      <c r="I472" s="2">
        <f t="shared" si="44"/>
        <v>253.8</v>
      </c>
      <c r="J472" s="4">
        <f t="shared" si="45"/>
        <v>15.651</v>
      </c>
      <c r="K472" s="9">
        <f t="shared" si="46"/>
        <v>21</v>
      </c>
      <c r="L472" s="1">
        <f t="shared" si="47"/>
        <v>30.5</v>
      </c>
    </row>
    <row r="473" s="1" customFormat="1" spans="1:12">
      <c r="A473" s="2">
        <v>15.717</v>
      </c>
      <c r="B473" s="10" t="s">
        <v>299</v>
      </c>
      <c r="C473" s="4">
        <v>15.717</v>
      </c>
      <c r="D473" s="5">
        <v>253.8</v>
      </c>
      <c r="E473" s="4"/>
      <c r="F473" s="4"/>
      <c r="G473" s="2">
        <f t="shared" si="42"/>
        <v>15.684</v>
      </c>
      <c r="H473" s="11" t="str">
        <f t="shared" si="43"/>
        <v>3.546E-2</v>
      </c>
      <c r="I473" s="2">
        <f t="shared" si="44"/>
        <v>253.8</v>
      </c>
      <c r="J473" s="4">
        <f t="shared" si="45"/>
        <v>15.684</v>
      </c>
      <c r="K473" s="9">
        <f t="shared" si="46"/>
        <v>21</v>
      </c>
      <c r="L473" s="1">
        <f t="shared" si="47"/>
        <v>30.5</v>
      </c>
    </row>
    <row r="474" s="1" customFormat="1" spans="1:12">
      <c r="A474" s="2">
        <v>15.751</v>
      </c>
      <c r="B474" s="10" t="s">
        <v>299</v>
      </c>
      <c r="C474" s="4">
        <v>15.751</v>
      </c>
      <c r="D474" s="5">
        <v>253.7</v>
      </c>
      <c r="E474" s="4"/>
      <c r="F474" s="4"/>
      <c r="G474" s="2">
        <f t="shared" si="42"/>
        <v>15.717</v>
      </c>
      <c r="H474" s="11" t="str">
        <f t="shared" si="43"/>
        <v>3.546E-2</v>
      </c>
      <c r="I474" s="2">
        <f t="shared" si="44"/>
        <v>253.8</v>
      </c>
      <c r="J474" s="4">
        <f t="shared" si="45"/>
        <v>15.717</v>
      </c>
      <c r="K474" s="9">
        <f t="shared" si="46"/>
        <v>21</v>
      </c>
      <c r="L474" s="1">
        <f t="shared" si="47"/>
        <v>30.5</v>
      </c>
    </row>
    <row r="475" s="1" customFormat="1" spans="1:12">
      <c r="A475" s="2">
        <v>15.784</v>
      </c>
      <c r="B475" s="10" t="s">
        <v>75</v>
      </c>
      <c r="C475" s="4">
        <v>15.784</v>
      </c>
      <c r="D475" s="5">
        <v>253.8</v>
      </c>
      <c r="E475" s="4"/>
      <c r="F475" s="4"/>
      <c r="G475" s="2">
        <f t="shared" si="42"/>
        <v>15.751</v>
      </c>
      <c r="H475" s="11" t="str">
        <f t="shared" si="43"/>
        <v>3.546E-2</v>
      </c>
      <c r="I475" s="2">
        <f t="shared" si="44"/>
        <v>253.7</v>
      </c>
      <c r="J475" s="4">
        <f t="shared" si="45"/>
        <v>15.751</v>
      </c>
      <c r="K475" s="9">
        <f t="shared" si="46"/>
        <v>21</v>
      </c>
      <c r="L475" s="1">
        <f t="shared" si="47"/>
        <v>30.5</v>
      </c>
    </row>
    <row r="476" s="1" customFormat="1" spans="1:12">
      <c r="A476" s="2">
        <v>15.818</v>
      </c>
      <c r="B476" s="10" t="s">
        <v>122</v>
      </c>
      <c r="C476" s="4">
        <v>15.818</v>
      </c>
      <c r="D476" s="5">
        <v>252.4</v>
      </c>
      <c r="E476" s="4"/>
      <c r="F476" s="4"/>
      <c r="G476" s="2">
        <f t="shared" si="42"/>
        <v>15.784</v>
      </c>
      <c r="H476" s="11" t="str">
        <f t="shared" si="43"/>
        <v>3.548E-2</v>
      </c>
      <c r="I476" s="2">
        <f t="shared" si="44"/>
        <v>253.8</v>
      </c>
      <c r="J476" s="4">
        <f t="shared" si="45"/>
        <v>15.784</v>
      </c>
      <c r="K476" s="9">
        <f t="shared" si="46"/>
        <v>21.2</v>
      </c>
      <c r="L476" s="1">
        <f t="shared" si="47"/>
        <v>30.5</v>
      </c>
    </row>
    <row r="477" s="1" customFormat="1" spans="1:12">
      <c r="A477" s="2">
        <v>15.851</v>
      </c>
      <c r="B477" s="10" t="s">
        <v>225</v>
      </c>
      <c r="C477" s="4">
        <v>15.851</v>
      </c>
      <c r="D477" s="5">
        <v>146.5</v>
      </c>
      <c r="E477" s="4"/>
      <c r="F477" s="4"/>
      <c r="G477" s="2">
        <f t="shared" si="42"/>
        <v>15.818</v>
      </c>
      <c r="H477" s="11" t="str">
        <f t="shared" si="43"/>
        <v>3.549E-2</v>
      </c>
      <c r="I477" s="2">
        <f t="shared" si="44"/>
        <v>252.4</v>
      </c>
      <c r="J477" s="4">
        <f t="shared" si="45"/>
        <v>15.818</v>
      </c>
      <c r="K477" s="9">
        <f t="shared" si="46"/>
        <v>21.3</v>
      </c>
      <c r="L477" s="1">
        <f t="shared" si="47"/>
        <v>30.5</v>
      </c>
    </row>
    <row r="478" s="1" customFormat="1" spans="1:12">
      <c r="A478" s="2">
        <v>15.885</v>
      </c>
      <c r="B478" s="10" t="s">
        <v>122</v>
      </c>
      <c r="C478" s="4">
        <v>15.885</v>
      </c>
      <c r="D478" s="5">
        <v>167.7</v>
      </c>
      <c r="E478" s="4"/>
      <c r="F478" s="4"/>
      <c r="G478" s="2">
        <f t="shared" si="42"/>
        <v>15.851</v>
      </c>
      <c r="H478" s="11" t="str">
        <f t="shared" si="43"/>
        <v>3.550E-2</v>
      </c>
      <c r="I478" s="2">
        <f t="shared" si="44"/>
        <v>146.5</v>
      </c>
      <c r="J478" s="4">
        <f t="shared" si="45"/>
        <v>15.851</v>
      </c>
      <c r="K478" s="9">
        <f t="shared" si="46"/>
        <v>21.4</v>
      </c>
      <c r="L478" s="1">
        <f t="shared" si="47"/>
        <v>-0.399999999999984</v>
      </c>
    </row>
    <row r="479" s="1" customFormat="1" spans="1:12">
      <c r="A479" s="2">
        <v>15.918</v>
      </c>
      <c r="B479" s="10" t="s">
        <v>225</v>
      </c>
      <c r="C479" s="4">
        <v>15.918</v>
      </c>
      <c r="D479" s="5">
        <v>166.3</v>
      </c>
      <c r="E479" s="4"/>
      <c r="F479" s="4"/>
      <c r="G479" s="2">
        <f t="shared" si="42"/>
        <v>15.885</v>
      </c>
      <c r="H479" s="11" t="str">
        <f t="shared" si="43"/>
        <v>3.549E-2</v>
      </c>
      <c r="I479" s="2">
        <f t="shared" si="44"/>
        <v>167.7</v>
      </c>
      <c r="J479" s="4">
        <f t="shared" si="45"/>
        <v>15.885</v>
      </c>
      <c r="K479" s="9">
        <f t="shared" si="46"/>
        <v>21.3</v>
      </c>
      <c r="L479" s="1">
        <f t="shared" si="47"/>
        <v>-0.399999999999984</v>
      </c>
    </row>
    <row r="480" s="1" customFormat="1" spans="1:12">
      <c r="A480" s="2">
        <v>15.952</v>
      </c>
      <c r="B480" s="10" t="s">
        <v>226</v>
      </c>
      <c r="C480" s="4">
        <v>15.952</v>
      </c>
      <c r="D480" s="5">
        <v>165.9</v>
      </c>
      <c r="E480" s="4"/>
      <c r="F480" s="4"/>
      <c r="G480" s="2">
        <f t="shared" si="42"/>
        <v>15.918</v>
      </c>
      <c r="H480" s="11" t="str">
        <f t="shared" si="43"/>
        <v>3.550E-2</v>
      </c>
      <c r="I480" s="2">
        <f t="shared" si="44"/>
        <v>166.3</v>
      </c>
      <c r="J480" s="4">
        <f t="shared" si="45"/>
        <v>15.918</v>
      </c>
      <c r="K480" s="9">
        <f t="shared" si="46"/>
        <v>21.4</v>
      </c>
      <c r="L480" s="1">
        <f t="shared" si="47"/>
        <v>-0.399999999999984</v>
      </c>
    </row>
    <row r="481" s="1" customFormat="1" spans="1:12">
      <c r="A481" s="2">
        <v>15.985</v>
      </c>
      <c r="B481" s="10" t="s">
        <v>226</v>
      </c>
      <c r="C481" s="4">
        <v>15.985</v>
      </c>
      <c r="D481" s="5">
        <v>164.4</v>
      </c>
      <c r="E481" s="4"/>
      <c r="F481" s="4"/>
      <c r="G481" s="2">
        <f t="shared" si="42"/>
        <v>15.952</v>
      </c>
      <c r="H481" s="11" t="str">
        <f t="shared" si="43"/>
        <v>3.551E-2</v>
      </c>
      <c r="I481" s="2">
        <f t="shared" si="44"/>
        <v>165.9</v>
      </c>
      <c r="J481" s="4">
        <f t="shared" si="45"/>
        <v>15.952</v>
      </c>
      <c r="K481" s="9">
        <f t="shared" si="46"/>
        <v>21.5</v>
      </c>
      <c r="L481" s="1">
        <f t="shared" si="47"/>
        <v>-0.399999999999984</v>
      </c>
    </row>
    <row r="482" s="1" customFormat="1" spans="1:12">
      <c r="A482" s="2">
        <v>16.018</v>
      </c>
      <c r="B482" s="10" t="s">
        <v>213</v>
      </c>
      <c r="C482" s="4">
        <v>16.018</v>
      </c>
      <c r="D482" s="5">
        <v>163.1</v>
      </c>
      <c r="E482" s="4"/>
      <c r="F482" s="4"/>
      <c r="G482" s="2">
        <f t="shared" si="42"/>
        <v>15.985</v>
      </c>
      <c r="H482" s="11" t="str">
        <f t="shared" si="43"/>
        <v>3.551E-2</v>
      </c>
      <c r="I482" s="2">
        <f t="shared" si="44"/>
        <v>164.4</v>
      </c>
      <c r="J482" s="4">
        <f t="shared" si="45"/>
        <v>15.985</v>
      </c>
      <c r="K482" s="9">
        <f t="shared" si="46"/>
        <v>21.5</v>
      </c>
      <c r="L482" s="1">
        <f t="shared" si="47"/>
        <v>-0.399999999999984</v>
      </c>
    </row>
    <row r="483" s="1" customFormat="1" spans="1:12">
      <c r="A483" s="2">
        <v>16.052</v>
      </c>
      <c r="B483" s="10" t="s">
        <v>92</v>
      </c>
      <c r="C483" s="4">
        <v>16.052</v>
      </c>
      <c r="D483" s="5">
        <v>161.7</v>
      </c>
      <c r="E483" s="4"/>
      <c r="F483" s="4"/>
      <c r="G483" s="2">
        <f t="shared" si="42"/>
        <v>16.018</v>
      </c>
      <c r="H483" s="11" t="str">
        <f t="shared" si="43"/>
        <v>3.552E-2</v>
      </c>
      <c r="I483" s="2">
        <f t="shared" si="44"/>
        <v>163.1</v>
      </c>
      <c r="J483" s="4">
        <f t="shared" si="45"/>
        <v>16.018</v>
      </c>
      <c r="K483" s="9">
        <f t="shared" si="46"/>
        <v>21.6</v>
      </c>
      <c r="L483" s="1">
        <f t="shared" si="47"/>
        <v>-0.399999999999984</v>
      </c>
    </row>
    <row r="484" s="1" customFormat="1" spans="1:12">
      <c r="A484" s="2">
        <v>16.085</v>
      </c>
      <c r="B484" s="10" t="s">
        <v>184</v>
      </c>
      <c r="C484" s="4">
        <v>16.085</v>
      </c>
      <c r="D484" s="5">
        <v>161.6</v>
      </c>
      <c r="E484" s="4"/>
      <c r="F484" s="4"/>
      <c r="G484" s="2">
        <f t="shared" si="42"/>
        <v>16.052</v>
      </c>
      <c r="H484" s="11" t="str">
        <f t="shared" si="43"/>
        <v>3.554E-2</v>
      </c>
      <c r="I484" s="2">
        <f t="shared" si="44"/>
        <v>161.7</v>
      </c>
      <c r="J484" s="4">
        <f t="shared" si="45"/>
        <v>16.052</v>
      </c>
      <c r="K484" s="9">
        <f t="shared" si="46"/>
        <v>21.8</v>
      </c>
      <c r="L484" s="1">
        <f t="shared" si="47"/>
        <v>-0.399999999999984</v>
      </c>
    </row>
    <row r="485" s="1" customFormat="1" spans="1:12">
      <c r="A485" s="2">
        <v>16.119</v>
      </c>
      <c r="B485" s="10" t="s">
        <v>296</v>
      </c>
      <c r="C485" s="4">
        <v>16.119</v>
      </c>
      <c r="D485" s="5">
        <v>159.8</v>
      </c>
      <c r="E485" s="4"/>
      <c r="F485" s="4"/>
      <c r="G485" s="2">
        <f t="shared" si="42"/>
        <v>16.085</v>
      </c>
      <c r="H485" s="11" t="str">
        <f t="shared" si="43"/>
        <v>3.553E-2</v>
      </c>
      <c r="I485" s="2">
        <f t="shared" si="44"/>
        <v>161.6</v>
      </c>
      <c r="J485" s="4">
        <f t="shared" si="45"/>
        <v>16.085</v>
      </c>
      <c r="K485" s="9">
        <f t="shared" si="46"/>
        <v>21.7</v>
      </c>
      <c r="L485" s="1">
        <f t="shared" si="47"/>
        <v>-0.399999999999984</v>
      </c>
    </row>
    <row r="486" s="1" customFormat="1" spans="1:12">
      <c r="A486" s="2">
        <v>16.152</v>
      </c>
      <c r="B486" s="10" t="s">
        <v>296</v>
      </c>
      <c r="C486" s="4">
        <v>16.152</v>
      </c>
      <c r="D486" s="5">
        <v>159.7</v>
      </c>
      <c r="E486" s="4"/>
      <c r="F486" s="4"/>
      <c r="G486" s="2">
        <f t="shared" si="42"/>
        <v>16.119</v>
      </c>
      <c r="H486" s="11" t="str">
        <f t="shared" si="43"/>
        <v>3.556E-2</v>
      </c>
      <c r="I486" s="2">
        <f t="shared" si="44"/>
        <v>159.8</v>
      </c>
      <c r="J486" s="4">
        <f t="shared" si="45"/>
        <v>16.119</v>
      </c>
      <c r="K486" s="9">
        <f t="shared" si="46"/>
        <v>22</v>
      </c>
      <c r="L486" s="1">
        <f t="shared" si="47"/>
        <v>-0.399999999999984</v>
      </c>
    </row>
    <row r="487" s="1" customFormat="1" spans="1:12">
      <c r="A487" s="2">
        <v>16.186</v>
      </c>
      <c r="B487" s="10" t="s">
        <v>208</v>
      </c>
      <c r="C487" s="4">
        <v>16.186</v>
      </c>
      <c r="D487" s="5">
        <v>159.3</v>
      </c>
      <c r="E487" s="4"/>
      <c r="F487" s="4"/>
      <c r="G487" s="2">
        <f t="shared" si="42"/>
        <v>16.152</v>
      </c>
      <c r="H487" s="11" t="str">
        <f t="shared" si="43"/>
        <v>3.556E-2</v>
      </c>
      <c r="I487" s="2">
        <f t="shared" si="44"/>
        <v>159.7</v>
      </c>
      <c r="J487" s="4">
        <f t="shared" si="45"/>
        <v>16.152</v>
      </c>
      <c r="K487" s="9">
        <f t="shared" si="46"/>
        <v>22</v>
      </c>
      <c r="L487" s="1">
        <f t="shared" si="47"/>
        <v>-0.399999999999984</v>
      </c>
    </row>
    <row r="488" s="1" customFormat="1" spans="1:12">
      <c r="A488" s="2">
        <v>16.219</v>
      </c>
      <c r="B488" s="10" t="s">
        <v>208</v>
      </c>
      <c r="C488" s="4">
        <v>16.219</v>
      </c>
      <c r="D488" s="5">
        <v>157.2</v>
      </c>
      <c r="E488" s="4"/>
      <c r="F488" s="4"/>
      <c r="G488" s="2">
        <f t="shared" si="42"/>
        <v>16.186</v>
      </c>
      <c r="H488" s="11" t="str">
        <f t="shared" si="43"/>
        <v>3.555E-2</v>
      </c>
      <c r="I488" s="2">
        <f t="shared" si="44"/>
        <v>159.3</v>
      </c>
      <c r="J488" s="4">
        <f t="shared" si="45"/>
        <v>16.186</v>
      </c>
      <c r="K488" s="9">
        <f t="shared" si="46"/>
        <v>21.9</v>
      </c>
      <c r="L488" s="1">
        <f t="shared" si="47"/>
        <v>-0.399999999999984</v>
      </c>
    </row>
    <row r="489" s="1" customFormat="1" spans="1:12">
      <c r="A489" s="2">
        <v>16.253</v>
      </c>
      <c r="B489" s="10" t="s">
        <v>184</v>
      </c>
      <c r="C489" s="4">
        <v>16.253</v>
      </c>
      <c r="D489" s="5">
        <v>157.1</v>
      </c>
      <c r="E489" s="4"/>
      <c r="F489" s="4"/>
      <c r="G489" s="2">
        <f t="shared" si="42"/>
        <v>16.219</v>
      </c>
      <c r="H489" s="11" t="str">
        <f t="shared" si="43"/>
        <v>3.555E-2</v>
      </c>
      <c r="I489" s="2">
        <f t="shared" si="44"/>
        <v>157.2</v>
      </c>
      <c r="J489" s="4">
        <f t="shared" si="45"/>
        <v>16.219</v>
      </c>
      <c r="K489" s="9">
        <f t="shared" si="46"/>
        <v>21.9</v>
      </c>
      <c r="L489" s="1">
        <f t="shared" si="47"/>
        <v>-0.399999999999984</v>
      </c>
    </row>
    <row r="490" s="1" customFormat="1" spans="1:12">
      <c r="A490" s="2">
        <v>16.286</v>
      </c>
      <c r="B490" s="10" t="s">
        <v>213</v>
      </c>
      <c r="C490" s="4">
        <v>16.286</v>
      </c>
      <c r="D490" s="5">
        <v>156.1</v>
      </c>
      <c r="E490" s="4"/>
      <c r="F490" s="4"/>
      <c r="G490" s="2">
        <f t="shared" si="42"/>
        <v>16.253</v>
      </c>
      <c r="H490" s="11" t="str">
        <f t="shared" si="43"/>
        <v>3.553E-2</v>
      </c>
      <c r="I490" s="2">
        <f t="shared" si="44"/>
        <v>157.1</v>
      </c>
      <c r="J490" s="4">
        <f t="shared" si="45"/>
        <v>16.253</v>
      </c>
      <c r="K490" s="9">
        <f t="shared" si="46"/>
        <v>21.7</v>
      </c>
      <c r="L490" s="1">
        <f t="shared" si="47"/>
        <v>-0.399999999999984</v>
      </c>
    </row>
    <row r="491" s="1" customFormat="1" spans="1:12">
      <c r="A491" s="2">
        <v>16.319</v>
      </c>
      <c r="B491" s="10" t="s">
        <v>226</v>
      </c>
      <c r="C491" s="4">
        <v>16.319</v>
      </c>
      <c r="D491" s="5">
        <v>153.9</v>
      </c>
      <c r="E491" s="4"/>
      <c r="F491" s="4"/>
      <c r="G491" s="2">
        <f t="shared" si="42"/>
        <v>16.286</v>
      </c>
      <c r="H491" s="11" t="str">
        <f t="shared" si="43"/>
        <v>3.552E-2</v>
      </c>
      <c r="I491" s="2">
        <f t="shared" si="44"/>
        <v>156.1</v>
      </c>
      <c r="J491" s="4">
        <f t="shared" si="45"/>
        <v>16.286</v>
      </c>
      <c r="K491" s="9">
        <f t="shared" si="46"/>
        <v>21.6</v>
      </c>
      <c r="L491" s="1">
        <f t="shared" si="47"/>
        <v>-0.399999999999984</v>
      </c>
    </row>
    <row r="492" s="1" customFormat="1" spans="1:12">
      <c r="A492" s="2">
        <v>16.353</v>
      </c>
      <c r="B492" s="10" t="s">
        <v>75</v>
      </c>
      <c r="C492" s="4">
        <v>16.353</v>
      </c>
      <c r="D492" s="5">
        <v>155</v>
      </c>
      <c r="E492" s="4"/>
      <c r="F492" s="4"/>
      <c r="G492" s="2">
        <f t="shared" si="42"/>
        <v>16.319</v>
      </c>
      <c r="H492" s="11" t="str">
        <f t="shared" si="43"/>
        <v>3.551E-2</v>
      </c>
      <c r="I492" s="2">
        <f t="shared" si="44"/>
        <v>153.9</v>
      </c>
      <c r="J492" s="4">
        <f t="shared" si="45"/>
        <v>16.319</v>
      </c>
      <c r="K492" s="9">
        <f t="shared" si="46"/>
        <v>21.5</v>
      </c>
      <c r="L492" s="1">
        <f t="shared" si="47"/>
        <v>-0.399999999999984</v>
      </c>
    </row>
    <row r="493" s="1" customFormat="1" spans="1:12">
      <c r="A493" s="2">
        <v>16.386</v>
      </c>
      <c r="B493" s="10" t="s">
        <v>75</v>
      </c>
      <c r="C493" s="4">
        <v>16.386</v>
      </c>
      <c r="D493" s="5">
        <v>153.6</v>
      </c>
      <c r="E493" s="4"/>
      <c r="F493" s="4"/>
      <c r="G493" s="2">
        <f t="shared" si="42"/>
        <v>16.353</v>
      </c>
      <c r="H493" s="11" t="str">
        <f t="shared" si="43"/>
        <v>3.548E-2</v>
      </c>
      <c r="I493" s="2">
        <f t="shared" si="44"/>
        <v>155</v>
      </c>
      <c r="J493" s="4">
        <f t="shared" si="45"/>
        <v>16.353</v>
      </c>
      <c r="K493" s="9">
        <f t="shared" si="46"/>
        <v>21.2</v>
      </c>
      <c r="L493" s="1">
        <f t="shared" si="47"/>
        <v>-0.399999999999984</v>
      </c>
    </row>
    <row r="494" s="1" customFormat="1" spans="1:12">
      <c r="A494" s="2">
        <v>16.42</v>
      </c>
      <c r="B494" s="10" t="s">
        <v>148</v>
      </c>
      <c r="C494" s="4">
        <v>16.42</v>
      </c>
      <c r="D494" s="5">
        <v>152.8</v>
      </c>
      <c r="E494" s="4"/>
      <c r="F494" s="4"/>
      <c r="G494" s="2">
        <f t="shared" si="42"/>
        <v>16.386</v>
      </c>
      <c r="H494" s="11" t="str">
        <f t="shared" si="43"/>
        <v>3.548E-2</v>
      </c>
      <c r="I494" s="2">
        <f t="shared" si="44"/>
        <v>153.6</v>
      </c>
      <c r="J494" s="4">
        <f t="shared" si="45"/>
        <v>16.386</v>
      </c>
      <c r="K494" s="9">
        <f t="shared" si="46"/>
        <v>21.2</v>
      </c>
      <c r="L494" s="1">
        <f t="shared" si="47"/>
        <v>-0.399999999999984</v>
      </c>
    </row>
    <row r="495" s="1" customFormat="1" spans="1:12">
      <c r="A495" s="2">
        <v>16.453</v>
      </c>
      <c r="B495" s="10" t="s">
        <v>214</v>
      </c>
      <c r="C495" s="4">
        <v>16.453</v>
      </c>
      <c r="D495" s="5">
        <v>151</v>
      </c>
      <c r="E495" s="4"/>
      <c r="F495" s="4"/>
      <c r="G495" s="2">
        <f t="shared" si="42"/>
        <v>16.42</v>
      </c>
      <c r="H495" s="11" t="str">
        <f t="shared" si="43"/>
        <v>3.547E-2</v>
      </c>
      <c r="I495" s="2">
        <f t="shared" si="44"/>
        <v>152.8</v>
      </c>
      <c r="J495" s="4">
        <f t="shared" si="45"/>
        <v>16.42</v>
      </c>
      <c r="K495" s="9">
        <f t="shared" si="46"/>
        <v>21.1</v>
      </c>
      <c r="L495" s="1">
        <f t="shared" si="47"/>
        <v>-0.399999999999984</v>
      </c>
    </row>
    <row r="496" s="1" customFormat="1" spans="1:12">
      <c r="A496" s="2">
        <v>16.487</v>
      </c>
      <c r="B496" s="10" t="s">
        <v>185</v>
      </c>
      <c r="C496" s="4">
        <v>16.487</v>
      </c>
      <c r="D496" s="5">
        <v>150.4</v>
      </c>
      <c r="E496" s="4"/>
      <c r="F496" s="4"/>
      <c r="G496" s="2">
        <f t="shared" si="42"/>
        <v>16.453</v>
      </c>
      <c r="H496" s="11" t="str">
        <f t="shared" si="43"/>
        <v>3.544E-2</v>
      </c>
      <c r="I496" s="2">
        <f t="shared" si="44"/>
        <v>151</v>
      </c>
      <c r="J496" s="4">
        <f t="shared" si="45"/>
        <v>16.453</v>
      </c>
      <c r="K496" s="9">
        <f t="shared" si="46"/>
        <v>20.8</v>
      </c>
      <c r="L496" s="1">
        <f t="shared" si="47"/>
        <v>-0.399999999999984</v>
      </c>
    </row>
    <row r="497" s="1" customFormat="1" spans="1:12">
      <c r="A497" s="2">
        <v>16.52</v>
      </c>
      <c r="B497" s="10" t="s">
        <v>63</v>
      </c>
      <c r="C497" s="4">
        <v>16.52</v>
      </c>
      <c r="D497" s="5">
        <v>150.1</v>
      </c>
      <c r="E497" s="4"/>
      <c r="F497" s="4"/>
      <c r="G497" s="2">
        <f t="shared" si="42"/>
        <v>16.487</v>
      </c>
      <c r="H497" s="11" t="str">
        <f t="shared" si="43"/>
        <v>3.543E-2</v>
      </c>
      <c r="I497" s="2">
        <f t="shared" si="44"/>
        <v>150.4</v>
      </c>
      <c r="J497" s="4">
        <f t="shared" si="45"/>
        <v>16.487</v>
      </c>
      <c r="K497" s="9">
        <f t="shared" si="46"/>
        <v>20.7</v>
      </c>
      <c r="L497" s="1">
        <f t="shared" si="47"/>
        <v>-0.399999999999984</v>
      </c>
    </row>
    <row r="498" s="1" customFormat="1" spans="1:12">
      <c r="A498" s="2">
        <v>16.553</v>
      </c>
      <c r="B498" s="10" t="s">
        <v>91</v>
      </c>
      <c r="C498" s="4">
        <v>16.553</v>
      </c>
      <c r="D498" s="5">
        <v>149.2</v>
      </c>
      <c r="E498" s="4"/>
      <c r="F498" s="4"/>
      <c r="G498" s="2">
        <f t="shared" si="42"/>
        <v>16.52</v>
      </c>
      <c r="H498" s="11" t="str">
        <f t="shared" si="43"/>
        <v>3.542E-2</v>
      </c>
      <c r="I498" s="2">
        <f t="shared" si="44"/>
        <v>150.1</v>
      </c>
      <c r="J498" s="4">
        <f t="shared" si="45"/>
        <v>16.52</v>
      </c>
      <c r="K498" s="9">
        <f t="shared" si="46"/>
        <v>20.6</v>
      </c>
      <c r="L498" s="1">
        <f t="shared" si="47"/>
        <v>-0.399999999999984</v>
      </c>
    </row>
    <row r="499" s="1" customFormat="1" spans="1:12">
      <c r="A499" s="2">
        <v>16.587</v>
      </c>
      <c r="B499" s="10" t="s">
        <v>106</v>
      </c>
      <c r="C499" s="4">
        <v>16.587</v>
      </c>
      <c r="D499" s="5">
        <v>241.6</v>
      </c>
      <c r="E499" s="4"/>
      <c r="F499" s="4"/>
      <c r="G499" s="2">
        <f t="shared" si="42"/>
        <v>16.553</v>
      </c>
      <c r="H499" s="11" t="str">
        <f t="shared" si="43"/>
        <v>3.539E-2</v>
      </c>
      <c r="I499" s="2">
        <f t="shared" si="44"/>
        <v>149.2</v>
      </c>
      <c r="J499" s="4">
        <f t="shared" si="45"/>
        <v>16.553</v>
      </c>
      <c r="K499" s="9">
        <f t="shared" si="46"/>
        <v>20.3</v>
      </c>
      <c r="L499" s="1">
        <f t="shared" si="47"/>
        <v>-0.399999999999984</v>
      </c>
    </row>
    <row r="500" s="1" customFormat="1" spans="1:12">
      <c r="A500" s="2">
        <v>16.62</v>
      </c>
      <c r="B500" s="10" t="s">
        <v>186</v>
      </c>
      <c r="C500" s="4">
        <v>16.62</v>
      </c>
      <c r="D500" s="5">
        <v>253.8</v>
      </c>
      <c r="E500" s="4"/>
      <c r="F500" s="4"/>
      <c r="G500" s="2">
        <f t="shared" si="42"/>
        <v>16.587</v>
      </c>
      <c r="H500" s="11" t="str">
        <f t="shared" si="43"/>
        <v>3.537E-2</v>
      </c>
      <c r="I500" s="2">
        <f t="shared" si="44"/>
        <v>241.6</v>
      </c>
      <c r="J500" s="4">
        <f t="shared" si="45"/>
        <v>16.587</v>
      </c>
      <c r="K500" s="9">
        <f t="shared" si="46"/>
        <v>20.1</v>
      </c>
      <c r="L500" s="1">
        <f t="shared" si="47"/>
        <v>30.5</v>
      </c>
    </row>
    <row r="501" s="1" customFormat="1" spans="1:12">
      <c r="A501" s="2">
        <v>16.654</v>
      </c>
      <c r="B501" s="10" t="s">
        <v>186</v>
      </c>
      <c r="C501" s="4">
        <v>16.654</v>
      </c>
      <c r="D501" s="5">
        <v>253.8</v>
      </c>
      <c r="E501" s="4"/>
      <c r="F501" s="4"/>
      <c r="G501" s="2">
        <f t="shared" si="42"/>
        <v>16.62</v>
      </c>
      <c r="H501" s="11" t="str">
        <f t="shared" si="43"/>
        <v>3.536E-2</v>
      </c>
      <c r="I501" s="2">
        <f t="shared" si="44"/>
        <v>253.8</v>
      </c>
      <c r="J501" s="4">
        <f t="shared" si="45"/>
        <v>16.62</v>
      </c>
      <c r="K501" s="9">
        <f t="shared" si="46"/>
        <v>20</v>
      </c>
      <c r="L501" s="1">
        <f t="shared" si="47"/>
        <v>30.5</v>
      </c>
    </row>
    <row r="502" s="1" customFormat="1" spans="1:12">
      <c r="A502" s="2">
        <v>16.687</v>
      </c>
      <c r="B502" s="10" t="s">
        <v>164</v>
      </c>
      <c r="C502" s="4">
        <v>16.687</v>
      </c>
      <c r="D502" s="5">
        <v>253.8</v>
      </c>
      <c r="E502" s="4"/>
      <c r="F502" s="4"/>
      <c r="G502" s="2">
        <f t="shared" si="42"/>
        <v>16.654</v>
      </c>
      <c r="H502" s="11" t="str">
        <f t="shared" si="43"/>
        <v>3.536E-2</v>
      </c>
      <c r="I502" s="2">
        <f t="shared" si="44"/>
        <v>253.8</v>
      </c>
      <c r="J502" s="4">
        <f t="shared" si="45"/>
        <v>16.654</v>
      </c>
      <c r="K502" s="9">
        <f t="shared" si="46"/>
        <v>20</v>
      </c>
      <c r="L502" s="1">
        <f t="shared" si="47"/>
        <v>30.5</v>
      </c>
    </row>
    <row r="503" s="1" customFormat="1" spans="1:12">
      <c r="A503" s="2">
        <v>16.721</v>
      </c>
      <c r="B503" s="10" t="s">
        <v>147</v>
      </c>
      <c r="C503" s="4">
        <v>16.721</v>
      </c>
      <c r="D503" s="5">
        <v>253.8</v>
      </c>
      <c r="E503" s="4"/>
      <c r="F503" s="4"/>
      <c r="G503" s="2">
        <f t="shared" si="42"/>
        <v>16.687</v>
      </c>
      <c r="H503" s="11" t="str">
        <f t="shared" si="43"/>
        <v>3.532E-2</v>
      </c>
      <c r="I503" s="2">
        <f t="shared" si="44"/>
        <v>253.8</v>
      </c>
      <c r="J503" s="4">
        <f t="shared" si="45"/>
        <v>16.687</v>
      </c>
      <c r="K503" s="9">
        <f t="shared" si="46"/>
        <v>19.6</v>
      </c>
      <c r="L503" s="1">
        <f t="shared" si="47"/>
        <v>30.5</v>
      </c>
    </row>
    <row r="504" s="1" customFormat="1" spans="1:12">
      <c r="A504" s="2">
        <v>16.754</v>
      </c>
      <c r="B504" s="10" t="s">
        <v>199</v>
      </c>
      <c r="C504" s="4">
        <v>16.754</v>
      </c>
      <c r="D504" s="5">
        <v>253.8</v>
      </c>
      <c r="E504" s="4"/>
      <c r="F504" s="4"/>
      <c r="G504" s="2">
        <f t="shared" si="42"/>
        <v>16.721</v>
      </c>
      <c r="H504" s="11" t="str">
        <f t="shared" si="43"/>
        <v>3.531E-2</v>
      </c>
      <c r="I504" s="2">
        <f t="shared" si="44"/>
        <v>253.8</v>
      </c>
      <c r="J504" s="4">
        <f t="shared" si="45"/>
        <v>16.721</v>
      </c>
      <c r="K504" s="9">
        <f t="shared" si="46"/>
        <v>19.5</v>
      </c>
      <c r="L504" s="1">
        <f t="shared" si="47"/>
        <v>30.5</v>
      </c>
    </row>
    <row r="505" s="1" customFormat="1" spans="1:12">
      <c r="A505" s="2">
        <v>16.788</v>
      </c>
      <c r="B505" s="10" t="s">
        <v>90</v>
      </c>
      <c r="C505" s="4">
        <v>16.788</v>
      </c>
      <c r="D505" s="5">
        <v>253.8</v>
      </c>
      <c r="E505" s="4"/>
      <c r="F505" s="4"/>
      <c r="G505" s="2">
        <f t="shared" si="42"/>
        <v>16.754</v>
      </c>
      <c r="H505" s="11" t="str">
        <f t="shared" si="43"/>
        <v>3.529E-2</v>
      </c>
      <c r="I505" s="2">
        <f t="shared" si="44"/>
        <v>253.8</v>
      </c>
      <c r="J505" s="4">
        <f t="shared" si="45"/>
        <v>16.754</v>
      </c>
      <c r="K505" s="9">
        <f t="shared" si="46"/>
        <v>19.3</v>
      </c>
      <c r="L505" s="1">
        <f t="shared" si="47"/>
        <v>30.5</v>
      </c>
    </row>
    <row r="506" s="1" customFormat="1" spans="1:12">
      <c r="A506" s="2">
        <v>16.821</v>
      </c>
      <c r="B506" s="10" t="s">
        <v>188</v>
      </c>
      <c r="C506" s="4">
        <v>16.821</v>
      </c>
      <c r="D506" s="5">
        <v>253.8</v>
      </c>
      <c r="E506" s="4"/>
      <c r="F506" s="4"/>
      <c r="G506" s="2">
        <f t="shared" si="42"/>
        <v>16.788</v>
      </c>
      <c r="H506" s="11" t="str">
        <f t="shared" si="43"/>
        <v>3.519E-2</v>
      </c>
      <c r="I506" s="2">
        <f t="shared" si="44"/>
        <v>253.8</v>
      </c>
      <c r="J506" s="4">
        <f t="shared" si="45"/>
        <v>16.788</v>
      </c>
      <c r="K506" s="9">
        <f t="shared" si="46"/>
        <v>18.3</v>
      </c>
      <c r="L506" s="1">
        <f t="shared" si="47"/>
        <v>30.5</v>
      </c>
    </row>
    <row r="507" s="1" customFormat="1" spans="1:12">
      <c r="A507" s="2">
        <v>16.854</v>
      </c>
      <c r="B507" s="10" t="s">
        <v>120</v>
      </c>
      <c r="C507" s="4">
        <v>16.854</v>
      </c>
      <c r="D507" s="5">
        <v>253.8</v>
      </c>
      <c r="E507" s="4"/>
      <c r="F507" s="4"/>
      <c r="G507" s="2">
        <f t="shared" si="42"/>
        <v>16.821</v>
      </c>
      <c r="H507" s="11" t="str">
        <f t="shared" si="43"/>
        <v>3.513E-2</v>
      </c>
      <c r="I507" s="2">
        <f t="shared" si="44"/>
        <v>253.8</v>
      </c>
      <c r="J507" s="4">
        <f t="shared" si="45"/>
        <v>16.821</v>
      </c>
      <c r="K507" s="9">
        <f t="shared" si="46"/>
        <v>17.7</v>
      </c>
      <c r="L507" s="1">
        <f t="shared" si="47"/>
        <v>30.5</v>
      </c>
    </row>
    <row r="508" s="1" customFormat="1" spans="1:12">
      <c r="A508" s="2">
        <v>16.888</v>
      </c>
      <c r="B508" s="10" t="s">
        <v>138</v>
      </c>
      <c r="C508" s="4">
        <v>16.888</v>
      </c>
      <c r="D508" s="5">
        <v>253.8</v>
      </c>
      <c r="E508" s="4"/>
      <c r="F508" s="4"/>
      <c r="G508" s="2">
        <f t="shared" si="42"/>
        <v>16.854</v>
      </c>
      <c r="H508" s="11" t="str">
        <f t="shared" si="43"/>
        <v>3.510E-2</v>
      </c>
      <c r="I508" s="2">
        <f t="shared" si="44"/>
        <v>253.8</v>
      </c>
      <c r="J508" s="4">
        <f t="shared" si="45"/>
        <v>16.854</v>
      </c>
      <c r="K508" s="9">
        <f t="shared" si="46"/>
        <v>17.4</v>
      </c>
      <c r="L508" s="1">
        <f t="shared" si="47"/>
        <v>30.5</v>
      </c>
    </row>
    <row r="509" s="1" customFormat="1" spans="1:12">
      <c r="A509" s="2">
        <v>16.921</v>
      </c>
      <c r="B509" s="10" t="s">
        <v>138</v>
      </c>
      <c r="C509" s="4">
        <v>16.921</v>
      </c>
      <c r="D509" s="5">
        <v>253.8</v>
      </c>
      <c r="E509" s="4"/>
      <c r="F509" s="4"/>
      <c r="G509" s="2">
        <f t="shared" si="42"/>
        <v>16.888</v>
      </c>
      <c r="H509" s="11" t="str">
        <f t="shared" si="43"/>
        <v>3.508E-2</v>
      </c>
      <c r="I509" s="2">
        <f t="shared" si="44"/>
        <v>253.8</v>
      </c>
      <c r="J509" s="4">
        <f t="shared" si="45"/>
        <v>16.888</v>
      </c>
      <c r="K509" s="9">
        <f t="shared" si="46"/>
        <v>17.2</v>
      </c>
      <c r="L509" s="1">
        <f t="shared" si="47"/>
        <v>30.5</v>
      </c>
    </row>
    <row r="510" s="1" customFormat="1" spans="1:12">
      <c r="A510" s="2">
        <v>16.955</v>
      </c>
      <c r="B510" s="10" t="s">
        <v>191</v>
      </c>
      <c r="C510" s="4">
        <v>16.955</v>
      </c>
      <c r="D510" s="5">
        <v>253.8</v>
      </c>
      <c r="E510" s="4"/>
      <c r="F510" s="4"/>
      <c r="G510" s="2">
        <f t="shared" si="42"/>
        <v>16.921</v>
      </c>
      <c r="H510" s="11" t="str">
        <f t="shared" si="43"/>
        <v>3.508E-2</v>
      </c>
      <c r="I510" s="2">
        <f t="shared" si="44"/>
        <v>253.8</v>
      </c>
      <c r="J510" s="4">
        <f t="shared" si="45"/>
        <v>16.921</v>
      </c>
      <c r="K510" s="9">
        <f t="shared" si="46"/>
        <v>17.2</v>
      </c>
      <c r="L510" s="1">
        <f t="shared" si="47"/>
        <v>30.5</v>
      </c>
    </row>
    <row r="511" s="1" customFormat="1" spans="1:12">
      <c r="A511" s="2">
        <v>16.988</v>
      </c>
      <c r="B511" s="10" t="s">
        <v>191</v>
      </c>
      <c r="C511" s="4">
        <v>16.988</v>
      </c>
      <c r="D511" s="5">
        <v>253.8</v>
      </c>
      <c r="E511" s="4"/>
      <c r="F511" s="4"/>
      <c r="G511" s="2">
        <f t="shared" si="42"/>
        <v>16.955</v>
      </c>
      <c r="H511" s="11" t="str">
        <f t="shared" si="43"/>
        <v>3.507E-2</v>
      </c>
      <c r="I511" s="2">
        <f t="shared" si="44"/>
        <v>253.8</v>
      </c>
      <c r="J511" s="4">
        <f t="shared" si="45"/>
        <v>16.955</v>
      </c>
      <c r="K511" s="9">
        <f t="shared" si="46"/>
        <v>17.1</v>
      </c>
      <c r="L511" s="1">
        <f t="shared" si="47"/>
        <v>30.5</v>
      </c>
    </row>
    <row r="512" s="1" customFormat="1" spans="1:12">
      <c r="A512" s="2">
        <v>17.022</v>
      </c>
      <c r="B512" s="10" t="s">
        <v>61</v>
      </c>
      <c r="C512" s="4">
        <v>17.022</v>
      </c>
      <c r="D512" s="5">
        <v>253.8</v>
      </c>
      <c r="E512" s="4"/>
      <c r="F512" s="4"/>
      <c r="G512" s="2">
        <f t="shared" si="42"/>
        <v>16.988</v>
      </c>
      <c r="H512" s="11" t="str">
        <f t="shared" si="43"/>
        <v>3.507E-2</v>
      </c>
      <c r="I512" s="2">
        <f t="shared" si="44"/>
        <v>253.8</v>
      </c>
      <c r="J512" s="4">
        <f t="shared" si="45"/>
        <v>16.988</v>
      </c>
      <c r="K512" s="9">
        <f t="shared" si="46"/>
        <v>17.1</v>
      </c>
      <c r="L512" s="1">
        <f t="shared" si="47"/>
        <v>30.5</v>
      </c>
    </row>
    <row r="513" s="1" customFormat="1" spans="1:12">
      <c r="A513" s="2">
        <v>17.055</v>
      </c>
      <c r="B513" s="10" t="s">
        <v>196</v>
      </c>
      <c r="C513" s="4">
        <v>17.055</v>
      </c>
      <c r="D513" s="5">
        <v>253.8</v>
      </c>
      <c r="E513" s="4"/>
      <c r="F513" s="4"/>
      <c r="G513" s="2">
        <f t="shared" si="42"/>
        <v>17.022</v>
      </c>
      <c r="H513" s="11" t="str">
        <f t="shared" si="43"/>
        <v>3.509E-2</v>
      </c>
      <c r="I513" s="2">
        <f t="shared" si="44"/>
        <v>253.8</v>
      </c>
      <c r="J513" s="4">
        <f t="shared" si="45"/>
        <v>17.022</v>
      </c>
      <c r="K513" s="9">
        <f t="shared" si="46"/>
        <v>17.3</v>
      </c>
      <c r="L513" s="1">
        <f t="shared" si="47"/>
        <v>30.5</v>
      </c>
    </row>
    <row r="514" s="1" customFormat="1" spans="1:12">
      <c r="A514" s="2">
        <v>17.089</v>
      </c>
      <c r="B514" s="10" t="s">
        <v>232</v>
      </c>
      <c r="C514" s="4">
        <v>17.089</v>
      </c>
      <c r="D514" s="5">
        <v>253.8</v>
      </c>
      <c r="E514" s="4"/>
      <c r="F514" s="4"/>
      <c r="G514" s="2">
        <f t="shared" si="42"/>
        <v>17.055</v>
      </c>
      <c r="H514" s="11" t="str">
        <f t="shared" si="43"/>
        <v>3.511E-2</v>
      </c>
      <c r="I514" s="2">
        <f t="shared" si="44"/>
        <v>253.8</v>
      </c>
      <c r="J514" s="4">
        <f t="shared" si="45"/>
        <v>17.055</v>
      </c>
      <c r="K514" s="9">
        <f t="shared" si="46"/>
        <v>17.5</v>
      </c>
      <c r="L514" s="1">
        <f t="shared" si="47"/>
        <v>30.5</v>
      </c>
    </row>
    <row r="515" s="1" customFormat="1" spans="1:12">
      <c r="A515" s="2">
        <v>17.122</v>
      </c>
      <c r="B515" s="10" t="s">
        <v>146</v>
      </c>
      <c r="C515" s="4">
        <v>17.122</v>
      </c>
      <c r="D515" s="5">
        <v>253.8</v>
      </c>
      <c r="E515" s="4"/>
      <c r="F515" s="4"/>
      <c r="G515" s="2">
        <f t="shared" si="42"/>
        <v>17.089</v>
      </c>
      <c r="H515" s="11" t="str">
        <f t="shared" si="43"/>
        <v>3.512E-2</v>
      </c>
      <c r="I515" s="2">
        <f t="shared" si="44"/>
        <v>253.8</v>
      </c>
      <c r="J515" s="4">
        <f t="shared" si="45"/>
        <v>17.089</v>
      </c>
      <c r="K515" s="9">
        <f t="shared" si="46"/>
        <v>17.6</v>
      </c>
      <c r="L515" s="1">
        <f t="shared" si="47"/>
        <v>30.5</v>
      </c>
    </row>
    <row r="516" s="1" customFormat="1" spans="1:12">
      <c r="A516" s="2">
        <v>17.155</v>
      </c>
      <c r="B516" s="10" t="s">
        <v>77</v>
      </c>
      <c r="C516" s="4">
        <v>17.155</v>
      </c>
      <c r="D516" s="5">
        <v>253.8</v>
      </c>
      <c r="E516" s="4"/>
      <c r="F516" s="4"/>
      <c r="G516" s="2">
        <f t="shared" ref="G516:G579" si="48">A515</f>
        <v>17.122</v>
      </c>
      <c r="H516" s="11" t="str">
        <f t="shared" ref="H516:H579" si="49">B515</f>
        <v>3.514E-2</v>
      </c>
      <c r="I516" s="2">
        <f t="shared" ref="I516:I579" si="50">D515</f>
        <v>253.8</v>
      </c>
      <c r="J516" s="4">
        <f t="shared" ref="J516:J579" si="51">G516</f>
        <v>17.122</v>
      </c>
      <c r="K516" s="9">
        <f t="shared" ref="K516:K579" si="52">(H516-$H$4)*10000</f>
        <v>17.8</v>
      </c>
      <c r="L516" s="1">
        <f t="shared" si="47"/>
        <v>30.5</v>
      </c>
    </row>
    <row r="517" s="1" customFormat="1" spans="1:12">
      <c r="A517" s="2">
        <v>17.189</v>
      </c>
      <c r="B517" s="10" t="s">
        <v>90</v>
      </c>
      <c r="C517" s="4">
        <v>17.189</v>
      </c>
      <c r="D517" s="5">
        <v>253.8</v>
      </c>
      <c r="E517" s="4"/>
      <c r="F517" s="4"/>
      <c r="G517" s="2">
        <f t="shared" si="48"/>
        <v>17.155</v>
      </c>
      <c r="H517" s="11" t="str">
        <f t="shared" si="49"/>
        <v>3.517E-2</v>
      </c>
      <c r="I517" s="2">
        <f t="shared" si="50"/>
        <v>253.8</v>
      </c>
      <c r="J517" s="4">
        <f t="shared" si="51"/>
        <v>17.155</v>
      </c>
      <c r="K517" s="9">
        <f t="shared" si="52"/>
        <v>18.1</v>
      </c>
      <c r="L517" s="1">
        <f t="shared" ref="L517:L580" si="53">IF(I517&lt;230,$V$4,$V$5)</f>
        <v>30.5</v>
      </c>
    </row>
    <row r="518" s="1" customFormat="1" spans="1:12">
      <c r="A518" s="2">
        <v>17.222</v>
      </c>
      <c r="B518" s="10" t="s">
        <v>300</v>
      </c>
      <c r="C518" s="4">
        <v>17.222</v>
      </c>
      <c r="D518" s="5">
        <v>253.8</v>
      </c>
      <c r="E518" s="4"/>
      <c r="F518" s="4"/>
      <c r="G518" s="2">
        <f t="shared" si="48"/>
        <v>17.189</v>
      </c>
      <c r="H518" s="11" t="str">
        <f t="shared" si="49"/>
        <v>3.519E-2</v>
      </c>
      <c r="I518" s="2">
        <f t="shared" si="50"/>
        <v>253.8</v>
      </c>
      <c r="J518" s="4">
        <f t="shared" si="51"/>
        <v>17.189</v>
      </c>
      <c r="K518" s="9">
        <f t="shared" si="52"/>
        <v>18.3</v>
      </c>
      <c r="L518" s="1">
        <f t="shared" si="53"/>
        <v>30.5</v>
      </c>
    </row>
    <row r="519" s="1" customFormat="1" spans="1:12">
      <c r="A519" s="2">
        <v>17.256</v>
      </c>
      <c r="B519" s="10" t="s">
        <v>174</v>
      </c>
      <c r="C519" s="4">
        <v>17.256</v>
      </c>
      <c r="D519" s="5">
        <v>253.8</v>
      </c>
      <c r="E519" s="4"/>
      <c r="F519" s="4"/>
      <c r="G519" s="2">
        <f t="shared" si="48"/>
        <v>17.222</v>
      </c>
      <c r="H519" s="11" t="str">
        <f t="shared" si="49"/>
        <v>3.523E-2</v>
      </c>
      <c r="I519" s="2">
        <f t="shared" si="50"/>
        <v>253.8</v>
      </c>
      <c r="J519" s="4">
        <f t="shared" si="51"/>
        <v>17.222</v>
      </c>
      <c r="K519" s="9">
        <f t="shared" si="52"/>
        <v>18.7</v>
      </c>
      <c r="L519" s="1">
        <f t="shared" si="53"/>
        <v>30.5</v>
      </c>
    </row>
    <row r="520" s="1" customFormat="1" spans="1:12">
      <c r="A520" s="2">
        <v>17.289</v>
      </c>
      <c r="B520" s="10" t="s">
        <v>164</v>
      </c>
      <c r="C520" s="4">
        <v>17.289</v>
      </c>
      <c r="D520" s="5">
        <v>253.8</v>
      </c>
      <c r="E520" s="4"/>
      <c r="F520" s="4"/>
      <c r="G520" s="2">
        <f t="shared" si="48"/>
        <v>17.256</v>
      </c>
      <c r="H520" s="11" t="str">
        <f t="shared" si="49"/>
        <v>3.528E-2</v>
      </c>
      <c r="I520" s="2">
        <f t="shared" si="50"/>
        <v>253.8</v>
      </c>
      <c r="J520" s="4">
        <f t="shared" si="51"/>
        <v>17.256</v>
      </c>
      <c r="K520" s="9">
        <f t="shared" si="52"/>
        <v>19.2</v>
      </c>
      <c r="L520" s="1">
        <f t="shared" si="53"/>
        <v>30.5</v>
      </c>
    </row>
    <row r="521" s="1" customFormat="1" spans="1:12">
      <c r="A521" s="2">
        <v>17.323</v>
      </c>
      <c r="B521" s="10" t="s">
        <v>214</v>
      </c>
      <c r="C521" s="4">
        <v>17.323</v>
      </c>
      <c r="D521" s="5">
        <v>253.8</v>
      </c>
      <c r="E521" s="4"/>
      <c r="F521" s="4"/>
      <c r="G521" s="2">
        <f t="shared" si="48"/>
        <v>17.289</v>
      </c>
      <c r="H521" s="11" t="str">
        <f t="shared" si="49"/>
        <v>3.532E-2</v>
      </c>
      <c r="I521" s="2">
        <f t="shared" si="50"/>
        <v>253.8</v>
      </c>
      <c r="J521" s="4">
        <f t="shared" si="51"/>
        <v>17.289</v>
      </c>
      <c r="K521" s="9">
        <f t="shared" si="52"/>
        <v>19.6</v>
      </c>
      <c r="L521" s="1">
        <f t="shared" si="53"/>
        <v>30.5</v>
      </c>
    </row>
    <row r="522" s="1" customFormat="1" spans="1:12">
      <c r="A522" s="2">
        <v>17.356</v>
      </c>
      <c r="B522" s="10" t="s">
        <v>213</v>
      </c>
      <c r="C522" s="4">
        <v>17.356</v>
      </c>
      <c r="D522" s="5">
        <v>253.8</v>
      </c>
      <c r="E522" s="4"/>
      <c r="F522" s="4"/>
      <c r="G522" s="2">
        <f t="shared" si="48"/>
        <v>17.323</v>
      </c>
      <c r="H522" s="11" t="str">
        <f t="shared" si="49"/>
        <v>3.544E-2</v>
      </c>
      <c r="I522" s="2">
        <f t="shared" si="50"/>
        <v>253.8</v>
      </c>
      <c r="J522" s="4">
        <f t="shared" si="51"/>
        <v>17.323</v>
      </c>
      <c r="K522" s="9">
        <f t="shared" si="52"/>
        <v>20.8</v>
      </c>
      <c r="L522" s="1">
        <f t="shared" si="53"/>
        <v>30.5</v>
      </c>
    </row>
    <row r="523" s="1" customFormat="1" spans="1:12">
      <c r="A523" s="2">
        <v>17.39</v>
      </c>
      <c r="B523" s="10" t="s">
        <v>208</v>
      </c>
      <c r="C523" s="4">
        <v>17.39</v>
      </c>
      <c r="D523" s="5">
        <v>194.9</v>
      </c>
      <c r="E523" s="4"/>
      <c r="F523" s="4"/>
      <c r="G523" s="2">
        <f t="shared" si="48"/>
        <v>17.356</v>
      </c>
      <c r="H523" s="11" t="str">
        <f t="shared" si="49"/>
        <v>3.552E-2</v>
      </c>
      <c r="I523" s="2">
        <f t="shared" si="50"/>
        <v>253.8</v>
      </c>
      <c r="J523" s="4">
        <f t="shared" si="51"/>
        <v>17.356</v>
      </c>
      <c r="K523" s="9">
        <f t="shared" si="52"/>
        <v>21.6</v>
      </c>
      <c r="L523" s="1">
        <f t="shared" si="53"/>
        <v>30.5</v>
      </c>
    </row>
    <row r="524" s="1" customFormat="1" spans="1:12">
      <c r="A524" s="2">
        <v>17.423</v>
      </c>
      <c r="B524" s="10" t="s">
        <v>209</v>
      </c>
      <c r="C524" s="4">
        <v>17.423</v>
      </c>
      <c r="D524" s="5">
        <v>163.6</v>
      </c>
      <c r="E524" s="4"/>
      <c r="F524" s="4"/>
      <c r="G524" s="2">
        <f t="shared" si="48"/>
        <v>17.39</v>
      </c>
      <c r="H524" s="11" t="str">
        <f t="shared" si="49"/>
        <v>3.555E-2</v>
      </c>
      <c r="I524" s="2">
        <f t="shared" si="50"/>
        <v>194.9</v>
      </c>
      <c r="J524" s="4">
        <f t="shared" si="51"/>
        <v>17.39</v>
      </c>
      <c r="K524" s="9">
        <f t="shared" si="52"/>
        <v>21.9</v>
      </c>
      <c r="L524" s="1">
        <f t="shared" si="53"/>
        <v>-0.399999999999984</v>
      </c>
    </row>
    <row r="525" s="1" customFormat="1" spans="1:12">
      <c r="A525" s="2">
        <v>17.456</v>
      </c>
      <c r="B525" s="10" t="s">
        <v>93</v>
      </c>
      <c r="C525" s="4">
        <v>17.456</v>
      </c>
      <c r="D525" s="5">
        <v>169.2</v>
      </c>
      <c r="E525" s="4"/>
      <c r="F525" s="4"/>
      <c r="G525" s="2">
        <f t="shared" si="48"/>
        <v>17.423</v>
      </c>
      <c r="H525" s="11" t="str">
        <f t="shared" si="49"/>
        <v>3.561E-2</v>
      </c>
      <c r="I525" s="2">
        <f t="shared" si="50"/>
        <v>163.6</v>
      </c>
      <c r="J525" s="4">
        <f t="shared" si="51"/>
        <v>17.423</v>
      </c>
      <c r="K525" s="9">
        <f t="shared" si="52"/>
        <v>22.5</v>
      </c>
      <c r="L525" s="1">
        <f t="shared" si="53"/>
        <v>-0.399999999999984</v>
      </c>
    </row>
    <row r="526" s="1" customFormat="1" spans="1:12">
      <c r="A526" s="2">
        <v>17.49</v>
      </c>
      <c r="B526" s="10" t="s">
        <v>181</v>
      </c>
      <c r="C526" s="4">
        <v>17.49</v>
      </c>
      <c r="D526" s="5">
        <v>168.8</v>
      </c>
      <c r="E526" s="4"/>
      <c r="F526" s="4"/>
      <c r="G526" s="2">
        <f t="shared" si="48"/>
        <v>17.456</v>
      </c>
      <c r="H526" s="11" t="str">
        <f t="shared" si="49"/>
        <v>3.573E-2</v>
      </c>
      <c r="I526" s="2">
        <f t="shared" si="50"/>
        <v>169.2</v>
      </c>
      <c r="J526" s="4">
        <f t="shared" si="51"/>
        <v>17.456</v>
      </c>
      <c r="K526" s="9">
        <f t="shared" si="52"/>
        <v>23.7</v>
      </c>
      <c r="L526" s="1">
        <f t="shared" si="53"/>
        <v>-0.399999999999984</v>
      </c>
    </row>
    <row r="527" s="1" customFormat="1" spans="1:12">
      <c r="A527" s="2">
        <v>17.523</v>
      </c>
      <c r="B527" s="10" t="s">
        <v>179</v>
      </c>
      <c r="C527" s="4">
        <v>17.523</v>
      </c>
      <c r="D527" s="5">
        <v>167.7</v>
      </c>
      <c r="E527" s="4"/>
      <c r="F527" s="4"/>
      <c r="G527" s="2">
        <f t="shared" si="48"/>
        <v>17.49</v>
      </c>
      <c r="H527" s="11" t="str">
        <f t="shared" si="49"/>
        <v>3.581E-2</v>
      </c>
      <c r="I527" s="2">
        <f t="shared" si="50"/>
        <v>168.8</v>
      </c>
      <c r="J527" s="4">
        <f t="shared" si="51"/>
        <v>17.49</v>
      </c>
      <c r="K527" s="9">
        <f t="shared" si="52"/>
        <v>24.5</v>
      </c>
      <c r="L527" s="1">
        <f t="shared" si="53"/>
        <v>-0.399999999999984</v>
      </c>
    </row>
    <row r="528" s="1" customFormat="1" spans="1:12">
      <c r="A528" s="2">
        <v>17.557</v>
      </c>
      <c r="B528" s="10" t="s">
        <v>70</v>
      </c>
      <c r="C528" s="4">
        <v>17.557</v>
      </c>
      <c r="D528" s="5">
        <v>167.4</v>
      </c>
      <c r="E528" s="4"/>
      <c r="F528" s="4"/>
      <c r="G528" s="2">
        <f t="shared" si="48"/>
        <v>17.523</v>
      </c>
      <c r="H528" s="11" t="str">
        <f t="shared" si="49"/>
        <v>3.586E-2</v>
      </c>
      <c r="I528" s="2">
        <f t="shared" si="50"/>
        <v>167.7</v>
      </c>
      <c r="J528" s="4">
        <f t="shared" si="51"/>
        <v>17.523</v>
      </c>
      <c r="K528" s="9">
        <f t="shared" si="52"/>
        <v>25</v>
      </c>
      <c r="L528" s="1">
        <f t="shared" si="53"/>
        <v>-0.399999999999984</v>
      </c>
    </row>
    <row r="529" s="1" customFormat="1" spans="1:12">
      <c r="A529" s="2">
        <v>17.59</v>
      </c>
      <c r="B529" s="10" t="s">
        <v>70</v>
      </c>
      <c r="C529" s="4">
        <v>17.59</v>
      </c>
      <c r="D529" s="5">
        <v>167.1</v>
      </c>
      <c r="E529" s="4"/>
      <c r="F529" s="4"/>
      <c r="G529" s="2">
        <f t="shared" si="48"/>
        <v>17.557</v>
      </c>
      <c r="H529" s="11" t="str">
        <f t="shared" si="49"/>
        <v>3.589E-2</v>
      </c>
      <c r="I529" s="2">
        <f t="shared" si="50"/>
        <v>167.4</v>
      </c>
      <c r="J529" s="4">
        <f t="shared" si="51"/>
        <v>17.557</v>
      </c>
      <c r="K529" s="9">
        <f t="shared" si="52"/>
        <v>25.3</v>
      </c>
      <c r="L529" s="1">
        <f t="shared" si="53"/>
        <v>-0.399999999999984</v>
      </c>
    </row>
    <row r="530" s="1" customFormat="1" spans="1:12">
      <c r="A530" s="2">
        <v>17.624</v>
      </c>
      <c r="B530" s="10" t="s">
        <v>70</v>
      </c>
      <c r="C530" s="4">
        <v>17.624</v>
      </c>
      <c r="D530" s="5">
        <v>165</v>
      </c>
      <c r="E530" s="4"/>
      <c r="F530" s="4"/>
      <c r="G530" s="2">
        <f t="shared" si="48"/>
        <v>17.59</v>
      </c>
      <c r="H530" s="11" t="str">
        <f t="shared" si="49"/>
        <v>3.589E-2</v>
      </c>
      <c r="I530" s="2">
        <f t="shared" si="50"/>
        <v>167.1</v>
      </c>
      <c r="J530" s="4">
        <f t="shared" si="51"/>
        <v>17.59</v>
      </c>
      <c r="K530" s="9">
        <f t="shared" si="52"/>
        <v>25.3</v>
      </c>
      <c r="L530" s="1">
        <f t="shared" si="53"/>
        <v>-0.399999999999984</v>
      </c>
    </row>
    <row r="531" s="1" customFormat="1" spans="1:12">
      <c r="A531" s="2">
        <v>17.657</v>
      </c>
      <c r="B531" s="10" t="s">
        <v>70</v>
      </c>
      <c r="C531" s="4">
        <v>17.657</v>
      </c>
      <c r="D531" s="5">
        <v>164.4</v>
      </c>
      <c r="E531" s="4"/>
      <c r="F531" s="4"/>
      <c r="G531" s="2">
        <f t="shared" si="48"/>
        <v>17.624</v>
      </c>
      <c r="H531" s="11" t="str">
        <f t="shared" si="49"/>
        <v>3.589E-2</v>
      </c>
      <c r="I531" s="2">
        <f t="shared" si="50"/>
        <v>165</v>
      </c>
      <c r="J531" s="4">
        <f t="shared" si="51"/>
        <v>17.624</v>
      </c>
      <c r="K531" s="9">
        <f t="shared" si="52"/>
        <v>25.3</v>
      </c>
      <c r="L531" s="1">
        <f t="shared" si="53"/>
        <v>-0.399999999999984</v>
      </c>
    </row>
    <row r="532" s="1" customFormat="1" spans="1:12">
      <c r="A532" s="2">
        <v>17.69</v>
      </c>
      <c r="B532" s="10" t="s">
        <v>67</v>
      </c>
      <c r="C532" s="4">
        <v>17.69</v>
      </c>
      <c r="D532" s="5">
        <v>164.1</v>
      </c>
      <c r="E532" s="4"/>
      <c r="F532" s="4"/>
      <c r="G532" s="2">
        <f t="shared" si="48"/>
        <v>17.657</v>
      </c>
      <c r="H532" s="11" t="str">
        <f t="shared" si="49"/>
        <v>3.589E-2</v>
      </c>
      <c r="I532" s="2">
        <f t="shared" si="50"/>
        <v>164.4</v>
      </c>
      <c r="J532" s="4">
        <f t="shared" si="51"/>
        <v>17.657</v>
      </c>
      <c r="K532" s="9">
        <f t="shared" si="52"/>
        <v>25.3</v>
      </c>
      <c r="L532" s="1">
        <f t="shared" si="53"/>
        <v>-0.399999999999984</v>
      </c>
    </row>
    <row r="533" s="1" customFormat="1" spans="1:12">
      <c r="A533" s="2">
        <v>17.724</v>
      </c>
      <c r="B533" s="10" t="s">
        <v>301</v>
      </c>
      <c r="C533" s="4">
        <v>17.724</v>
      </c>
      <c r="D533" s="5">
        <v>162.9</v>
      </c>
      <c r="E533" s="4"/>
      <c r="F533" s="4"/>
      <c r="G533" s="2">
        <f t="shared" si="48"/>
        <v>17.69</v>
      </c>
      <c r="H533" s="11" t="str">
        <f t="shared" si="49"/>
        <v>3.587E-2</v>
      </c>
      <c r="I533" s="2">
        <f t="shared" si="50"/>
        <v>164.1</v>
      </c>
      <c r="J533" s="4">
        <f t="shared" si="51"/>
        <v>17.69</v>
      </c>
      <c r="K533" s="9">
        <f t="shared" si="52"/>
        <v>25.1</v>
      </c>
      <c r="L533" s="1">
        <f t="shared" si="53"/>
        <v>-0.399999999999984</v>
      </c>
    </row>
    <row r="534" s="1" customFormat="1" spans="1:12">
      <c r="A534" s="2">
        <v>17.757</v>
      </c>
      <c r="B534" s="10" t="s">
        <v>71</v>
      </c>
      <c r="C534" s="4">
        <v>17.757</v>
      </c>
      <c r="D534" s="5">
        <v>161.5</v>
      </c>
      <c r="E534" s="4"/>
      <c r="F534" s="4"/>
      <c r="G534" s="2">
        <f t="shared" si="48"/>
        <v>17.724</v>
      </c>
      <c r="H534" s="11" t="str">
        <f t="shared" si="49"/>
        <v>3.585E-2</v>
      </c>
      <c r="I534" s="2">
        <f t="shared" si="50"/>
        <v>162.9</v>
      </c>
      <c r="J534" s="4">
        <f t="shared" si="51"/>
        <v>17.724</v>
      </c>
      <c r="K534" s="9">
        <f t="shared" si="52"/>
        <v>24.9</v>
      </c>
      <c r="L534" s="1">
        <f t="shared" si="53"/>
        <v>-0.399999999999984</v>
      </c>
    </row>
    <row r="535" s="1" customFormat="1" spans="1:12">
      <c r="A535" s="2">
        <v>17.791</v>
      </c>
      <c r="B535" s="10" t="s">
        <v>150</v>
      </c>
      <c r="C535" s="4">
        <v>17.791</v>
      </c>
      <c r="D535" s="5">
        <v>161.7</v>
      </c>
      <c r="E535" s="4"/>
      <c r="F535" s="4"/>
      <c r="G535" s="2">
        <f t="shared" si="48"/>
        <v>17.757</v>
      </c>
      <c r="H535" s="11" t="str">
        <f t="shared" si="49"/>
        <v>3.583E-2</v>
      </c>
      <c r="I535" s="2">
        <f t="shared" si="50"/>
        <v>161.5</v>
      </c>
      <c r="J535" s="4">
        <f t="shared" si="51"/>
        <v>17.757</v>
      </c>
      <c r="K535" s="9">
        <f t="shared" si="52"/>
        <v>24.7</v>
      </c>
      <c r="L535" s="1">
        <f t="shared" si="53"/>
        <v>-0.399999999999984</v>
      </c>
    </row>
    <row r="536" s="1" customFormat="1" spans="1:12">
      <c r="A536" s="2">
        <v>17.824</v>
      </c>
      <c r="B536" s="10" t="s">
        <v>182</v>
      </c>
      <c r="C536" s="4">
        <v>17.824</v>
      </c>
      <c r="D536" s="5">
        <v>159.8</v>
      </c>
      <c r="E536" s="4"/>
      <c r="F536" s="4"/>
      <c r="G536" s="2">
        <f t="shared" si="48"/>
        <v>17.791</v>
      </c>
      <c r="H536" s="11" t="str">
        <f t="shared" si="49"/>
        <v>3.579E-2</v>
      </c>
      <c r="I536" s="2">
        <f t="shared" si="50"/>
        <v>161.7</v>
      </c>
      <c r="J536" s="4">
        <f t="shared" si="51"/>
        <v>17.791</v>
      </c>
      <c r="K536" s="9">
        <f t="shared" si="52"/>
        <v>24.3</v>
      </c>
      <c r="L536" s="1">
        <f t="shared" si="53"/>
        <v>-0.399999999999984</v>
      </c>
    </row>
    <row r="537" s="1" customFormat="1" spans="1:12">
      <c r="A537" s="2">
        <v>17.858</v>
      </c>
      <c r="B537" s="10" t="s">
        <v>66</v>
      </c>
      <c r="C537" s="4">
        <v>17.858</v>
      </c>
      <c r="D537" s="5">
        <v>159.4</v>
      </c>
      <c r="E537" s="4"/>
      <c r="F537" s="4"/>
      <c r="G537" s="2">
        <f t="shared" si="48"/>
        <v>17.824</v>
      </c>
      <c r="H537" s="11" t="str">
        <f t="shared" si="49"/>
        <v>3.578E-2</v>
      </c>
      <c r="I537" s="2">
        <f t="shared" si="50"/>
        <v>159.8</v>
      </c>
      <c r="J537" s="4">
        <f t="shared" si="51"/>
        <v>17.824</v>
      </c>
      <c r="K537" s="9">
        <f t="shared" si="52"/>
        <v>24.2</v>
      </c>
      <c r="L537" s="1">
        <f t="shared" si="53"/>
        <v>-0.399999999999984</v>
      </c>
    </row>
    <row r="538" s="1" customFormat="1" spans="1:12">
      <c r="A538" s="2">
        <v>17.891</v>
      </c>
      <c r="B538" s="10" t="s">
        <v>176</v>
      </c>
      <c r="C538" s="4">
        <v>17.891</v>
      </c>
      <c r="D538" s="5">
        <v>158.1</v>
      </c>
      <c r="E538" s="4"/>
      <c r="F538" s="4"/>
      <c r="G538" s="2">
        <f t="shared" si="48"/>
        <v>17.858</v>
      </c>
      <c r="H538" s="11" t="str">
        <f t="shared" si="49"/>
        <v>3.575E-2</v>
      </c>
      <c r="I538" s="2">
        <f t="shared" si="50"/>
        <v>159.4</v>
      </c>
      <c r="J538" s="4">
        <f t="shared" si="51"/>
        <v>17.858</v>
      </c>
      <c r="K538" s="9">
        <f t="shared" si="52"/>
        <v>23.9</v>
      </c>
      <c r="L538" s="1">
        <f t="shared" si="53"/>
        <v>-0.399999999999984</v>
      </c>
    </row>
    <row r="539" s="1" customFormat="1" spans="1:12">
      <c r="A539" s="2">
        <v>17.925</v>
      </c>
      <c r="B539" s="10" t="s">
        <v>302</v>
      </c>
      <c r="C539" s="4">
        <v>17.925</v>
      </c>
      <c r="D539" s="5">
        <v>157.3</v>
      </c>
      <c r="E539" s="4"/>
      <c r="F539" s="4"/>
      <c r="G539" s="2">
        <f t="shared" si="48"/>
        <v>17.891</v>
      </c>
      <c r="H539" s="11" t="str">
        <f t="shared" si="49"/>
        <v>3.572E-2</v>
      </c>
      <c r="I539" s="2">
        <f t="shared" si="50"/>
        <v>158.1</v>
      </c>
      <c r="J539" s="4">
        <f t="shared" si="51"/>
        <v>17.891</v>
      </c>
      <c r="K539" s="9">
        <f t="shared" si="52"/>
        <v>23.6</v>
      </c>
      <c r="L539" s="1">
        <f t="shared" si="53"/>
        <v>-0.399999999999984</v>
      </c>
    </row>
    <row r="540" s="1" customFormat="1" spans="1:12">
      <c r="A540" s="2">
        <v>17.958</v>
      </c>
      <c r="B540" s="10" t="s">
        <v>74</v>
      </c>
      <c r="C540" s="4">
        <v>17.958</v>
      </c>
      <c r="D540" s="5">
        <v>156.2</v>
      </c>
      <c r="E540" s="4"/>
      <c r="F540" s="4"/>
      <c r="G540" s="2">
        <f t="shared" si="48"/>
        <v>17.925</v>
      </c>
      <c r="H540" s="11" t="str">
        <f t="shared" si="49"/>
        <v>3.569E-2</v>
      </c>
      <c r="I540" s="2">
        <f t="shared" si="50"/>
        <v>157.3</v>
      </c>
      <c r="J540" s="4">
        <f t="shared" si="51"/>
        <v>17.925</v>
      </c>
      <c r="K540" s="9">
        <f t="shared" si="52"/>
        <v>23.3</v>
      </c>
      <c r="L540" s="1">
        <f t="shared" si="53"/>
        <v>-0.399999999999984</v>
      </c>
    </row>
    <row r="541" s="1" customFormat="1" spans="1:12">
      <c r="A541" s="2">
        <v>17.991</v>
      </c>
      <c r="B541" s="10" t="s">
        <v>105</v>
      </c>
      <c r="C541" s="4">
        <v>17.991</v>
      </c>
      <c r="D541" s="5">
        <v>155.9</v>
      </c>
      <c r="E541" s="4"/>
      <c r="F541" s="4"/>
      <c r="G541" s="2">
        <f t="shared" si="48"/>
        <v>17.958</v>
      </c>
      <c r="H541" s="11" t="str">
        <f t="shared" si="49"/>
        <v>3.563E-2</v>
      </c>
      <c r="I541" s="2">
        <f t="shared" si="50"/>
        <v>156.2</v>
      </c>
      <c r="J541" s="4">
        <f t="shared" si="51"/>
        <v>17.958</v>
      </c>
      <c r="K541" s="9">
        <f t="shared" si="52"/>
        <v>22.7</v>
      </c>
      <c r="L541" s="1">
        <f t="shared" si="53"/>
        <v>-0.399999999999984</v>
      </c>
    </row>
    <row r="542" s="1" customFormat="1" spans="1:12">
      <c r="A542" s="2">
        <v>18.025</v>
      </c>
      <c r="B542" s="10" t="s">
        <v>148</v>
      </c>
      <c r="C542" s="4">
        <v>18.025</v>
      </c>
      <c r="D542" s="5">
        <v>155.9</v>
      </c>
      <c r="E542" s="4"/>
      <c r="F542" s="4"/>
      <c r="G542" s="2">
        <f t="shared" si="48"/>
        <v>17.991</v>
      </c>
      <c r="H542" s="11" t="str">
        <f t="shared" si="49"/>
        <v>3.559E-2</v>
      </c>
      <c r="I542" s="2">
        <f t="shared" si="50"/>
        <v>155.9</v>
      </c>
      <c r="J542" s="4">
        <f t="shared" si="51"/>
        <v>17.991</v>
      </c>
      <c r="K542" s="9">
        <f t="shared" si="52"/>
        <v>22.3</v>
      </c>
      <c r="L542" s="1">
        <f t="shared" si="53"/>
        <v>-0.399999999999984</v>
      </c>
    </row>
    <row r="543" s="1" customFormat="1" spans="1:12">
      <c r="A543" s="2">
        <v>18.058</v>
      </c>
      <c r="B543" s="10" t="s">
        <v>227</v>
      </c>
      <c r="C543" s="4">
        <v>18.058</v>
      </c>
      <c r="D543" s="5">
        <v>154.1</v>
      </c>
      <c r="E543" s="4"/>
      <c r="F543" s="4"/>
      <c r="G543" s="2">
        <f t="shared" si="48"/>
        <v>18.025</v>
      </c>
      <c r="H543" s="11" t="str">
        <f t="shared" si="49"/>
        <v>3.547E-2</v>
      </c>
      <c r="I543" s="2">
        <f t="shared" si="50"/>
        <v>155.9</v>
      </c>
      <c r="J543" s="4">
        <f t="shared" si="51"/>
        <v>18.025</v>
      </c>
      <c r="K543" s="9">
        <f t="shared" si="52"/>
        <v>21.1</v>
      </c>
      <c r="L543" s="1">
        <f t="shared" si="53"/>
        <v>-0.399999999999984</v>
      </c>
    </row>
    <row r="544" s="1" customFormat="1" spans="1:12">
      <c r="A544" s="2">
        <v>18.092</v>
      </c>
      <c r="B544" s="10" t="s">
        <v>147</v>
      </c>
      <c r="C544" s="4">
        <v>18.092</v>
      </c>
      <c r="D544" s="5">
        <v>154.3</v>
      </c>
      <c r="E544" s="4"/>
      <c r="F544" s="4"/>
      <c r="G544" s="2">
        <f t="shared" si="48"/>
        <v>18.058</v>
      </c>
      <c r="H544" s="11" t="str">
        <f t="shared" si="49"/>
        <v>3.538E-2</v>
      </c>
      <c r="I544" s="2">
        <f t="shared" si="50"/>
        <v>154.1</v>
      </c>
      <c r="J544" s="4">
        <f t="shared" si="51"/>
        <v>18.058</v>
      </c>
      <c r="K544" s="9">
        <f t="shared" si="52"/>
        <v>20.2</v>
      </c>
      <c r="L544" s="1">
        <f t="shared" si="53"/>
        <v>-0.399999999999984</v>
      </c>
    </row>
    <row r="545" s="1" customFormat="1" spans="1:12">
      <c r="A545" s="2">
        <v>18.125</v>
      </c>
      <c r="B545" s="10" t="s">
        <v>137</v>
      </c>
      <c r="C545" s="4">
        <v>18.125</v>
      </c>
      <c r="D545" s="5">
        <v>152</v>
      </c>
      <c r="E545" s="4"/>
      <c r="F545" s="4"/>
      <c r="G545" s="2">
        <f t="shared" si="48"/>
        <v>18.092</v>
      </c>
      <c r="H545" s="11" t="str">
        <f t="shared" si="49"/>
        <v>3.531E-2</v>
      </c>
      <c r="I545" s="2">
        <f t="shared" si="50"/>
        <v>154.3</v>
      </c>
      <c r="J545" s="4">
        <f t="shared" si="51"/>
        <v>18.092</v>
      </c>
      <c r="K545" s="9">
        <f t="shared" si="52"/>
        <v>19.5</v>
      </c>
      <c r="L545" s="1">
        <f t="shared" si="53"/>
        <v>-0.399999999999984</v>
      </c>
    </row>
    <row r="546" s="1" customFormat="1" spans="1:12">
      <c r="A546" s="2">
        <v>18.159</v>
      </c>
      <c r="B546" s="10" t="s">
        <v>196</v>
      </c>
      <c r="C546" s="4">
        <v>18.159</v>
      </c>
      <c r="D546" s="5">
        <v>253.7</v>
      </c>
      <c r="E546" s="4"/>
      <c r="F546" s="4"/>
      <c r="G546" s="2">
        <f t="shared" si="48"/>
        <v>18.125</v>
      </c>
      <c r="H546" s="11" t="str">
        <f t="shared" si="49"/>
        <v>3.524E-2</v>
      </c>
      <c r="I546" s="2">
        <f t="shared" si="50"/>
        <v>152</v>
      </c>
      <c r="J546" s="4">
        <f t="shared" si="51"/>
        <v>18.125</v>
      </c>
      <c r="K546" s="9">
        <f t="shared" si="52"/>
        <v>18.8</v>
      </c>
      <c r="L546" s="1">
        <f t="shared" si="53"/>
        <v>-0.399999999999984</v>
      </c>
    </row>
    <row r="547" s="1" customFormat="1" spans="1:12">
      <c r="A547" s="2">
        <v>18.192</v>
      </c>
      <c r="B547" s="10" t="s">
        <v>33</v>
      </c>
      <c r="C547" s="4">
        <v>18.192</v>
      </c>
      <c r="D547" s="5">
        <v>253.7</v>
      </c>
      <c r="E547" s="4"/>
      <c r="F547" s="4"/>
      <c r="G547" s="2">
        <f t="shared" si="48"/>
        <v>18.159</v>
      </c>
      <c r="H547" s="11" t="str">
        <f t="shared" si="49"/>
        <v>3.511E-2</v>
      </c>
      <c r="I547" s="2">
        <f t="shared" si="50"/>
        <v>253.7</v>
      </c>
      <c r="J547" s="4">
        <f t="shared" si="51"/>
        <v>18.159</v>
      </c>
      <c r="K547" s="9">
        <f t="shared" si="52"/>
        <v>17.5</v>
      </c>
      <c r="L547" s="1">
        <f t="shared" si="53"/>
        <v>30.5</v>
      </c>
    </row>
    <row r="548" s="1" customFormat="1" spans="1:12">
      <c r="A548" s="2">
        <v>18.226</v>
      </c>
      <c r="B548" s="10" t="s">
        <v>108</v>
      </c>
      <c r="C548" s="4">
        <v>18.226</v>
      </c>
      <c r="D548" s="5">
        <v>253.7</v>
      </c>
      <c r="E548" s="4"/>
      <c r="F548" s="4"/>
      <c r="G548" s="2">
        <f t="shared" si="48"/>
        <v>18.192</v>
      </c>
      <c r="H548" s="11" t="str">
        <f t="shared" si="49"/>
        <v>3.504E-2</v>
      </c>
      <c r="I548" s="2">
        <f t="shared" si="50"/>
        <v>253.7</v>
      </c>
      <c r="J548" s="4">
        <f t="shared" si="51"/>
        <v>18.192</v>
      </c>
      <c r="K548" s="9">
        <f t="shared" si="52"/>
        <v>16.8</v>
      </c>
      <c r="L548" s="1">
        <f t="shared" si="53"/>
        <v>30.5</v>
      </c>
    </row>
    <row r="549" s="1" customFormat="1" spans="1:12">
      <c r="A549" s="2">
        <v>18.259</v>
      </c>
      <c r="B549" s="10" t="s">
        <v>79</v>
      </c>
      <c r="C549" s="4">
        <v>18.259</v>
      </c>
      <c r="D549" s="5">
        <v>253.7</v>
      </c>
      <c r="E549" s="4"/>
      <c r="F549" s="4"/>
      <c r="G549" s="2">
        <f t="shared" si="48"/>
        <v>18.226</v>
      </c>
      <c r="H549" s="11" t="str">
        <f t="shared" si="49"/>
        <v>3.497E-2</v>
      </c>
      <c r="I549" s="2">
        <f t="shared" si="50"/>
        <v>253.7</v>
      </c>
      <c r="J549" s="4">
        <f t="shared" si="51"/>
        <v>18.226</v>
      </c>
      <c r="K549" s="9">
        <f t="shared" si="52"/>
        <v>16.1</v>
      </c>
      <c r="L549" s="1">
        <f t="shared" si="53"/>
        <v>30.5</v>
      </c>
    </row>
    <row r="550" s="1" customFormat="1" spans="1:12">
      <c r="A550" s="2">
        <v>18.292</v>
      </c>
      <c r="B550" s="10" t="s">
        <v>205</v>
      </c>
      <c r="C550" s="4">
        <v>18.292</v>
      </c>
      <c r="D550" s="5">
        <v>253.7</v>
      </c>
      <c r="E550" s="4"/>
      <c r="F550" s="4"/>
      <c r="G550" s="2">
        <f t="shared" si="48"/>
        <v>18.259</v>
      </c>
      <c r="H550" s="11" t="str">
        <f t="shared" si="49"/>
        <v>3.486E-2</v>
      </c>
      <c r="I550" s="2">
        <f t="shared" si="50"/>
        <v>253.7</v>
      </c>
      <c r="J550" s="4">
        <f t="shared" si="51"/>
        <v>18.259</v>
      </c>
      <c r="K550" s="9">
        <f t="shared" si="52"/>
        <v>15</v>
      </c>
      <c r="L550" s="1">
        <f t="shared" si="53"/>
        <v>30.5</v>
      </c>
    </row>
    <row r="551" s="1" customFormat="1" spans="1:12">
      <c r="A551" s="2">
        <v>18.326</v>
      </c>
      <c r="B551" s="10" t="s">
        <v>109</v>
      </c>
      <c r="C551" s="4">
        <v>18.326</v>
      </c>
      <c r="D551" s="5">
        <v>253.7</v>
      </c>
      <c r="E551" s="4"/>
      <c r="F551" s="4"/>
      <c r="G551" s="2">
        <f t="shared" si="48"/>
        <v>18.292</v>
      </c>
      <c r="H551" s="11" t="str">
        <f t="shared" si="49"/>
        <v>3.481E-2</v>
      </c>
      <c r="I551" s="2">
        <f t="shared" si="50"/>
        <v>253.7</v>
      </c>
      <c r="J551" s="4">
        <f t="shared" si="51"/>
        <v>18.292</v>
      </c>
      <c r="K551" s="9">
        <f t="shared" si="52"/>
        <v>14.5</v>
      </c>
      <c r="L551" s="1">
        <f t="shared" si="53"/>
        <v>30.5</v>
      </c>
    </row>
    <row r="552" s="1" customFormat="1" spans="1:12">
      <c r="A552" s="2">
        <v>18.359</v>
      </c>
      <c r="B552" s="10" t="s">
        <v>80</v>
      </c>
      <c r="C552" s="4">
        <v>18.359</v>
      </c>
      <c r="D552" s="5">
        <v>253.7</v>
      </c>
      <c r="E552" s="4"/>
      <c r="F552" s="4"/>
      <c r="G552" s="2">
        <f t="shared" si="48"/>
        <v>18.326</v>
      </c>
      <c r="H552" s="11" t="str">
        <f t="shared" si="49"/>
        <v>3.476E-2</v>
      </c>
      <c r="I552" s="2">
        <f t="shared" si="50"/>
        <v>253.7</v>
      </c>
      <c r="J552" s="4">
        <f t="shared" si="51"/>
        <v>18.326</v>
      </c>
      <c r="K552" s="9">
        <f t="shared" si="52"/>
        <v>14</v>
      </c>
      <c r="L552" s="1">
        <f t="shared" si="53"/>
        <v>30.5</v>
      </c>
    </row>
    <row r="553" s="1" customFormat="1" spans="1:12">
      <c r="A553" s="2">
        <v>18.393</v>
      </c>
      <c r="B553" s="10" t="s">
        <v>171</v>
      </c>
      <c r="C553" s="4">
        <v>18.393</v>
      </c>
      <c r="D553" s="5">
        <v>253.7</v>
      </c>
      <c r="E553" s="4"/>
      <c r="F553" s="4"/>
      <c r="G553" s="2">
        <f t="shared" si="48"/>
        <v>18.359</v>
      </c>
      <c r="H553" s="11" t="str">
        <f t="shared" si="49"/>
        <v>3.472E-2</v>
      </c>
      <c r="I553" s="2">
        <f t="shared" si="50"/>
        <v>253.7</v>
      </c>
      <c r="J553" s="4">
        <f t="shared" si="51"/>
        <v>18.359</v>
      </c>
      <c r="K553" s="9">
        <f t="shared" si="52"/>
        <v>13.6</v>
      </c>
      <c r="L553" s="1">
        <f t="shared" si="53"/>
        <v>30.5</v>
      </c>
    </row>
    <row r="554" s="1" customFormat="1" spans="1:12">
      <c r="A554" s="2">
        <v>18.426</v>
      </c>
      <c r="B554" s="10" t="s">
        <v>171</v>
      </c>
      <c r="C554" s="4">
        <v>18.426</v>
      </c>
      <c r="D554" s="5">
        <v>253.7</v>
      </c>
      <c r="E554" s="4"/>
      <c r="F554" s="4"/>
      <c r="G554" s="2">
        <f t="shared" si="48"/>
        <v>18.393</v>
      </c>
      <c r="H554" s="11" t="str">
        <f t="shared" si="49"/>
        <v>3.474E-2</v>
      </c>
      <c r="I554" s="2">
        <f t="shared" si="50"/>
        <v>253.7</v>
      </c>
      <c r="J554" s="4">
        <f t="shared" si="51"/>
        <v>18.393</v>
      </c>
      <c r="K554" s="9">
        <f t="shared" si="52"/>
        <v>13.8</v>
      </c>
      <c r="L554" s="1">
        <f t="shared" si="53"/>
        <v>30.5</v>
      </c>
    </row>
    <row r="555" s="1" customFormat="1" spans="1:12">
      <c r="A555" s="2">
        <v>18.46</v>
      </c>
      <c r="B555" s="10" t="s">
        <v>109</v>
      </c>
      <c r="C555" s="4">
        <v>18.46</v>
      </c>
      <c r="D555" s="5">
        <v>253.7</v>
      </c>
      <c r="E555" s="4"/>
      <c r="F555" s="4"/>
      <c r="G555" s="2">
        <f t="shared" si="48"/>
        <v>18.426</v>
      </c>
      <c r="H555" s="11" t="str">
        <f t="shared" si="49"/>
        <v>3.474E-2</v>
      </c>
      <c r="I555" s="2">
        <f t="shared" si="50"/>
        <v>253.7</v>
      </c>
      <c r="J555" s="4">
        <f t="shared" si="51"/>
        <v>18.426</v>
      </c>
      <c r="K555" s="9">
        <f t="shared" si="52"/>
        <v>13.8</v>
      </c>
      <c r="L555" s="1">
        <f t="shared" si="53"/>
        <v>30.5</v>
      </c>
    </row>
    <row r="556" s="1" customFormat="1" spans="1:12">
      <c r="A556" s="2">
        <v>18.493</v>
      </c>
      <c r="B556" s="10" t="s">
        <v>145</v>
      </c>
      <c r="C556" s="4">
        <v>18.493</v>
      </c>
      <c r="D556" s="5">
        <v>253.7</v>
      </c>
      <c r="E556" s="4"/>
      <c r="F556" s="4"/>
      <c r="G556" s="2">
        <f t="shared" si="48"/>
        <v>18.46</v>
      </c>
      <c r="H556" s="11" t="str">
        <f t="shared" si="49"/>
        <v>3.476E-2</v>
      </c>
      <c r="I556" s="2">
        <f t="shared" si="50"/>
        <v>253.7</v>
      </c>
      <c r="J556" s="4">
        <f t="shared" si="51"/>
        <v>18.46</v>
      </c>
      <c r="K556" s="9">
        <f t="shared" si="52"/>
        <v>14</v>
      </c>
      <c r="L556" s="1">
        <f t="shared" si="53"/>
        <v>30.5</v>
      </c>
    </row>
    <row r="557" s="1" customFormat="1" spans="1:12">
      <c r="A557" s="2">
        <v>18.527</v>
      </c>
      <c r="B557" s="10" t="s">
        <v>205</v>
      </c>
      <c r="C557" s="4">
        <v>18.527</v>
      </c>
      <c r="D557" s="5">
        <v>253.7</v>
      </c>
      <c r="E557" s="4"/>
      <c r="F557" s="4"/>
      <c r="G557" s="2">
        <f t="shared" si="48"/>
        <v>18.493</v>
      </c>
      <c r="H557" s="11" t="str">
        <f t="shared" si="49"/>
        <v>3.479E-2</v>
      </c>
      <c r="I557" s="2">
        <f t="shared" si="50"/>
        <v>253.7</v>
      </c>
      <c r="J557" s="4">
        <f t="shared" si="51"/>
        <v>18.493</v>
      </c>
      <c r="K557" s="9">
        <f t="shared" si="52"/>
        <v>14.3</v>
      </c>
      <c r="L557" s="1">
        <f t="shared" si="53"/>
        <v>30.5</v>
      </c>
    </row>
    <row r="558" s="1" customFormat="1" spans="1:12">
      <c r="A558" s="2">
        <v>18.56</v>
      </c>
      <c r="B558" s="10" t="s">
        <v>139</v>
      </c>
      <c r="C558" s="4">
        <v>18.56</v>
      </c>
      <c r="D558" s="5">
        <v>253.7</v>
      </c>
      <c r="E558" s="4"/>
      <c r="F558" s="4"/>
      <c r="G558" s="2">
        <f t="shared" si="48"/>
        <v>18.527</v>
      </c>
      <c r="H558" s="11" t="str">
        <f t="shared" si="49"/>
        <v>3.481E-2</v>
      </c>
      <c r="I558" s="2">
        <f t="shared" si="50"/>
        <v>253.7</v>
      </c>
      <c r="J558" s="4">
        <f t="shared" si="51"/>
        <v>18.527</v>
      </c>
      <c r="K558" s="9">
        <f t="shared" si="52"/>
        <v>14.5</v>
      </c>
      <c r="L558" s="1">
        <f t="shared" si="53"/>
        <v>30.5</v>
      </c>
    </row>
    <row r="559" s="1" customFormat="1" spans="1:12">
      <c r="A559" s="2">
        <v>18.593</v>
      </c>
      <c r="B559" s="10" t="s">
        <v>39</v>
      </c>
      <c r="C559" s="4">
        <v>18.593</v>
      </c>
      <c r="D559" s="5">
        <v>253.7</v>
      </c>
      <c r="E559" s="4"/>
      <c r="F559" s="4"/>
      <c r="G559" s="2">
        <f t="shared" si="48"/>
        <v>18.56</v>
      </c>
      <c r="H559" s="11" t="str">
        <f t="shared" si="49"/>
        <v>3.485E-2</v>
      </c>
      <c r="I559" s="2">
        <f t="shared" si="50"/>
        <v>253.7</v>
      </c>
      <c r="J559" s="4">
        <f t="shared" si="51"/>
        <v>18.56</v>
      </c>
      <c r="K559" s="9">
        <f t="shared" si="52"/>
        <v>14.9</v>
      </c>
      <c r="L559" s="1">
        <f t="shared" si="53"/>
        <v>30.5</v>
      </c>
    </row>
    <row r="560" s="1" customFormat="1" spans="1:12">
      <c r="A560" s="2">
        <v>18.627</v>
      </c>
      <c r="B560" s="10" t="s">
        <v>31</v>
      </c>
      <c r="C560" s="4">
        <v>18.627</v>
      </c>
      <c r="D560" s="5">
        <v>253.7</v>
      </c>
      <c r="E560" s="4"/>
      <c r="F560" s="4"/>
      <c r="G560" s="2">
        <f t="shared" si="48"/>
        <v>18.593</v>
      </c>
      <c r="H560" s="11" t="str">
        <f t="shared" si="49"/>
        <v>3.489E-2</v>
      </c>
      <c r="I560" s="2">
        <f t="shared" si="50"/>
        <v>253.7</v>
      </c>
      <c r="J560" s="4">
        <f t="shared" si="51"/>
        <v>18.593</v>
      </c>
      <c r="K560" s="9">
        <f t="shared" si="52"/>
        <v>15.3</v>
      </c>
      <c r="L560" s="1">
        <f t="shared" si="53"/>
        <v>30.5</v>
      </c>
    </row>
    <row r="561" s="1" customFormat="1" spans="1:12">
      <c r="A561" s="2">
        <v>18.66</v>
      </c>
      <c r="B561" s="10" t="s">
        <v>190</v>
      </c>
      <c r="C561" s="4">
        <v>18.66</v>
      </c>
      <c r="D561" s="5">
        <v>253.7</v>
      </c>
      <c r="E561" s="4"/>
      <c r="F561" s="4"/>
      <c r="G561" s="2">
        <f t="shared" si="48"/>
        <v>18.627</v>
      </c>
      <c r="H561" s="11" t="str">
        <f t="shared" si="49"/>
        <v>3.494E-2</v>
      </c>
      <c r="I561" s="2">
        <f t="shared" si="50"/>
        <v>253.7</v>
      </c>
      <c r="J561" s="4">
        <f t="shared" si="51"/>
        <v>18.627</v>
      </c>
      <c r="K561" s="9">
        <f t="shared" si="52"/>
        <v>15.8</v>
      </c>
      <c r="L561" s="1">
        <f t="shared" si="53"/>
        <v>30.5</v>
      </c>
    </row>
    <row r="562" s="1" customFormat="1" spans="1:12">
      <c r="A562" s="2">
        <v>18.694</v>
      </c>
      <c r="B562" s="10" t="s">
        <v>165</v>
      </c>
      <c r="C562" s="4">
        <v>18.694</v>
      </c>
      <c r="D562" s="5">
        <v>253.7</v>
      </c>
      <c r="E562" s="4"/>
      <c r="F562" s="4"/>
      <c r="G562" s="2">
        <f t="shared" si="48"/>
        <v>18.66</v>
      </c>
      <c r="H562" s="11" t="str">
        <f t="shared" si="49"/>
        <v>3.499E-2</v>
      </c>
      <c r="I562" s="2">
        <f t="shared" si="50"/>
        <v>253.7</v>
      </c>
      <c r="J562" s="4">
        <f t="shared" si="51"/>
        <v>18.66</v>
      </c>
      <c r="K562" s="9">
        <f t="shared" si="52"/>
        <v>16.3</v>
      </c>
      <c r="L562" s="1">
        <f t="shared" si="53"/>
        <v>30.5</v>
      </c>
    </row>
    <row r="563" s="1" customFormat="1" spans="1:12">
      <c r="A563" s="2">
        <v>18.727</v>
      </c>
      <c r="B563" s="10" t="s">
        <v>187</v>
      </c>
      <c r="C563" s="4">
        <v>18.727</v>
      </c>
      <c r="D563" s="5">
        <v>253.7</v>
      </c>
      <c r="E563" s="4"/>
      <c r="F563" s="4"/>
      <c r="G563" s="2">
        <f t="shared" si="48"/>
        <v>18.694</v>
      </c>
      <c r="H563" s="11" t="str">
        <f t="shared" si="49"/>
        <v>3.505E-2</v>
      </c>
      <c r="I563" s="2">
        <f t="shared" si="50"/>
        <v>253.7</v>
      </c>
      <c r="J563" s="4">
        <f t="shared" si="51"/>
        <v>18.694</v>
      </c>
      <c r="K563" s="9">
        <f t="shared" si="52"/>
        <v>16.9</v>
      </c>
      <c r="L563" s="1">
        <f t="shared" si="53"/>
        <v>30.5</v>
      </c>
    </row>
    <row r="564" s="1" customFormat="1" spans="1:12">
      <c r="A564" s="2">
        <v>18.761</v>
      </c>
      <c r="B564" s="10" t="s">
        <v>199</v>
      </c>
      <c r="C564" s="4">
        <v>18.761</v>
      </c>
      <c r="D564" s="5">
        <v>253.7</v>
      </c>
      <c r="E564" s="4"/>
      <c r="F564" s="4"/>
      <c r="G564" s="2">
        <f t="shared" si="48"/>
        <v>18.727</v>
      </c>
      <c r="H564" s="11" t="str">
        <f t="shared" si="49"/>
        <v>3.518E-2</v>
      </c>
      <c r="I564" s="2">
        <f t="shared" si="50"/>
        <v>253.7</v>
      </c>
      <c r="J564" s="4">
        <f t="shared" si="51"/>
        <v>18.727</v>
      </c>
      <c r="K564" s="9">
        <f t="shared" si="52"/>
        <v>18.2</v>
      </c>
      <c r="L564" s="1">
        <f t="shared" si="53"/>
        <v>30.5</v>
      </c>
    </row>
    <row r="565" s="1" customFormat="1" spans="1:12">
      <c r="A565" s="2">
        <v>18.794</v>
      </c>
      <c r="B565" s="10" t="s">
        <v>186</v>
      </c>
      <c r="C565" s="4">
        <v>18.794</v>
      </c>
      <c r="D565" s="5">
        <v>253.7</v>
      </c>
      <c r="E565" s="4"/>
      <c r="F565" s="4"/>
      <c r="G565" s="2">
        <f t="shared" si="48"/>
        <v>18.761</v>
      </c>
      <c r="H565" s="11" t="str">
        <f t="shared" si="49"/>
        <v>3.529E-2</v>
      </c>
      <c r="I565" s="2">
        <f t="shared" si="50"/>
        <v>253.7</v>
      </c>
      <c r="J565" s="4">
        <f t="shared" si="51"/>
        <v>18.761</v>
      </c>
      <c r="K565" s="9">
        <f t="shared" si="52"/>
        <v>19.3</v>
      </c>
      <c r="L565" s="1">
        <f t="shared" si="53"/>
        <v>30.5</v>
      </c>
    </row>
    <row r="566" s="1" customFormat="1" spans="1:12">
      <c r="A566" s="2">
        <v>18.827</v>
      </c>
      <c r="B566" s="10" t="s">
        <v>226</v>
      </c>
      <c r="C566" s="4">
        <v>18.827</v>
      </c>
      <c r="D566" s="5">
        <v>253.7</v>
      </c>
      <c r="E566" s="4"/>
      <c r="F566" s="4"/>
      <c r="G566" s="2">
        <f t="shared" si="48"/>
        <v>18.794</v>
      </c>
      <c r="H566" s="11" t="str">
        <f t="shared" si="49"/>
        <v>3.536E-2</v>
      </c>
      <c r="I566" s="2">
        <f t="shared" si="50"/>
        <v>253.7</v>
      </c>
      <c r="J566" s="4">
        <f t="shared" si="51"/>
        <v>18.794</v>
      </c>
      <c r="K566" s="9">
        <f t="shared" si="52"/>
        <v>20</v>
      </c>
      <c r="L566" s="1">
        <f t="shared" si="53"/>
        <v>30.5</v>
      </c>
    </row>
    <row r="567" s="1" customFormat="1" spans="1:12">
      <c r="A567" s="2">
        <v>18.861</v>
      </c>
      <c r="B567" s="10" t="s">
        <v>135</v>
      </c>
      <c r="C567" s="4">
        <v>18.861</v>
      </c>
      <c r="D567" s="5">
        <v>253.7</v>
      </c>
      <c r="E567" s="4"/>
      <c r="F567" s="4"/>
      <c r="G567" s="2">
        <f t="shared" si="48"/>
        <v>18.827</v>
      </c>
      <c r="H567" s="11" t="str">
        <f t="shared" si="49"/>
        <v>3.551E-2</v>
      </c>
      <c r="I567" s="2">
        <f t="shared" si="50"/>
        <v>253.7</v>
      </c>
      <c r="J567" s="4">
        <f t="shared" si="51"/>
        <v>18.827</v>
      </c>
      <c r="K567" s="9">
        <f t="shared" si="52"/>
        <v>21.5</v>
      </c>
      <c r="L567" s="1">
        <f t="shared" si="53"/>
        <v>30.5</v>
      </c>
    </row>
    <row r="568" s="1" customFormat="1" spans="1:12">
      <c r="A568" s="2">
        <v>18.894</v>
      </c>
      <c r="B568" s="10" t="s">
        <v>66</v>
      </c>
      <c r="C568" s="4">
        <v>18.894</v>
      </c>
      <c r="D568" s="5">
        <v>253.7</v>
      </c>
      <c r="E568" s="4"/>
      <c r="F568" s="4"/>
      <c r="G568" s="2">
        <f t="shared" si="48"/>
        <v>18.861</v>
      </c>
      <c r="H568" s="11" t="str">
        <f t="shared" si="49"/>
        <v>3.560E-2</v>
      </c>
      <c r="I568" s="2">
        <f t="shared" si="50"/>
        <v>253.7</v>
      </c>
      <c r="J568" s="4">
        <f t="shared" si="51"/>
        <v>18.861</v>
      </c>
      <c r="K568" s="9">
        <f t="shared" si="52"/>
        <v>22.4</v>
      </c>
      <c r="L568" s="1">
        <f t="shared" si="53"/>
        <v>30.5</v>
      </c>
    </row>
    <row r="569" s="1" customFormat="1" spans="1:12">
      <c r="A569" s="2">
        <v>18.928</v>
      </c>
      <c r="B569" s="10" t="s">
        <v>301</v>
      </c>
      <c r="C569" s="4">
        <v>18.928</v>
      </c>
      <c r="D569" s="5">
        <v>238.5</v>
      </c>
      <c r="E569" s="4"/>
      <c r="F569" s="4"/>
      <c r="G569" s="2">
        <f t="shared" si="48"/>
        <v>18.894</v>
      </c>
      <c r="H569" s="11" t="str">
        <f t="shared" si="49"/>
        <v>3.575E-2</v>
      </c>
      <c r="I569" s="2">
        <f t="shared" si="50"/>
        <v>253.7</v>
      </c>
      <c r="J569" s="4">
        <f t="shared" si="51"/>
        <v>18.894</v>
      </c>
      <c r="K569" s="9">
        <f t="shared" si="52"/>
        <v>23.9</v>
      </c>
      <c r="L569" s="1">
        <f t="shared" si="53"/>
        <v>30.5</v>
      </c>
    </row>
    <row r="570" s="1" customFormat="1" spans="1:12">
      <c r="A570" s="2">
        <v>18.961</v>
      </c>
      <c r="B570" s="10" t="s">
        <v>69</v>
      </c>
      <c r="C570" s="4">
        <v>18.961</v>
      </c>
      <c r="D570" s="5">
        <v>159.1</v>
      </c>
      <c r="E570" s="4"/>
      <c r="F570" s="4"/>
      <c r="G570" s="2">
        <f t="shared" si="48"/>
        <v>18.928</v>
      </c>
      <c r="H570" s="11" t="str">
        <f t="shared" si="49"/>
        <v>3.585E-2</v>
      </c>
      <c r="I570" s="2">
        <f t="shared" si="50"/>
        <v>238.5</v>
      </c>
      <c r="J570" s="4">
        <f t="shared" si="51"/>
        <v>18.928</v>
      </c>
      <c r="K570" s="9">
        <f t="shared" si="52"/>
        <v>24.9</v>
      </c>
      <c r="L570" s="1">
        <f t="shared" si="53"/>
        <v>30.5</v>
      </c>
    </row>
    <row r="571" s="1" customFormat="1" spans="1:12">
      <c r="A571" s="2">
        <v>18.995</v>
      </c>
      <c r="B571" s="10" t="s">
        <v>281</v>
      </c>
      <c r="C571" s="4">
        <v>18.995</v>
      </c>
      <c r="D571" s="5">
        <v>171.6</v>
      </c>
      <c r="E571" s="4"/>
      <c r="F571" s="4"/>
      <c r="G571" s="2">
        <f t="shared" si="48"/>
        <v>18.961</v>
      </c>
      <c r="H571" s="11" t="str">
        <f t="shared" si="49"/>
        <v>3.592E-2</v>
      </c>
      <c r="I571" s="2">
        <f t="shared" si="50"/>
        <v>159.1</v>
      </c>
      <c r="J571" s="4">
        <f t="shared" si="51"/>
        <v>18.961</v>
      </c>
      <c r="K571" s="9">
        <f t="shared" si="52"/>
        <v>25.6</v>
      </c>
      <c r="L571" s="1">
        <f t="shared" si="53"/>
        <v>-0.399999999999984</v>
      </c>
    </row>
    <row r="572" s="1" customFormat="1" spans="1:12">
      <c r="A572" s="2">
        <v>19.028</v>
      </c>
      <c r="B572" s="10" t="s">
        <v>298</v>
      </c>
      <c r="C572" s="4">
        <v>19.028</v>
      </c>
      <c r="D572" s="5">
        <v>170.9</v>
      </c>
      <c r="E572" s="4"/>
      <c r="F572" s="4"/>
      <c r="G572" s="2">
        <f t="shared" si="48"/>
        <v>18.995</v>
      </c>
      <c r="H572" s="11" t="str">
        <f t="shared" si="49"/>
        <v>3.604E-2</v>
      </c>
      <c r="I572" s="2">
        <f t="shared" si="50"/>
        <v>171.6</v>
      </c>
      <c r="J572" s="4">
        <f t="shared" si="51"/>
        <v>18.995</v>
      </c>
      <c r="K572" s="9">
        <f t="shared" si="52"/>
        <v>26.8</v>
      </c>
      <c r="L572" s="1">
        <f t="shared" si="53"/>
        <v>-0.399999999999984</v>
      </c>
    </row>
    <row r="573" s="1" customFormat="1" spans="1:12">
      <c r="A573" s="2">
        <v>19.062</v>
      </c>
      <c r="B573" s="10" t="s">
        <v>284</v>
      </c>
      <c r="C573" s="4">
        <v>19.062</v>
      </c>
      <c r="D573" s="5">
        <v>170.7</v>
      </c>
      <c r="E573" s="4"/>
      <c r="F573" s="4"/>
      <c r="G573" s="2">
        <f t="shared" si="48"/>
        <v>19.028</v>
      </c>
      <c r="H573" s="11" t="str">
        <f t="shared" si="49"/>
        <v>3.609E-2</v>
      </c>
      <c r="I573" s="2">
        <f t="shared" si="50"/>
        <v>170.9</v>
      </c>
      <c r="J573" s="4">
        <f t="shared" si="51"/>
        <v>19.028</v>
      </c>
      <c r="K573" s="9">
        <f t="shared" si="52"/>
        <v>27.3</v>
      </c>
      <c r="L573" s="1">
        <f t="shared" si="53"/>
        <v>-0.399999999999984</v>
      </c>
    </row>
    <row r="574" s="1" customFormat="1" spans="1:12">
      <c r="A574" s="2">
        <v>19.095</v>
      </c>
      <c r="B574" s="10" t="s">
        <v>303</v>
      </c>
      <c r="C574" s="4">
        <v>19.095</v>
      </c>
      <c r="D574" s="5">
        <v>168.3</v>
      </c>
      <c r="E574" s="4"/>
      <c r="F574" s="4"/>
      <c r="G574" s="2">
        <f t="shared" si="48"/>
        <v>19.062</v>
      </c>
      <c r="H574" s="11" t="str">
        <f t="shared" si="49"/>
        <v>3.612E-2</v>
      </c>
      <c r="I574" s="2">
        <f t="shared" si="50"/>
        <v>170.7</v>
      </c>
      <c r="J574" s="4">
        <f t="shared" si="51"/>
        <v>19.062</v>
      </c>
      <c r="K574" s="9">
        <f t="shared" si="52"/>
        <v>27.6</v>
      </c>
      <c r="L574" s="1">
        <f t="shared" si="53"/>
        <v>-0.399999999999984</v>
      </c>
    </row>
    <row r="575" s="1" customFormat="1" spans="1:12">
      <c r="A575" s="2">
        <v>19.128</v>
      </c>
      <c r="B575" s="10" t="s">
        <v>283</v>
      </c>
      <c r="C575" s="4">
        <v>19.128</v>
      </c>
      <c r="D575" s="5">
        <v>168.8</v>
      </c>
      <c r="E575" s="4"/>
      <c r="F575" s="4"/>
      <c r="G575" s="2">
        <f t="shared" si="48"/>
        <v>19.095</v>
      </c>
      <c r="H575" s="11" t="str">
        <f t="shared" si="49"/>
        <v>3.614E-2</v>
      </c>
      <c r="I575" s="2">
        <f t="shared" si="50"/>
        <v>168.3</v>
      </c>
      <c r="J575" s="4">
        <f t="shared" si="51"/>
        <v>19.095</v>
      </c>
      <c r="K575" s="9">
        <f t="shared" si="52"/>
        <v>27.8</v>
      </c>
      <c r="L575" s="1">
        <f t="shared" si="53"/>
        <v>-0.399999999999984</v>
      </c>
    </row>
    <row r="576" s="1" customFormat="1" spans="1:12">
      <c r="A576" s="2">
        <v>19.162</v>
      </c>
      <c r="B576" s="10" t="s">
        <v>283</v>
      </c>
      <c r="C576" s="4">
        <v>19.162</v>
      </c>
      <c r="D576" s="5">
        <v>168.1</v>
      </c>
      <c r="E576" s="4"/>
      <c r="F576" s="4"/>
      <c r="G576" s="2">
        <f t="shared" si="48"/>
        <v>19.128</v>
      </c>
      <c r="H576" s="11" t="str">
        <f t="shared" si="49"/>
        <v>3.613E-2</v>
      </c>
      <c r="I576" s="2">
        <f t="shared" si="50"/>
        <v>168.8</v>
      </c>
      <c r="J576" s="4">
        <f t="shared" si="51"/>
        <v>19.128</v>
      </c>
      <c r="K576" s="9">
        <f t="shared" si="52"/>
        <v>27.7</v>
      </c>
      <c r="L576" s="1">
        <f t="shared" si="53"/>
        <v>-0.399999999999984</v>
      </c>
    </row>
    <row r="577" s="1" customFormat="1" spans="1:12">
      <c r="A577" s="2">
        <v>19.195</v>
      </c>
      <c r="B577" s="10" t="s">
        <v>133</v>
      </c>
      <c r="C577" s="4">
        <v>19.195</v>
      </c>
      <c r="D577" s="5">
        <v>167</v>
      </c>
      <c r="E577" s="4"/>
      <c r="F577" s="4"/>
      <c r="G577" s="2">
        <f t="shared" si="48"/>
        <v>19.162</v>
      </c>
      <c r="H577" s="11" t="str">
        <f t="shared" si="49"/>
        <v>3.613E-2</v>
      </c>
      <c r="I577" s="2">
        <f t="shared" si="50"/>
        <v>168.1</v>
      </c>
      <c r="J577" s="4">
        <f t="shared" si="51"/>
        <v>19.162</v>
      </c>
      <c r="K577" s="9">
        <f t="shared" si="52"/>
        <v>27.7</v>
      </c>
      <c r="L577" s="1">
        <f t="shared" si="53"/>
        <v>-0.399999999999984</v>
      </c>
    </row>
    <row r="578" s="1" customFormat="1" spans="1:12">
      <c r="A578" s="2">
        <v>19.229</v>
      </c>
      <c r="B578" s="10" t="s">
        <v>297</v>
      </c>
      <c r="C578" s="4">
        <v>19.229</v>
      </c>
      <c r="D578" s="5">
        <v>165.8</v>
      </c>
      <c r="E578" s="4"/>
      <c r="F578" s="4"/>
      <c r="G578" s="2">
        <f t="shared" si="48"/>
        <v>19.195</v>
      </c>
      <c r="H578" s="11" t="str">
        <f t="shared" si="49"/>
        <v>3.610E-2</v>
      </c>
      <c r="I578" s="2">
        <f t="shared" si="50"/>
        <v>167</v>
      </c>
      <c r="J578" s="4">
        <f t="shared" si="51"/>
        <v>19.195</v>
      </c>
      <c r="K578" s="9">
        <f t="shared" si="52"/>
        <v>27.4</v>
      </c>
      <c r="L578" s="1">
        <f t="shared" si="53"/>
        <v>-0.399999999999984</v>
      </c>
    </row>
    <row r="579" s="1" customFormat="1" spans="1:12">
      <c r="A579" s="2">
        <v>19.262</v>
      </c>
      <c r="B579" s="10" t="s">
        <v>281</v>
      </c>
      <c r="C579" s="4">
        <v>19.262</v>
      </c>
      <c r="D579" s="5">
        <v>164.6</v>
      </c>
      <c r="E579" s="4"/>
      <c r="F579" s="4"/>
      <c r="G579" s="2">
        <f t="shared" si="48"/>
        <v>19.229</v>
      </c>
      <c r="H579" s="11" t="str">
        <f t="shared" si="49"/>
        <v>3.607E-2</v>
      </c>
      <c r="I579" s="2">
        <f t="shared" si="50"/>
        <v>165.8</v>
      </c>
      <c r="J579" s="4">
        <f t="shared" si="51"/>
        <v>19.229</v>
      </c>
      <c r="K579" s="9">
        <f t="shared" si="52"/>
        <v>27.1</v>
      </c>
      <c r="L579" s="1">
        <f t="shared" si="53"/>
        <v>-0.399999999999984</v>
      </c>
    </row>
    <row r="580" s="1" customFormat="1" spans="1:12">
      <c r="A580" s="2">
        <v>19.296</v>
      </c>
      <c r="B580" s="10" t="s">
        <v>287</v>
      </c>
      <c r="C580" s="4">
        <v>19.296</v>
      </c>
      <c r="D580" s="5">
        <v>164.7</v>
      </c>
      <c r="E580" s="4"/>
      <c r="F580" s="4"/>
      <c r="G580" s="2">
        <f t="shared" ref="G580:G643" si="54">A579</f>
        <v>19.262</v>
      </c>
      <c r="H580" s="11" t="str">
        <f t="shared" ref="H580:H643" si="55">B579</f>
        <v>3.604E-2</v>
      </c>
      <c r="I580" s="2">
        <f t="shared" ref="I580:I643" si="56">D579</f>
        <v>164.6</v>
      </c>
      <c r="J580" s="4">
        <f t="shared" ref="J580:J643" si="57">G580</f>
        <v>19.262</v>
      </c>
      <c r="K580" s="9">
        <f t="shared" ref="K580:K643" si="58">(H580-$H$4)*10000</f>
        <v>26.8</v>
      </c>
      <c r="L580" s="1">
        <f t="shared" si="53"/>
        <v>-0.399999999999984</v>
      </c>
    </row>
    <row r="581" s="1" customFormat="1" spans="1:12">
      <c r="A581" s="2">
        <v>19.329</v>
      </c>
      <c r="B581" s="10" t="s">
        <v>304</v>
      </c>
      <c r="C581" s="4">
        <v>19.329</v>
      </c>
      <c r="D581" s="5">
        <v>162.6</v>
      </c>
      <c r="E581" s="4"/>
      <c r="F581" s="4"/>
      <c r="G581" s="2">
        <f t="shared" si="54"/>
        <v>19.296</v>
      </c>
      <c r="H581" s="11" t="str">
        <f t="shared" si="55"/>
        <v>3.601E-2</v>
      </c>
      <c r="I581" s="2">
        <f t="shared" si="56"/>
        <v>164.7</v>
      </c>
      <c r="J581" s="4">
        <f t="shared" si="57"/>
        <v>19.296</v>
      </c>
      <c r="K581" s="9">
        <f t="shared" si="58"/>
        <v>26.5</v>
      </c>
      <c r="L581" s="1">
        <f t="shared" ref="L581:L644" si="59">IF(I581&lt;230,$V$4,$V$5)</f>
        <v>-0.399999999999984</v>
      </c>
    </row>
    <row r="582" s="1" customFormat="1" spans="1:12">
      <c r="A582" s="2">
        <v>19.363</v>
      </c>
      <c r="B582" s="10" t="s">
        <v>134</v>
      </c>
      <c r="C582" s="4">
        <v>19.363</v>
      </c>
      <c r="D582" s="5">
        <v>162.2</v>
      </c>
      <c r="E582" s="4"/>
      <c r="F582" s="4"/>
      <c r="G582" s="2">
        <f t="shared" si="54"/>
        <v>19.329</v>
      </c>
      <c r="H582" s="11" t="str">
        <f t="shared" si="55"/>
        <v>3.598E-2</v>
      </c>
      <c r="I582" s="2">
        <f t="shared" si="56"/>
        <v>162.6</v>
      </c>
      <c r="J582" s="4">
        <f t="shared" si="57"/>
        <v>19.329</v>
      </c>
      <c r="K582" s="9">
        <f t="shared" si="58"/>
        <v>26.2</v>
      </c>
      <c r="L582" s="1">
        <f t="shared" si="59"/>
        <v>-0.399999999999984</v>
      </c>
    </row>
    <row r="583" s="1" customFormat="1" spans="1:12">
      <c r="A583" s="2">
        <v>19.396</v>
      </c>
      <c r="B583" s="10" t="s">
        <v>67</v>
      </c>
      <c r="C583" s="4">
        <v>19.396</v>
      </c>
      <c r="D583" s="5">
        <v>161.4</v>
      </c>
      <c r="E583" s="4"/>
      <c r="F583" s="4"/>
      <c r="G583" s="2">
        <f t="shared" si="54"/>
        <v>19.363</v>
      </c>
      <c r="H583" s="11" t="str">
        <f t="shared" si="55"/>
        <v>3.595E-2</v>
      </c>
      <c r="I583" s="2">
        <f t="shared" si="56"/>
        <v>162.2</v>
      </c>
      <c r="J583" s="4">
        <f t="shared" si="57"/>
        <v>19.363</v>
      </c>
      <c r="K583" s="9">
        <f t="shared" si="58"/>
        <v>25.9</v>
      </c>
      <c r="L583" s="1">
        <f t="shared" si="59"/>
        <v>-0.399999999999984</v>
      </c>
    </row>
    <row r="584" s="1" customFormat="1" spans="1:12">
      <c r="A584" s="2">
        <v>19.429</v>
      </c>
      <c r="B584" s="10" t="s">
        <v>176</v>
      </c>
      <c r="C584" s="4">
        <v>19.429</v>
      </c>
      <c r="D584" s="5">
        <v>160.9</v>
      </c>
      <c r="E584" s="4"/>
      <c r="F584" s="4"/>
      <c r="G584" s="2">
        <f t="shared" si="54"/>
        <v>19.396</v>
      </c>
      <c r="H584" s="11" t="str">
        <f t="shared" si="55"/>
        <v>3.587E-2</v>
      </c>
      <c r="I584" s="2">
        <f t="shared" si="56"/>
        <v>161.4</v>
      </c>
      <c r="J584" s="4">
        <f t="shared" si="57"/>
        <v>19.396</v>
      </c>
      <c r="K584" s="9">
        <f t="shared" si="58"/>
        <v>25.1</v>
      </c>
      <c r="L584" s="1">
        <f t="shared" si="59"/>
        <v>-0.399999999999984</v>
      </c>
    </row>
    <row r="585" s="1" customFormat="1" spans="1:12">
      <c r="A585" s="2">
        <v>19.463</v>
      </c>
      <c r="B585" s="10" t="s">
        <v>74</v>
      </c>
      <c r="C585" s="4">
        <v>19.463</v>
      </c>
      <c r="D585" s="5">
        <v>160.2</v>
      </c>
      <c r="E585" s="4"/>
      <c r="F585" s="4"/>
      <c r="G585" s="2">
        <f t="shared" si="54"/>
        <v>19.429</v>
      </c>
      <c r="H585" s="11" t="str">
        <f t="shared" si="55"/>
        <v>3.572E-2</v>
      </c>
      <c r="I585" s="2">
        <f t="shared" si="56"/>
        <v>160.9</v>
      </c>
      <c r="J585" s="4">
        <f t="shared" si="57"/>
        <v>19.429</v>
      </c>
      <c r="K585" s="9">
        <f t="shared" si="58"/>
        <v>23.6</v>
      </c>
      <c r="L585" s="1">
        <f t="shared" si="59"/>
        <v>-0.399999999999984</v>
      </c>
    </row>
    <row r="586" s="1" customFormat="1" spans="1:12">
      <c r="A586" s="2">
        <v>19.496</v>
      </c>
      <c r="B586" s="10" t="s">
        <v>184</v>
      </c>
      <c r="C586" s="4">
        <v>19.496</v>
      </c>
      <c r="D586" s="5">
        <v>159</v>
      </c>
      <c r="E586" s="4"/>
      <c r="F586" s="4"/>
      <c r="G586" s="2">
        <f t="shared" si="54"/>
        <v>19.463</v>
      </c>
      <c r="H586" s="11" t="str">
        <f t="shared" si="55"/>
        <v>3.563E-2</v>
      </c>
      <c r="I586" s="2">
        <f t="shared" si="56"/>
        <v>160.2</v>
      </c>
      <c r="J586" s="4">
        <f t="shared" si="57"/>
        <v>19.463</v>
      </c>
      <c r="K586" s="9">
        <f t="shared" si="58"/>
        <v>22.7</v>
      </c>
      <c r="L586" s="1">
        <f t="shared" si="59"/>
        <v>-0.399999999999984</v>
      </c>
    </row>
    <row r="587" s="1" customFormat="1" spans="1:12">
      <c r="A587" s="2">
        <v>19.53</v>
      </c>
      <c r="B587" s="10" t="s">
        <v>227</v>
      </c>
      <c r="C587" s="4">
        <v>19.53</v>
      </c>
      <c r="D587" s="5">
        <v>157.9</v>
      </c>
      <c r="E587" s="4"/>
      <c r="F587" s="4"/>
      <c r="G587" s="2">
        <f t="shared" si="54"/>
        <v>19.496</v>
      </c>
      <c r="H587" s="11" t="str">
        <f t="shared" si="55"/>
        <v>3.553E-2</v>
      </c>
      <c r="I587" s="2">
        <f t="shared" si="56"/>
        <v>159</v>
      </c>
      <c r="J587" s="4">
        <f t="shared" si="57"/>
        <v>19.496</v>
      </c>
      <c r="K587" s="9">
        <f t="shared" si="58"/>
        <v>21.7</v>
      </c>
      <c r="L587" s="1">
        <f t="shared" si="59"/>
        <v>-0.399999999999984</v>
      </c>
    </row>
    <row r="588" s="1" customFormat="1" spans="1:12">
      <c r="A588" s="2">
        <v>19.563</v>
      </c>
      <c r="B588" s="10" t="s">
        <v>200</v>
      </c>
      <c r="C588" s="4">
        <v>19.563</v>
      </c>
      <c r="D588" s="5">
        <v>158</v>
      </c>
      <c r="E588" s="4"/>
      <c r="F588" s="4"/>
      <c r="G588" s="2">
        <f t="shared" si="54"/>
        <v>19.53</v>
      </c>
      <c r="H588" s="11" t="str">
        <f t="shared" si="55"/>
        <v>3.538E-2</v>
      </c>
      <c r="I588" s="2">
        <f t="shared" si="56"/>
        <v>157.9</v>
      </c>
      <c r="J588" s="4">
        <f t="shared" si="57"/>
        <v>19.53</v>
      </c>
      <c r="K588" s="9">
        <f t="shared" si="58"/>
        <v>20.2</v>
      </c>
      <c r="L588" s="1">
        <f t="shared" si="59"/>
        <v>-0.399999999999984</v>
      </c>
    </row>
    <row r="589" s="1" customFormat="1" spans="1:12">
      <c r="A589" s="2">
        <v>19.597</v>
      </c>
      <c r="B589" s="10" t="s">
        <v>232</v>
      </c>
      <c r="C589" s="4">
        <v>19.597</v>
      </c>
      <c r="D589" s="5">
        <v>156.9</v>
      </c>
      <c r="E589" s="4"/>
      <c r="F589" s="4"/>
      <c r="G589" s="2">
        <f t="shared" si="54"/>
        <v>19.563</v>
      </c>
      <c r="H589" s="11" t="str">
        <f t="shared" si="55"/>
        <v>3.526E-2</v>
      </c>
      <c r="I589" s="2">
        <f t="shared" si="56"/>
        <v>158</v>
      </c>
      <c r="J589" s="4">
        <f t="shared" si="57"/>
        <v>19.563</v>
      </c>
      <c r="K589" s="9">
        <f t="shared" si="58"/>
        <v>19</v>
      </c>
      <c r="L589" s="1">
        <f t="shared" si="59"/>
        <v>-0.399999999999984</v>
      </c>
    </row>
    <row r="590" s="1" customFormat="1" spans="1:12">
      <c r="A590" s="2">
        <v>19.63</v>
      </c>
      <c r="B590" s="10" t="s">
        <v>78</v>
      </c>
      <c r="C590" s="4">
        <v>19.63</v>
      </c>
      <c r="D590" s="5">
        <v>156.3</v>
      </c>
      <c r="E590" s="4"/>
      <c r="F590" s="4"/>
      <c r="G590" s="2">
        <f t="shared" si="54"/>
        <v>19.597</v>
      </c>
      <c r="H590" s="11" t="str">
        <f t="shared" si="55"/>
        <v>3.512E-2</v>
      </c>
      <c r="I590" s="2">
        <f t="shared" si="56"/>
        <v>156.9</v>
      </c>
      <c r="J590" s="4">
        <f t="shared" si="57"/>
        <v>19.597</v>
      </c>
      <c r="K590" s="9">
        <f t="shared" si="58"/>
        <v>17.6</v>
      </c>
      <c r="L590" s="1">
        <f t="shared" si="59"/>
        <v>-0.399999999999984</v>
      </c>
    </row>
    <row r="591" s="1" customFormat="1" spans="1:12">
      <c r="A591" s="2">
        <v>19.664</v>
      </c>
      <c r="B591" s="10" t="s">
        <v>192</v>
      </c>
      <c r="C591" s="4">
        <v>19.664</v>
      </c>
      <c r="D591" s="5">
        <v>155.1</v>
      </c>
      <c r="E591" s="4"/>
      <c r="F591" s="4"/>
      <c r="G591" s="2">
        <f t="shared" si="54"/>
        <v>19.63</v>
      </c>
      <c r="H591" s="11" t="str">
        <f t="shared" si="55"/>
        <v>3.503E-2</v>
      </c>
      <c r="I591" s="2">
        <f t="shared" si="56"/>
        <v>156.3</v>
      </c>
      <c r="J591" s="4">
        <f t="shared" si="57"/>
        <v>19.63</v>
      </c>
      <c r="K591" s="9">
        <f t="shared" si="58"/>
        <v>16.7</v>
      </c>
      <c r="L591" s="1">
        <f t="shared" si="59"/>
        <v>-0.399999999999984</v>
      </c>
    </row>
    <row r="592" s="1" customFormat="1" spans="1:12">
      <c r="A592" s="2">
        <v>19.697</v>
      </c>
      <c r="B592" s="10" t="s">
        <v>305</v>
      </c>
      <c r="C592" s="4">
        <v>19.697</v>
      </c>
      <c r="D592" s="5">
        <v>154.1</v>
      </c>
      <c r="E592" s="4"/>
      <c r="F592" s="4"/>
      <c r="G592" s="2">
        <f t="shared" si="54"/>
        <v>19.664</v>
      </c>
      <c r="H592" s="11" t="str">
        <f t="shared" si="55"/>
        <v>3.495E-2</v>
      </c>
      <c r="I592" s="2">
        <f t="shared" si="56"/>
        <v>155.1</v>
      </c>
      <c r="J592" s="4">
        <f t="shared" si="57"/>
        <v>19.664</v>
      </c>
      <c r="K592" s="9">
        <f t="shared" si="58"/>
        <v>15.9</v>
      </c>
      <c r="L592" s="1">
        <f t="shared" si="59"/>
        <v>-0.399999999999984</v>
      </c>
    </row>
    <row r="593" s="1" customFormat="1" spans="1:12">
      <c r="A593" s="2">
        <v>19.73</v>
      </c>
      <c r="B593" s="10" t="s">
        <v>250</v>
      </c>
      <c r="C593" s="4">
        <v>19.73</v>
      </c>
      <c r="D593" s="5">
        <v>153.3</v>
      </c>
      <c r="E593" s="4"/>
      <c r="F593" s="4"/>
      <c r="G593" s="2">
        <f t="shared" si="54"/>
        <v>19.697</v>
      </c>
      <c r="H593" s="11" t="str">
        <f t="shared" si="55"/>
        <v>3.482E-2</v>
      </c>
      <c r="I593" s="2">
        <f t="shared" si="56"/>
        <v>154.1</v>
      </c>
      <c r="J593" s="4">
        <f t="shared" si="57"/>
        <v>19.697</v>
      </c>
      <c r="K593" s="9">
        <f t="shared" si="58"/>
        <v>14.6</v>
      </c>
      <c r="L593" s="1">
        <f t="shared" si="59"/>
        <v>-0.399999999999984</v>
      </c>
    </row>
    <row r="594" s="1" customFormat="1" spans="1:12">
      <c r="A594" s="2">
        <v>19.764</v>
      </c>
      <c r="B594" s="10" t="s">
        <v>119</v>
      </c>
      <c r="C594" s="4">
        <v>19.764</v>
      </c>
      <c r="D594" s="5">
        <v>151.8</v>
      </c>
      <c r="E594" s="4"/>
      <c r="F594" s="4"/>
      <c r="G594" s="2">
        <f t="shared" si="54"/>
        <v>19.73</v>
      </c>
      <c r="H594" s="11" t="str">
        <f t="shared" si="55"/>
        <v>3.473E-2</v>
      </c>
      <c r="I594" s="2">
        <f t="shared" si="56"/>
        <v>153.3</v>
      </c>
      <c r="J594" s="4">
        <f t="shared" si="57"/>
        <v>19.73</v>
      </c>
      <c r="K594" s="9">
        <f t="shared" si="58"/>
        <v>13.7</v>
      </c>
      <c r="L594" s="1">
        <f t="shared" si="59"/>
        <v>-0.399999999999984</v>
      </c>
    </row>
    <row r="595" s="1" customFormat="1" spans="1:12">
      <c r="A595" s="2">
        <v>19.797</v>
      </c>
      <c r="B595" s="10" t="s">
        <v>119</v>
      </c>
      <c r="C595" s="4">
        <v>19.797</v>
      </c>
      <c r="D595" s="5">
        <v>151.8</v>
      </c>
      <c r="E595" s="4"/>
      <c r="F595" s="4"/>
      <c r="G595" s="2">
        <f t="shared" si="54"/>
        <v>19.764</v>
      </c>
      <c r="H595" s="11" t="str">
        <f t="shared" si="55"/>
        <v>3.471E-2</v>
      </c>
      <c r="I595" s="2">
        <f t="shared" si="56"/>
        <v>151.8</v>
      </c>
      <c r="J595" s="4">
        <f t="shared" si="57"/>
        <v>19.764</v>
      </c>
      <c r="K595" s="9">
        <f t="shared" si="58"/>
        <v>13.5</v>
      </c>
      <c r="L595" s="1">
        <f t="shared" si="59"/>
        <v>-0.399999999999984</v>
      </c>
    </row>
    <row r="596" s="1" customFormat="1" spans="1:12">
      <c r="A596" s="2">
        <v>19.831</v>
      </c>
      <c r="B596" s="10" t="s">
        <v>250</v>
      </c>
      <c r="C596" s="4">
        <v>19.831</v>
      </c>
      <c r="D596" s="5">
        <v>151.2</v>
      </c>
      <c r="E596" s="4"/>
      <c r="F596" s="4"/>
      <c r="G596" s="2">
        <f t="shared" si="54"/>
        <v>19.797</v>
      </c>
      <c r="H596" s="11" t="str">
        <f t="shared" si="55"/>
        <v>3.471E-2</v>
      </c>
      <c r="I596" s="2">
        <f t="shared" si="56"/>
        <v>151.8</v>
      </c>
      <c r="J596" s="4">
        <f t="shared" si="57"/>
        <v>19.797</v>
      </c>
      <c r="K596" s="9">
        <f t="shared" si="58"/>
        <v>13.5</v>
      </c>
      <c r="L596" s="1">
        <f t="shared" si="59"/>
        <v>-0.399999999999984</v>
      </c>
    </row>
    <row r="597" s="1" customFormat="1" spans="1:12">
      <c r="A597" s="2">
        <v>19.864</v>
      </c>
      <c r="B597" s="10" t="s">
        <v>171</v>
      </c>
      <c r="C597" s="4">
        <v>19.864</v>
      </c>
      <c r="D597" s="5">
        <v>150.5</v>
      </c>
      <c r="E597" s="4"/>
      <c r="F597" s="4"/>
      <c r="G597" s="2">
        <f t="shared" si="54"/>
        <v>19.831</v>
      </c>
      <c r="H597" s="11" t="str">
        <f t="shared" si="55"/>
        <v>3.473E-2</v>
      </c>
      <c r="I597" s="2">
        <f t="shared" si="56"/>
        <v>151.2</v>
      </c>
      <c r="J597" s="4">
        <f t="shared" si="57"/>
        <v>19.831</v>
      </c>
      <c r="K597" s="9">
        <f t="shared" si="58"/>
        <v>13.7</v>
      </c>
      <c r="L597" s="1">
        <f t="shared" si="59"/>
        <v>-0.399999999999984</v>
      </c>
    </row>
    <row r="598" s="1" customFormat="1" spans="1:12">
      <c r="A598" s="2">
        <v>19.898</v>
      </c>
      <c r="B598" s="10" t="s">
        <v>172</v>
      </c>
      <c r="C598" s="4">
        <v>19.898</v>
      </c>
      <c r="D598" s="5">
        <v>149.7</v>
      </c>
      <c r="E598" s="4"/>
      <c r="F598" s="4"/>
      <c r="G598" s="2">
        <f t="shared" si="54"/>
        <v>19.864</v>
      </c>
      <c r="H598" s="11" t="str">
        <f t="shared" si="55"/>
        <v>3.474E-2</v>
      </c>
      <c r="I598" s="2">
        <f t="shared" si="56"/>
        <v>150.5</v>
      </c>
      <c r="J598" s="4">
        <f t="shared" si="57"/>
        <v>19.864</v>
      </c>
      <c r="K598" s="9">
        <f t="shared" si="58"/>
        <v>13.8</v>
      </c>
      <c r="L598" s="1">
        <f t="shared" si="59"/>
        <v>-0.399999999999984</v>
      </c>
    </row>
    <row r="599" s="1" customFormat="1" spans="1:12">
      <c r="A599" s="2">
        <v>19.931</v>
      </c>
      <c r="B599" s="10" t="s">
        <v>243</v>
      </c>
      <c r="C599" s="4">
        <v>19.931</v>
      </c>
      <c r="D599" s="5">
        <v>148.8</v>
      </c>
      <c r="E599" s="4"/>
      <c r="F599" s="4"/>
      <c r="G599" s="2">
        <f t="shared" si="54"/>
        <v>19.898</v>
      </c>
      <c r="H599" s="11" t="str">
        <f t="shared" si="55"/>
        <v>3.477E-2</v>
      </c>
      <c r="I599" s="2">
        <f t="shared" si="56"/>
        <v>149.7</v>
      </c>
      <c r="J599" s="4">
        <f t="shared" si="57"/>
        <v>19.898</v>
      </c>
      <c r="K599" s="9">
        <f t="shared" si="58"/>
        <v>14.1</v>
      </c>
      <c r="L599" s="1">
        <f t="shared" si="59"/>
        <v>-0.399999999999984</v>
      </c>
    </row>
    <row r="600" s="1" customFormat="1" spans="1:12">
      <c r="A600" s="2">
        <v>19.964</v>
      </c>
      <c r="B600" s="10" t="s">
        <v>60</v>
      </c>
      <c r="C600" s="4">
        <v>19.964</v>
      </c>
      <c r="D600" s="5">
        <v>147.5</v>
      </c>
      <c r="E600" s="4"/>
      <c r="F600" s="4"/>
      <c r="G600" s="2">
        <f t="shared" si="54"/>
        <v>19.931</v>
      </c>
      <c r="H600" s="11" t="str">
        <f t="shared" si="55"/>
        <v>3.480E-2</v>
      </c>
      <c r="I600" s="2">
        <f t="shared" si="56"/>
        <v>148.8</v>
      </c>
      <c r="J600" s="4">
        <f t="shared" si="57"/>
        <v>19.931</v>
      </c>
      <c r="K600" s="9">
        <f t="shared" si="58"/>
        <v>14.4</v>
      </c>
      <c r="L600" s="1">
        <f t="shared" si="59"/>
        <v>-0.399999999999984</v>
      </c>
    </row>
    <row r="601" s="1" customFormat="1" spans="1:12">
      <c r="A601" s="2">
        <v>19.998</v>
      </c>
      <c r="B601" s="10" t="s">
        <v>231</v>
      </c>
      <c r="C601" s="4">
        <v>19.998</v>
      </c>
      <c r="D601" s="5">
        <v>146</v>
      </c>
      <c r="E601" s="4"/>
      <c r="F601" s="4"/>
      <c r="G601" s="2">
        <f t="shared" si="54"/>
        <v>19.964</v>
      </c>
      <c r="H601" s="11" t="str">
        <f t="shared" si="55"/>
        <v>3.483E-2</v>
      </c>
      <c r="I601" s="2">
        <f t="shared" si="56"/>
        <v>147.5</v>
      </c>
      <c r="J601" s="4">
        <f t="shared" si="57"/>
        <v>19.964</v>
      </c>
      <c r="K601" s="9">
        <f t="shared" si="58"/>
        <v>14.7</v>
      </c>
      <c r="L601" s="1">
        <f t="shared" si="59"/>
        <v>-0.399999999999984</v>
      </c>
    </row>
    <row r="602" s="1" customFormat="1" spans="1:12">
      <c r="A602" s="2">
        <v>20.031</v>
      </c>
      <c r="B602" s="10" t="s">
        <v>39</v>
      </c>
      <c r="C602" s="4">
        <v>20.031</v>
      </c>
      <c r="D602" s="5">
        <v>145.1</v>
      </c>
      <c r="E602" s="4"/>
      <c r="F602" s="4"/>
      <c r="G602" s="2">
        <f t="shared" si="54"/>
        <v>19.998</v>
      </c>
      <c r="H602" s="11" t="str">
        <f t="shared" si="55"/>
        <v>3.487E-2</v>
      </c>
      <c r="I602" s="2">
        <f t="shared" si="56"/>
        <v>146</v>
      </c>
      <c r="J602" s="4">
        <f t="shared" si="57"/>
        <v>19.998</v>
      </c>
      <c r="K602" s="9">
        <f t="shared" si="58"/>
        <v>15.1</v>
      </c>
      <c r="L602" s="1">
        <f t="shared" si="59"/>
        <v>-0.399999999999984</v>
      </c>
    </row>
    <row r="603" s="1" customFormat="1" spans="1:12">
      <c r="A603" s="2">
        <v>20.065</v>
      </c>
      <c r="B603" s="10" t="s">
        <v>31</v>
      </c>
      <c r="C603" s="4">
        <v>20.065</v>
      </c>
      <c r="D603" s="5">
        <v>144.2</v>
      </c>
      <c r="E603" s="4"/>
      <c r="F603" s="4"/>
      <c r="G603" s="2">
        <f t="shared" si="54"/>
        <v>20.031</v>
      </c>
      <c r="H603" s="11" t="str">
        <f t="shared" si="55"/>
        <v>3.489E-2</v>
      </c>
      <c r="I603" s="2">
        <f t="shared" si="56"/>
        <v>145.1</v>
      </c>
      <c r="J603" s="4">
        <f t="shared" si="57"/>
        <v>20.031</v>
      </c>
      <c r="K603" s="9">
        <f t="shared" si="58"/>
        <v>15.3</v>
      </c>
      <c r="L603" s="1">
        <f t="shared" si="59"/>
        <v>-0.399999999999984</v>
      </c>
    </row>
    <row r="604" s="1" customFormat="1" spans="1:12">
      <c r="A604" s="2">
        <v>20.098</v>
      </c>
      <c r="B604" s="10" t="s">
        <v>32</v>
      </c>
      <c r="C604" s="4">
        <v>20.098</v>
      </c>
      <c r="D604" s="5">
        <v>144.4</v>
      </c>
      <c r="E604" s="4"/>
      <c r="F604" s="4"/>
      <c r="G604" s="2">
        <f t="shared" si="54"/>
        <v>20.065</v>
      </c>
      <c r="H604" s="11" t="str">
        <f t="shared" si="55"/>
        <v>3.494E-2</v>
      </c>
      <c r="I604" s="2">
        <f t="shared" si="56"/>
        <v>144.2</v>
      </c>
      <c r="J604" s="4">
        <f t="shared" si="57"/>
        <v>20.065</v>
      </c>
      <c r="K604" s="9">
        <f t="shared" si="58"/>
        <v>15.8</v>
      </c>
      <c r="L604" s="1">
        <f t="shared" si="59"/>
        <v>-0.399999999999984</v>
      </c>
    </row>
    <row r="605" s="1" customFormat="1" spans="1:12">
      <c r="A605" s="2">
        <v>20.132</v>
      </c>
      <c r="B605" s="10" t="s">
        <v>146</v>
      </c>
      <c r="C605" s="4">
        <v>20.132</v>
      </c>
      <c r="D605" s="5">
        <v>142.9</v>
      </c>
      <c r="E605" s="4"/>
      <c r="F605" s="4"/>
      <c r="G605" s="2">
        <f t="shared" si="54"/>
        <v>20.098</v>
      </c>
      <c r="H605" s="11" t="str">
        <f t="shared" si="55"/>
        <v>3.501E-2</v>
      </c>
      <c r="I605" s="2">
        <f t="shared" si="56"/>
        <v>144.4</v>
      </c>
      <c r="J605" s="4">
        <f t="shared" si="57"/>
        <v>20.098</v>
      </c>
      <c r="K605" s="9">
        <f t="shared" si="58"/>
        <v>16.5</v>
      </c>
      <c r="L605" s="1">
        <f t="shared" si="59"/>
        <v>-0.399999999999984</v>
      </c>
    </row>
    <row r="606" s="1" customFormat="1" spans="1:12">
      <c r="A606" s="2">
        <v>20.165</v>
      </c>
      <c r="B606" s="10" t="s">
        <v>215</v>
      </c>
      <c r="C606" s="4">
        <v>20.165</v>
      </c>
      <c r="D606" s="5">
        <v>141.6</v>
      </c>
      <c r="E606" s="4"/>
      <c r="F606" s="4"/>
      <c r="G606" s="2">
        <f t="shared" si="54"/>
        <v>20.132</v>
      </c>
      <c r="H606" s="11" t="str">
        <f t="shared" si="55"/>
        <v>3.514E-2</v>
      </c>
      <c r="I606" s="2">
        <f t="shared" si="56"/>
        <v>142.9</v>
      </c>
      <c r="J606" s="4">
        <f t="shared" si="57"/>
        <v>20.132</v>
      </c>
      <c r="K606" s="9">
        <f t="shared" si="58"/>
        <v>17.8</v>
      </c>
      <c r="L606" s="1">
        <f t="shared" si="59"/>
        <v>-0.399999999999984</v>
      </c>
    </row>
    <row r="607" s="1" customFormat="1" spans="1:12">
      <c r="A607" s="2">
        <v>20.199</v>
      </c>
      <c r="B607" s="10" t="s">
        <v>199</v>
      </c>
      <c r="C607" s="4">
        <v>20.199</v>
      </c>
      <c r="D607" s="5">
        <v>141.4</v>
      </c>
      <c r="E607" s="4"/>
      <c r="F607" s="4"/>
      <c r="G607" s="2">
        <f t="shared" si="54"/>
        <v>20.165</v>
      </c>
      <c r="H607" s="11" t="str">
        <f t="shared" si="55"/>
        <v>3.522E-2</v>
      </c>
      <c r="I607" s="2">
        <f t="shared" si="56"/>
        <v>141.6</v>
      </c>
      <c r="J607" s="4">
        <f t="shared" si="57"/>
        <v>20.165</v>
      </c>
      <c r="K607" s="9">
        <f t="shared" si="58"/>
        <v>18.6</v>
      </c>
      <c r="L607" s="1">
        <f t="shared" si="59"/>
        <v>-0.399999999999984</v>
      </c>
    </row>
    <row r="608" s="1" customFormat="1" spans="1:12">
      <c r="A608" s="2">
        <v>20.232</v>
      </c>
      <c r="B608" s="10" t="s">
        <v>106</v>
      </c>
      <c r="C608" s="4">
        <v>20.232</v>
      </c>
      <c r="D608" s="5">
        <v>138.8</v>
      </c>
      <c r="E608" s="4"/>
      <c r="F608" s="4"/>
      <c r="G608" s="2">
        <f t="shared" si="54"/>
        <v>20.199</v>
      </c>
      <c r="H608" s="11" t="str">
        <f t="shared" si="55"/>
        <v>3.529E-2</v>
      </c>
      <c r="I608" s="2">
        <f t="shared" si="56"/>
        <v>141.4</v>
      </c>
      <c r="J608" s="4">
        <f t="shared" si="57"/>
        <v>20.199</v>
      </c>
      <c r="K608" s="9">
        <f t="shared" si="58"/>
        <v>19.3</v>
      </c>
      <c r="L608" s="1">
        <f t="shared" si="59"/>
        <v>-0.399999999999984</v>
      </c>
    </row>
    <row r="609" s="1" customFormat="1" spans="1:12">
      <c r="A609" s="2">
        <v>20.265</v>
      </c>
      <c r="B609" s="10" t="s">
        <v>148</v>
      </c>
      <c r="C609" s="4">
        <v>20.265</v>
      </c>
      <c r="D609" s="5">
        <v>139</v>
      </c>
      <c r="E609" s="4"/>
      <c r="F609" s="4"/>
      <c r="G609" s="2">
        <f t="shared" si="54"/>
        <v>20.232</v>
      </c>
      <c r="H609" s="11" t="str">
        <f t="shared" si="55"/>
        <v>3.537E-2</v>
      </c>
      <c r="I609" s="2">
        <f t="shared" si="56"/>
        <v>138.8</v>
      </c>
      <c r="J609" s="4">
        <f t="shared" si="57"/>
        <v>20.232</v>
      </c>
      <c r="K609" s="9">
        <f t="shared" si="58"/>
        <v>20.1</v>
      </c>
      <c r="L609" s="1">
        <f t="shared" si="59"/>
        <v>-0.399999999999984</v>
      </c>
    </row>
    <row r="610" s="1" customFormat="1" spans="1:12">
      <c r="A610" s="2">
        <v>20.299</v>
      </c>
      <c r="B610" s="10" t="s">
        <v>208</v>
      </c>
      <c r="C610" s="4">
        <v>20.299</v>
      </c>
      <c r="D610" s="5">
        <v>138.3</v>
      </c>
      <c r="E610" s="4"/>
      <c r="F610" s="4"/>
      <c r="G610" s="2">
        <f t="shared" si="54"/>
        <v>20.265</v>
      </c>
      <c r="H610" s="11" t="str">
        <f t="shared" si="55"/>
        <v>3.547E-2</v>
      </c>
      <c r="I610" s="2">
        <f t="shared" si="56"/>
        <v>139</v>
      </c>
      <c r="J610" s="4">
        <f t="shared" si="57"/>
        <v>20.265</v>
      </c>
      <c r="K610" s="9">
        <f t="shared" si="58"/>
        <v>21.1</v>
      </c>
      <c r="L610" s="1">
        <f t="shared" si="59"/>
        <v>-0.399999999999984</v>
      </c>
    </row>
    <row r="611" s="1" customFormat="1" spans="1:12">
      <c r="A611" s="2">
        <v>20.332</v>
      </c>
      <c r="B611" s="10" t="s">
        <v>306</v>
      </c>
      <c r="C611" s="4">
        <v>20.332</v>
      </c>
      <c r="D611" s="5">
        <v>136</v>
      </c>
      <c r="E611" s="4"/>
      <c r="F611" s="4"/>
      <c r="G611" s="2">
        <f t="shared" si="54"/>
        <v>20.299</v>
      </c>
      <c r="H611" s="11" t="str">
        <f t="shared" si="55"/>
        <v>3.555E-2</v>
      </c>
      <c r="I611" s="2">
        <f t="shared" si="56"/>
        <v>138.3</v>
      </c>
      <c r="J611" s="4">
        <f t="shared" si="57"/>
        <v>20.299</v>
      </c>
      <c r="K611" s="9">
        <f t="shared" si="58"/>
        <v>21.9</v>
      </c>
      <c r="L611" s="1">
        <f t="shared" si="59"/>
        <v>-0.399999999999984</v>
      </c>
    </row>
    <row r="612" s="1" customFormat="1" spans="1:12">
      <c r="A612" s="2">
        <v>20.366</v>
      </c>
      <c r="B612" s="10" t="s">
        <v>212</v>
      </c>
      <c r="C612" s="4">
        <v>20.366</v>
      </c>
      <c r="D612" s="5">
        <v>136</v>
      </c>
      <c r="E612" s="4"/>
      <c r="F612" s="4"/>
      <c r="G612" s="2">
        <f t="shared" si="54"/>
        <v>20.332</v>
      </c>
      <c r="H612" s="11" t="str">
        <f t="shared" si="55"/>
        <v>3.558E-2</v>
      </c>
      <c r="I612" s="2">
        <f t="shared" si="56"/>
        <v>136</v>
      </c>
      <c r="J612" s="4">
        <f t="shared" si="57"/>
        <v>20.332</v>
      </c>
      <c r="K612" s="9">
        <f t="shared" si="58"/>
        <v>22.2</v>
      </c>
      <c r="L612" s="1">
        <f t="shared" si="59"/>
        <v>-0.399999999999984</v>
      </c>
    </row>
    <row r="613" s="1" customFormat="1" spans="1:12">
      <c r="A613" s="2">
        <v>20.399</v>
      </c>
      <c r="B613" s="10" t="s">
        <v>219</v>
      </c>
      <c r="C613" s="4">
        <v>20.399</v>
      </c>
      <c r="D613" s="5">
        <v>136.3</v>
      </c>
      <c r="E613" s="4"/>
      <c r="F613" s="4"/>
      <c r="G613" s="2">
        <f t="shared" si="54"/>
        <v>20.366</v>
      </c>
      <c r="H613" s="11" t="str">
        <f t="shared" si="55"/>
        <v>3.562E-2</v>
      </c>
      <c r="I613" s="2">
        <f t="shared" si="56"/>
        <v>136</v>
      </c>
      <c r="J613" s="4">
        <f t="shared" si="57"/>
        <v>20.366</v>
      </c>
      <c r="K613" s="9">
        <f t="shared" si="58"/>
        <v>22.6</v>
      </c>
      <c r="L613" s="1">
        <f t="shared" si="59"/>
        <v>-0.399999999999984</v>
      </c>
    </row>
    <row r="614" s="1" customFormat="1" spans="1:12">
      <c r="A614" s="2">
        <v>20.433</v>
      </c>
      <c r="B614" s="10" t="s">
        <v>72</v>
      </c>
      <c r="C614" s="4">
        <v>20.433</v>
      </c>
      <c r="D614" s="5">
        <v>134.4</v>
      </c>
      <c r="E614" s="4"/>
      <c r="F614" s="4"/>
      <c r="G614" s="2">
        <f t="shared" si="54"/>
        <v>20.399</v>
      </c>
      <c r="H614" s="11" t="str">
        <f t="shared" si="55"/>
        <v>3.574E-2</v>
      </c>
      <c r="I614" s="2">
        <f t="shared" si="56"/>
        <v>136.3</v>
      </c>
      <c r="J614" s="4">
        <f t="shared" si="57"/>
        <v>20.399</v>
      </c>
      <c r="K614" s="9">
        <f t="shared" si="58"/>
        <v>23.8</v>
      </c>
      <c r="L614" s="1">
        <f t="shared" si="59"/>
        <v>-0.399999999999984</v>
      </c>
    </row>
    <row r="615" s="1" customFormat="1" spans="1:12">
      <c r="A615" s="2">
        <v>20.466</v>
      </c>
      <c r="B615" s="10" t="s">
        <v>182</v>
      </c>
      <c r="C615" s="4">
        <v>20.466</v>
      </c>
      <c r="D615" s="5">
        <v>132.4</v>
      </c>
      <c r="E615" s="4"/>
      <c r="F615" s="4"/>
      <c r="G615" s="2">
        <f t="shared" si="54"/>
        <v>20.433</v>
      </c>
      <c r="H615" s="11" t="str">
        <f t="shared" si="55"/>
        <v>3.577E-2</v>
      </c>
      <c r="I615" s="2">
        <f t="shared" si="56"/>
        <v>134.4</v>
      </c>
      <c r="J615" s="4">
        <f t="shared" si="57"/>
        <v>20.433</v>
      </c>
      <c r="K615" s="9">
        <f t="shared" si="58"/>
        <v>24.1</v>
      </c>
      <c r="L615" s="1">
        <f t="shared" si="59"/>
        <v>-0.399999999999984</v>
      </c>
    </row>
    <row r="616" s="1" customFormat="1" spans="1:12">
      <c r="A616" s="2">
        <v>20.5</v>
      </c>
      <c r="B616" s="10" t="s">
        <v>182</v>
      </c>
      <c r="C616" s="4">
        <v>20.5</v>
      </c>
      <c r="D616" s="5">
        <v>132.1</v>
      </c>
      <c r="E616" s="4"/>
      <c r="F616" s="4"/>
      <c r="G616" s="2">
        <f t="shared" si="54"/>
        <v>20.466</v>
      </c>
      <c r="H616" s="11" t="str">
        <f t="shared" si="55"/>
        <v>3.578E-2</v>
      </c>
      <c r="I616" s="2">
        <f t="shared" si="56"/>
        <v>132.4</v>
      </c>
      <c r="J616" s="4">
        <f t="shared" si="57"/>
        <v>20.466</v>
      </c>
      <c r="K616" s="9">
        <f t="shared" si="58"/>
        <v>24.2</v>
      </c>
      <c r="L616" s="1">
        <f t="shared" si="59"/>
        <v>-0.399999999999984</v>
      </c>
    </row>
    <row r="617" s="1" customFormat="1" spans="1:12">
      <c r="A617" s="2">
        <v>20.533</v>
      </c>
      <c r="B617" s="10" t="s">
        <v>72</v>
      </c>
      <c r="C617" s="4">
        <v>20.533</v>
      </c>
      <c r="D617" s="5">
        <v>131</v>
      </c>
      <c r="E617" s="4"/>
      <c r="F617" s="4"/>
      <c r="G617" s="2">
        <f t="shared" si="54"/>
        <v>20.5</v>
      </c>
      <c r="H617" s="11" t="str">
        <f t="shared" si="55"/>
        <v>3.578E-2</v>
      </c>
      <c r="I617" s="2">
        <f t="shared" si="56"/>
        <v>132.1</v>
      </c>
      <c r="J617" s="4">
        <f t="shared" si="57"/>
        <v>20.5</v>
      </c>
      <c r="K617" s="9">
        <f t="shared" si="58"/>
        <v>24.2</v>
      </c>
      <c r="L617" s="1">
        <f t="shared" si="59"/>
        <v>-0.399999999999984</v>
      </c>
    </row>
    <row r="618" s="1" customFormat="1" spans="1:12">
      <c r="A618" s="2">
        <v>20.566</v>
      </c>
      <c r="B618" s="10" t="s">
        <v>66</v>
      </c>
      <c r="C618" s="4">
        <v>20.566</v>
      </c>
      <c r="D618" s="5">
        <v>130.6</v>
      </c>
      <c r="E618" s="4"/>
      <c r="F618" s="4"/>
      <c r="G618" s="2">
        <f t="shared" si="54"/>
        <v>20.533</v>
      </c>
      <c r="H618" s="11" t="str">
        <f t="shared" si="55"/>
        <v>3.577E-2</v>
      </c>
      <c r="I618" s="2">
        <f t="shared" si="56"/>
        <v>131</v>
      </c>
      <c r="J618" s="4">
        <f t="shared" si="57"/>
        <v>20.533</v>
      </c>
      <c r="K618" s="9">
        <f t="shared" si="58"/>
        <v>24.1</v>
      </c>
      <c r="L618" s="1">
        <f t="shared" si="59"/>
        <v>-0.399999999999984</v>
      </c>
    </row>
    <row r="619" s="1" customFormat="1" spans="1:12">
      <c r="A619" s="2">
        <v>20.6</v>
      </c>
      <c r="B619" s="10" t="s">
        <v>73</v>
      </c>
      <c r="C619" s="4">
        <v>20.6</v>
      </c>
      <c r="D619" s="5">
        <v>129.3</v>
      </c>
      <c r="E619" s="4"/>
      <c r="F619" s="4"/>
      <c r="G619" s="2">
        <f t="shared" si="54"/>
        <v>20.566</v>
      </c>
      <c r="H619" s="11" t="str">
        <f t="shared" si="55"/>
        <v>3.575E-2</v>
      </c>
      <c r="I619" s="2">
        <f t="shared" si="56"/>
        <v>130.6</v>
      </c>
      <c r="J619" s="4">
        <f t="shared" si="57"/>
        <v>20.566</v>
      </c>
      <c r="K619" s="9">
        <f t="shared" si="58"/>
        <v>23.9</v>
      </c>
      <c r="L619" s="1">
        <f t="shared" si="59"/>
        <v>-0.399999999999984</v>
      </c>
    </row>
    <row r="620" s="1" customFormat="1" spans="1:12">
      <c r="A620" s="2">
        <v>20.633</v>
      </c>
      <c r="B620" s="10" t="s">
        <v>211</v>
      </c>
      <c r="C620" s="4">
        <v>20.633</v>
      </c>
      <c r="D620" s="5">
        <v>129.2</v>
      </c>
      <c r="E620" s="4"/>
      <c r="F620" s="4"/>
      <c r="G620" s="2">
        <f t="shared" si="54"/>
        <v>20.6</v>
      </c>
      <c r="H620" s="11" t="str">
        <f t="shared" si="55"/>
        <v>3.571E-2</v>
      </c>
      <c r="I620" s="2">
        <f t="shared" si="56"/>
        <v>129.3</v>
      </c>
      <c r="J620" s="4">
        <f t="shared" si="57"/>
        <v>20.6</v>
      </c>
      <c r="K620" s="9">
        <f t="shared" si="58"/>
        <v>23.5</v>
      </c>
      <c r="L620" s="1">
        <f t="shared" si="59"/>
        <v>-0.399999999999984</v>
      </c>
    </row>
    <row r="621" s="1" customFormat="1" spans="1:12">
      <c r="A621" s="2">
        <v>20.667</v>
      </c>
      <c r="B621" s="10" t="s">
        <v>163</v>
      </c>
      <c r="C621" s="4">
        <v>20.667</v>
      </c>
      <c r="D621" s="5">
        <v>127.4</v>
      </c>
      <c r="E621" s="4"/>
      <c r="F621" s="4"/>
      <c r="G621" s="2">
        <f t="shared" si="54"/>
        <v>20.633</v>
      </c>
      <c r="H621" s="11" t="str">
        <f t="shared" si="55"/>
        <v>3.568E-2</v>
      </c>
      <c r="I621" s="2">
        <f t="shared" si="56"/>
        <v>129.2</v>
      </c>
      <c r="J621" s="4">
        <f t="shared" si="57"/>
        <v>20.633</v>
      </c>
      <c r="K621" s="9">
        <f t="shared" si="58"/>
        <v>23.2</v>
      </c>
      <c r="L621" s="1">
        <f t="shared" si="59"/>
        <v>-0.399999999999984</v>
      </c>
    </row>
    <row r="622" s="1" customFormat="1" spans="1:12">
      <c r="A622" s="2">
        <v>20.7</v>
      </c>
      <c r="B622" s="10" t="s">
        <v>209</v>
      </c>
      <c r="C622" s="4">
        <v>20.7</v>
      </c>
      <c r="D622" s="5">
        <v>126.8</v>
      </c>
      <c r="E622" s="4"/>
      <c r="F622" s="4"/>
      <c r="G622" s="2">
        <f t="shared" si="54"/>
        <v>20.667</v>
      </c>
      <c r="H622" s="11" t="str">
        <f t="shared" si="55"/>
        <v>3.565E-2</v>
      </c>
      <c r="I622" s="2">
        <f t="shared" si="56"/>
        <v>127.4</v>
      </c>
      <c r="J622" s="4">
        <f t="shared" si="57"/>
        <v>20.667</v>
      </c>
      <c r="K622" s="9">
        <f t="shared" si="58"/>
        <v>22.9</v>
      </c>
      <c r="L622" s="1">
        <f t="shared" si="59"/>
        <v>-0.399999999999984</v>
      </c>
    </row>
    <row r="623" s="1" customFormat="1" spans="1:12">
      <c r="A623" s="2">
        <v>20.734</v>
      </c>
      <c r="B623" s="10" t="s">
        <v>92</v>
      </c>
      <c r="C623" s="4">
        <v>20.734</v>
      </c>
      <c r="D623" s="5">
        <v>126.1</v>
      </c>
      <c r="E623" s="4"/>
      <c r="F623" s="4"/>
      <c r="G623" s="2">
        <f t="shared" si="54"/>
        <v>20.7</v>
      </c>
      <c r="H623" s="11" t="str">
        <f t="shared" si="55"/>
        <v>3.561E-2</v>
      </c>
      <c r="I623" s="2">
        <f t="shared" si="56"/>
        <v>126.8</v>
      </c>
      <c r="J623" s="4">
        <f t="shared" si="57"/>
        <v>20.7</v>
      </c>
      <c r="K623" s="9">
        <f t="shared" si="58"/>
        <v>22.5</v>
      </c>
      <c r="L623" s="1">
        <f t="shared" si="59"/>
        <v>-0.399999999999984</v>
      </c>
    </row>
    <row r="624" s="1" customFormat="1" spans="1:12">
      <c r="A624" s="2">
        <v>20.767</v>
      </c>
      <c r="B624" s="10" t="s">
        <v>136</v>
      </c>
      <c r="C624" s="4">
        <v>20.767</v>
      </c>
      <c r="D624" s="5">
        <v>125.2</v>
      </c>
      <c r="E624" s="4"/>
      <c r="F624" s="4"/>
      <c r="G624" s="2">
        <f t="shared" si="54"/>
        <v>20.734</v>
      </c>
      <c r="H624" s="11" t="str">
        <f t="shared" si="55"/>
        <v>3.554E-2</v>
      </c>
      <c r="I624" s="2">
        <f t="shared" si="56"/>
        <v>126.1</v>
      </c>
      <c r="J624" s="4">
        <f t="shared" si="57"/>
        <v>20.734</v>
      </c>
      <c r="K624" s="9">
        <f t="shared" si="58"/>
        <v>21.8</v>
      </c>
      <c r="L624" s="1">
        <f t="shared" si="59"/>
        <v>-0.399999999999984</v>
      </c>
    </row>
    <row r="625" s="1" customFormat="1" spans="1:12">
      <c r="A625" s="2">
        <v>20.801</v>
      </c>
      <c r="B625" s="10" t="s">
        <v>174</v>
      </c>
      <c r="C625" s="4">
        <v>20.801</v>
      </c>
      <c r="D625" s="5">
        <v>124</v>
      </c>
      <c r="E625" s="4"/>
      <c r="F625" s="4"/>
      <c r="G625" s="2">
        <f t="shared" si="54"/>
        <v>20.767</v>
      </c>
      <c r="H625" s="11" t="str">
        <f t="shared" si="55"/>
        <v>3.540E-2</v>
      </c>
      <c r="I625" s="2">
        <f t="shared" si="56"/>
        <v>125.2</v>
      </c>
      <c r="J625" s="4">
        <f t="shared" si="57"/>
        <v>20.767</v>
      </c>
      <c r="K625" s="9">
        <f t="shared" si="58"/>
        <v>20.4</v>
      </c>
      <c r="L625" s="1">
        <f t="shared" si="59"/>
        <v>-0.399999999999984</v>
      </c>
    </row>
    <row r="626" s="1" customFormat="1" spans="1:12">
      <c r="A626" s="2">
        <v>20.834</v>
      </c>
      <c r="B626" s="10" t="s">
        <v>188</v>
      </c>
      <c r="C626" s="4">
        <v>20.834</v>
      </c>
      <c r="D626" s="5">
        <v>123.1</v>
      </c>
      <c r="E626" s="4"/>
      <c r="F626" s="4"/>
      <c r="G626" s="2">
        <f t="shared" si="54"/>
        <v>20.801</v>
      </c>
      <c r="H626" s="11" t="str">
        <f t="shared" si="55"/>
        <v>3.528E-2</v>
      </c>
      <c r="I626" s="2">
        <f t="shared" si="56"/>
        <v>124</v>
      </c>
      <c r="J626" s="4">
        <f t="shared" si="57"/>
        <v>20.801</v>
      </c>
      <c r="K626" s="9">
        <f t="shared" si="58"/>
        <v>19.2</v>
      </c>
      <c r="L626" s="1">
        <f t="shared" si="59"/>
        <v>-0.399999999999984</v>
      </c>
    </row>
    <row r="627" s="1" customFormat="1" spans="1:12">
      <c r="A627" s="2">
        <v>20.867</v>
      </c>
      <c r="B627" s="10" t="s">
        <v>33</v>
      </c>
      <c r="C627" s="4">
        <v>20.867</v>
      </c>
      <c r="D627" s="4">
        <v>121.3</v>
      </c>
      <c r="G627" s="2">
        <f t="shared" si="54"/>
        <v>20.834</v>
      </c>
      <c r="H627" s="11" t="str">
        <f t="shared" si="55"/>
        <v>3.513E-2</v>
      </c>
      <c r="I627" s="2">
        <f t="shared" si="56"/>
        <v>123.1</v>
      </c>
      <c r="J627" s="4">
        <f t="shared" si="57"/>
        <v>20.834</v>
      </c>
      <c r="K627" s="9">
        <f t="shared" si="58"/>
        <v>17.7</v>
      </c>
      <c r="L627" s="1">
        <f t="shared" si="59"/>
        <v>-0.399999999999984</v>
      </c>
    </row>
    <row r="628" s="1" customFormat="1" spans="1:12">
      <c r="A628" s="2">
        <v>20.901</v>
      </c>
      <c r="B628" s="10" t="s">
        <v>37</v>
      </c>
      <c r="C628" s="4">
        <v>20.901</v>
      </c>
      <c r="D628" s="4">
        <v>121</v>
      </c>
      <c r="G628" s="2">
        <f t="shared" si="54"/>
        <v>20.867</v>
      </c>
      <c r="H628" s="11" t="str">
        <f t="shared" si="55"/>
        <v>3.504E-2</v>
      </c>
      <c r="I628" s="2">
        <f t="shared" si="56"/>
        <v>121.3</v>
      </c>
      <c r="J628" s="4">
        <f t="shared" si="57"/>
        <v>20.867</v>
      </c>
      <c r="K628" s="9">
        <f t="shared" si="58"/>
        <v>16.8</v>
      </c>
      <c r="L628" s="1">
        <f t="shared" si="59"/>
        <v>-0.399999999999984</v>
      </c>
    </row>
    <row r="629" s="1" customFormat="1" spans="1:12">
      <c r="A629" s="2">
        <v>20.934</v>
      </c>
      <c r="B629" s="10" t="s">
        <v>29</v>
      </c>
      <c r="C629" s="4">
        <v>20.934</v>
      </c>
      <c r="D629" s="4">
        <v>119.2</v>
      </c>
      <c r="G629" s="2">
        <f t="shared" si="54"/>
        <v>20.901</v>
      </c>
      <c r="H629" s="11" t="str">
        <f t="shared" si="55"/>
        <v>3.496E-2</v>
      </c>
      <c r="I629" s="2">
        <f t="shared" si="56"/>
        <v>121</v>
      </c>
      <c r="J629" s="4">
        <f t="shared" si="57"/>
        <v>20.901</v>
      </c>
      <c r="K629" s="9">
        <f t="shared" si="58"/>
        <v>16</v>
      </c>
      <c r="L629" s="1">
        <f t="shared" si="59"/>
        <v>-0.399999999999984</v>
      </c>
    </row>
    <row r="630" s="1" customFormat="1" spans="1:12">
      <c r="A630" s="2">
        <v>20.968</v>
      </c>
      <c r="B630" s="10" t="s">
        <v>28</v>
      </c>
      <c r="C630" s="4">
        <v>20.968</v>
      </c>
      <c r="D630" s="4">
        <v>118.7</v>
      </c>
      <c r="G630" s="2">
        <f t="shared" si="54"/>
        <v>20.934</v>
      </c>
      <c r="H630" s="11" t="str">
        <f t="shared" si="55"/>
        <v>3.478E-2</v>
      </c>
      <c r="I630" s="2">
        <f t="shared" si="56"/>
        <v>119.2</v>
      </c>
      <c r="J630" s="4">
        <f t="shared" si="57"/>
        <v>20.934</v>
      </c>
      <c r="K630" s="9">
        <f t="shared" si="58"/>
        <v>14.2</v>
      </c>
      <c r="L630" s="1">
        <f t="shared" si="59"/>
        <v>-0.399999999999984</v>
      </c>
    </row>
    <row r="631" s="1" customFormat="1" spans="1:12">
      <c r="A631" s="2">
        <v>21.001</v>
      </c>
      <c r="B631" s="10" t="s">
        <v>110</v>
      </c>
      <c r="C631" s="4">
        <v>21.001</v>
      </c>
      <c r="D631" s="4">
        <v>116.5</v>
      </c>
      <c r="G631" s="2">
        <f t="shared" si="54"/>
        <v>20.968</v>
      </c>
      <c r="H631" s="11" t="str">
        <f t="shared" si="55"/>
        <v>3.470E-2</v>
      </c>
      <c r="I631" s="2">
        <f t="shared" si="56"/>
        <v>118.7</v>
      </c>
      <c r="J631" s="4">
        <f t="shared" si="57"/>
        <v>20.968</v>
      </c>
      <c r="K631" s="9">
        <f t="shared" si="58"/>
        <v>13.4</v>
      </c>
      <c r="L631" s="1">
        <f t="shared" si="59"/>
        <v>-0.399999999999984</v>
      </c>
    </row>
    <row r="632" s="1" customFormat="1" spans="1:12">
      <c r="A632" s="2">
        <v>21.035</v>
      </c>
      <c r="B632" s="10" t="s">
        <v>221</v>
      </c>
      <c r="C632" s="4">
        <v>21.035</v>
      </c>
      <c r="D632" s="4">
        <v>115.6</v>
      </c>
      <c r="G632" s="2">
        <f t="shared" si="54"/>
        <v>21.001</v>
      </c>
      <c r="H632" s="11" t="str">
        <f t="shared" si="55"/>
        <v>3.457E-2</v>
      </c>
      <c r="I632" s="2">
        <f t="shared" si="56"/>
        <v>116.5</v>
      </c>
      <c r="J632" s="4">
        <f t="shared" si="57"/>
        <v>21.001</v>
      </c>
      <c r="K632" s="9">
        <f t="shared" si="58"/>
        <v>12.1</v>
      </c>
      <c r="L632" s="1">
        <f t="shared" si="59"/>
        <v>-0.399999999999984</v>
      </c>
    </row>
    <row r="633" s="1" customFormat="1" spans="1:12">
      <c r="A633" s="2">
        <v>21.068</v>
      </c>
      <c r="B633" s="10" t="s">
        <v>222</v>
      </c>
      <c r="C633" s="4">
        <v>21.068</v>
      </c>
      <c r="D633" s="4">
        <v>115.6</v>
      </c>
      <c r="G633" s="2">
        <f t="shared" si="54"/>
        <v>21.035</v>
      </c>
      <c r="H633" s="11" t="str">
        <f t="shared" si="55"/>
        <v>3.448E-2</v>
      </c>
      <c r="I633" s="2">
        <f t="shared" si="56"/>
        <v>115.6</v>
      </c>
      <c r="J633" s="4">
        <f t="shared" si="57"/>
        <v>21.035</v>
      </c>
      <c r="K633" s="9">
        <f t="shared" si="58"/>
        <v>11.2</v>
      </c>
      <c r="L633" s="1">
        <f t="shared" si="59"/>
        <v>-0.399999999999984</v>
      </c>
    </row>
    <row r="634" s="1" customFormat="1" spans="1:12">
      <c r="A634" s="2">
        <v>21.102</v>
      </c>
      <c r="B634" s="10" t="s">
        <v>23</v>
      </c>
      <c r="C634" s="4">
        <v>21.102</v>
      </c>
      <c r="D634" s="4">
        <v>114.5</v>
      </c>
      <c r="G634" s="2">
        <f t="shared" si="54"/>
        <v>21.068</v>
      </c>
      <c r="H634" s="11" t="str">
        <f t="shared" si="55"/>
        <v>3.443E-2</v>
      </c>
      <c r="I634" s="2">
        <f t="shared" si="56"/>
        <v>115.6</v>
      </c>
      <c r="J634" s="4">
        <f t="shared" si="57"/>
        <v>21.068</v>
      </c>
      <c r="K634" s="9">
        <f t="shared" si="58"/>
        <v>10.7</v>
      </c>
      <c r="L634" s="1">
        <f t="shared" si="59"/>
        <v>-0.399999999999984</v>
      </c>
    </row>
    <row r="635" s="1" customFormat="1" spans="1:12">
      <c r="A635" s="2">
        <v>21.135</v>
      </c>
      <c r="B635" s="10" t="s">
        <v>222</v>
      </c>
      <c r="C635" s="4">
        <v>21.135</v>
      </c>
      <c r="D635" s="4">
        <v>113.3</v>
      </c>
      <c r="G635" s="2">
        <f t="shared" si="54"/>
        <v>21.102</v>
      </c>
      <c r="H635" s="11" t="str">
        <f t="shared" si="55"/>
        <v>3.442E-2</v>
      </c>
      <c r="I635" s="2">
        <f t="shared" si="56"/>
        <v>114.5</v>
      </c>
      <c r="J635" s="4">
        <f t="shared" si="57"/>
        <v>21.102</v>
      </c>
      <c r="K635" s="9">
        <f t="shared" si="58"/>
        <v>10.6</v>
      </c>
      <c r="L635" s="1">
        <f t="shared" si="59"/>
        <v>-0.399999999999984</v>
      </c>
    </row>
    <row r="636" s="1" customFormat="1" spans="1:12">
      <c r="A636" s="2">
        <v>21.168</v>
      </c>
      <c r="B636" s="10" t="s">
        <v>141</v>
      </c>
      <c r="C636" s="4">
        <v>21.168</v>
      </c>
      <c r="D636" s="4">
        <v>111.6</v>
      </c>
      <c r="G636" s="2">
        <f t="shared" si="54"/>
        <v>21.135</v>
      </c>
      <c r="H636" s="11" t="str">
        <f t="shared" si="55"/>
        <v>3.443E-2</v>
      </c>
      <c r="I636" s="2">
        <f t="shared" si="56"/>
        <v>113.3</v>
      </c>
      <c r="J636" s="4">
        <f t="shared" si="57"/>
        <v>21.135</v>
      </c>
      <c r="K636" s="9">
        <f t="shared" si="58"/>
        <v>10.7</v>
      </c>
      <c r="L636" s="1">
        <f t="shared" si="59"/>
        <v>-0.399999999999984</v>
      </c>
    </row>
    <row r="637" s="1" customFormat="1" spans="1:12">
      <c r="A637" s="2">
        <v>21.202</v>
      </c>
      <c r="B637" s="10" t="s">
        <v>216</v>
      </c>
      <c r="C637" s="4">
        <v>21.202</v>
      </c>
      <c r="D637" s="4">
        <v>110.2</v>
      </c>
      <c r="G637" s="2">
        <f t="shared" si="54"/>
        <v>21.168</v>
      </c>
      <c r="H637" s="11" t="str">
        <f t="shared" si="55"/>
        <v>3.444E-2</v>
      </c>
      <c r="I637" s="2">
        <f t="shared" si="56"/>
        <v>111.6</v>
      </c>
      <c r="J637" s="4">
        <f t="shared" si="57"/>
        <v>21.168</v>
      </c>
      <c r="K637" s="9">
        <f t="shared" si="58"/>
        <v>10.8</v>
      </c>
      <c r="L637" s="1">
        <f t="shared" si="59"/>
        <v>-0.399999999999984</v>
      </c>
    </row>
    <row r="638" s="1" customFormat="1" spans="1:12">
      <c r="A638" s="2">
        <v>21.235</v>
      </c>
      <c r="B638" s="10" t="s">
        <v>221</v>
      </c>
      <c r="C638" s="4">
        <v>21.235</v>
      </c>
      <c r="D638" s="4">
        <v>109.4</v>
      </c>
      <c r="G638" s="2">
        <f t="shared" si="54"/>
        <v>21.202</v>
      </c>
      <c r="H638" s="11" t="str">
        <f t="shared" si="55"/>
        <v>3.446E-2</v>
      </c>
      <c r="I638" s="2">
        <f t="shared" si="56"/>
        <v>110.2</v>
      </c>
      <c r="J638" s="4">
        <f t="shared" si="57"/>
        <v>21.202</v>
      </c>
      <c r="K638" s="9">
        <f t="shared" si="58"/>
        <v>11</v>
      </c>
      <c r="L638" s="1">
        <f t="shared" si="59"/>
        <v>-0.399999999999984</v>
      </c>
    </row>
    <row r="639" s="1" customFormat="1" spans="1:12">
      <c r="A639" s="2">
        <v>21.269</v>
      </c>
      <c r="B639" s="10" t="s">
        <v>59</v>
      </c>
      <c r="C639" s="4">
        <v>21.269</v>
      </c>
      <c r="D639" s="4">
        <v>107.6</v>
      </c>
      <c r="G639" s="2">
        <f t="shared" si="54"/>
        <v>21.235</v>
      </c>
      <c r="H639" s="11" t="str">
        <f t="shared" si="55"/>
        <v>3.448E-2</v>
      </c>
      <c r="I639" s="2">
        <f t="shared" si="56"/>
        <v>109.4</v>
      </c>
      <c r="J639" s="4">
        <f t="shared" si="57"/>
        <v>21.235</v>
      </c>
      <c r="K639" s="9">
        <f t="shared" si="58"/>
        <v>11.2</v>
      </c>
      <c r="L639" s="1">
        <f t="shared" si="59"/>
        <v>-0.399999999999984</v>
      </c>
    </row>
    <row r="640" s="1" customFormat="1" spans="1:12">
      <c r="A640" s="2">
        <v>21.302</v>
      </c>
      <c r="B640" s="10" t="s">
        <v>140</v>
      </c>
      <c r="C640" s="4">
        <v>21.302</v>
      </c>
      <c r="D640" s="4">
        <v>106.8</v>
      </c>
      <c r="G640" s="2">
        <f t="shared" si="54"/>
        <v>21.269</v>
      </c>
      <c r="H640" s="11" t="str">
        <f t="shared" si="55"/>
        <v>3.452E-2</v>
      </c>
      <c r="I640" s="2">
        <f t="shared" si="56"/>
        <v>107.6</v>
      </c>
      <c r="J640" s="4">
        <f t="shared" si="57"/>
        <v>21.269</v>
      </c>
      <c r="K640" s="9">
        <f t="shared" si="58"/>
        <v>11.6</v>
      </c>
      <c r="L640" s="1">
        <f t="shared" si="59"/>
        <v>-0.399999999999984</v>
      </c>
    </row>
    <row r="641" s="1" customFormat="1" spans="1:12">
      <c r="A641" s="2">
        <v>21.336</v>
      </c>
      <c r="B641" s="10" t="s">
        <v>110</v>
      </c>
      <c r="C641" s="4">
        <v>21.336</v>
      </c>
      <c r="D641" s="4">
        <v>105</v>
      </c>
      <c r="G641" s="2">
        <f t="shared" si="54"/>
        <v>21.302</v>
      </c>
      <c r="H641" s="11" t="str">
        <f t="shared" si="55"/>
        <v>3.454E-2</v>
      </c>
      <c r="I641" s="2">
        <f t="shared" si="56"/>
        <v>106.8</v>
      </c>
      <c r="J641" s="4">
        <f t="shared" si="57"/>
        <v>21.302</v>
      </c>
      <c r="K641" s="9">
        <f t="shared" si="58"/>
        <v>11.8</v>
      </c>
      <c r="L641" s="1">
        <f t="shared" si="59"/>
        <v>-0.399999999999984</v>
      </c>
    </row>
    <row r="642" s="1" customFormat="1" spans="1:12">
      <c r="A642" s="2">
        <v>21.369</v>
      </c>
      <c r="B642" s="10" t="s">
        <v>203</v>
      </c>
      <c r="C642" s="4">
        <v>21.369</v>
      </c>
      <c r="D642" s="4">
        <v>104</v>
      </c>
      <c r="G642" s="2">
        <f t="shared" si="54"/>
        <v>21.336</v>
      </c>
      <c r="H642" s="11" t="str">
        <f t="shared" si="55"/>
        <v>3.457E-2</v>
      </c>
      <c r="I642" s="2">
        <f t="shared" si="56"/>
        <v>105</v>
      </c>
      <c r="J642" s="4">
        <f t="shared" si="57"/>
        <v>21.336</v>
      </c>
      <c r="K642" s="9">
        <f t="shared" si="58"/>
        <v>12.1</v>
      </c>
      <c r="L642" s="1">
        <f t="shared" si="59"/>
        <v>-0.399999999999984</v>
      </c>
    </row>
    <row r="643" s="1" customFormat="1" spans="1:12">
      <c r="A643" s="2">
        <v>21.402</v>
      </c>
      <c r="B643" s="10" t="s">
        <v>217</v>
      </c>
      <c r="C643" s="4">
        <v>21.402</v>
      </c>
      <c r="D643" s="4">
        <v>103.5</v>
      </c>
      <c r="G643" s="2">
        <f t="shared" si="54"/>
        <v>21.369</v>
      </c>
      <c r="H643" s="11" t="str">
        <f t="shared" si="55"/>
        <v>3.460E-2</v>
      </c>
      <c r="I643" s="2">
        <f t="shared" si="56"/>
        <v>104</v>
      </c>
      <c r="J643" s="4">
        <f t="shared" si="57"/>
        <v>21.369</v>
      </c>
      <c r="K643" s="9">
        <f t="shared" si="58"/>
        <v>12.4</v>
      </c>
      <c r="L643" s="1">
        <f t="shared" si="59"/>
        <v>-0.399999999999984</v>
      </c>
    </row>
    <row r="644" s="1" customFormat="1" spans="1:12">
      <c r="A644" s="2">
        <v>21.436</v>
      </c>
      <c r="B644" s="10" t="s">
        <v>119</v>
      </c>
      <c r="C644" s="4">
        <v>21.436</v>
      </c>
      <c r="D644" s="4">
        <v>101.2</v>
      </c>
      <c r="G644" s="2">
        <f t="shared" ref="G644:G707" si="60">A643</f>
        <v>21.402</v>
      </c>
      <c r="H644" s="11" t="str">
        <f t="shared" ref="H644:H707" si="61">B643</f>
        <v>3.467E-2</v>
      </c>
      <c r="I644" s="2">
        <f t="shared" ref="I644:I707" si="62">D643</f>
        <v>103.5</v>
      </c>
      <c r="J644" s="4">
        <f t="shared" ref="J644:J707" si="63">G644</f>
        <v>21.402</v>
      </c>
      <c r="K644" s="9">
        <f t="shared" ref="K644:K707" si="64">(H644-$H$4)*10000</f>
        <v>13.1</v>
      </c>
      <c r="L644" s="1">
        <f t="shared" si="59"/>
        <v>-0.399999999999984</v>
      </c>
    </row>
    <row r="645" s="1" customFormat="1" spans="1:12">
      <c r="A645" s="2">
        <v>21.469</v>
      </c>
      <c r="B645" s="10" t="s">
        <v>139</v>
      </c>
      <c r="C645" s="4">
        <v>21.469</v>
      </c>
      <c r="D645" s="4">
        <v>100.8</v>
      </c>
      <c r="G645" s="2">
        <f t="shared" si="60"/>
        <v>21.436</v>
      </c>
      <c r="H645" s="11" t="str">
        <f t="shared" si="61"/>
        <v>3.471E-2</v>
      </c>
      <c r="I645" s="2">
        <f t="shared" si="62"/>
        <v>101.2</v>
      </c>
      <c r="J645" s="4">
        <f t="shared" si="63"/>
        <v>21.436</v>
      </c>
      <c r="K645" s="9">
        <f t="shared" si="64"/>
        <v>13.5</v>
      </c>
      <c r="L645" s="1">
        <f t="shared" ref="L645:L708" si="65">IF(I645&lt;230,$V$4,$V$5)</f>
        <v>-0.399999999999984</v>
      </c>
    </row>
    <row r="646" s="1" customFormat="1" spans="1:12">
      <c r="A646" s="2">
        <v>21.503</v>
      </c>
      <c r="B646" s="10" t="s">
        <v>31</v>
      </c>
      <c r="C646" s="4">
        <v>21.503</v>
      </c>
      <c r="D646" s="4">
        <v>98.9</v>
      </c>
      <c r="G646" s="2">
        <f t="shared" si="60"/>
        <v>21.469</v>
      </c>
      <c r="H646" s="11" t="str">
        <f t="shared" si="61"/>
        <v>3.485E-2</v>
      </c>
      <c r="I646" s="2">
        <f t="shared" si="62"/>
        <v>100.8</v>
      </c>
      <c r="J646" s="4">
        <f t="shared" si="63"/>
        <v>21.469</v>
      </c>
      <c r="K646" s="9">
        <f t="shared" si="64"/>
        <v>14.9</v>
      </c>
      <c r="L646" s="1">
        <f t="shared" si="65"/>
        <v>-0.399999999999984</v>
      </c>
    </row>
    <row r="647" s="1" customFormat="1" spans="1:12">
      <c r="A647" s="2">
        <v>21.536</v>
      </c>
      <c r="B647" s="10" t="s">
        <v>190</v>
      </c>
      <c r="C647" s="4">
        <v>21.536</v>
      </c>
      <c r="D647" s="4">
        <v>97.3</v>
      </c>
      <c r="G647" s="2">
        <f t="shared" si="60"/>
        <v>21.503</v>
      </c>
      <c r="H647" s="11" t="str">
        <f t="shared" si="61"/>
        <v>3.494E-2</v>
      </c>
      <c r="I647" s="2">
        <f t="shared" si="62"/>
        <v>98.9</v>
      </c>
      <c r="J647" s="4">
        <f t="shared" si="63"/>
        <v>21.503</v>
      </c>
      <c r="K647" s="9">
        <f t="shared" si="64"/>
        <v>15.8</v>
      </c>
      <c r="L647" s="1">
        <f t="shared" si="65"/>
        <v>-0.399999999999984</v>
      </c>
    </row>
    <row r="648" s="1" customFormat="1" spans="1:12">
      <c r="A648" s="2">
        <v>21.57</v>
      </c>
      <c r="B648" s="10" t="s">
        <v>173</v>
      </c>
      <c r="C648" s="4">
        <v>21.57</v>
      </c>
      <c r="D648" s="4">
        <v>96.9</v>
      </c>
      <c r="G648" s="2">
        <f t="shared" si="60"/>
        <v>21.536</v>
      </c>
      <c r="H648" s="11" t="str">
        <f t="shared" si="61"/>
        <v>3.499E-2</v>
      </c>
      <c r="I648" s="2">
        <f t="shared" si="62"/>
        <v>97.3</v>
      </c>
      <c r="J648" s="4">
        <f t="shared" si="63"/>
        <v>21.536</v>
      </c>
      <c r="K648" s="9">
        <f t="shared" si="64"/>
        <v>16.3</v>
      </c>
      <c r="L648" s="1">
        <f t="shared" si="65"/>
        <v>-0.399999999999984</v>
      </c>
    </row>
    <row r="649" s="1" customFormat="1" spans="1:12">
      <c r="A649" s="2">
        <v>21.603</v>
      </c>
      <c r="B649" s="10" t="s">
        <v>218</v>
      </c>
      <c r="C649" s="4">
        <v>21.603</v>
      </c>
      <c r="D649" s="4">
        <v>95.8</v>
      </c>
      <c r="G649" s="2">
        <f t="shared" si="60"/>
        <v>21.57</v>
      </c>
      <c r="H649" s="11" t="str">
        <f t="shared" si="61"/>
        <v>3.506E-2</v>
      </c>
      <c r="I649" s="2">
        <f t="shared" si="62"/>
        <v>96.9</v>
      </c>
      <c r="J649" s="4">
        <f t="shared" si="63"/>
        <v>21.57</v>
      </c>
      <c r="K649" s="9">
        <f t="shared" si="64"/>
        <v>17</v>
      </c>
      <c r="L649" s="1">
        <f t="shared" si="65"/>
        <v>-0.399999999999984</v>
      </c>
    </row>
    <row r="650" s="1" customFormat="1" spans="1:12">
      <c r="A650" s="2">
        <v>21.637</v>
      </c>
      <c r="B650" s="10" t="s">
        <v>215</v>
      </c>
      <c r="C650" s="4">
        <v>21.637</v>
      </c>
      <c r="D650" s="4">
        <v>93.4</v>
      </c>
      <c r="G650" s="2">
        <f t="shared" si="60"/>
        <v>21.603</v>
      </c>
      <c r="H650" s="11" t="str">
        <f t="shared" si="61"/>
        <v>3.516E-2</v>
      </c>
      <c r="I650" s="2">
        <f t="shared" si="62"/>
        <v>95.8</v>
      </c>
      <c r="J650" s="4">
        <f t="shared" si="63"/>
        <v>21.603</v>
      </c>
      <c r="K650" s="9">
        <f t="shared" si="64"/>
        <v>18</v>
      </c>
      <c r="L650" s="1">
        <f t="shared" si="65"/>
        <v>-0.399999999999984</v>
      </c>
    </row>
    <row r="651" s="1" customFormat="1" spans="1:12">
      <c r="A651" s="2">
        <v>21.67</v>
      </c>
      <c r="B651" s="10" t="s">
        <v>174</v>
      </c>
      <c r="C651" s="4">
        <v>21.67</v>
      </c>
      <c r="D651" s="4">
        <v>93</v>
      </c>
      <c r="G651" s="2">
        <f t="shared" si="60"/>
        <v>21.637</v>
      </c>
      <c r="H651" s="11" t="str">
        <f t="shared" si="61"/>
        <v>3.522E-2</v>
      </c>
      <c r="I651" s="2">
        <f t="shared" si="62"/>
        <v>93.4</v>
      </c>
      <c r="J651" s="4">
        <f t="shared" si="63"/>
        <v>21.637</v>
      </c>
      <c r="K651" s="9">
        <f t="shared" si="64"/>
        <v>18.6</v>
      </c>
      <c r="L651" s="1">
        <f t="shared" si="65"/>
        <v>-0.399999999999984</v>
      </c>
    </row>
    <row r="652" s="1" customFormat="1" spans="1:12">
      <c r="A652" s="2">
        <v>21.703</v>
      </c>
      <c r="B652" s="10" t="s">
        <v>199</v>
      </c>
      <c r="C652" s="4">
        <v>21.703</v>
      </c>
      <c r="D652" s="4">
        <v>91</v>
      </c>
      <c r="G652" s="2">
        <f t="shared" si="60"/>
        <v>21.67</v>
      </c>
      <c r="H652" s="11" t="str">
        <f t="shared" si="61"/>
        <v>3.528E-2</v>
      </c>
      <c r="I652" s="2">
        <f t="shared" si="62"/>
        <v>93</v>
      </c>
      <c r="J652" s="4">
        <f t="shared" si="63"/>
        <v>21.67</v>
      </c>
      <c r="K652" s="9">
        <f t="shared" si="64"/>
        <v>19.2</v>
      </c>
      <c r="L652" s="1">
        <f t="shared" si="65"/>
        <v>-0.399999999999984</v>
      </c>
    </row>
    <row r="653" s="1" customFormat="1" spans="1:12">
      <c r="A653" s="2">
        <v>21.737</v>
      </c>
      <c r="B653" s="10" t="s">
        <v>199</v>
      </c>
      <c r="C653" s="4">
        <v>21.737</v>
      </c>
      <c r="D653" s="4">
        <v>89.6</v>
      </c>
      <c r="G653" s="2">
        <f t="shared" si="60"/>
        <v>21.703</v>
      </c>
      <c r="H653" s="11" t="str">
        <f t="shared" si="61"/>
        <v>3.529E-2</v>
      </c>
      <c r="I653" s="2">
        <f t="shared" si="62"/>
        <v>91</v>
      </c>
      <c r="J653" s="4">
        <f t="shared" si="63"/>
        <v>21.703</v>
      </c>
      <c r="K653" s="9">
        <f t="shared" si="64"/>
        <v>19.3</v>
      </c>
      <c r="L653" s="1">
        <f t="shared" si="65"/>
        <v>-0.399999999999984</v>
      </c>
    </row>
    <row r="654" s="1" customFormat="1" spans="1:12">
      <c r="A654" s="2">
        <v>21.77</v>
      </c>
      <c r="B654" s="10" t="s">
        <v>174</v>
      </c>
      <c r="C654" s="4">
        <v>21.77</v>
      </c>
      <c r="D654" s="4">
        <v>89.1</v>
      </c>
      <c r="G654" s="2">
        <f t="shared" si="60"/>
        <v>21.737</v>
      </c>
      <c r="H654" s="11" t="str">
        <f t="shared" si="61"/>
        <v>3.529E-2</v>
      </c>
      <c r="I654" s="2">
        <f t="shared" si="62"/>
        <v>89.6</v>
      </c>
      <c r="J654" s="4">
        <f t="shared" si="63"/>
        <v>21.737</v>
      </c>
      <c r="K654" s="9">
        <f t="shared" si="64"/>
        <v>19.3</v>
      </c>
      <c r="L654" s="1">
        <f t="shared" si="65"/>
        <v>-0.399999999999984</v>
      </c>
    </row>
    <row r="655" s="1" customFormat="1" spans="1:12">
      <c r="A655" s="2">
        <v>21.804</v>
      </c>
      <c r="B655" s="10" t="s">
        <v>62</v>
      </c>
      <c r="C655" s="4">
        <v>21.804</v>
      </c>
      <c r="D655" s="4">
        <v>85.5</v>
      </c>
      <c r="G655" s="2">
        <f t="shared" si="60"/>
        <v>21.77</v>
      </c>
      <c r="H655" s="11" t="str">
        <f t="shared" si="61"/>
        <v>3.528E-2</v>
      </c>
      <c r="I655" s="2">
        <f t="shared" si="62"/>
        <v>89.1</v>
      </c>
      <c r="J655" s="4">
        <f t="shared" si="63"/>
        <v>21.77</v>
      </c>
      <c r="K655" s="9">
        <f t="shared" si="64"/>
        <v>19.2</v>
      </c>
      <c r="L655" s="1">
        <f t="shared" si="65"/>
        <v>-0.399999999999984</v>
      </c>
    </row>
    <row r="656" s="1" customFormat="1" spans="1:12">
      <c r="A656" s="2">
        <v>21.837</v>
      </c>
      <c r="B656" s="10" t="s">
        <v>137</v>
      </c>
      <c r="C656" s="4">
        <v>21.837</v>
      </c>
      <c r="D656" s="4">
        <v>85.2</v>
      </c>
      <c r="G656" s="2">
        <f t="shared" si="60"/>
        <v>21.804</v>
      </c>
      <c r="H656" s="11" t="str">
        <f t="shared" si="61"/>
        <v>3.527E-2</v>
      </c>
      <c r="I656" s="2">
        <f t="shared" si="62"/>
        <v>85.5</v>
      </c>
      <c r="J656" s="4">
        <f t="shared" si="63"/>
        <v>21.804</v>
      </c>
      <c r="K656" s="9">
        <f t="shared" si="64"/>
        <v>19.1</v>
      </c>
      <c r="L656" s="1">
        <f t="shared" si="65"/>
        <v>-0.399999999999984</v>
      </c>
    </row>
    <row r="657" s="1" customFormat="1" spans="1:12">
      <c r="A657" s="2">
        <v>21.871</v>
      </c>
      <c r="B657" s="10" t="s">
        <v>215</v>
      </c>
      <c r="C657" s="4">
        <v>21.871</v>
      </c>
      <c r="D657" s="4">
        <v>83.6</v>
      </c>
      <c r="G657" s="2">
        <f t="shared" si="60"/>
        <v>21.837</v>
      </c>
      <c r="H657" s="11" t="str">
        <f t="shared" si="61"/>
        <v>3.524E-2</v>
      </c>
      <c r="I657" s="2">
        <f t="shared" si="62"/>
        <v>85.2</v>
      </c>
      <c r="J657" s="4">
        <f t="shared" si="63"/>
        <v>21.837</v>
      </c>
      <c r="K657" s="9">
        <f t="shared" si="64"/>
        <v>18.8</v>
      </c>
      <c r="L657" s="1">
        <f t="shared" si="65"/>
        <v>-0.399999999999984</v>
      </c>
    </row>
    <row r="658" s="1" customFormat="1" spans="1:12">
      <c r="A658" s="2">
        <v>21.904</v>
      </c>
      <c r="B658" s="10" t="s">
        <v>187</v>
      </c>
      <c r="C658" s="4">
        <v>21.904</v>
      </c>
      <c r="D658" s="4">
        <v>83.2</v>
      </c>
      <c r="G658" s="2">
        <f t="shared" si="60"/>
        <v>21.871</v>
      </c>
      <c r="H658" s="11" t="str">
        <f t="shared" si="61"/>
        <v>3.522E-2</v>
      </c>
      <c r="I658" s="2">
        <f t="shared" si="62"/>
        <v>83.6</v>
      </c>
      <c r="J658" s="4">
        <f t="shared" si="63"/>
        <v>21.871</v>
      </c>
      <c r="K658" s="9">
        <f t="shared" si="64"/>
        <v>18.6</v>
      </c>
      <c r="L658" s="1">
        <f t="shared" si="65"/>
        <v>-0.399999999999984</v>
      </c>
    </row>
    <row r="659" s="1" customFormat="1" spans="1:12">
      <c r="A659" s="2">
        <v>21.938</v>
      </c>
      <c r="B659" s="10" t="s">
        <v>107</v>
      </c>
      <c r="C659" s="4">
        <v>21.938</v>
      </c>
      <c r="D659" s="4">
        <v>81.2</v>
      </c>
      <c r="G659" s="2">
        <f t="shared" si="60"/>
        <v>21.904</v>
      </c>
      <c r="H659" s="11" t="str">
        <f t="shared" si="61"/>
        <v>3.518E-2</v>
      </c>
      <c r="I659" s="2">
        <f t="shared" si="62"/>
        <v>83.2</v>
      </c>
      <c r="J659" s="4">
        <f t="shared" si="63"/>
        <v>21.904</v>
      </c>
      <c r="K659" s="9">
        <f t="shared" si="64"/>
        <v>18.2</v>
      </c>
      <c r="L659" s="1">
        <f t="shared" si="65"/>
        <v>-0.399999999999984</v>
      </c>
    </row>
    <row r="660" s="1" customFormat="1" spans="1:12">
      <c r="A660" s="2">
        <v>21.971</v>
      </c>
      <c r="B660" s="10" t="s">
        <v>232</v>
      </c>
      <c r="C660" s="4">
        <v>21.971</v>
      </c>
      <c r="D660" s="4">
        <v>80.3</v>
      </c>
      <c r="G660" s="2">
        <f t="shared" si="60"/>
        <v>21.938</v>
      </c>
      <c r="H660" s="11" t="str">
        <f t="shared" si="61"/>
        <v>3.515E-2</v>
      </c>
      <c r="I660" s="2">
        <f t="shared" si="62"/>
        <v>81.2</v>
      </c>
      <c r="J660" s="4">
        <f t="shared" si="63"/>
        <v>21.938</v>
      </c>
      <c r="K660" s="9">
        <f t="shared" si="64"/>
        <v>17.9</v>
      </c>
      <c r="L660" s="1">
        <f t="shared" si="65"/>
        <v>-0.399999999999984</v>
      </c>
    </row>
    <row r="661" s="1" customFormat="1" spans="1:12">
      <c r="A661" s="2">
        <v>22.004</v>
      </c>
      <c r="B661" s="10" t="s">
        <v>165</v>
      </c>
      <c r="C661" s="4">
        <v>22.004</v>
      </c>
      <c r="D661" s="4">
        <v>79</v>
      </c>
      <c r="G661" s="2">
        <f t="shared" si="60"/>
        <v>21.971</v>
      </c>
      <c r="H661" s="11" t="str">
        <f t="shared" si="61"/>
        <v>3.512E-2</v>
      </c>
      <c r="I661" s="2">
        <f t="shared" si="62"/>
        <v>80.3</v>
      </c>
      <c r="J661" s="4">
        <f t="shared" si="63"/>
        <v>21.971</v>
      </c>
      <c r="K661" s="9">
        <f t="shared" si="64"/>
        <v>17.6</v>
      </c>
      <c r="L661" s="1">
        <f t="shared" si="65"/>
        <v>-0.399999999999984</v>
      </c>
    </row>
    <row r="662" s="1" customFormat="1" spans="1:12">
      <c r="A662" s="2">
        <v>22.038</v>
      </c>
      <c r="B662" s="10" t="s">
        <v>32</v>
      </c>
      <c r="C662" s="4">
        <v>22.038</v>
      </c>
      <c r="D662" s="4">
        <v>78.2</v>
      </c>
      <c r="G662" s="2">
        <f t="shared" si="60"/>
        <v>22.004</v>
      </c>
      <c r="H662" s="11" t="str">
        <f t="shared" si="61"/>
        <v>3.505E-2</v>
      </c>
      <c r="I662" s="2">
        <f t="shared" si="62"/>
        <v>79</v>
      </c>
      <c r="J662" s="4">
        <f t="shared" si="63"/>
        <v>22.004</v>
      </c>
      <c r="K662" s="9">
        <f t="shared" si="64"/>
        <v>16.9</v>
      </c>
      <c r="L662" s="1">
        <f t="shared" si="65"/>
        <v>-0.399999999999984</v>
      </c>
    </row>
    <row r="663" s="1" customFormat="1" spans="1:12">
      <c r="A663" s="2">
        <v>22.071</v>
      </c>
      <c r="B663" s="10" t="s">
        <v>190</v>
      </c>
      <c r="C663" s="4">
        <v>22.071</v>
      </c>
      <c r="D663" s="4">
        <v>77.8</v>
      </c>
      <c r="G663" s="2">
        <f t="shared" si="60"/>
        <v>22.038</v>
      </c>
      <c r="H663" s="11" t="str">
        <f t="shared" si="61"/>
        <v>3.501E-2</v>
      </c>
      <c r="I663" s="2">
        <f t="shared" si="62"/>
        <v>78.2</v>
      </c>
      <c r="J663" s="4">
        <f t="shared" si="63"/>
        <v>22.038</v>
      </c>
      <c r="K663" s="9">
        <f t="shared" si="64"/>
        <v>16.5</v>
      </c>
      <c r="L663" s="1">
        <f t="shared" si="65"/>
        <v>-0.399999999999984</v>
      </c>
    </row>
    <row r="664" s="1" customFormat="1" spans="1:12">
      <c r="A664" s="2">
        <v>22.105</v>
      </c>
      <c r="B664" s="10" t="s">
        <v>60</v>
      </c>
      <c r="C664" s="4">
        <v>22.105</v>
      </c>
      <c r="D664" s="4">
        <v>76.4</v>
      </c>
      <c r="G664" s="2">
        <f t="shared" si="60"/>
        <v>22.071</v>
      </c>
      <c r="H664" s="11" t="str">
        <f t="shared" si="61"/>
        <v>3.499E-2</v>
      </c>
      <c r="I664" s="2">
        <f t="shared" si="62"/>
        <v>77.8</v>
      </c>
      <c r="J664" s="4">
        <f t="shared" si="63"/>
        <v>22.071</v>
      </c>
      <c r="K664" s="9">
        <f t="shared" si="64"/>
        <v>16.3</v>
      </c>
      <c r="L664" s="1">
        <f t="shared" si="65"/>
        <v>-0.399999999999984</v>
      </c>
    </row>
    <row r="665" s="1" customFormat="1" spans="1:12">
      <c r="A665" s="2">
        <v>22.138</v>
      </c>
      <c r="B665" s="10" t="s">
        <v>202</v>
      </c>
      <c r="C665" s="4">
        <v>22.138</v>
      </c>
      <c r="D665" s="4">
        <v>75.7</v>
      </c>
      <c r="G665" s="2">
        <f t="shared" si="60"/>
        <v>22.105</v>
      </c>
      <c r="H665" s="11" t="str">
        <f t="shared" si="61"/>
        <v>3.483E-2</v>
      </c>
      <c r="I665" s="2">
        <f t="shared" si="62"/>
        <v>76.4</v>
      </c>
      <c r="J665" s="4">
        <f t="shared" si="63"/>
        <v>22.105</v>
      </c>
      <c r="K665" s="9">
        <f t="shared" si="64"/>
        <v>14.7</v>
      </c>
      <c r="L665" s="1">
        <f t="shared" si="65"/>
        <v>-0.399999999999984</v>
      </c>
    </row>
    <row r="666" s="1" customFormat="1" spans="1:12">
      <c r="A666" s="2">
        <v>22.172</v>
      </c>
      <c r="B666" s="10" t="s">
        <v>166</v>
      </c>
      <c r="C666" s="4">
        <v>22.172</v>
      </c>
      <c r="D666" s="4">
        <v>74.9</v>
      </c>
      <c r="G666" s="2">
        <f t="shared" si="60"/>
        <v>22.138</v>
      </c>
      <c r="H666" s="11" t="str">
        <f t="shared" si="61"/>
        <v>3.475E-2</v>
      </c>
      <c r="I666" s="2">
        <f t="shared" si="62"/>
        <v>75.7</v>
      </c>
      <c r="J666" s="4">
        <f t="shared" si="63"/>
        <v>22.138</v>
      </c>
      <c r="K666" s="9">
        <f t="shared" si="64"/>
        <v>13.9</v>
      </c>
      <c r="L666" s="1">
        <f t="shared" si="65"/>
        <v>-0.399999999999984</v>
      </c>
    </row>
    <row r="667" s="1" customFormat="1" spans="1:12">
      <c r="A667" s="2">
        <v>22.205</v>
      </c>
      <c r="B667" s="10" t="s">
        <v>59</v>
      </c>
      <c r="C667" s="4">
        <v>22.205</v>
      </c>
      <c r="D667" s="4">
        <v>74.6</v>
      </c>
      <c r="G667" s="2">
        <f t="shared" si="60"/>
        <v>22.172</v>
      </c>
      <c r="H667" s="11" t="str">
        <f t="shared" si="61"/>
        <v>3.465E-2</v>
      </c>
      <c r="I667" s="2">
        <f t="shared" si="62"/>
        <v>74.9</v>
      </c>
      <c r="J667" s="4">
        <f t="shared" si="63"/>
        <v>22.172</v>
      </c>
      <c r="K667" s="9">
        <f t="shared" si="64"/>
        <v>12.9</v>
      </c>
      <c r="L667" s="1">
        <f t="shared" si="65"/>
        <v>-0.399999999999984</v>
      </c>
    </row>
    <row r="668" s="1" customFormat="1" spans="1:12">
      <c r="A668" s="2">
        <v>22.239</v>
      </c>
      <c r="B668" s="10" t="s">
        <v>43</v>
      </c>
      <c r="C668" s="4">
        <v>22.239</v>
      </c>
      <c r="D668" s="4">
        <v>74.2</v>
      </c>
      <c r="G668" s="2">
        <f t="shared" si="60"/>
        <v>22.205</v>
      </c>
      <c r="H668" s="11" t="str">
        <f t="shared" si="61"/>
        <v>3.452E-2</v>
      </c>
      <c r="I668" s="2">
        <f t="shared" si="62"/>
        <v>74.6</v>
      </c>
      <c r="J668" s="4">
        <f t="shared" si="63"/>
        <v>22.205</v>
      </c>
      <c r="K668" s="9">
        <f t="shared" si="64"/>
        <v>11.6</v>
      </c>
      <c r="L668" s="1">
        <f t="shared" si="65"/>
        <v>-0.399999999999984</v>
      </c>
    </row>
    <row r="669" s="1" customFormat="1" spans="1:12">
      <c r="A669" s="2">
        <v>22.272</v>
      </c>
      <c r="B669" s="10" t="s">
        <v>21</v>
      </c>
      <c r="C669" s="4">
        <v>22.272</v>
      </c>
      <c r="D669" s="4">
        <v>73.5</v>
      </c>
      <c r="G669" s="2">
        <f t="shared" si="60"/>
        <v>22.239</v>
      </c>
      <c r="H669" s="11" t="str">
        <f t="shared" si="61"/>
        <v>3.441E-2</v>
      </c>
      <c r="I669" s="2">
        <f t="shared" si="62"/>
        <v>74.2</v>
      </c>
      <c r="J669" s="4">
        <f t="shared" si="63"/>
        <v>22.239</v>
      </c>
      <c r="K669" s="9">
        <f t="shared" si="64"/>
        <v>10.5</v>
      </c>
      <c r="L669" s="1">
        <f t="shared" si="65"/>
        <v>-0.399999999999984</v>
      </c>
    </row>
    <row r="670" s="1" customFormat="1" spans="1:12">
      <c r="A670" s="2">
        <v>22.305</v>
      </c>
      <c r="B670" s="10" t="s">
        <v>18</v>
      </c>
      <c r="C670" s="4">
        <v>22.305</v>
      </c>
      <c r="D670" s="4">
        <v>73.3</v>
      </c>
      <c r="G670" s="2">
        <f t="shared" si="60"/>
        <v>22.272</v>
      </c>
      <c r="H670" s="11" t="str">
        <f t="shared" si="61"/>
        <v>3.437E-2</v>
      </c>
      <c r="I670" s="2">
        <f t="shared" si="62"/>
        <v>73.5</v>
      </c>
      <c r="J670" s="4">
        <f t="shared" si="63"/>
        <v>22.272</v>
      </c>
      <c r="K670" s="9">
        <f t="shared" si="64"/>
        <v>10.1</v>
      </c>
      <c r="L670" s="1">
        <f t="shared" si="65"/>
        <v>-0.399999999999984</v>
      </c>
    </row>
    <row r="671" s="1" customFormat="1" spans="1:12">
      <c r="A671" s="2">
        <v>22.339</v>
      </c>
      <c r="B671" s="10" t="s">
        <v>238</v>
      </c>
      <c r="C671" s="4">
        <v>22.339</v>
      </c>
      <c r="D671" s="4">
        <v>72.4</v>
      </c>
      <c r="G671" s="2">
        <f t="shared" si="60"/>
        <v>22.305</v>
      </c>
      <c r="H671" s="11" t="str">
        <f t="shared" si="61"/>
        <v>3.424E-2</v>
      </c>
      <c r="I671" s="2">
        <f t="shared" si="62"/>
        <v>73.3</v>
      </c>
      <c r="J671" s="4">
        <f t="shared" si="63"/>
        <v>22.305</v>
      </c>
      <c r="K671" s="9">
        <f t="shared" si="64"/>
        <v>8.79999999999999</v>
      </c>
      <c r="L671" s="1">
        <f t="shared" si="65"/>
        <v>-0.399999999999984</v>
      </c>
    </row>
    <row r="672" s="1" customFormat="1" spans="1:12">
      <c r="A672" s="2">
        <v>22.372</v>
      </c>
      <c r="B672" s="10" t="s">
        <v>269</v>
      </c>
      <c r="C672" s="4">
        <v>22.372</v>
      </c>
      <c r="D672" s="4">
        <v>71.4</v>
      </c>
      <c r="G672" s="2">
        <f t="shared" si="60"/>
        <v>22.339</v>
      </c>
      <c r="H672" s="11" t="str">
        <f t="shared" si="61"/>
        <v>3.416E-2</v>
      </c>
      <c r="I672" s="2">
        <f t="shared" si="62"/>
        <v>72.4</v>
      </c>
      <c r="J672" s="4">
        <f t="shared" si="63"/>
        <v>22.339</v>
      </c>
      <c r="K672" s="9">
        <f t="shared" si="64"/>
        <v>8.00000000000002</v>
      </c>
      <c r="L672" s="1">
        <f t="shared" si="65"/>
        <v>-0.399999999999984</v>
      </c>
    </row>
    <row r="673" s="1" customFormat="1" spans="1:12">
      <c r="A673" s="2">
        <v>22.406</v>
      </c>
      <c r="B673" s="10" t="s">
        <v>233</v>
      </c>
      <c r="C673" s="4">
        <v>22.406</v>
      </c>
      <c r="D673" s="4">
        <v>71.5</v>
      </c>
      <c r="G673" s="2">
        <f t="shared" si="60"/>
        <v>22.372</v>
      </c>
      <c r="H673" s="11" t="str">
        <f t="shared" si="61"/>
        <v>3.410E-2</v>
      </c>
      <c r="I673" s="2">
        <f t="shared" si="62"/>
        <v>71.4</v>
      </c>
      <c r="J673" s="4">
        <f t="shared" si="63"/>
        <v>22.372</v>
      </c>
      <c r="K673" s="9">
        <f t="shared" si="64"/>
        <v>7.39999999999998</v>
      </c>
      <c r="L673" s="1">
        <f t="shared" si="65"/>
        <v>-0.399999999999984</v>
      </c>
    </row>
    <row r="674" s="1" customFormat="1" spans="1:12">
      <c r="A674" s="2">
        <v>22.439</v>
      </c>
      <c r="B674" s="10" t="s">
        <v>84</v>
      </c>
      <c r="C674" s="4">
        <v>22.439</v>
      </c>
      <c r="D674" s="4">
        <v>71</v>
      </c>
      <c r="G674" s="2">
        <f t="shared" si="60"/>
        <v>22.406</v>
      </c>
      <c r="H674" s="11" t="str">
        <f t="shared" si="61"/>
        <v>3.399E-2</v>
      </c>
      <c r="I674" s="2">
        <f t="shared" si="62"/>
        <v>71.5</v>
      </c>
      <c r="J674" s="4">
        <f t="shared" si="63"/>
        <v>22.406</v>
      </c>
      <c r="K674" s="9">
        <f t="shared" si="64"/>
        <v>6.29999999999999</v>
      </c>
      <c r="L674" s="1">
        <f t="shared" si="65"/>
        <v>-0.399999999999984</v>
      </c>
    </row>
    <row r="675" s="1" customFormat="1" spans="1:12">
      <c r="A675" s="2">
        <v>22.473</v>
      </c>
      <c r="B675" s="10" t="s">
        <v>114</v>
      </c>
      <c r="C675" s="4">
        <v>22.473</v>
      </c>
      <c r="D675" s="4">
        <v>70.6</v>
      </c>
      <c r="G675" s="2">
        <f t="shared" si="60"/>
        <v>22.439</v>
      </c>
      <c r="H675" s="11" t="str">
        <f t="shared" si="61"/>
        <v>3.393E-2</v>
      </c>
      <c r="I675" s="2">
        <f t="shared" si="62"/>
        <v>71</v>
      </c>
      <c r="J675" s="4">
        <f t="shared" si="63"/>
        <v>22.439</v>
      </c>
      <c r="K675" s="9">
        <f t="shared" si="64"/>
        <v>5.70000000000001</v>
      </c>
      <c r="L675" s="1">
        <f t="shared" si="65"/>
        <v>-0.399999999999984</v>
      </c>
    </row>
    <row r="676" s="1" customFormat="1" spans="1:12">
      <c r="A676" s="2">
        <v>22.506</v>
      </c>
      <c r="B676" s="10" t="s">
        <v>114</v>
      </c>
      <c r="C676" s="4">
        <v>22.506</v>
      </c>
      <c r="D676" s="4">
        <v>70.7</v>
      </c>
      <c r="G676" s="2">
        <f t="shared" si="60"/>
        <v>22.473</v>
      </c>
      <c r="H676" s="11" t="str">
        <f t="shared" si="61"/>
        <v>3.392E-2</v>
      </c>
      <c r="I676" s="2">
        <f t="shared" si="62"/>
        <v>70.6</v>
      </c>
      <c r="J676" s="4">
        <f t="shared" si="63"/>
        <v>22.473</v>
      </c>
      <c r="K676" s="9">
        <f t="shared" si="64"/>
        <v>5.59999999999998</v>
      </c>
      <c r="L676" s="1">
        <f t="shared" si="65"/>
        <v>-0.399999999999984</v>
      </c>
    </row>
    <row r="677" s="1" customFormat="1" spans="1:12">
      <c r="A677" s="2">
        <v>22.539</v>
      </c>
      <c r="B677" s="10" t="s">
        <v>114</v>
      </c>
      <c r="C677" s="4">
        <v>22.539</v>
      </c>
      <c r="D677" s="4">
        <v>69.5</v>
      </c>
      <c r="G677" s="2">
        <f t="shared" si="60"/>
        <v>22.506</v>
      </c>
      <c r="H677" s="11" t="str">
        <f t="shared" si="61"/>
        <v>3.392E-2</v>
      </c>
      <c r="I677" s="2">
        <f t="shared" si="62"/>
        <v>70.7</v>
      </c>
      <c r="J677" s="4">
        <f t="shared" si="63"/>
        <v>22.506</v>
      </c>
      <c r="K677" s="9">
        <f t="shared" si="64"/>
        <v>5.59999999999998</v>
      </c>
      <c r="L677" s="1">
        <f t="shared" si="65"/>
        <v>-0.399999999999984</v>
      </c>
    </row>
    <row r="678" s="1" customFormat="1" spans="1:12">
      <c r="A678" s="2">
        <v>22.573</v>
      </c>
      <c r="B678" s="10" t="s">
        <v>47</v>
      </c>
      <c r="C678" s="4">
        <v>22.573</v>
      </c>
      <c r="D678" s="4">
        <v>69.9</v>
      </c>
      <c r="G678" s="2">
        <f t="shared" si="60"/>
        <v>22.539</v>
      </c>
      <c r="H678" s="11" t="str">
        <f t="shared" si="61"/>
        <v>3.392E-2</v>
      </c>
      <c r="I678" s="2">
        <f t="shared" si="62"/>
        <v>69.5</v>
      </c>
      <c r="J678" s="4">
        <f t="shared" si="63"/>
        <v>22.539</v>
      </c>
      <c r="K678" s="9">
        <f t="shared" si="64"/>
        <v>5.59999999999998</v>
      </c>
      <c r="L678" s="1">
        <f t="shared" si="65"/>
        <v>-0.399999999999984</v>
      </c>
    </row>
    <row r="679" s="1" customFormat="1" spans="1:12">
      <c r="A679" s="2">
        <v>22.606</v>
      </c>
      <c r="B679" s="10" t="s">
        <v>245</v>
      </c>
      <c r="C679" s="4">
        <v>22.606</v>
      </c>
      <c r="D679" s="4">
        <v>69.5</v>
      </c>
      <c r="G679" s="2">
        <f t="shared" si="60"/>
        <v>22.573</v>
      </c>
      <c r="H679" s="11" t="str">
        <f t="shared" si="61"/>
        <v>3.394E-2</v>
      </c>
      <c r="I679" s="2">
        <f t="shared" si="62"/>
        <v>69.9</v>
      </c>
      <c r="J679" s="4">
        <f t="shared" si="63"/>
        <v>22.573</v>
      </c>
      <c r="K679" s="9">
        <f t="shared" si="64"/>
        <v>5.79999999999997</v>
      </c>
      <c r="L679" s="1">
        <f t="shared" si="65"/>
        <v>-0.399999999999984</v>
      </c>
    </row>
    <row r="680" s="1" customFormat="1" spans="1:12">
      <c r="A680" s="2">
        <v>22.64</v>
      </c>
      <c r="B680" s="10" t="s">
        <v>46</v>
      </c>
      <c r="C680" s="4">
        <v>22.64</v>
      </c>
      <c r="D680" s="4">
        <v>69.5</v>
      </c>
      <c r="G680" s="2">
        <f t="shared" si="60"/>
        <v>22.606</v>
      </c>
      <c r="H680" s="11" t="str">
        <f t="shared" si="61"/>
        <v>3.398E-2</v>
      </c>
      <c r="I680" s="2">
        <f t="shared" si="62"/>
        <v>69.5</v>
      </c>
      <c r="J680" s="4">
        <f t="shared" si="63"/>
        <v>22.606</v>
      </c>
      <c r="K680" s="9">
        <f t="shared" si="64"/>
        <v>6.20000000000003</v>
      </c>
      <c r="L680" s="1">
        <f t="shared" si="65"/>
        <v>-0.399999999999984</v>
      </c>
    </row>
    <row r="681" s="1" customFormat="1" spans="1:12">
      <c r="A681" s="2">
        <v>22.673</v>
      </c>
      <c r="B681" s="10" t="s">
        <v>229</v>
      </c>
      <c r="C681" s="4">
        <v>22.673</v>
      </c>
      <c r="D681" s="4">
        <v>69.4</v>
      </c>
      <c r="G681" s="2">
        <f t="shared" si="60"/>
        <v>22.64</v>
      </c>
      <c r="H681" s="11" t="str">
        <f t="shared" si="61"/>
        <v>3.401E-2</v>
      </c>
      <c r="I681" s="2">
        <f t="shared" si="62"/>
        <v>69.5</v>
      </c>
      <c r="J681" s="4">
        <f t="shared" si="63"/>
        <v>22.64</v>
      </c>
      <c r="K681" s="9">
        <f t="shared" si="64"/>
        <v>6.49999999999998</v>
      </c>
      <c r="L681" s="1">
        <f t="shared" si="65"/>
        <v>-0.399999999999984</v>
      </c>
    </row>
    <row r="682" s="1" customFormat="1" spans="1:12">
      <c r="A682" s="2">
        <v>22.707</v>
      </c>
      <c r="B682" s="10" t="s">
        <v>230</v>
      </c>
      <c r="C682" s="4">
        <v>22.707</v>
      </c>
      <c r="D682" s="4">
        <v>69.4</v>
      </c>
      <c r="G682" s="2">
        <f t="shared" si="60"/>
        <v>22.673</v>
      </c>
      <c r="H682" s="11" t="str">
        <f t="shared" si="61"/>
        <v>3.405E-2</v>
      </c>
      <c r="I682" s="2">
        <f t="shared" si="62"/>
        <v>69.4</v>
      </c>
      <c r="J682" s="4">
        <f t="shared" si="63"/>
        <v>22.673</v>
      </c>
      <c r="K682" s="9">
        <f t="shared" si="64"/>
        <v>6.89999999999996</v>
      </c>
      <c r="L682" s="1">
        <f t="shared" si="65"/>
        <v>-0.399999999999984</v>
      </c>
    </row>
    <row r="683" s="1" customFormat="1" spans="1:12">
      <c r="A683" s="2">
        <v>22.74</v>
      </c>
      <c r="B683" s="10" t="s">
        <v>45</v>
      </c>
      <c r="C683" s="4">
        <v>22.74</v>
      </c>
      <c r="D683" s="4">
        <v>68.8</v>
      </c>
      <c r="G683" s="2">
        <f t="shared" si="60"/>
        <v>22.707</v>
      </c>
      <c r="H683" s="11" t="str">
        <f t="shared" si="61"/>
        <v>3.409E-2</v>
      </c>
      <c r="I683" s="2">
        <f t="shared" si="62"/>
        <v>69.4</v>
      </c>
      <c r="J683" s="4">
        <f t="shared" si="63"/>
        <v>22.707</v>
      </c>
      <c r="K683" s="9">
        <f t="shared" si="64"/>
        <v>7.30000000000001</v>
      </c>
      <c r="L683" s="1">
        <f t="shared" si="65"/>
        <v>-0.399999999999984</v>
      </c>
    </row>
    <row r="684" s="1" customFormat="1" spans="1:12">
      <c r="A684" s="2">
        <v>22.774</v>
      </c>
      <c r="B684" s="10" t="s">
        <v>16</v>
      </c>
      <c r="C684" s="4">
        <v>22.774</v>
      </c>
      <c r="D684" s="4">
        <v>68.7</v>
      </c>
      <c r="G684" s="2">
        <f t="shared" si="60"/>
        <v>22.74</v>
      </c>
      <c r="H684" s="11" t="str">
        <f t="shared" si="61"/>
        <v>3.415E-2</v>
      </c>
      <c r="I684" s="2">
        <f t="shared" si="62"/>
        <v>68.8</v>
      </c>
      <c r="J684" s="4">
        <f t="shared" si="63"/>
        <v>22.74</v>
      </c>
      <c r="K684" s="9">
        <f t="shared" si="64"/>
        <v>7.89999999999999</v>
      </c>
      <c r="L684" s="1">
        <f t="shared" si="65"/>
        <v>-0.399999999999984</v>
      </c>
    </row>
    <row r="685" s="1" customFormat="1" spans="1:12">
      <c r="A685" s="2">
        <v>22.807</v>
      </c>
      <c r="B685" s="10" t="s">
        <v>12</v>
      </c>
      <c r="C685" s="4">
        <v>22.807</v>
      </c>
      <c r="D685" s="4">
        <v>68.7</v>
      </c>
      <c r="G685" s="2">
        <f t="shared" si="60"/>
        <v>22.774</v>
      </c>
      <c r="H685" s="11" t="str">
        <f t="shared" si="61"/>
        <v>3.426E-2</v>
      </c>
      <c r="I685" s="2">
        <f t="shared" si="62"/>
        <v>68.7</v>
      </c>
      <c r="J685" s="4">
        <f t="shared" si="63"/>
        <v>22.774</v>
      </c>
      <c r="K685" s="9">
        <f t="shared" si="64"/>
        <v>8.99999999999998</v>
      </c>
      <c r="L685" s="1">
        <f t="shared" si="65"/>
        <v>-0.399999999999984</v>
      </c>
    </row>
    <row r="686" s="1" customFormat="1" spans="1:12">
      <c r="A686" s="2">
        <v>22.84</v>
      </c>
      <c r="B686" s="10" t="s">
        <v>24</v>
      </c>
      <c r="C686" s="4">
        <v>22.84</v>
      </c>
      <c r="D686" s="4">
        <v>68.6</v>
      </c>
      <c r="G686" s="2">
        <f t="shared" si="60"/>
        <v>22.807</v>
      </c>
      <c r="H686" s="11" t="str">
        <f t="shared" si="61"/>
        <v>3.435E-2</v>
      </c>
      <c r="I686" s="2">
        <f t="shared" si="62"/>
        <v>68.7</v>
      </c>
      <c r="J686" s="4">
        <f t="shared" si="63"/>
        <v>22.807</v>
      </c>
      <c r="K686" s="9">
        <f t="shared" si="64"/>
        <v>9.89999999999998</v>
      </c>
      <c r="L686" s="1">
        <f t="shared" si="65"/>
        <v>-0.399999999999984</v>
      </c>
    </row>
    <row r="687" s="1" customFormat="1" spans="1:12">
      <c r="A687" s="2">
        <v>22.874</v>
      </c>
      <c r="B687" s="10" t="s">
        <v>110</v>
      </c>
      <c r="C687" s="4">
        <v>22.874</v>
      </c>
      <c r="D687" s="4">
        <v>69</v>
      </c>
      <c r="G687" s="2">
        <f t="shared" si="60"/>
        <v>22.84</v>
      </c>
      <c r="H687" s="11" t="str">
        <f t="shared" si="61"/>
        <v>3.445E-2</v>
      </c>
      <c r="I687" s="2">
        <f t="shared" si="62"/>
        <v>68.6</v>
      </c>
      <c r="J687" s="4">
        <f t="shared" si="63"/>
        <v>22.84</v>
      </c>
      <c r="K687" s="9">
        <f t="shared" si="64"/>
        <v>10.9</v>
      </c>
      <c r="L687" s="1">
        <f t="shared" si="65"/>
        <v>-0.399999999999984</v>
      </c>
    </row>
    <row r="688" s="1" customFormat="1" spans="1:12">
      <c r="A688" s="2">
        <v>22.907</v>
      </c>
      <c r="B688" s="10" t="s">
        <v>237</v>
      </c>
      <c r="C688" s="4">
        <v>22.907</v>
      </c>
      <c r="D688" s="4">
        <v>68.6</v>
      </c>
      <c r="G688" s="2">
        <f t="shared" si="60"/>
        <v>22.874</v>
      </c>
      <c r="H688" s="11" t="str">
        <f t="shared" si="61"/>
        <v>3.457E-2</v>
      </c>
      <c r="I688" s="2">
        <f t="shared" si="62"/>
        <v>69</v>
      </c>
      <c r="J688" s="4">
        <f t="shared" si="63"/>
        <v>22.874</v>
      </c>
      <c r="K688" s="9">
        <f t="shared" si="64"/>
        <v>12.1</v>
      </c>
      <c r="L688" s="1">
        <f t="shared" si="65"/>
        <v>-0.399999999999984</v>
      </c>
    </row>
    <row r="689" s="1" customFormat="1" spans="1:12">
      <c r="A689" s="2">
        <v>22.941</v>
      </c>
      <c r="B689" s="10" t="s">
        <v>119</v>
      </c>
      <c r="C689" s="4">
        <v>22.941</v>
      </c>
      <c r="D689" s="4">
        <v>68.7</v>
      </c>
      <c r="G689" s="2">
        <f t="shared" si="60"/>
        <v>22.907</v>
      </c>
      <c r="H689" s="11" t="str">
        <f t="shared" si="61"/>
        <v>3.464E-2</v>
      </c>
      <c r="I689" s="2">
        <f t="shared" si="62"/>
        <v>68.6</v>
      </c>
      <c r="J689" s="4">
        <f t="shared" si="63"/>
        <v>22.907</v>
      </c>
      <c r="K689" s="9">
        <f t="shared" si="64"/>
        <v>12.8</v>
      </c>
      <c r="L689" s="1">
        <f t="shared" si="65"/>
        <v>-0.399999999999984</v>
      </c>
    </row>
    <row r="690" s="1" customFormat="1" spans="1:12">
      <c r="A690" s="2">
        <v>22.974</v>
      </c>
      <c r="B690" s="10" t="s">
        <v>30</v>
      </c>
      <c r="C690" s="4">
        <v>22.974</v>
      </c>
      <c r="D690" s="4">
        <v>68.4</v>
      </c>
      <c r="G690" s="2">
        <f t="shared" si="60"/>
        <v>22.941</v>
      </c>
      <c r="H690" s="11" t="str">
        <f t="shared" si="61"/>
        <v>3.471E-2</v>
      </c>
      <c r="I690" s="2">
        <f t="shared" si="62"/>
        <v>68.7</v>
      </c>
      <c r="J690" s="4">
        <f t="shared" si="63"/>
        <v>22.941</v>
      </c>
      <c r="K690" s="9">
        <f t="shared" si="64"/>
        <v>13.5</v>
      </c>
      <c r="L690" s="1">
        <f t="shared" si="65"/>
        <v>-0.399999999999984</v>
      </c>
    </row>
    <row r="691" s="1" customFormat="1" spans="1:12">
      <c r="A691" s="2">
        <v>23.008</v>
      </c>
      <c r="B691" s="10" t="s">
        <v>39</v>
      </c>
      <c r="C691" s="4">
        <v>23.008</v>
      </c>
      <c r="D691" s="4">
        <v>68.5</v>
      </c>
      <c r="G691" s="2">
        <f t="shared" si="60"/>
        <v>22.974</v>
      </c>
      <c r="H691" s="11" t="str">
        <f t="shared" si="61"/>
        <v>3.484E-2</v>
      </c>
      <c r="I691" s="2">
        <f t="shared" si="62"/>
        <v>68.4</v>
      </c>
      <c r="J691" s="4">
        <f t="shared" si="63"/>
        <v>22.974</v>
      </c>
      <c r="K691" s="9">
        <f t="shared" si="64"/>
        <v>14.8</v>
      </c>
      <c r="L691" s="1">
        <f t="shared" si="65"/>
        <v>-0.399999999999984</v>
      </c>
    </row>
    <row r="692" s="1" customFormat="1" spans="1:12">
      <c r="A692" s="2">
        <v>23.041</v>
      </c>
      <c r="B692" s="10" t="s">
        <v>38</v>
      </c>
      <c r="C692" s="4">
        <v>23.041</v>
      </c>
      <c r="D692" s="4">
        <v>68.4</v>
      </c>
      <c r="G692" s="2">
        <f t="shared" si="60"/>
        <v>23.008</v>
      </c>
      <c r="H692" s="11" t="str">
        <f t="shared" si="61"/>
        <v>3.489E-2</v>
      </c>
      <c r="I692" s="2">
        <f t="shared" si="62"/>
        <v>68.5</v>
      </c>
      <c r="J692" s="4">
        <f t="shared" si="63"/>
        <v>23.008</v>
      </c>
      <c r="K692" s="9">
        <f t="shared" si="64"/>
        <v>15.3</v>
      </c>
      <c r="L692" s="1">
        <f t="shared" si="65"/>
        <v>-0.399999999999984</v>
      </c>
    </row>
    <row r="693" s="1" customFormat="1" spans="1:12">
      <c r="A693" s="2">
        <v>23.075</v>
      </c>
      <c r="B693" s="10" t="s">
        <v>37</v>
      </c>
      <c r="C693" s="4">
        <v>23.075</v>
      </c>
      <c r="D693" s="4">
        <v>68.4</v>
      </c>
      <c r="G693" s="2">
        <f t="shared" si="60"/>
        <v>23.041</v>
      </c>
      <c r="H693" s="11" t="str">
        <f t="shared" si="61"/>
        <v>3.492E-2</v>
      </c>
      <c r="I693" s="2">
        <f t="shared" si="62"/>
        <v>68.4</v>
      </c>
      <c r="J693" s="4">
        <f t="shared" si="63"/>
        <v>23.041</v>
      </c>
      <c r="K693" s="9">
        <f t="shared" si="64"/>
        <v>15.6</v>
      </c>
      <c r="L693" s="1">
        <f t="shared" si="65"/>
        <v>-0.399999999999984</v>
      </c>
    </row>
    <row r="694" s="1" customFormat="1" spans="1:12">
      <c r="A694" s="2">
        <v>23.108</v>
      </c>
      <c r="B694" s="10" t="s">
        <v>192</v>
      </c>
      <c r="C694" s="4">
        <v>23.108</v>
      </c>
      <c r="D694" s="4">
        <v>68.6</v>
      </c>
      <c r="G694" s="2">
        <f t="shared" si="60"/>
        <v>23.075</v>
      </c>
      <c r="H694" s="11" t="str">
        <f t="shared" si="61"/>
        <v>3.496E-2</v>
      </c>
      <c r="I694" s="2">
        <f t="shared" si="62"/>
        <v>68.4</v>
      </c>
      <c r="J694" s="4">
        <f t="shared" si="63"/>
        <v>23.075</v>
      </c>
      <c r="K694" s="9">
        <f t="shared" si="64"/>
        <v>16</v>
      </c>
      <c r="L694" s="1">
        <f t="shared" si="65"/>
        <v>-0.399999999999984</v>
      </c>
    </row>
    <row r="695" s="1" customFormat="1" spans="1:12">
      <c r="A695" s="2">
        <v>23.141</v>
      </c>
      <c r="B695" s="10" t="s">
        <v>189</v>
      </c>
      <c r="C695" s="4">
        <v>23.141</v>
      </c>
      <c r="D695" s="4">
        <v>68.4</v>
      </c>
      <c r="G695" s="2">
        <f t="shared" si="60"/>
        <v>23.108</v>
      </c>
      <c r="H695" s="11" t="str">
        <f t="shared" si="61"/>
        <v>3.495E-2</v>
      </c>
      <c r="I695" s="2">
        <f t="shared" si="62"/>
        <v>68.6</v>
      </c>
      <c r="J695" s="4">
        <f t="shared" si="63"/>
        <v>23.108</v>
      </c>
      <c r="K695" s="9">
        <f t="shared" si="64"/>
        <v>15.9</v>
      </c>
      <c r="L695" s="1">
        <f t="shared" si="65"/>
        <v>-0.399999999999984</v>
      </c>
    </row>
    <row r="696" s="1" customFormat="1" spans="1:12">
      <c r="A696" s="2">
        <v>23.175</v>
      </c>
      <c r="B696" s="10" t="s">
        <v>38</v>
      </c>
      <c r="C696" s="4">
        <v>23.175</v>
      </c>
      <c r="D696" s="4">
        <v>68.3</v>
      </c>
      <c r="G696" s="2">
        <f t="shared" si="60"/>
        <v>23.141</v>
      </c>
      <c r="H696" s="11" t="str">
        <f t="shared" si="61"/>
        <v>3.493E-2</v>
      </c>
      <c r="I696" s="2">
        <f t="shared" si="62"/>
        <v>68.4</v>
      </c>
      <c r="J696" s="4">
        <f t="shared" si="63"/>
        <v>23.141</v>
      </c>
      <c r="K696" s="9">
        <f t="shared" si="64"/>
        <v>15.7</v>
      </c>
      <c r="L696" s="1">
        <f t="shared" si="65"/>
        <v>-0.399999999999984</v>
      </c>
    </row>
    <row r="697" s="1" customFormat="1" spans="1:12">
      <c r="A697" s="2">
        <v>23.208</v>
      </c>
      <c r="B697" s="10" t="s">
        <v>195</v>
      </c>
      <c r="C697" s="4">
        <v>23.208</v>
      </c>
      <c r="D697" s="4">
        <v>68.2</v>
      </c>
      <c r="G697" s="2">
        <f t="shared" si="60"/>
        <v>23.175</v>
      </c>
      <c r="H697" s="11" t="str">
        <f t="shared" si="61"/>
        <v>3.492E-2</v>
      </c>
      <c r="I697" s="2">
        <f t="shared" si="62"/>
        <v>68.3</v>
      </c>
      <c r="J697" s="4">
        <f t="shared" si="63"/>
        <v>23.175</v>
      </c>
      <c r="K697" s="9">
        <f t="shared" si="64"/>
        <v>15.6</v>
      </c>
      <c r="L697" s="1">
        <f t="shared" si="65"/>
        <v>-0.399999999999984</v>
      </c>
    </row>
    <row r="698" s="1" customFormat="1" spans="1:12">
      <c r="A698" s="2">
        <v>23.242</v>
      </c>
      <c r="B698" s="10" t="s">
        <v>79</v>
      </c>
      <c r="C698" s="4">
        <v>23.242</v>
      </c>
      <c r="D698" s="4">
        <v>68.3</v>
      </c>
      <c r="G698" s="2">
        <f t="shared" si="60"/>
        <v>23.208</v>
      </c>
      <c r="H698" s="11" t="str">
        <f t="shared" si="61"/>
        <v>3.488E-2</v>
      </c>
      <c r="I698" s="2">
        <f t="shared" si="62"/>
        <v>68.2</v>
      </c>
      <c r="J698" s="4">
        <f t="shared" si="63"/>
        <v>23.208</v>
      </c>
      <c r="K698" s="9">
        <f t="shared" si="64"/>
        <v>15.2</v>
      </c>
      <c r="L698" s="1">
        <f t="shared" si="65"/>
        <v>-0.399999999999984</v>
      </c>
    </row>
    <row r="699" s="1" customFormat="1" spans="1:12">
      <c r="A699" s="2">
        <v>23.275</v>
      </c>
      <c r="B699" s="10" t="s">
        <v>30</v>
      </c>
      <c r="C699" s="4">
        <v>23.275</v>
      </c>
      <c r="D699" s="4">
        <v>68.3</v>
      </c>
      <c r="G699" s="2">
        <f t="shared" si="60"/>
        <v>23.242</v>
      </c>
      <c r="H699" s="11" t="str">
        <f t="shared" si="61"/>
        <v>3.486E-2</v>
      </c>
      <c r="I699" s="2">
        <f t="shared" si="62"/>
        <v>68.3</v>
      </c>
      <c r="J699" s="4">
        <f t="shared" si="63"/>
        <v>23.242</v>
      </c>
      <c r="K699" s="9">
        <f t="shared" si="64"/>
        <v>15</v>
      </c>
      <c r="L699" s="1">
        <f t="shared" si="65"/>
        <v>-0.399999999999984</v>
      </c>
    </row>
    <row r="700" s="1" customFormat="1" spans="1:12">
      <c r="A700" s="2">
        <v>23.309</v>
      </c>
      <c r="B700" s="10" t="s">
        <v>243</v>
      </c>
      <c r="C700" s="4">
        <v>23.309</v>
      </c>
      <c r="D700" s="4">
        <v>68.2</v>
      </c>
      <c r="G700" s="2">
        <f t="shared" si="60"/>
        <v>23.275</v>
      </c>
      <c r="H700" s="11" t="str">
        <f t="shared" si="61"/>
        <v>3.484E-2</v>
      </c>
      <c r="I700" s="2">
        <f t="shared" si="62"/>
        <v>68.3</v>
      </c>
      <c r="J700" s="4">
        <f t="shared" si="63"/>
        <v>23.275</v>
      </c>
      <c r="K700" s="9">
        <f t="shared" si="64"/>
        <v>14.8</v>
      </c>
      <c r="L700" s="1">
        <f t="shared" si="65"/>
        <v>-0.399999999999984</v>
      </c>
    </row>
    <row r="701" s="1" customFormat="1" spans="1:12">
      <c r="A701" s="2">
        <v>23.342</v>
      </c>
      <c r="B701" s="10" t="s">
        <v>172</v>
      </c>
      <c r="C701" s="4">
        <v>23.342</v>
      </c>
      <c r="D701" s="4">
        <v>68.3</v>
      </c>
      <c r="G701" s="2">
        <f t="shared" si="60"/>
        <v>23.309</v>
      </c>
      <c r="H701" s="11" t="str">
        <f t="shared" si="61"/>
        <v>3.480E-2</v>
      </c>
      <c r="I701" s="2">
        <f t="shared" si="62"/>
        <v>68.2</v>
      </c>
      <c r="J701" s="4">
        <f t="shared" si="63"/>
        <v>23.309</v>
      </c>
      <c r="K701" s="9">
        <f t="shared" si="64"/>
        <v>14.4</v>
      </c>
      <c r="L701" s="1">
        <f t="shared" si="65"/>
        <v>-0.399999999999984</v>
      </c>
    </row>
    <row r="702" s="1" customFormat="1" spans="1:12">
      <c r="A702" s="2">
        <v>23.376</v>
      </c>
      <c r="B702" s="10" t="s">
        <v>119</v>
      </c>
      <c r="C702" s="4">
        <v>23.376</v>
      </c>
      <c r="D702" s="4">
        <v>68.2</v>
      </c>
      <c r="G702" s="2">
        <f t="shared" si="60"/>
        <v>23.342</v>
      </c>
      <c r="H702" s="11" t="str">
        <f t="shared" si="61"/>
        <v>3.477E-2</v>
      </c>
      <c r="I702" s="2">
        <f t="shared" si="62"/>
        <v>68.3</v>
      </c>
      <c r="J702" s="4">
        <f t="shared" si="63"/>
        <v>23.342</v>
      </c>
      <c r="K702" s="9">
        <f t="shared" si="64"/>
        <v>14.1</v>
      </c>
      <c r="L702" s="1">
        <f t="shared" si="65"/>
        <v>-0.399999999999984</v>
      </c>
    </row>
    <row r="703" s="1" customFormat="1" spans="1:12">
      <c r="A703" s="2">
        <v>23.409</v>
      </c>
      <c r="B703" s="10" t="s">
        <v>27</v>
      </c>
      <c r="C703" s="4">
        <v>23.409</v>
      </c>
      <c r="D703" s="4">
        <v>68.2</v>
      </c>
      <c r="G703" s="2">
        <f t="shared" si="60"/>
        <v>23.376</v>
      </c>
      <c r="H703" s="11" t="str">
        <f t="shared" si="61"/>
        <v>3.471E-2</v>
      </c>
      <c r="I703" s="2">
        <f t="shared" si="62"/>
        <v>68.2</v>
      </c>
      <c r="J703" s="4">
        <f t="shared" si="63"/>
        <v>23.376</v>
      </c>
      <c r="K703" s="9">
        <f t="shared" si="64"/>
        <v>13.5</v>
      </c>
      <c r="L703" s="1">
        <f t="shared" si="65"/>
        <v>-0.399999999999984</v>
      </c>
    </row>
    <row r="704" s="1" customFormat="1" spans="1:12">
      <c r="A704" s="2">
        <v>23.442</v>
      </c>
      <c r="B704" s="10" t="s">
        <v>59</v>
      </c>
      <c r="C704" s="4">
        <v>23.442</v>
      </c>
      <c r="D704" s="4">
        <v>68.2</v>
      </c>
      <c r="G704" s="2">
        <f t="shared" si="60"/>
        <v>23.409</v>
      </c>
      <c r="H704" s="11" t="str">
        <f t="shared" si="61"/>
        <v>3.463E-2</v>
      </c>
      <c r="I704" s="2">
        <f t="shared" si="62"/>
        <v>68.2</v>
      </c>
      <c r="J704" s="4">
        <f t="shared" si="63"/>
        <v>23.409</v>
      </c>
      <c r="K704" s="9">
        <f t="shared" si="64"/>
        <v>12.7</v>
      </c>
      <c r="L704" s="1">
        <f t="shared" si="65"/>
        <v>-0.399999999999984</v>
      </c>
    </row>
    <row r="705" s="1" customFormat="1" spans="1:12">
      <c r="A705" s="2">
        <v>23.476</v>
      </c>
      <c r="B705" s="10" t="s">
        <v>141</v>
      </c>
      <c r="C705" s="4">
        <v>23.476</v>
      </c>
      <c r="D705" s="4">
        <v>68.2</v>
      </c>
      <c r="G705" s="2">
        <f t="shared" si="60"/>
        <v>23.442</v>
      </c>
      <c r="H705" s="11" t="str">
        <f t="shared" si="61"/>
        <v>3.452E-2</v>
      </c>
      <c r="I705" s="2">
        <f t="shared" si="62"/>
        <v>68.2</v>
      </c>
      <c r="J705" s="4">
        <f t="shared" si="63"/>
        <v>23.442</v>
      </c>
      <c r="K705" s="9">
        <f t="shared" si="64"/>
        <v>11.6</v>
      </c>
      <c r="L705" s="1">
        <f t="shared" si="65"/>
        <v>-0.399999999999984</v>
      </c>
    </row>
    <row r="706" s="1" customFormat="1" spans="1:12">
      <c r="A706" s="2">
        <v>23.509</v>
      </c>
      <c r="B706" s="10" t="s">
        <v>12</v>
      </c>
      <c r="C706" s="4">
        <v>23.509</v>
      </c>
      <c r="D706" s="4">
        <v>68.2</v>
      </c>
      <c r="G706" s="2">
        <f t="shared" si="60"/>
        <v>23.476</v>
      </c>
      <c r="H706" s="11" t="str">
        <f t="shared" si="61"/>
        <v>3.444E-2</v>
      </c>
      <c r="I706" s="2">
        <f t="shared" si="62"/>
        <v>68.2</v>
      </c>
      <c r="J706" s="4">
        <f t="shared" si="63"/>
        <v>23.476</v>
      </c>
      <c r="K706" s="9">
        <f t="shared" si="64"/>
        <v>10.8</v>
      </c>
      <c r="L706" s="1">
        <f t="shared" si="65"/>
        <v>-0.399999999999984</v>
      </c>
    </row>
    <row r="707" s="1" customFormat="1" spans="1:12">
      <c r="A707" s="2">
        <v>23.543</v>
      </c>
      <c r="B707" s="10" t="s">
        <v>44</v>
      </c>
      <c r="C707" s="4">
        <v>23.543</v>
      </c>
      <c r="D707" s="4">
        <v>68.2</v>
      </c>
      <c r="G707" s="2">
        <f t="shared" si="60"/>
        <v>23.509</v>
      </c>
      <c r="H707" s="11" t="str">
        <f t="shared" si="61"/>
        <v>3.435E-2</v>
      </c>
      <c r="I707" s="2">
        <f t="shared" si="62"/>
        <v>68.2</v>
      </c>
      <c r="J707" s="4">
        <f t="shared" si="63"/>
        <v>23.509</v>
      </c>
      <c r="K707" s="9">
        <f t="shared" si="64"/>
        <v>9.89999999999998</v>
      </c>
      <c r="L707" s="1">
        <f t="shared" si="65"/>
        <v>-0.399999999999984</v>
      </c>
    </row>
    <row r="708" s="1" customFormat="1" spans="1:12">
      <c r="A708" s="2">
        <v>23.576</v>
      </c>
      <c r="B708" s="10" t="s">
        <v>82</v>
      </c>
      <c r="C708" s="4">
        <v>23.576</v>
      </c>
      <c r="D708" s="4">
        <v>68.2</v>
      </c>
      <c r="G708" s="2">
        <f t="shared" ref="G708:G771" si="66">A707</f>
        <v>23.543</v>
      </c>
      <c r="H708" s="11" t="str">
        <f t="shared" ref="H708:H771" si="67">B707</f>
        <v>3.422E-2</v>
      </c>
      <c r="I708" s="2">
        <f t="shared" ref="I708:I771" si="68">D707</f>
        <v>68.2</v>
      </c>
      <c r="J708" s="4">
        <f t="shared" ref="J708:J771" si="69">G708</f>
        <v>23.543</v>
      </c>
      <c r="K708" s="9">
        <f t="shared" ref="K708:K771" si="70">(H708-$H$4)*10000</f>
        <v>8.6</v>
      </c>
      <c r="L708" s="1">
        <f t="shared" si="65"/>
        <v>-0.399999999999984</v>
      </c>
    </row>
    <row r="709" s="1" customFormat="1" spans="1:12">
      <c r="A709" s="2">
        <v>23.61</v>
      </c>
      <c r="B709" s="10" t="s">
        <v>116</v>
      </c>
      <c r="C709" s="4">
        <v>23.61</v>
      </c>
      <c r="D709" s="4">
        <v>68.2</v>
      </c>
      <c r="G709" s="2">
        <f t="shared" si="66"/>
        <v>23.576</v>
      </c>
      <c r="H709" s="11" t="str">
        <f t="shared" si="67"/>
        <v>3.414E-2</v>
      </c>
      <c r="I709" s="2">
        <f t="shared" si="68"/>
        <v>68.2</v>
      </c>
      <c r="J709" s="4">
        <f t="shared" si="69"/>
        <v>23.576</v>
      </c>
      <c r="K709" s="9">
        <f t="shared" si="70"/>
        <v>7.79999999999996</v>
      </c>
      <c r="L709" s="1">
        <f t="shared" ref="L709:L772" si="71">IF(I709&lt;230,$V$4,$V$5)</f>
        <v>-0.399999999999984</v>
      </c>
    </row>
    <row r="710" s="1" customFormat="1" spans="1:12">
      <c r="A710" s="2">
        <v>23.643</v>
      </c>
      <c r="B710" s="10" t="s">
        <v>47</v>
      </c>
      <c r="C710" s="4">
        <v>23.643</v>
      </c>
      <c r="D710" s="4">
        <v>68.3</v>
      </c>
      <c r="G710" s="2">
        <f t="shared" si="66"/>
        <v>23.61</v>
      </c>
      <c r="H710" s="11" t="str">
        <f t="shared" si="67"/>
        <v>3.406E-2</v>
      </c>
      <c r="I710" s="2">
        <f t="shared" si="68"/>
        <v>68.2</v>
      </c>
      <c r="J710" s="4">
        <f t="shared" si="69"/>
        <v>23.61</v>
      </c>
      <c r="K710" s="9">
        <f t="shared" si="70"/>
        <v>6.99999999999999</v>
      </c>
      <c r="L710" s="1">
        <f t="shared" si="71"/>
        <v>-0.399999999999984</v>
      </c>
    </row>
    <row r="711" s="1" customFormat="1" spans="1:12">
      <c r="A711" s="2">
        <v>23.676</v>
      </c>
      <c r="B711" s="10" t="s">
        <v>239</v>
      </c>
      <c r="C711" s="4">
        <v>23.676</v>
      </c>
      <c r="D711" s="4">
        <v>68.2</v>
      </c>
      <c r="G711" s="2">
        <f t="shared" si="66"/>
        <v>23.643</v>
      </c>
      <c r="H711" s="11" t="str">
        <f t="shared" si="67"/>
        <v>3.394E-2</v>
      </c>
      <c r="I711" s="2">
        <f t="shared" si="68"/>
        <v>68.3</v>
      </c>
      <c r="J711" s="4">
        <f t="shared" si="69"/>
        <v>23.643</v>
      </c>
      <c r="K711" s="9">
        <f t="shared" si="70"/>
        <v>5.79999999999997</v>
      </c>
      <c r="L711" s="1">
        <f t="shared" si="71"/>
        <v>-0.399999999999984</v>
      </c>
    </row>
    <row r="712" s="1" customFormat="1" spans="1:12">
      <c r="A712" s="2">
        <v>23.71</v>
      </c>
      <c r="B712" s="10" t="s">
        <v>252</v>
      </c>
      <c r="C712" s="4">
        <v>23.71</v>
      </c>
      <c r="D712" s="4">
        <v>68.2</v>
      </c>
      <c r="G712" s="2">
        <f t="shared" si="66"/>
        <v>23.676</v>
      </c>
      <c r="H712" s="11" t="str">
        <f t="shared" si="67"/>
        <v>3.387E-2</v>
      </c>
      <c r="I712" s="2">
        <f t="shared" si="68"/>
        <v>68.2</v>
      </c>
      <c r="J712" s="4">
        <f t="shared" si="69"/>
        <v>23.676</v>
      </c>
      <c r="K712" s="9">
        <f t="shared" si="70"/>
        <v>5.09999999999997</v>
      </c>
      <c r="L712" s="1">
        <f t="shared" si="71"/>
        <v>-0.399999999999984</v>
      </c>
    </row>
    <row r="713" s="1" customFormat="1" spans="1:12">
      <c r="A713" s="2">
        <v>23.743</v>
      </c>
      <c r="B713" s="10" t="s">
        <v>252</v>
      </c>
      <c r="C713" s="4">
        <v>23.743</v>
      </c>
      <c r="D713" s="4">
        <v>68.1</v>
      </c>
      <c r="G713" s="2">
        <f t="shared" si="66"/>
        <v>23.71</v>
      </c>
      <c r="H713" s="11" t="str">
        <f t="shared" si="67"/>
        <v>3.384E-2</v>
      </c>
      <c r="I713" s="2">
        <f t="shared" si="68"/>
        <v>68.2</v>
      </c>
      <c r="J713" s="4">
        <f t="shared" si="69"/>
        <v>23.71</v>
      </c>
      <c r="K713" s="9">
        <f t="shared" si="70"/>
        <v>4.80000000000001</v>
      </c>
      <c r="L713" s="1">
        <f t="shared" si="71"/>
        <v>-0.399999999999984</v>
      </c>
    </row>
    <row r="714" s="1" customFormat="1" spans="1:12">
      <c r="A714" s="2">
        <v>23.777</v>
      </c>
      <c r="B714" s="10" t="s">
        <v>55</v>
      </c>
      <c r="C714" s="4">
        <v>23.777</v>
      </c>
      <c r="D714" s="4">
        <v>68</v>
      </c>
      <c r="G714" s="2">
        <f t="shared" si="66"/>
        <v>23.743</v>
      </c>
      <c r="H714" s="11" t="str">
        <f t="shared" si="67"/>
        <v>3.384E-2</v>
      </c>
      <c r="I714" s="2">
        <f t="shared" si="68"/>
        <v>68.1</v>
      </c>
      <c r="J714" s="4">
        <f t="shared" si="69"/>
        <v>23.743</v>
      </c>
      <c r="K714" s="9">
        <f t="shared" si="70"/>
        <v>4.80000000000001</v>
      </c>
      <c r="L714" s="1">
        <f t="shared" si="71"/>
        <v>-0.399999999999984</v>
      </c>
    </row>
    <row r="715" s="1" customFormat="1" spans="1:12">
      <c r="A715" s="2">
        <v>23.81</v>
      </c>
      <c r="B715" s="10" t="s">
        <v>252</v>
      </c>
      <c r="C715" s="4">
        <v>23.81</v>
      </c>
      <c r="D715" s="4">
        <v>68</v>
      </c>
      <c r="G715" s="2">
        <f t="shared" si="66"/>
        <v>23.777</v>
      </c>
      <c r="H715" s="11" t="str">
        <f t="shared" si="67"/>
        <v>3.383E-2</v>
      </c>
      <c r="I715" s="2">
        <f t="shared" si="68"/>
        <v>68</v>
      </c>
      <c r="J715" s="4">
        <f t="shared" si="69"/>
        <v>23.777</v>
      </c>
      <c r="K715" s="9">
        <f t="shared" si="70"/>
        <v>4.69999999999998</v>
      </c>
      <c r="L715" s="1">
        <f t="shared" si="71"/>
        <v>-0.399999999999984</v>
      </c>
    </row>
    <row r="716" s="1" customFormat="1" spans="1:12">
      <c r="A716" s="2">
        <v>23.844</v>
      </c>
      <c r="B716" s="10" t="s">
        <v>239</v>
      </c>
      <c r="C716" s="4">
        <v>23.844</v>
      </c>
      <c r="D716" s="4">
        <v>68</v>
      </c>
      <c r="G716" s="2">
        <f t="shared" si="66"/>
        <v>23.81</v>
      </c>
      <c r="H716" s="11" t="str">
        <f t="shared" si="67"/>
        <v>3.384E-2</v>
      </c>
      <c r="I716" s="2">
        <f t="shared" si="68"/>
        <v>68</v>
      </c>
      <c r="J716" s="4">
        <f t="shared" si="69"/>
        <v>23.81</v>
      </c>
      <c r="K716" s="9">
        <f t="shared" si="70"/>
        <v>4.80000000000001</v>
      </c>
      <c r="L716" s="1">
        <f t="shared" si="71"/>
        <v>-0.399999999999984</v>
      </c>
    </row>
    <row r="717" s="1" customFormat="1" spans="1:12">
      <c r="A717" s="2">
        <v>23.877</v>
      </c>
      <c r="B717" s="10" t="s">
        <v>48</v>
      </c>
      <c r="C717" s="4">
        <v>23.877</v>
      </c>
      <c r="D717" s="4">
        <v>67.9</v>
      </c>
      <c r="G717" s="2">
        <f t="shared" si="66"/>
        <v>23.844</v>
      </c>
      <c r="H717" s="11" t="str">
        <f t="shared" si="67"/>
        <v>3.387E-2</v>
      </c>
      <c r="I717" s="2">
        <f t="shared" si="68"/>
        <v>68</v>
      </c>
      <c r="J717" s="4">
        <f t="shared" si="69"/>
        <v>23.844</v>
      </c>
      <c r="K717" s="9">
        <f t="shared" si="70"/>
        <v>5.09999999999997</v>
      </c>
      <c r="L717" s="1">
        <f t="shared" si="71"/>
        <v>-0.399999999999984</v>
      </c>
    </row>
    <row r="718" s="1" customFormat="1" spans="1:12">
      <c r="A718" s="2">
        <v>23.911</v>
      </c>
      <c r="B718" s="10" t="s">
        <v>114</v>
      </c>
      <c r="C718" s="4">
        <v>23.911</v>
      </c>
      <c r="D718" s="4">
        <v>67.9</v>
      </c>
      <c r="G718" s="2">
        <f t="shared" si="66"/>
        <v>23.877</v>
      </c>
      <c r="H718" s="11" t="str">
        <f t="shared" si="67"/>
        <v>3.390E-2</v>
      </c>
      <c r="I718" s="2">
        <f t="shared" si="68"/>
        <v>67.9</v>
      </c>
      <c r="J718" s="4">
        <f t="shared" si="69"/>
        <v>23.877</v>
      </c>
      <c r="K718" s="9">
        <f t="shared" si="70"/>
        <v>5.39999999999999</v>
      </c>
      <c r="L718" s="1">
        <f t="shared" si="71"/>
        <v>-0.399999999999984</v>
      </c>
    </row>
    <row r="719" s="1" customFormat="1" spans="1:12">
      <c r="A719" s="2">
        <v>23.944</v>
      </c>
      <c r="B719" s="10" t="s">
        <v>115</v>
      </c>
      <c r="C719" s="4">
        <v>23.944</v>
      </c>
      <c r="D719" s="4">
        <v>68</v>
      </c>
      <c r="G719" s="2">
        <f t="shared" si="66"/>
        <v>23.911</v>
      </c>
      <c r="H719" s="11" t="str">
        <f t="shared" si="67"/>
        <v>3.392E-2</v>
      </c>
      <c r="I719" s="2">
        <f t="shared" si="68"/>
        <v>67.9</v>
      </c>
      <c r="J719" s="4">
        <f t="shared" si="69"/>
        <v>23.911</v>
      </c>
      <c r="K719" s="9">
        <f t="shared" si="70"/>
        <v>5.59999999999998</v>
      </c>
      <c r="L719" s="1">
        <f t="shared" si="71"/>
        <v>-0.399999999999984</v>
      </c>
    </row>
    <row r="720" s="1" customFormat="1" spans="1:12">
      <c r="A720" s="2">
        <v>23.977</v>
      </c>
      <c r="B720" s="10" t="s">
        <v>245</v>
      </c>
      <c r="C720" s="4">
        <v>23.977</v>
      </c>
      <c r="D720" s="4">
        <v>68</v>
      </c>
      <c r="G720" s="2">
        <f t="shared" si="66"/>
        <v>23.944</v>
      </c>
      <c r="H720" s="11" t="str">
        <f t="shared" si="67"/>
        <v>3.396E-2</v>
      </c>
      <c r="I720" s="2">
        <f t="shared" si="68"/>
        <v>68</v>
      </c>
      <c r="J720" s="4">
        <f t="shared" si="69"/>
        <v>23.944</v>
      </c>
      <c r="K720" s="9">
        <f t="shared" si="70"/>
        <v>5.99999999999996</v>
      </c>
      <c r="L720" s="1">
        <f t="shared" si="71"/>
        <v>-0.399999999999984</v>
      </c>
    </row>
    <row r="721" s="1" customFormat="1" spans="1:12">
      <c r="A721" s="2">
        <v>24.011</v>
      </c>
      <c r="B721" s="10" t="s">
        <v>56</v>
      </c>
      <c r="C721" s="4">
        <v>24.011</v>
      </c>
      <c r="D721" s="4">
        <v>68.1</v>
      </c>
      <c r="G721" s="2">
        <f t="shared" si="66"/>
        <v>23.977</v>
      </c>
      <c r="H721" s="11" t="str">
        <f t="shared" si="67"/>
        <v>3.398E-2</v>
      </c>
      <c r="I721" s="2">
        <f t="shared" si="68"/>
        <v>68</v>
      </c>
      <c r="J721" s="4">
        <f t="shared" si="69"/>
        <v>23.977</v>
      </c>
      <c r="K721" s="9">
        <f t="shared" si="70"/>
        <v>6.20000000000003</v>
      </c>
      <c r="L721" s="1">
        <f t="shared" si="71"/>
        <v>-0.399999999999984</v>
      </c>
    </row>
    <row r="722" s="1" customFormat="1" spans="1:12">
      <c r="A722" s="2">
        <v>24.044</v>
      </c>
      <c r="B722" s="10" t="s">
        <v>116</v>
      </c>
      <c r="C722" s="4">
        <v>24.044</v>
      </c>
      <c r="D722" s="4">
        <v>68.3</v>
      </c>
      <c r="G722" s="2">
        <f t="shared" si="66"/>
        <v>24.011</v>
      </c>
      <c r="H722" s="11" t="str">
        <f t="shared" si="67"/>
        <v>3.402E-2</v>
      </c>
      <c r="I722" s="2">
        <f t="shared" si="68"/>
        <v>68.1</v>
      </c>
      <c r="J722" s="4">
        <f t="shared" si="69"/>
        <v>24.011</v>
      </c>
      <c r="K722" s="9">
        <f t="shared" si="70"/>
        <v>6.60000000000001</v>
      </c>
      <c r="L722" s="1">
        <f t="shared" si="71"/>
        <v>-0.399999999999984</v>
      </c>
    </row>
    <row r="723" s="1" customFormat="1" spans="1:12">
      <c r="A723" s="2">
        <v>24.078</v>
      </c>
      <c r="B723" s="10" t="s">
        <v>117</v>
      </c>
      <c r="C723" s="4">
        <v>24.078</v>
      </c>
      <c r="D723" s="4">
        <v>68.2</v>
      </c>
      <c r="G723" s="2">
        <f t="shared" si="66"/>
        <v>24.044</v>
      </c>
      <c r="H723" s="11" t="str">
        <f t="shared" si="67"/>
        <v>3.406E-2</v>
      </c>
      <c r="I723" s="2">
        <f t="shared" si="68"/>
        <v>68.3</v>
      </c>
      <c r="J723" s="4">
        <f t="shared" si="69"/>
        <v>24.044</v>
      </c>
      <c r="K723" s="9">
        <f t="shared" si="70"/>
        <v>6.99999999999999</v>
      </c>
      <c r="L723" s="1">
        <f t="shared" si="71"/>
        <v>-0.399999999999984</v>
      </c>
    </row>
    <row r="724" s="1" customFormat="1" spans="1:12">
      <c r="A724" s="2">
        <v>24.111</v>
      </c>
      <c r="B724" s="10" t="s">
        <v>15</v>
      </c>
      <c r="C724" s="4">
        <v>24.111</v>
      </c>
      <c r="D724" s="4">
        <v>68.2</v>
      </c>
      <c r="G724" s="2">
        <f t="shared" si="66"/>
        <v>24.078</v>
      </c>
      <c r="H724" s="11" t="str">
        <f t="shared" si="67"/>
        <v>3.412E-2</v>
      </c>
      <c r="I724" s="2">
        <f t="shared" si="68"/>
        <v>68.2</v>
      </c>
      <c r="J724" s="4">
        <f t="shared" si="69"/>
        <v>24.078</v>
      </c>
      <c r="K724" s="9">
        <f t="shared" si="70"/>
        <v>7.59999999999997</v>
      </c>
      <c r="L724" s="1">
        <f t="shared" si="71"/>
        <v>-0.399999999999984</v>
      </c>
    </row>
    <row r="725" s="1" customFormat="1" spans="1:12">
      <c r="A725" s="2">
        <v>24.145</v>
      </c>
      <c r="B725" s="10" t="s">
        <v>12</v>
      </c>
      <c r="C725" s="4">
        <v>24.145</v>
      </c>
      <c r="D725" s="4">
        <v>68.2</v>
      </c>
      <c r="G725" s="2">
        <f t="shared" si="66"/>
        <v>24.111</v>
      </c>
      <c r="H725" s="11" t="str">
        <f t="shared" si="67"/>
        <v>3.427E-2</v>
      </c>
      <c r="I725" s="2">
        <f t="shared" si="68"/>
        <v>68.2</v>
      </c>
      <c r="J725" s="4">
        <f t="shared" si="69"/>
        <v>24.111</v>
      </c>
      <c r="K725" s="9">
        <f t="shared" si="70"/>
        <v>9.10000000000001</v>
      </c>
      <c r="L725" s="1">
        <f t="shared" si="71"/>
        <v>-0.399999999999984</v>
      </c>
    </row>
    <row r="726" s="1" customFormat="1" spans="1:12">
      <c r="A726" s="2">
        <v>24.178</v>
      </c>
      <c r="B726" s="10" t="s">
        <v>22</v>
      </c>
      <c r="C726" s="4">
        <v>24.178</v>
      </c>
      <c r="D726" s="4">
        <v>68.2</v>
      </c>
      <c r="G726" s="2">
        <f t="shared" si="66"/>
        <v>24.145</v>
      </c>
      <c r="H726" s="11" t="str">
        <f t="shared" si="67"/>
        <v>3.435E-2</v>
      </c>
      <c r="I726" s="2">
        <f t="shared" si="68"/>
        <v>68.2</v>
      </c>
      <c r="J726" s="4">
        <f t="shared" si="69"/>
        <v>24.145</v>
      </c>
      <c r="K726" s="9">
        <f t="shared" si="70"/>
        <v>9.89999999999998</v>
      </c>
      <c r="L726" s="1">
        <f t="shared" si="71"/>
        <v>-0.399999999999984</v>
      </c>
    </row>
    <row r="727" s="1" customFormat="1" spans="1:12">
      <c r="A727" s="2">
        <v>24.212</v>
      </c>
      <c r="B727" s="10" t="s">
        <v>221</v>
      </c>
      <c r="C727" s="4">
        <v>24.212</v>
      </c>
      <c r="D727" s="4">
        <v>68.1</v>
      </c>
      <c r="G727" s="2">
        <f t="shared" si="66"/>
        <v>24.178</v>
      </c>
      <c r="H727" s="11" t="str">
        <f t="shared" si="67"/>
        <v>3.439E-2</v>
      </c>
      <c r="I727" s="2">
        <f t="shared" si="68"/>
        <v>68.2</v>
      </c>
      <c r="J727" s="4">
        <f t="shared" si="69"/>
        <v>24.178</v>
      </c>
      <c r="K727" s="9">
        <f t="shared" si="70"/>
        <v>10.3</v>
      </c>
      <c r="L727" s="1">
        <f t="shared" si="71"/>
        <v>-0.399999999999984</v>
      </c>
    </row>
    <row r="728" s="1" customFormat="1" spans="1:12">
      <c r="A728" s="2">
        <v>24.245</v>
      </c>
      <c r="B728" s="10" t="s">
        <v>220</v>
      </c>
      <c r="C728" s="4">
        <v>24.245</v>
      </c>
      <c r="D728" s="4">
        <v>68.1</v>
      </c>
      <c r="G728" s="2">
        <f t="shared" si="66"/>
        <v>24.212</v>
      </c>
      <c r="H728" s="11" t="str">
        <f t="shared" si="67"/>
        <v>3.448E-2</v>
      </c>
      <c r="I728" s="2">
        <f t="shared" si="68"/>
        <v>68.1</v>
      </c>
      <c r="J728" s="4">
        <f t="shared" si="69"/>
        <v>24.212</v>
      </c>
      <c r="K728" s="9">
        <f t="shared" si="70"/>
        <v>11.2</v>
      </c>
      <c r="L728" s="1">
        <f t="shared" si="71"/>
        <v>-0.399999999999984</v>
      </c>
    </row>
    <row r="729" s="1" customFormat="1" spans="1:12">
      <c r="A729" s="2">
        <v>24.278</v>
      </c>
      <c r="B729" s="10" t="s">
        <v>27</v>
      </c>
      <c r="C729" s="4">
        <v>24.278</v>
      </c>
      <c r="D729" s="4">
        <v>68.1</v>
      </c>
      <c r="G729" s="2">
        <f t="shared" si="66"/>
        <v>24.245</v>
      </c>
      <c r="H729" s="11" t="str">
        <f t="shared" si="67"/>
        <v>3.458E-2</v>
      </c>
      <c r="I729" s="2">
        <f t="shared" si="68"/>
        <v>68.1</v>
      </c>
      <c r="J729" s="4">
        <f t="shared" si="69"/>
        <v>24.245</v>
      </c>
      <c r="K729" s="9">
        <f t="shared" si="70"/>
        <v>12.2</v>
      </c>
      <c r="L729" s="1">
        <f t="shared" si="71"/>
        <v>-0.399999999999984</v>
      </c>
    </row>
    <row r="730" s="1" customFormat="1" spans="1:12">
      <c r="A730" s="2">
        <v>24.312</v>
      </c>
      <c r="B730" s="10" t="s">
        <v>170</v>
      </c>
      <c r="C730" s="4">
        <v>24.312</v>
      </c>
      <c r="D730" s="4">
        <v>68.1</v>
      </c>
      <c r="G730" s="2">
        <f t="shared" si="66"/>
        <v>24.278</v>
      </c>
      <c r="H730" s="11" t="str">
        <f t="shared" si="67"/>
        <v>3.463E-2</v>
      </c>
      <c r="I730" s="2">
        <f t="shared" si="68"/>
        <v>68.1</v>
      </c>
      <c r="J730" s="4">
        <f t="shared" si="69"/>
        <v>24.278</v>
      </c>
      <c r="K730" s="9">
        <f t="shared" si="70"/>
        <v>12.7</v>
      </c>
      <c r="L730" s="1">
        <f t="shared" si="71"/>
        <v>-0.399999999999984</v>
      </c>
    </row>
    <row r="731" s="1" customFormat="1" spans="1:12">
      <c r="A731" s="2">
        <v>24.345</v>
      </c>
      <c r="B731" s="10" t="s">
        <v>80</v>
      </c>
      <c r="C731" s="4">
        <v>24.345</v>
      </c>
      <c r="D731" s="4">
        <v>68.1</v>
      </c>
      <c r="G731" s="2">
        <f t="shared" si="66"/>
        <v>24.312</v>
      </c>
      <c r="H731" s="11" t="str">
        <f t="shared" si="67"/>
        <v>3.469E-2</v>
      </c>
      <c r="I731" s="2">
        <f t="shared" si="68"/>
        <v>68.1</v>
      </c>
      <c r="J731" s="4">
        <f t="shared" si="69"/>
        <v>24.312</v>
      </c>
      <c r="K731" s="9">
        <f t="shared" si="70"/>
        <v>13.3</v>
      </c>
      <c r="L731" s="1">
        <f t="shared" si="71"/>
        <v>-0.399999999999984</v>
      </c>
    </row>
    <row r="732" s="1" customFormat="1" spans="1:12">
      <c r="A732" s="2">
        <v>24.379</v>
      </c>
      <c r="B732" s="10" t="s">
        <v>60</v>
      </c>
      <c r="C732" s="4">
        <v>24.379</v>
      </c>
      <c r="D732" s="4">
        <v>68.1</v>
      </c>
      <c r="G732" s="2">
        <f t="shared" si="66"/>
        <v>24.345</v>
      </c>
      <c r="H732" s="11" t="str">
        <f t="shared" si="67"/>
        <v>3.472E-2</v>
      </c>
      <c r="I732" s="2">
        <f t="shared" si="68"/>
        <v>68.1</v>
      </c>
      <c r="J732" s="4">
        <f t="shared" si="69"/>
        <v>24.345</v>
      </c>
      <c r="K732" s="9">
        <f t="shared" si="70"/>
        <v>13.6</v>
      </c>
      <c r="L732" s="1">
        <f t="shared" si="71"/>
        <v>-0.399999999999984</v>
      </c>
    </row>
    <row r="733" s="1" customFormat="1" spans="1:12">
      <c r="A733" s="2">
        <v>24.412</v>
      </c>
      <c r="B733" s="10" t="s">
        <v>79</v>
      </c>
      <c r="C733" s="4">
        <v>24.412</v>
      </c>
      <c r="D733" s="4">
        <v>68</v>
      </c>
      <c r="G733" s="2">
        <f t="shared" si="66"/>
        <v>24.379</v>
      </c>
      <c r="H733" s="11" t="str">
        <f t="shared" si="67"/>
        <v>3.483E-2</v>
      </c>
      <c r="I733" s="2">
        <f t="shared" si="68"/>
        <v>68.1</v>
      </c>
      <c r="J733" s="4">
        <f t="shared" si="69"/>
        <v>24.379</v>
      </c>
      <c r="K733" s="9">
        <f t="shared" si="70"/>
        <v>14.7</v>
      </c>
      <c r="L733" s="1">
        <f t="shared" si="71"/>
        <v>-0.399999999999984</v>
      </c>
    </row>
    <row r="734" s="1" customFormat="1" spans="1:12">
      <c r="A734" s="2">
        <v>24.446</v>
      </c>
      <c r="B734" s="10" t="s">
        <v>231</v>
      </c>
      <c r="C734" s="4">
        <v>24.446</v>
      </c>
      <c r="D734" s="4">
        <v>67.9</v>
      </c>
      <c r="G734" s="2">
        <f t="shared" si="66"/>
        <v>24.412</v>
      </c>
      <c r="H734" s="11" t="str">
        <f t="shared" si="67"/>
        <v>3.486E-2</v>
      </c>
      <c r="I734" s="2">
        <f t="shared" si="68"/>
        <v>68</v>
      </c>
      <c r="J734" s="4">
        <f t="shared" si="69"/>
        <v>24.412</v>
      </c>
      <c r="K734" s="9">
        <f t="shared" si="70"/>
        <v>15</v>
      </c>
      <c r="L734" s="1">
        <f t="shared" si="71"/>
        <v>-0.399999999999984</v>
      </c>
    </row>
    <row r="735" s="1" customFormat="1" spans="1:12">
      <c r="A735" s="2">
        <v>24.479</v>
      </c>
      <c r="B735" s="10" t="s">
        <v>195</v>
      </c>
      <c r="C735" s="4">
        <v>24.479</v>
      </c>
      <c r="D735" s="4">
        <v>67.8</v>
      </c>
      <c r="G735" s="2">
        <f t="shared" si="66"/>
        <v>24.446</v>
      </c>
      <c r="H735" s="11" t="str">
        <f t="shared" si="67"/>
        <v>3.487E-2</v>
      </c>
      <c r="I735" s="2">
        <f t="shared" si="68"/>
        <v>67.9</v>
      </c>
      <c r="J735" s="4">
        <f t="shared" si="69"/>
        <v>24.446</v>
      </c>
      <c r="K735" s="9">
        <f t="shared" si="70"/>
        <v>15.1</v>
      </c>
      <c r="L735" s="1">
        <f t="shared" si="71"/>
        <v>-0.399999999999984</v>
      </c>
    </row>
    <row r="736" s="1" customFormat="1" spans="1:12">
      <c r="A736" s="2">
        <v>24.513</v>
      </c>
      <c r="B736" s="10" t="s">
        <v>79</v>
      </c>
      <c r="C736" s="4">
        <v>24.513</v>
      </c>
      <c r="D736" s="4">
        <v>67.5</v>
      </c>
      <c r="G736" s="2">
        <f t="shared" si="66"/>
        <v>24.479</v>
      </c>
      <c r="H736" s="11" t="str">
        <f t="shared" si="67"/>
        <v>3.488E-2</v>
      </c>
      <c r="I736" s="2">
        <f t="shared" si="68"/>
        <v>67.8</v>
      </c>
      <c r="J736" s="4">
        <f t="shared" si="69"/>
        <v>24.479</v>
      </c>
      <c r="K736" s="9">
        <f t="shared" si="70"/>
        <v>15.2</v>
      </c>
      <c r="L736" s="1">
        <f t="shared" si="71"/>
        <v>-0.399999999999984</v>
      </c>
    </row>
    <row r="737" s="1" customFormat="1" spans="1:12">
      <c r="A737" s="2">
        <v>24.546</v>
      </c>
      <c r="B737" s="10" t="s">
        <v>30</v>
      </c>
      <c r="C737" s="4">
        <v>24.546</v>
      </c>
      <c r="D737" s="4">
        <v>67.2</v>
      </c>
      <c r="G737" s="2">
        <f t="shared" si="66"/>
        <v>24.513</v>
      </c>
      <c r="H737" s="11" t="str">
        <f t="shared" si="67"/>
        <v>3.486E-2</v>
      </c>
      <c r="I737" s="2">
        <f t="shared" si="68"/>
        <v>67.5</v>
      </c>
      <c r="J737" s="4">
        <f t="shared" si="69"/>
        <v>24.513</v>
      </c>
      <c r="K737" s="9">
        <f t="shared" si="70"/>
        <v>15</v>
      </c>
      <c r="L737" s="1">
        <f t="shared" si="71"/>
        <v>-0.399999999999984</v>
      </c>
    </row>
    <row r="738" s="1" customFormat="1" spans="1:12">
      <c r="A738" s="2">
        <v>24.579</v>
      </c>
      <c r="B738" s="10" t="s">
        <v>205</v>
      </c>
      <c r="C738" s="4">
        <v>24.579</v>
      </c>
      <c r="D738" s="4">
        <v>66.8</v>
      </c>
      <c r="G738" s="2">
        <f t="shared" si="66"/>
        <v>24.546</v>
      </c>
      <c r="H738" s="11" t="str">
        <f t="shared" si="67"/>
        <v>3.484E-2</v>
      </c>
      <c r="I738" s="2">
        <f t="shared" si="68"/>
        <v>67.2</v>
      </c>
      <c r="J738" s="4">
        <f t="shared" si="69"/>
        <v>24.546</v>
      </c>
      <c r="K738" s="9">
        <f t="shared" si="70"/>
        <v>14.8</v>
      </c>
      <c r="L738" s="1">
        <f t="shared" si="71"/>
        <v>-0.399999999999984</v>
      </c>
    </row>
    <row r="739" s="1" customFormat="1" spans="1:12">
      <c r="A739" s="2">
        <v>24.613</v>
      </c>
      <c r="B739" s="10" t="s">
        <v>29</v>
      </c>
      <c r="C739" s="4">
        <v>24.613</v>
      </c>
      <c r="D739" s="4">
        <v>66.5</v>
      </c>
      <c r="G739" s="2">
        <f t="shared" si="66"/>
        <v>24.579</v>
      </c>
      <c r="H739" s="11" t="str">
        <f t="shared" si="67"/>
        <v>3.481E-2</v>
      </c>
      <c r="I739" s="2">
        <f t="shared" si="68"/>
        <v>66.8</v>
      </c>
      <c r="J739" s="4">
        <f t="shared" si="69"/>
        <v>24.579</v>
      </c>
      <c r="K739" s="9">
        <f t="shared" si="70"/>
        <v>14.5</v>
      </c>
      <c r="L739" s="1">
        <f t="shared" si="71"/>
        <v>-0.399999999999984</v>
      </c>
    </row>
    <row r="740" s="1" customFormat="1" spans="1:12">
      <c r="A740" s="2">
        <v>24.646</v>
      </c>
      <c r="B740" s="10" t="s">
        <v>80</v>
      </c>
      <c r="C740" s="4">
        <v>24.646</v>
      </c>
      <c r="D740" s="4">
        <v>66.3</v>
      </c>
      <c r="G740" s="2">
        <f t="shared" si="66"/>
        <v>24.613</v>
      </c>
      <c r="H740" s="11" t="str">
        <f t="shared" si="67"/>
        <v>3.478E-2</v>
      </c>
      <c r="I740" s="2">
        <f t="shared" si="68"/>
        <v>66.5</v>
      </c>
      <c r="J740" s="4">
        <f t="shared" si="69"/>
        <v>24.613</v>
      </c>
      <c r="K740" s="9">
        <f t="shared" si="70"/>
        <v>14.2</v>
      </c>
      <c r="L740" s="1">
        <f t="shared" si="71"/>
        <v>-0.399999999999984</v>
      </c>
    </row>
    <row r="741" s="1" customFormat="1" spans="1:12">
      <c r="A741" s="2">
        <v>24.68</v>
      </c>
      <c r="B741" s="10" t="s">
        <v>204</v>
      </c>
      <c r="C741" s="4">
        <v>24.68</v>
      </c>
      <c r="D741" s="4">
        <v>66.2</v>
      </c>
      <c r="G741" s="2">
        <f t="shared" si="66"/>
        <v>24.646</v>
      </c>
      <c r="H741" s="11" t="str">
        <f t="shared" si="67"/>
        <v>3.472E-2</v>
      </c>
      <c r="I741" s="2">
        <f t="shared" si="68"/>
        <v>66.3</v>
      </c>
      <c r="J741" s="4">
        <f t="shared" si="69"/>
        <v>24.646</v>
      </c>
      <c r="K741" s="9">
        <f t="shared" si="70"/>
        <v>13.6</v>
      </c>
      <c r="L741" s="1">
        <f t="shared" si="71"/>
        <v>-0.399999999999984</v>
      </c>
    </row>
    <row r="742" s="1" customFormat="1" spans="1:12">
      <c r="A742" s="2">
        <v>24.713</v>
      </c>
      <c r="B742" s="10" t="s">
        <v>110</v>
      </c>
      <c r="C742" s="4">
        <v>24.713</v>
      </c>
      <c r="D742" s="4">
        <v>66</v>
      </c>
      <c r="G742" s="2">
        <f t="shared" si="66"/>
        <v>24.68</v>
      </c>
      <c r="H742" s="11" t="str">
        <f t="shared" si="67"/>
        <v>3.468E-2</v>
      </c>
      <c r="I742" s="2">
        <f t="shared" si="68"/>
        <v>66.2</v>
      </c>
      <c r="J742" s="4">
        <f t="shared" si="69"/>
        <v>24.68</v>
      </c>
      <c r="K742" s="9">
        <f t="shared" si="70"/>
        <v>13.2</v>
      </c>
      <c r="L742" s="1">
        <f t="shared" si="71"/>
        <v>-0.399999999999984</v>
      </c>
    </row>
    <row r="743" s="1" customFormat="1" spans="1:12">
      <c r="A743" s="2">
        <v>24.747</v>
      </c>
      <c r="B743" s="10" t="s">
        <v>221</v>
      </c>
      <c r="C743" s="4">
        <v>24.747</v>
      </c>
      <c r="D743" s="4">
        <v>66.1</v>
      </c>
      <c r="G743" s="2">
        <f t="shared" si="66"/>
        <v>24.713</v>
      </c>
      <c r="H743" s="11" t="str">
        <f t="shared" si="67"/>
        <v>3.457E-2</v>
      </c>
      <c r="I743" s="2">
        <f t="shared" si="68"/>
        <v>66</v>
      </c>
      <c r="J743" s="4">
        <f t="shared" si="69"/>
        <v>24.713</v>
      </c>
      <c r="K743" s="9">
        <f t="shared" si="70"/>
        <v>12.1</v>
      </c>
      <c r="L743" s="1">
        <f t="shared" si="71"/>
        <v>-0.399999999999984</v>
      </c>
    </row>
    <row r="744" s="1" customFormat="1" spans="1:12">
      <c r="A744" s="2">
        <v>24.78</v>
      </c>
      <c r="B744" s="10" t="s">
        <v>58</v>
      </c>
      <c r="C744" s="4">
        <v>24.78</v>
      </c>
      <c r="D744" s="4">
        <v>65.3</v>
      </c>
      <c r="G744" s="2">
        <f t="shared" si="66"/>
        <v>24.747</v>
      </c>
      <c r="H744" s="11" t="str">
        <f t="shared" si="67"/>
        <v>3.448E-2</v>
      </c>
      <c r="I744" s="2">
        <f t="shared" si="68"/>
        <v>66.1</v>
      </c>
      <c r="J744" s="4">
        <f t="shared" si="69"/>
        <v>24.747</v>
      </c>
      <c r="K744" s="9">
        <f t="shared" si="70"/>
        <v>11.2</v>
      </c>
      <c r="L744" s="1">
        <f t="shared" si="71"/>
        <v>-0.399999999999984</v>
      </c>
    </row>
    <row r="745" s="1" customFormat="1" spans="1:12">
      <c r="A745" s="2">
        <v>24.813</v>
      </c>
      <c r="B745" s="10" t="s">
        <v>12</v>
      </c>
      <c r="C745" s="4">
        <v>24.813</v>
      </c>
      <c r="D745" s="4">
        <v>65.1</v>
      </c>
      <c r="G745" s="2">
        <f t="shared" si="66"/>
        <v>24.78</v>
      </c>
      <c r="H745" s="11" t="str">
        <f t="shared" si="67"/>
        <v>3.440E-2</v>
      </c>
      <c r="I745" s="2">
        <f t="shared" si="68"/>
        <v>65.3</v>
      </c>
      <c r="J745" s="4">
        <f t="shared" si="69"/>
        <v>24.78</v>
      </c>
      <c r="K745" s="9">
        <f t="shared" si="70"/>
        <v>10.4</v>
      </c>
      <c r="L745" s="1">
        <f t="shared" si="71"/>
        <v>-0.399999999999984</v>
      </c>
    </row>
    <row r="746" s="1" customFormat="1" spans="1:12">
      <c r="A746" s="2">
        <v>24.847</v>
      </c>
      <c r="B746" s="10" t="s">
        <v>235</v>
      </c>
      <c r="C746" s="4">
        <v>24.847</v>
      </c>
      <c r="D746" s="4">
        <v>64.9</v>
      </c>
      <c r="G746" s="2">
        <f t="shared" si="66"/>
        <v>24.813</v>
      </c>
      <c r="H746" s="11" t="str">
        <f t="shared" si="67"/>
        <v>3.435E-2</v>
      </c>
      <c r="I746" s="2">
        <f t="shared" si="68"/>
        <v>65.1</v>
      </c>
      <c r="J746" s="4">
        <f t="shared" si="69"/>
        <v>24.813</v>
      </c>
      <c r="K746" s="9">
        <f t="shared" si="70"/>
        <v>9.89999999999998</v>
      </c>
      <c r="L746" s="1">
        <f t="shared" si="71"/>
        <v>-0.399999999999984</v>
      </c>
    </row>
    <row r="747" s="1" customFormat="1" spans="1:12">
      <c r="A747" s="2">
        <v>24.88</v>
      </c>
      <c r="B747" s="10" t="s">
        <v>244</v>
      </c>
      <c r="C747" s="4">
        <v>24.88</v>
      </c>
      <c r="D747" s="4">
        <v>64.6</v>
      </c>
      <c r="G747" s="2">
        <f t="shared" si="66"/>
        <v>24.847</v>
      </c>
      <c r="H747" s="11" t="str">
        <f t="shared" si="67"/>
        <v>3.420E-2</v>
      </c>
      <c r="I747" s="2">
        <f t="shared" si="68"/>
        <v>64.9</v>
      </c>
      <c r="J747" s="4">
        <f t="shared" si="69"/>
        <v>24.847</v>
      </c>
      <c r="K747" s="9">
        <f t="shared" si="70"/>
        <v>8.4</v>
      </c>
      <c r="L747" s="1">
        <f t="shared" si="71"/>
        <v>-0.399999999999984</v>
      </c>
    </row>
    <row r="748" s="1" customFormat="1" spans="1:12">
      <c r="A748" s="2">
        <v>24.914</v>
      </c>
      <c r="B748" s="10" t="s">
        <v>234</v>
      </c>
      <c r="C748" s="4">
        <v>24.914</v>
      </c>
      <c r="D748" s="4">
        <v>64.2</v>
      </c>
      <c r="G748" s="2">
        <f t="shared" si="66"/>
        <v>24.88</v>
      </c>
      <c r="H748" s="11" t="str">
        <f t="shared" si="67"/>
        <v>3.411E-2</v>
      </c>
      <c r="I748" s="2">
        <f t="shared" si="68"/>
        <v>64.6</v>
      </c>
      <c r="J748" s="4">
        <f t="shared" si="69"/>
        <v>24.88</v>
      </c>
      <c r="K748" s="9">
        <f t="shared" si="70"/>
        <v>7.50000000000001</v>
      </c>
      <c r="L748" s="1">
        <f t="shared" si="71"/>
        <v>-0.399999999999984</v>
      </c>
    </row>
    <row r="749" s="1" customFormat="1" spans="1:12">
      <c r="A749" s="2">
        <v>24.947</v>
      </c>
      <c r="B749" s="10" t="s">
        <v>84</v>
      </c>
      <c r="C749" s="4">
        <v>24.947</v>
      </c>
      <c r="D749" s="4">
        <v>63.5</v>
      </c>
      <c r="G749" s="2">
        <f t="shared" si="66"/>
        <v>24.914</v>
      </c>
      <c r="H749" s="11" t="str">
        <f t="shared" si="67"/>
        <v>3.404E-2</v>
      </c>
      <c r="I749" s="2">
        <f t="shared" si="68"/>
        <v>64.2</v>
      </c>
      <c r="J749" s="4">
        <f t="shared" si="69"/>
        <v>24.914</v>
      </c>
      <c r="K749" s="9">
        <f t="shared" si="70"/>
        <v>6.8</v>
      </c>
      <c r="L749" s="1">
        <f t="shared" si="71"/>
        <v>-0.399999999999984</v>
      </c>
    </row>
    <row r="750" s="1" customFormat="1" spans="1:12">
      <c r="A750" s="2">
        <v>24.981</v>
      </c>
      <c r="B750" s="10" t="s">
        <v>85</v>
      </c>
      <c r="C750" s="4">
        <v>24.981</v>
      </c>
      <c r="D750" s="4">
        <v>62.9</v>
      </c>
      <c r="G750" s="2">
        <f t="shared" si="66"/>
        <v>24.947</v>
      </c>
      <c r="H750" s="11" t="str">
        <f t="shared" si="67"/>
        <v>3.393E-2</v>
      </c>
      <c r="I750" s="2">
        <f t="shared" si="68"/>
        <v>63.5</v>
      </c>
      <c r="J750" s="4">
        <f t="shared" si="69"/>
        <v>24.947</v>
      </c>
      <c r="K750" s="9">
        <f t="shared" si="70"/>
        <v>5.70000000000001</v>
      </c>
      <c r="L750" s="1">
        <f t="shared" si="71"/>
        <v>-0.399999999999984</v>
      </c>
    </row>
    <row r="751" s="1" customFormat="1" spans="1:12">
      <c r="A751" s="2">
        <v>25.014</v>
      </c>
      <c r="B751" s="10" t="s">
        <v>248</v>
      </c>
      <c r="C751" s="4">
        <v>25.014</v>
      </c>
      <c r="D751" s="4">
        <v>62.4</v>
      </c>
      <c r="G751" s="2">
        <f t="shared" si="66"/>
        <v>24.981</v>
      </c>
      <c r="H751" s="11" t="str">
        <f t="shared" si="67"/>
        <v>3.388E-2</v>
      </c>
      <c r="I751" s="2">
        <f t="shared" si="68"/>
        <v>62.9</v>
      </c>
      <c r="J751" s="4">
        <f t="shared" si="69"/>
        <v>24.981</v>
      </c>
      <c r="K751" s="9">
        <f t="shared" si="70"/>
        <v>5.2</v>
      </c>
      <c r="L751" s="1">
        <f t="shared" si="71"/>
        <v>-0.399999999999984</v>
      </c>
    </row>
    <row r="752" s="1" customFormat="1" spans="1:12">
      <c r="A752" s="2">
        <v>25.048</v>
      </c>
      <c r="B752" s="10" t="s">
        <v>247</v>
      </c>
      <c r="C752" s="4">
        <v>25.048</v>
      </c>
      <c r="D752" s="4">
        <v>61.8</v>
      </c>
      <c r="G752" s="2">
        <f t="shared" si="66"/>
        <v>25.014</v>
      </c>
      <c r="H752" s="11" t="str">
        <f t="shared" si="67"/>
        <v>3.381E-2</v>
      </c>
      <c r="I752" s="2">
        <f t="shared" si="68"/>
        <v>62.4</v>
      </c>
      <c r="J752" s="4">
        <f t="shared" si="69"/>
        <v>25.014</v>
      </c>
      <c r="K752" s="9">
        <f t="shared" si="70"/>
        <v>4.49999999999999</v>
      </c>
      <c r="L752" s="1">
        <f t="shared" si="71"/>
        <v>-0.399999999999984</v>
      </c>
    </row>
    <row r="753" s="1" customFormat="1" spans="1:12">
      <c r="A753" s="2">
        <v>25.081</v>
      </c>
      <c r="B753" s="10" t="s">
        <v>307</v>
      </c>
      <c r="C753" s="4">
        <v>25.081</v>
      </c>
      <c r="D753" s="4">
        <v>61</v>
      </c>
      <c r="G753" s="2">
        <f t="shared" si="66"/>
        <v>25.048</v>
      </c>
      <c r="H753" s="11" t="str">
        <f t="shared" si="67"/>
        <v>3.371E-2</v>
      </c>
      <c r="I753" s="2">
        <f t="shared" si="68"/>
        <v>61.8</v>
      </c>
      <c r="J753" s="4">
        <f t="shared" si="69"/>
        <v>25.048</v>
      </c>
      <c r="K753" s="9">
        <f t="shared" si="70"/>
        <v>3.49999999999996</v>
      </c>
      <c r="L753" s="1">
        <f t="shared" si="71"/>
        <v>-0.399999999999984</v>
      </c>
    </row>
    <row r="754" s="1" customFormat="1" spans="1:12">
      <c r="A754" s="2">
        <v>25.114</v>
      </c>
      <c r="B754" s="10" t="s">
        <v>278</v>
      </c>
      <c r="C754" s="4">
        <v>25.114</v>
      </c>
      <c r="D754" s="4">
        <v>60.3</v>
      </c>
      <c r="G754" s="2">
        <f t="shared" si="66"/>
        <v>25.081</v>
      </c>
      <c r="H754" s="11" t="str">
        <f t="shared" si="67"/>
        <v>3.365E-2</v>
      </c>
      <c r="I754" s="2">
        <f t="shared" si="68"/>
        <v>61</v>
      </c>
      <c r="J754" s="4">
        <f t="shared" si="69"/>
        <v>25.081</v>
      </c>
      <c r="K754" s="9">
        <f t="shared" si="70"/>
        <v>2.89999999999999</v>
      </c>
      <c r="L754" s="1">
        <f t="shared" si="71"/>
        <v>-0.399999999999984</v>
      </c>
    </row>
    <row r="755" s="1" customFormat="1" spans="1:12">
      <c r="A755" s="2">
        <v>25.148</v>
      </c>
      <c r="B755" s="10" t="s">
        <v>279</v>
      </c>
      <c r="C755" s="4">
        <v>25.148</v>
      </c>
      <c r="D755" s="4">
        <v>61.1</v>
      </c>
      <c r="G755" s="2">
        <f t="shared" si="66"/>
        <v>25.114</v>
      </c>
      <c r="H755" s="11" t="str">
        <f t="shared" si="67"/>
        <v>3.363E-2</v>
      </c>
      <c r="I755" s="2">
        <f t="shared" si="68"/>
        <v>60.3</v>
      </c>
      <c r="J755" s="4">
        <f t="shared" si="69"/>
        <v>25.114</v>
      </c>
      <c r="K755" s="9">
        <f t="shared" si="70"/>
        <v>2.69999999999999</v>
      </c>
      <c r="L755" s="1">
        <f t="shared" si="71"/>
        <v>-0.399999999999984</v>
      </c>
    </row>
    <row r="756" s="1" customFormat="1" spans="1:12">
      <c r="A756" s="2">
        <v>25.181</v>
      </c>
      <c r="B756" s="10" t="s">
        <v>268</v>
      </c>
      <c r="C756" s="4">
        <v>25.181</v>
      </c>
      <c r="D756" s="4">
        <v>59.7</v>
      </c>
      <c r="G756" s="2">
        <f t="shared" si="66"/>
        <v>25.148</v>
      </c>
      <c r="H756" s="11" t="str">
        <f t="shared" si="67"/>
        <v>3.362E-2</v>
      </c>
      <c r="I756" s="2">
        <f t="shared" si="68"/>
        <v>61.1</v>
      </c>
      <c r="J756" s="4">
        <f t="shared" si="69"/>
        <v>25.148</v>
      </c>
      <c r="K756" s="9">
        <f t="shared" si="70"/>
        <v>2.59999999999996</v>
      </c>
      <c r="L756" s="1">
        <f t="shared" si="71"/>
        <v>-0.399999999999984</v>
      </c>
    </row>
    <row r="757" s="1" customFormat="1" spans="1:12">
      <c r="A757" s="2">
        <v>25.215</v>
      </c>
      <c r="B757" s="10" t="s">
        <v>307</v>
      </c>
      <c r="C757" s="4">
        <v>25.215</v>
      </c>
      <c r="D757" s="4">
        <v>59.4</v>
      </c>
      <c r="G757" s="2">
        <f t="shared" si="66"/>
        <v>25.181</v>
      </c>
      <c r="H757" s="11" t="str">
        <f t="shared" si="67"/>
        <v>3.364E-2</v>
      </c>
      <c r="I757" s="2">
        <f t="shared" si="68"/>
        <v>59.7</v>
      </c>
      <c r="J757" s="4">
        <f t="shared" si="69"/>
        <v>25.181</v>
      </c>
      <c r="K757" s="9">
        <f t="shared" si="70"/>
        <v>2.80000000000002</v>
      </c>
      <c r="L757" s="1">
        <f t="shared" si="71"/>
        <v>-0.399999999999984</v>
      </c>
    </row>
    <row r="758" s="1" customFormat="1" spans="1:12">
      <c r="A758" s="2">
        <v>25.248</v>
      </c>
      <c r="B758" s="10" t="s">
        <v>257</v>
      </c>
      <c r="C758" s="4">
        <v>25.248</v>
      </c>
      <c r="D758" s="4">
        <v>59</v>
      </c>
      <c r="G758" s="2">
        <f t="shared" si="66"/>
        <v>25.215</v>
      </c>
      <c r="H758" s="11" t="str">
        <f t="shared" si="67"/>
        <v>3.365E-2</v>
      </c>
      <c r="I758" s="2">
        <f t="shared" si="68"/>
        <v>59.4</v>
      </c>
      <c r="J758" s="4">
        <f t="shared" si="69"/>
        <v>25.215</v>
      </c>
      <c r="K758" s="9">
        <f t="shared" si="70"/>
        <v>2.89999999999999</v>
      </c>
      <c r="L758" s="1">
        <f t="shared" si="71"/>
        <v>-0.399999999999984</v>
      </c>
    </row>
    <row r="759" s="1" customFormat="1" spans="1:12">
      <c r="A759" s="2">
        <v>25.282</v>
      </c>
      <c r="B759" s="10" t="s">
        <v>240</v>
      </c>
      <c r="C759" s="4">
        <v>25.282</v>
      </c>
      <c r="D759" s="4">
        <v>58.3</v>
      </c>
      <c r="G759" s="2">
        <f t="shared" si="66"/>
        <v>25.248</v>
      </c>
      <c r="H759" s="11" t="str">
        <f t="shared" si="67"/>
        <v>3.368E-2</v>
      </c>
      <c r="I759" s="2">
        <f t="shared" si="68"/>
        <v>59</v>
      </c>
      <c r="J759" s="4">
        <f t="shared" si="69"/>
        <v>25.248</v>
      </c>
      <c r="K759" s="9">
        <f t="shared" si="70"/>
        <v>3.20000000000001</v>
      </c>
      <c r="L759" s="1">
        <f t="shared" si="71"/>
        <v>-0.399999999999984</v>
      </c>
    </row>
    <row r="760" s="1" customFormat="1" spans="1:12">
      <c r="A760" s="2">
        <v>25.315</v>
      </c>
      <c r="B760" s="10" t="s">
        <v>51</v>
      </c>
      <c r="C760" s="4">
        <v>25.315</v>
      </c>
      <c r="D760" s="4">
        <v>57.9</v>
      </c>
      <c r="G760" s="2">
        <f t="shared" si="66"/>
        <v>25.282</v>
      </c>
      <c r="H760" s="11" t="str">
        <f t="shared" si="67"/>
        <v>3.370E-2</v>
      </c>
      <c r="I760" s="2">
        <f t="shared" si="68"/>
        <v>58.3</v>
      </c>
      <c r="J760" s="4">
        <f t="shared" si="69"/>
        <v>25.282</v>
      </c>
      <c r="K760" s="9">
        <f t="shared" si="70"/>
        <v>3.4</v>
      </c>
      <c r="L760" s="1">
        <f t="shared" si="71"/>
        <v>-0.399999999999984</v>
      </c>
    </row>
    <row r="761" s="1" customFormat="1" spans="1:12">
      <c r="A761" s="2">
        <v>25.349</v>
      </c>
      <c r="B761" s="10" t="s">
        <v>50</v>
      </c>
      <c r="C761" s="4">
        <v>25.349</v>
      </c>
      <c r="D761" s="4">
        <v>57.6</v>
      </c>
      <c r="G761" s="2">
        <f t="shared" si="66"/>
        <v>25.315</v>
      </c>
      <c r="H761" s="11" t="str">
        <f t="shared" si="67"/>
        <v>3.373E-2</v>
      </c>
      <c r="I761" s="2">
        <f t="shared" si="68"/>
        <v>57.9</v>
      </c>
      <c r="J761" s="4">
        <f t="shared" si="69"/>
        <v>25.315</v>
      </c>
      <c r="K761" s="9">
        <f t="shared" si="70"/>
        <v>3.70000000000002</v>
      </c>
      <c r="L761" s="1">
        <f t="shared" si="71"/>
        <v>-0.399999999999984</v>
      </c>
    </row>
    <row r="762" s="1" customFormat="1" spans="1:12">
      <c r="A762" s="2">
        <v>25.382</v>
      </c>
      <c r="B762" s="10" t="s">
        <v>55</v>
      </c>
      <c r="C762" s="4">
        <v>25.382</v>
      </c>
      <c r="D762" s="4">
        <v>57.3</v>
      </c>
      <c r="G762" s="2">
        <f t="shared" si="66"/>
        <v>25.349</v>
      </c>
      <c r="H762" s="11" t="str">
        <f t="shared" si="67"/>
        <v>3.377E-2</v>
      </c>
      <c r="I762" s="2">
        <f t="shared" si="68"/>
        <v>57.6</v>
      </c>
      <c r="J762" s="4">
        <f t="shared" si="69"/>
        <v>25.349</v>
      </c>
      <c r="K762" s="9">
        <f t="shared" si="70"/>
        <v>4.10000000000001</v>
      </c>
      <c r="L762" s="1">
        <f t="shared" si="71"/>
        <v>-0.399999999999984</v>
      </c>
    </row>
    <row r="763" s="1" customFormat="1" spans="1:12">
      <c r="A763" s="2">
        <v>25.415</v>
      </c>
      <c r="B763" s="10" t="s">
        <v>115</v>
      </c>
      <c r="C763" s="4">
        <v>25.415</v>
      </c>
      <c r="D763" s="4">
        <v>56.2</v>
      </c>
      <c r="G763" s="2">
        <f t="shared" si="66"/>
        <v>25.382</v>
      </c>
      <c r="H763" s="11" t="str">
        <f t="shared" si="67"/>
        <v>3.383E-2</v>
      </c>
      <c r="I763" s="2">
        <f t="shared" si="68"/>
        <v>57.3</v>
      </c>
      <c r="J763" s="4">
        <f t="shared" si="69"/>
        <v>25.382</v>
      </c>
      <c r="K763" s="9">
        <f t="shared" si="70"/>
        <v>4.69999999999998</v>
      </c>
      <c r="L763" s="1">
        <f t="shared" si="71"/>
        <v>-0.399999999999984</v>
      </c>
    </row>
    <row r="764" s="1" customFormat="1" spans="1:12">
      <c r="A764" s="2">
        <v>25.449</v>
      </c>
      <c r="B764" s="10" t="s">
        <v>116</v>
      </c>
      <c r="C764" s="4">
        <v>25.449</v>
      </c>
      <c r="D764" s="4">
        <v>56.1</v>
      </c>
      <c r="G764" s="2">
        <f t="shared" si="66"/>
        <v>25.415</v>
      </c>
      <c r="H764" s="11" t="str">
        <f t="shared" si="67"/>
        <v>3.396E-2</v>
      </c>
      <c r="I764" s="2">
        <f t="shared" si="68"/>
        <v>56.2</v>
      </c>
      <c r="J764" s="4">
        <f t="shared" si="69"/>
        <v>25.415</v>
      </c>
      <c r="K764" s="9">
        <f t="shared" si="70"/>
        <v>5.99999999999996</v>
      </c>
      <c r="L764" s="1">
        <f t="shared" si="71"/>
        <v>-0.399999999999984</v>
      </c>
    </row>
    <row r="765" s="1" customFormat="1" spans="1:12">
      <c r="A765" s="2">
        <v>25.482</v>
      </c>
      <c r="B765" s="10" t="s">
        <v>117</v>
      </c>
      <c r="C765" s="4">
        <v>25.482</v>
      </c>
      <c r="D765" s="4">
        <v>55.6</v>
      </c>
      <c r="G765" s="2">
        <f t="shared" si="66"/>
        <v>25.449</v>
      </c>
      <c r="H765" s="11" t="str">
        <f t="shared" si="67"/>
        <v>3.406E-2</v>
      </c>
      <c r="I765" s="2">
        <f t="shared" si="68"/>
        <v>56.1</v>
      </c>
      <c r="J765" s="4">
        <f t="shared" si="69"/>
        <v>25.449</v>
      </c>
      <c r="K765" s="9">
        <f t="shared" si="70"/>
        <v>6.99999999999999</v>
      </c>
      <c r="L765" s="1">
        <f t="shared" si="71"/>
        <v>-0.399999999999984</v>
      </c>
    </row>
    <row r="766" s="1" customFormat="1" spans="1:12">
      <c r="A766" s="2">
        <v>25.516</v>
      </c>
      <c r="B766" s="10" t="s">
        <v>81</v>
      </c>
      <c r="C766" s="4">
        <v>25.516</v>
      </c>
      <c r="D766" s="4">
        <v>55.7</v>
      </c>
      <c r="G766" s="2">
        <f t="shared" si="66"/>
        <v>25.482</v>
      </c>
      <c r="H766" s="11" t="str">
        <f t="shared" si="67"/>
        <v>3.412E-2</v>
      </c>
      <c r="I766" s="2">
        <f t="shared" si="68"/>
        <v>55.6</v>
      </c>
      <c r="J766" s="4">
        <f t="shared" si="69"/>
        <v>25.482</v>
      </c>
      <c r="K766" s="9">
        <f t="shared" si="70"/>
        <v>7.59999999999997</v>
      </c>
      <c r="L766" s="1">
        <f t="shared" si="71"/>
        <v>-0.399999999999984</v>
      </c>
    </row>
    <row r="767" s="1" customFormat="1" spans="1:12">
      <c r="A767" s="2">
        <v>25.549</v>
      </c>
      <c r="B767" s="10" t="s">
        <v>11</v>
      </c>
      <c r="C767" s="4">
        <v>25.549</v>
      </c>
      <c r="D767" s="4">
        <v>54.9</v>
      </c>
      <c r="G767" s="2">
        <f t="shared" si="66"/>
        <v>25.516</v>
      </c>
      <c r="H767" s="11" t="str">
        <f t="shared" si="67"/>
        <v>3.425E-2</v>
      </c>
      <c r="I767" s="2">
        <f t="shared" si="68"/>
        <v>55.7</v>
      </c>
      <c r="J767" s="4">
        <f t="shared" si="69"/>
        <v>25.516</v>
      </c>
      <c r="K767" s="9">
        <f t="shared" si="70"/>
        <v>8.90000000000002</v>
      </c>
      <c r="L767" s="1">
        <f t="shared" si="71"/>
        <v>-0.399999999999984</v>
      </c>
    </row>
    <row r="768" s="1" customFormat="1" spans="1:12">
      <c r="A768" s="2">
        <v>25.583</v>
      </c>
      <c r="B768" s="10" t="s">
        <v>22</v>
      </c>
      <c r="C768" s="4">
        <v>25.583</v>
      </c>
      <c r="D768" s="4">
        <v>54.4</v>
      </c>
      <c r="G768" s="2">
        <f t="shared" si="66"/>
        <v>25.549</v>
      </c>
      <c r="H768" s="11" t="str">
        <f t="shared" si="67"/>
        <v>3.432E-2</v>
      </c>
      <c r="I768" s="2">
        <f t="shared" si="68"/>
        <v>54.9</v>
      </c>
      <c r="J768" s="4">
        <f t="shared" si="69"/>
        <v>25.549</v>
      </c>
      <c r="K768" s="9">
        <f t="shared" si="70"/>
        <v>9.60000000000002</v>
      </c>
      <c r="L768" s="1">
        <f t="shared" si="71"/>
        <v>-0.399999999999984</v>
      </c>
    </row>
    <row r="769" s="1" customFormat="1" spans="1:12">
      <c r="A769" s="2">
        <v>25.616</v>
      </c>
      <c r="B769" s="10" t="s">
        <v>141</v>
      </c>
      <c r="C769" s="4">
        <v>25.616</v>
      </c>
      <c r="D769" s="4">
        <v>53.5</v>
      </c>
      <c r="G769" s="2">
        <f t="shared" si="66"/>
        <v>25.583</v>
      </c>
      <c r="H769" s="11" t="str">
        <f t="shared" si="67"/>
        <v>3.439E-2</v>
      </c>
      <c r="I769" s="2">
        <f t="shared" si="68"/>
        <v>54.4</v>
      </c>
      <c r="J769" s="4">
        <f t="shared" si="69"/>
        <v>25.583</v>
      </c>
      <c r="K769" s="9">
        <f t="shared" si="70"/>
        <v>10.3</v>
      </c>
      <c r="L769" s="1">
        <f t="shared" si="71"/>
        <v>-0.399999999999984</v>
      </c>
    </row>
    <row r="770" s="1" customFormat="1" spans="1:12">
      <c r="A770" s="2">
        <v>25.65</v>
      </c>
      <c r="B770" s="10" t="s">
        <v>167</v>
      </c>
      <c r="C770" s="4">
        <v>25.65</v>
      </c>
      <c r="D770" s="4">
        <v>53.2</v>
      </c>
      <c r="G770" s="2">
        <f t="shared" si="66"/>
        <v>25.616</v>
      </c>
      <c r="H770" s="11" t="str">
        <f t="shared" si="67"/>
        <v>3.444E-2</v>
      </c>
      <c r="I770" s="2">
        <f t="shared" si="68"/>
        <v>53.5</v>
      </c>
      <c r="J770" s="4">
        <f t="shared" si="69"/>
        <v>25.616</v>
      </c>
      <c r="K770" s="9">
        <f t="shared" si="70"/>
        <v>10.8</v>
      </c>
      <c r="L770" s="1">
        <f t="shared" si="71"/>
        <v>-0.399999999999984</v>
      </c>
    </row>
    <row r="771" s="1" customFormat="1" spans="1:12">
      <c r="A771" s="2">
        <v>25.683</v>
      </c>
      <c r="B771" s="10" t="s">
        <v>168</v>
      </c>
      <c r="C771" s="4">
        <v>25.683</v>
      </c>
      <c r="D771" s="4">
        <v>53.1</v>
      </c>
      <c r="G771" s="2">
        <f t="shared" si="66"/>
        <v>25.65</v>
      </c>
      <c r="H771" s="11" t="str">
        <f t="shared" si="67"/>
        <v>3.453E-2</v>
      </c>
      <c r="I771" s="2">
        <f t="shared" si="68"/>
        <v>53.2</v>
      </c>
      <c r="J771" s="4">
        <f t="shared" si="69"/>
        <v>25.65</v>
      </c>
      <c r="K771" s="9">
        <f t="shared" si="70"/>
        <v>11.7</v>
      </c>
      <c r="L771" s="1">
        <f t="shared" si="71"/>
        <v>-0.399999999999984</v>
      </c>
    </row>
    <row r="772" s="1" customFormat="1" spans="1:12">
      <c r="A772" s="2">
        <v>25.716</v>
      </c>
      <c r="B772" s="10" t="s">
        <v>89</v>
      </c>
      <c r="C772" s="4">
        <v>25.716</v>
      </c>
      <c r="D772" s="4">
        <v>52.1</v>
      </c>
      <c r="G772" s="2">
        <f t="shared" ref="G772:G835" si="72">A771</f>
        <v>25.683</v>
      </c>
      <c r="H772" s="11" t="str">
        <f t="shared" ref="H772:H835" si="73">B771</f>
        <v>3.459E-2</v>
      </c>
      <c r="I772" s="2">
        <f t="shared" ref="I772:I835" si="74">D771</f>
        <v>53.1</v>
      </c>
      <c r="J772" s="4">
        <f t="shared" ref="J772:J835" si="75">G772</f>
        <v>25.683</v>
      </c>
      <c r="K772" s="9">
        <f t="shared" ref="K772:K835" si="76">(H772-$H$4)*10000</f>
        <v>12.3</v>
      </c>
      <c r="L772" s="1">
        <f t="shared" si="71"/>
        <v>-0.399999999999984</v>
      </c>
    </row>
    <row r="773" s="1" customFormat="1" spans="1:12">
      <c r="A773" s="2">
        <v>25.75</v>
      </c>
      <c r="B773" s="10" t="s">
        <v>89</v>
      </c>
      <c r="C773" s="4">
        <v>25.75</v>
      </c>
      <c r="D773" s="4">
        <v>52.2</v>
      </c>
      <c r="G773" s="2">
        <f t="shared" si="72"/>
        <v>25.716</v>
      </c>
      <c r="H773" s="11" t="str">
        <f t="shared" si="73"/>
        <v>3.462E-2</v>
      </c>
      <c r="I773" s="2">
        <f t="shared" si="74"/>
        <v>52.1</v>
      </c>
      <c r="J773" s="4">
        <f t="shared" si="75"/>
        <v>25.716</v>
      </c>
      <c r="K773" s="9">
        <f t="shared" si="76"/>
        <v>12.6</v>
      </c>
      <c r="L773" s="1">
        <f t="shared" ref="L773:L836" si="77">IF(I773&lt;230,$V$4,$V$5)</f>
        <v>-0.399999999999984</v>
      </c>
    </row>
    <row r="774" s="1" customFormat="1" spans="1:12">
      <c r="A774" s="2">
        <v>25.783</v>
      </c>
      <c r="B774" s="10" t="s">
        <v>89</v>
      </c>
      <c r="C774" s="4">
        <v>25.783</v>
      </c>
      <c r="D774" s="4">
        <v>51.9</v>
      </c>
      <c r="G774" s="2">
        <f t="shared" si="72"/>
        <v>25.75</v>
      </c>
      <c r="H774" s="11" t="str">
        <f t="shared" si="73"/>
        <v>3.462E-2</v>
      </c>
      <c r="I774" s="2">
        <f t="shared" si="74"/>
        <v>52.2</v>
      </c>
      <c r="J774" s="4">
        <f t="shared" si="75"/>
        <v>25.75</v>
      </c>
      <c r="K774" s="9">
        <f t="shared" si="76"/>
        <v>12.6</v>
      </c>
      <c r="L774" s="1">
        <f t="shared" si="77"/>
        <v>-0.399999999999984</v>
      </c>
    </row>
    <row r="775" s="1" customFormat="1" spans="1:12">
      <c r="A775" s="2">
        <v>25.817</v>
      </c>
      <c r="B775" s="10" t="s">
        <v>169</v>
      </c>
      <c r="C775" s="4">
        <v>25.817</v>
      </c>
      <c r="D775" s="4">
        <v>51.1</v>
      </c>
      <c r="G775" s="2">
        <f t="shared" si="72"/>
        <v>25.783</v>
      </c>
      <c r="H775" s="11" t="str">
        <f t="shared" si="73"/>
        <v>3.462E-2</v>
      </c>
      <c r="I775" s="2">
        <f t="shared" si="74"/>
        <v>51.9</v>
      </c>
      <c r="J775" s="4">
        <f t="shared" si="75"/>
        <v>25.783</v>
      </c>
      <c r="K775" s="9">
        <f t="shared" si="76"/>
        <v>12.6</v>
      </c>
      <c r="L775" s="1">
        <f t="shared" si="77"/>
        <v>-0.399999999999984</v>
      </c>
    </row>
    <row r="776" s="1" customFormat="1" spans="1:12">
      <c r="A776" s="2">
        <v>25.85</v>
      </c>
      <c r="B776" s="10" t="s">
        <v>168</v>
      </c>
      <c r="C776" s="4">
        <v>25.85</v>
      </c>
      <c r="D776" s="4">
        <v>51.1</v>
      </c>
      <c r="G776" s="2">
        <f t="shared" si="72"/>
        <v>25.817</v>
      </c>
      <c r="H776" s="11" t="str">
        <f t="shared" si="73"/>
        <v>3.461E-2</v>
      </c>
      <c r="I776" s="2">
        <f t="shared" si="74"/>
        <v>51.1</v>
      </c>
      <c r="J776" s="4">
        <f t="shared" si="75"/>
        <v>25.817</v>
      </c>
      <c r="K776" s="9">
        <f t="shared" si="76"/>
        <v>12.5</v>
      </c>
      <c r="L776" s="1">
        <f t="shared" si="77"/>
        <v>-0.399999999999984</v>
      </c>
    </row>
    <row r="777" s="1" customFormat="1" spans="1:12">
      <c r="A777" s="2">
        <v>25.884</v>
      </c>
      <c r="B777" s="10" t="s">
        <v>41</v>
      </c>
      <c r="C777" s="4">
        <v>25.884</v>
      </c>
      <c r="D777" s="4">
        <v>50.2</v>
      </c>
      <c r="G777" s="2">
        <f t="shared" si="72"/>
        <v>25.85</v>
      </c>
      <c r="H777" s="11" t="str">
        <f t="shared" si="73"/>
        <v>3.459E-2</v>
      </c>
      <c r="I777" s="2">
        <f t="shared" si="74"/>
        <v>51.1</v>
      </c>
      <c r="J777" s="4">
        <f t="shared" si="75"/>
        <v>25.85</v>
      </c>
      <c r="K777" s="9">
        <f t="shared" si="76"/>
        <v>12.3</v>
      </c>
      <c r="L777" s="1">
        <f t="shared" si="77"/>
        <v>-0.399999999999984</v>
      </c>
    </row>
    <row r="778" s="1" customFormat="1" spans="1:12">
      <c r="A778" s="2">
        <v>25.917</v>
      </c>
      <c r="B778" s="10" t="s">
        <v>140</v>
      </c>
      <c r="C778" s="4">
        <v>25.917</v>
      </c>
      <c r="D778" s="4">
        <v>49.9</v>
      </c>
      <c r="G778" s="2">
        <f t="shared" si="72"/>
        <v>25.884</v>
      </c>
      <c r="H778" s="11" t="str">
        <f t="shared" si="73"/>
        <v>3.456E-2</v>
      </c>
      <c r="I778" s="2">
        <f t="shared" si="74"/>
        <v>50.2</v>
      </c>
      <c r="J778" s="4">
        <f t="shared" si="75"/>
        <v>25.884</v>
      </c>
      <c r="K778" s="9">
        <f t="shared" si="76"/>
        <v>12</v>
      </c>
      <c r="L778" s="1">
        <f t="shared" si="77"/>
        <v>-0.399999999999984</v>
      </c>
    </row>
    <row r="779" s="1" customFormat="1" spans="1:12">
      <c r="A779" s="2">
        <v>25.951</v>
      </c>
      <c r="B779" s="10" t="s">
        <v>42</v>
      </c>
      <c r="C779" s="4">
        <v>25.951</v>
      </c>
      <c r="D779" s="4">
        <v>50</v>
      </c>
      <c r="G779" s="2">
        <f t="shared" si="72"/>
        <v>25.917</v>
      </c>
      <c r="H779" s="11" t="str">
        <f t="shared" si="73"/>
        <v>3.454E-2</v>
      </c>
      <c r="I779" s="2">
        <f t="shared" si="74"/>
        <v>49.9</v>
      </c>
      <c r="J779" s="4">
        <f t="shared" si="75"/>
        <v>25.917</v>
      </c>
      <c r="K779" s="9">
        <f t="shared" si="76"/>
        <v>11.8</v>
      </c>
      <c r="L779" s="1">
        <f t="shared" si="77"/>
        <v>-0.399999999999984</v>
      </c>
    </row>
    <row r="780" s="1" customFormat="1" spans="1:12">
      <c r="A780" s="2">
        <v>25.984</v>
      </c>
      <c r="B780" s="10" t="s">
        <v>216</v>
      </c>
      <c r="C780" s="4">
        <v>25.984</v>
      </c>
      <c r="D780" s="4">
        <v>49.3</v>
      </c>
      <c r="G780" s="2">
        <f t="shared" si="72"/>
        <v>25.951</v>
      </c>
      <c r="H780" s="11" t="str">
        <f t="shared" si="73"/>
        <v>3.450E-2</v>
      </c>
      <c r="I780" s="2">
        <f t="shared" si="74"/>
        <v>50</v>
      </c>
      <c r="J780" s="4">
        <f t="shared" si="75"/>
        <v>25.951</v>
      </c>
      <c r="K780" s="9">
        <f t="shared" si="76"/>
        <v>11.4</v>
      </c>
      <c r="L780" s="1">
        <f t="shared" si="77"/>
        <v>-0.399999999999984</v>
      </c>
    </row>
    <row r="781" s="1" customFormat="1" spans="1:12">
      <c r="A781" s="2">
        <v>26.017</v>
      </c>
      <c r="B781" s="10" t="s">
        <v>43</v>
      </c>
      <c r="C781" s="4">
        <v>26.017</v>
      </c>
      <c r="D781" s="4">
        <v>49.6</v>
      </c>
      <c r="G781" s="2">
        <f t="shared" si="72"/>
        <v>25.984</v>
      </c>
      <c r="H781" s="11" t="str">
        <f t="shared" si="73"/>
        <v>3.446E-2</v>
      </c>
      <c r="I781" s="2">
        <f t="shared" si="74"/>
        <v>49.3</v>
      </c>
      <c r="J781" s="4">
        <f t="shared" si="75"/>
        <v>25.984</v>
      </c>
      <c r="K781" s="9">
        <f t="shared" si="76"/>
        <v>11</v>
      </c>
      <c r="L781" s="1">
        <f t="shared" si="77"/>
        <v>-0.399999999999984</v>
      </c>
    </row>
    <row r="782" s="1" customFormat="1" spans="1:12">
      <c r="A782" s="2">
        <v>26.051</v>
      </c>
      <c r="B782" s="10" t="s">
        <v>143</v>
      </c>
      <c r="C782" s="4">
        <v>26.051</v>
      </c>
      <c r="D782" s="4">
        <v>49.2</v>
      </c>
      <c r="G782" s="2">
        <f t="shared" si="72"/>
        <v>26.017</v>
      </c>
      <c r="H782" s="11" t="str">
        <f t="shared" si="73"/>
        <v>3.441E-2</v>
      </c>
      <c r="I782" s="2">
        <f t="shared" si="74"/>
        <v>49.6</v>
      </c>
      <c r="J782" s="4">
        <f t="shared" si="75"/>
        <v>26.017</v>
      </c>
      <c r="K782" s="9">
        <f t="shared" si="76"/>
        <v>10.5</v>
      </c>
      <c r="L782" s="1">
        <f t="shared" si="77"/>
        <v>-0.399999999999984</v>
      </c>
    </row>
    <row r="783" s="1" customFormat="1" spans="1:12">
      <c r="A783" s="2">
        <v>26.084</v>
      </c>
      <c r="B783" s="10" t="s">
        <v>17</v>
      </c>
      <c r="C783" s="4">
        <v>26.084</v>
      </c>
      <c r="D783" s="4">
        <v>48.7</v>
      </c>
      <c r="G783" s="2">
        <f t="shared" si="72"/>
        <v>26.051</v>
      </c>
      <c r="H783" s="11" t="str">
        <f t="shared" si="73"/>
        <v>3.436E-2</v>
      </c>
      <c r="I783" s="2">
        <f t="shared" si="74"/>
        <v>49.2</v>
      </c>
      <c r="J783" s="4">
        <f t="shared" si="75"/>
        <v>26.051</v>
      </c>
      <c r="K783" s="9">
        <f t="shared" si="76"/>
        <v>10</v>
      </c>
      <c r="L783" s="1">
        <f t="shared" si="77"/>
        <v>-0.399999999999984</v>
      </c>
    </row>
    <row r="784" s="1" customFormat="1" spans="1:12">
      <c r="A784" s="2">
        <v>26.118</v>
      </c>
      <c r="B784" s="10" t="s">
        <v>82</v>
      </c>
      <c r="C784" s="4">
        <v>26.118</v>
      </c>
      <c r="D784" s="4">
        <v>48.8</v>
      </c>
      <c r="G784" s="2">
        <f t="shared" si="72"/>
        <v>26.084</v>
      </c>
      <c r="H784" s="11" t="str">
        <f t="shared" si="73"/>
        <v>3.423E-2</v>
      </c>
      <c r="I784" s="2">
        <f t="shared" si="74"/>
        <v>48.7</v>
      </c>
      <c r="J784" s="4">
        <f t="shared" si="75"/>
        <v>26.084</v>
      </c>
      <c r="K784" s="9">
        <f t="shared" si="76"/>
        <v>8.69999999999996</v>
      </c>
      <c r="L784" s="1">
        <f t="shared" si="77"/>
        <v>-0.399999999999984</v>
      </c>
    </row>
    <row r="785" s="1" customFormat="1" spans="1:12">
      <c r="A785" s="2">
        <v>26.151</v>
      </c>
      <c r="B785" s="10" t="s">
        <v>116</v>
      </c>
      <c r="C785" s="4">
        <v>26.151</v>
      </c>
      <c r="D785" s="4">
        <v>48.2</v>
      </c>
      <c r="G785" s="2">
        <f t="shared" si="72"/>
        <v>26.118</v>
      </c>
      <c r="H785" s="11" t="str">
        <f t="shared" si="73"/>
        <v>3.414E-2</v>
      </c>
      <c r="I785" s="2">
        <f t="shared" si="74"/>
        <v>48.8</v>
      </c>
      <c r="J785" s="4">
        <f t="shared" si="75"/>
        <v>26.118</v>
      </c>
      <c r="K785" s="9">
        <f t="shared" si="76"/>
        <v>7.79999999999996</v>
      </c>
      <c r="L785" s="1">
        <f t="shared" si="77"/>
        <v>-0.399999999999984</v>
      </c>
    </row>
    <row r="786" s="1" customFormat="1" spans="1:12">
      <c r="A786" s="2">
        <v>26.185</v>
      </c>
      <c r="B786" s="10" t="s">
        <v>114</v>
      </c>
      <c r="C786" s="4">
        <v>26.185</v>
      </c>
      <c r="D786" s="4">
        <v>48.3</v>
      </c>
      <c r="G786" s="2">
        <f t="shared" si="72"/>
        <v>26.151</v>
      </c>
      <c r="H786" s="11" t="str">
        <f t="shared" si="73"/>
        <v>3.406E-2</v>
      </c>
      <c r="I786" s="2">
        <f t="shared" si="74"/>
        <v>48.2</v>
      </c>
      <c r="J786" s="4">
        <f t="shared" si="75"/>
        <v>26.151</v>
      </c>
      <c r="K786" s="9">
        <f t="shared" si="76"/>
        <v>6.99999999999999</v>
      </c>
      <c r="L786" s="1">
        <f t="shared" si="77"/>
        <v>-0.399999999999984</v>
      </c>
    </row>
    <row r="787" s="1" customFormat="1" spans="1:12">
      <c r="A787" s="2">
        <v>26.218</v>
      </c>
      <c r="B787" s="10" t="s">
        <v>252</v>
      </c>
      <c r="C787" s="4">
        <v>26.218</v>
      </c>
      <c r="D787" s="4">
        <v>48.1</v>
      </c>
      <c r="G787" s="2">
        <f t="shared" si="72"/>
        <v>26.185</v>
      </c>
      <c r="H787" s="11" t="str">
        <f t="shared" si="73"/>
        <v>3.392E-2</v>
      </c>
      <c r="I787" s="2">
        <f t="shared" si="74"/>
        <v>48.3</v>
      </c>
      <c r="J787" s="4">
        <f t="shared" si="75"/>
        <v>26.185</v>
      </c>
      <c r="K787" s="9">
        <f t="shared" si="76"/>
        <v>5.59999999999998</v>
      </c>
      <c r="L787" s="1">
        <f t="shared" si="77"/>
        <v>-0.399999999999984</v>
      </c>
    </row>
    <row r="788" s="1" customFormat="1" spans="1:12">
      <c r="A788" s="2">
        <v>26.251</v>
      </c>
      <c r="B788" s="10" t="s">
        <v>54</v>
      </c>
      <c r="C788" s="4">
        <v>26.251</v>
      </c>
      <c r="D788" s="4">
        <v>47.9</v>
      </c>
      <c r="G788" s="2">
        <f t="shared" si="72"/>
        <v>26.218</v>
      </c>
      <c r="H788" s="11" t="str">
        <f t="shared" si="73"/>
        <v>3.384E-2</v>
      </c>
      <c r="I788" s="2">
        <f t="shared" si="74"/>
        <v>48.1</v>
      </c>
      <c r="J788" s="4">
        <f t="shared" si="75"/>
        <v>26.218</v>
      </c>
      <c r="K788" s="9">
        <f t="shared" si="76"/>
        <v>4.80000000000001</v>
      </c>
      <c r="L788" s="1">
        <f t="shared" si="77"/>
        <v>-0.399999999999984</v>
      </c>
    </row>
    <row r="789" s="1" customFormat="1" spans="1:12">
      <c r="A789" s="2">
        <v>26.285</v>
      </c>
      <c r="B789" s="10" t="s">
        <v>257</v>
      </c>
      <c r="C789" s="4">
        <v>26.285</v>
      </c>
      <c r="D789" s="4">
        <v>47.8</v>
      </c>
      <c r="G789" s="2">
        <f t="shared" si="72"/>
        <v>26.251</v>
      </c>
      <c r="H789" s="11" t="str">
        <f t="shared" si="73"/>
        <v>3.378E-2</v>
      </c>
      <c r="I789" s="2">
        <f t="shared" si="74"/>
        <v>47.9</v>
      </c>
      <c r="J789" s="4">
        <f t="shared" si="75"/>
        <v>26.251</v>
      </c>
      <c r="K789" s="9">
        <f t="shared" si="76"/>
        <v>4.19999999999997</v>
      </c>
      <c r="L789" s="1">
        <f t="shared" si="77"/>
        <v>-0.399999999999984</v>
      </c>
    </row>
    <row r="790" s="1" customFormat="1" spans="1:12">
      <c r="A790" s="2">
        <v>26.318</v>
      </c>
      <c r="B790" s="10" t="s">
        <v>270</v>
      </c>
      <c r="C790" s="4">
        <v>26.318</v>
      </c>
      <c r="D790" s="4">
        <v>47.8</v>
      </c>
      <c r="G790" s="2">
        <f t="shared" si="72"/>
        <v>26.285</v>
      </c>
      <c r="H790" s="11" t="str">
        <f t="shared" si="73"/>
        <v>3.368E-2</v>
      </c>
      <c r="I790" s="2">
        <f t="shared" si="74"/>
        <v>47.8</v>
      </c>
      <c r="J790" s="4">
        <f t="shared" si="75"/>
        <v>26.285</v>
      </c>
      <c r="K790" s="9">
        <f t="shared" si="76"/>
        <v>3.20000000000001</v>
      </c>
      <c r="L790" s="1">
        <f t="shared" si="77"/>
        <v>-0.399999999999984</v>
      </c>
    </row>
    <row r="791" s="1" customFormat="1" spans="1:12">
      <c r="A791" s="2">
        <v>26.352</v>
      </c>
      <c r="B791" s="10" t="s">
        <v>308</v>
      </c>
      <c r="C791" s="4">
        <v>26.352</v>
      </c>
      <c r="D791" s="4">
        <v>47.2</v>
      </c>
      <c r="G791" s="2">
        <f t="shared" si="72"/>
        <v>26.318</v>
      </c>
      <c r="H791" s="11" t="str">
        <f t="shared" si="73"/>
        <v>3.360E-2</v>
      </c>
      <c r="I791" s="2">
        <f t="shared" si="74"/>
        <v>47.8</v>
      </c>
      <c r="J791" s="4">
        <f t="shared" si="75"/>
        <v>26.318</v>
      </c>
      <c r="K791" s="9">
        <f t="shared" si="76"/>
        <v>2.39999999999997</v>
      </c>
      <c r="L791" s="1">
        <f t="shared" si="77"/>
        <v>-0.399999999999984</v>
      </c>
    </row>
    <row r="792" s="1" customFormat="1" spans="1:12">
      <c r="A792" s="2">
        <v>26.385</v>
      </c>
      <c r="B792" s="10" t="s">
        <v>267</v>
      </c>
      <c r="C792" s="4">
        <v>26.385</v>
      </c>
      <c r="D792" s="4">
        <v>47.2</v>
      </c>
      <c r="G792" s="2">
        <f t="shared" si="72"/>
        <v>26.352</v>
      </c>
      <c r="H792" s="11" t="str">
        <f t="shared" si="73"/>
        <v>3.356E-2</v>
      </c>
      <c r="I792" s="2">
        <f t="shared" si="74"/>
        <v>47.2</v>
      </c>
      <c r="J792" s="4">
        <f t="shared" si="75"/>
        <v>26.352</v>
      </c>
      <c r="K792" s="9">
        <f t="shared" si="76"/>
        <v>1.99999999999999</v>
      </c>
      <c r="L792" s="1">
        <f t="shared" si="77"/>
        <v>-0.399999999999984</v>
      </c>
    </row>
    <row r="793" s="1" customFormat="1" spans="1:12">
      <c r="A793" s="2">
        <v>26.419</v>
      </c>
      <c r="B793" s="10" t="s">
        <v>271</v>
      </c>
      <c r="C793" s="4">
        <v>26.419</v>
      </c>
      <c r="D793" s="4">
        <v>46.9</v>
      </c>
      <c r="G793" s="2">
        <f t="shared" si="72"/>
        <v>26.385</v>
      </c>
      <c r="H793" s="11" t="str">
        <f t="shared" si="73"/>
        <v>3.353E-2</v>
      </c>
      <c r="I793" s="2">
        <f t="shared" si="74"/>
        <v>47.2</v>
      </c>
      <c r="J793" s="4">
        <f t="shared" si="75"/>
        <v>26.385</v>
      </c>
      <c r="K793" s="9">
        <f t="shared" si="76"/>
        <v>1.69999999999997</v>
      </c>
      <c r="L793" s="1">
        <f t="shared" si="77"/>
        <v>-0.399999999999984</v>
      </c>
    </row>
    <row r="794" s="1" customFormat="1" spans="1:12">
      <c r="A794" s="2">
        <v>26.452</v>
      </c>
      <c r="B794" s="10" t="s">
        <v>308</v>
      </c>
      <c r="C794" s="4">
        <v>26.452</v>
      </c>
      <c r="D794" s="4">
        <v>47</v>
      </c>
      <c r="G794" s="2">
        <f t="shared" si="72"/>
        <v>26.419</v>
      </c>
      <c r="H794" s="11" t="str">
        <f t="shared" si="73"/>
        <v>3.355E-2</v>
      </c>
      <c r="I794" s="2">
        <f t="shared" si="74"/>
        <v>46.9</v>
      </c>
      <c r="J794" s="4">
        <f t="shared" si="75"/>
        <v>26.419</v>
      </c>
      <c r="K794" s="9">
        <f t="shared" si="76"/>
        <v>1.90000000000003</v>
      </c>
      <c r="L794" s="1">
        <f t="shared" si="77"/>
        <v>-0.399999999999984</v>
      </c>
    </row>
    <row r="795" s="1" customFormat="1" spans="1:12">
      <c r="A795" s="2">
        <v>26.486</v>
      </c>
      <c r="B795" s="10" t="s">
        <v>309</v>
      </c>
      <c r="C795" s="4">
        <v>26.486</v>
      </c>
      <c r="D795" s="4">
        <v>46.1</v>
      </c>
      <c r="G795" s="2">
        <f t="shared" si="72"/>
        <v>26.452</v>
      </c>
      <c r="H795" s="11" t="str">
        <f t="shared" si="73"/>
        <v>3.356E-2</v>
      </c>
      <c r="I795" s="2">
        <f t="shared" si="74"/>
        <v>47</v>
      </c>
      <c r="J795" s="4">
        <f t="shared" si="75"/>
        <v>26.452</v>
      </c>
      <c r="K795" s="9">
        <f t="shared" si="76"/>
        <v>1.99999999999999</v>
      </c>
      <c r="L795" s="1">
        <f t="shared" si="77"/>
        <v>-0.399999999999984</v>
      </c>
    </row>
    <row r="796" s="1" customFormat="1" spans="1:12">
      <c r="A796" s="2">
        <v>26.519</v>
      </c>
      <c r="B796" s="10" t="s">
        <v>270</v>
      </c>
      <c r="C796" s="4">
        <v>26.519</v>
      </c>
      <c r="D796" s="4">
        <v>45.9</v>
      </c>
      <c r="G796" s="2">
        <f t="shared" si="72"/>
        <v>26.486</v>
      </c>
      <c r="H796" s="11" t="str">
        <f t="shared" si="73"/>
        <v>3.358E-2</v>
      </c>
      <c r="I796" s="2">
        <f t="shared" si="74"/>
        <v>46.1</v>
      </c>
      <c r="J796" s="4">
        <f t="shared" si="75"/>
        <v>26.486</v>
      </c>
      <c r="K796" s="9">
        <f t="shared" si="76"/>
        <v>2.19999999999998</v>
      </c>
      <c r="L796" s="1">
        <f t="shared" si="77"/>
        <v>-0.399999999999984</v>
      </c>
    </row>
    <row r="797" s="1" customFormat="1" spans="1:12">
      <c r="A797" s="2">
        <v>26.552</v>
      </c>
      <c r="B797" s="10" t="s">
        <v>278</v>
      </c>
      <c r="C797" s="4">
        <v>26.552</v>
      </c>
      <c r="D797" s="4">
        <v>46.5</v>
      </c>
      <c r="G797" s="2">
        <f t="shared" si="72"/>
        <v>26.519</v>
      </c>
      <c r="H797" s="11" t="str">
        <f t="shared" si="73"/>
        <v>3.360E-2</v>
      </c>
      <c r="I797" s="2">
        <f t="shared" si="74"/>
        <v>45.9</v>
      </c>
      <c r="J797" s="4">
        <f t="shared" si="75"/>
        <v>26.519</v>
      </c>
      <c r="K797" s="9">
        <f t="shared" si="76"/>
        <v>2.39999999999997</v>
      </c>
      <c r="L797" s="1">
        <f t="shared" si="77"/>
        <v>-0.399999999999984</v>
      </c>
    </row>
    <row r="798" s="1" customFormat="1" spans="1:12">
      <c r="A798" s="2">
        <v>26.586</v>
      </c>
      <c r="B798" s="10" t="s">
        <v>255</v>
      </c>
      <c r="C798" s="4">
        <v>26.586</v>
      </c>
      <c r="D798" s="4">
        <v>46.4</v>
      </c>
      <c r="G798" s="2">
        <f t="shared" si="72"/>
        <v>26.552</v>
      </c>
      <c r="H798" s="11" t="str">
        <f t="shared" si="73"/>
        <v>3.363E-2</v>
      </c>
      <c r="I798" s="2">
        <f t="shared" si="74"/>
        <v>46.5</v>
      </c>
      <c r="J798" s="4">
        <f t="shared" si="75"/>
        <v>26.552</v>
      </c>
      <c r="K798" s="9">
        <f t="shared" si="76"/>
        <v>2.69999999999999</v>
      </c>
      <c r="L798" s="1">
        <f t="shared" si="77"/>
        <v>-0.399999999999984</v>
      </c>
    </row>
    <row r="799" s="1" customFormat="1" spans="1:12">
      <c r="A799" s="2">
        <v>26.619</v>
      </c>
      <c r="B799" s="10" t="s">
        <v>241</v>
      </c>
      <c r="C799" s="4">
        <v>26.619</v>
      </c>
      <c r="D799" s="4">
        <v>46.6</v>
      </c>
      <c r="G799" s="2">
        <f t="shared" si="72"/>
        <v>26.586</v>
      </c>
      <c r="H799" s="11" t="str">
        <f t="shared" si="73"/>
        <v>3.366E-2</v>
      </c>
      <c r="I799" s="2">
        <f t="shared" si="74"/>
        <v>46.4</v>
      </c>
      <c r="J799" s="4">
        <f t="shared" si="75"/>
        <v>26.586</v>
      </c>
      <c r="K799" s="9">
        <f t="shared" si="76"/>
        <v>3.00000000000002</v>
      </c>
      <c r="L799" s="1">
        <f t="shared" si="77"/>
        <v>-0.399999999999984</v>
      </c>
    </row>
    <row r="800" s="1" customFormat="1" spans="1:12">
      <c r="A800" s="2">
        <v>26.653</v>
      </c>
      <c r="B800" s="10" t="s">
        <v>51</v>
      </c>
      <c r="C800" s="4">
        <v>26.653</v>
      </c>
      <c r="D800" s="4">
        <v>45.5</v>
      </c>
      <c r="G800" s="2">
        <f t="shared" si="72"/>
        <v>26.619</v>
      </c>
      <c r="H800" s="11" t="str">
        <f t="shared" si="73"/>
        <v>3.369E-2</v>
      </c>
      <c r="I800" s="2">
        <f t="shared" si="74"/>
        <v>46.6</v>
      </c>
      <c r="J800" s="4">
        <f t="shared" si="75"/>
        <v>26.619</v>
      </c>
      <c r="K800" s="9">
        <f t="shared" si="76"/>
        <v>3.29999999999997</v>
      </c>
      <c r="L800" s="1">
        <f t="shared" si="77"/>
        <v>-0.399999999999984</v>
      </c>
    </row>
    <row r="801" s="1" customFormat="1" spans="1:12">
      <c r="A801" s="2">
        <v>26.686</v>
      </c>
      <c r="B801" s="10" t="s">
        <v>50</v>
      </c>
      <c r="C801" s="4">
        <v>26.686</v>
      </c>
      <c r="D801" s="4">
        <v>46.2</v>
      </c>
      <c r="G801" s="2">
        <f t="shared" si="72"/>
        <v>26.653</v>
      </c>
      <c r="H801" s="11" t="str">
        <f t="shared" si="73"/>
        <v>3.373E-2</v>
      </c>
      <c r="I801" s="2">
        <f t="shared" si="74"/>
        <v>45.5</v>
      </c>
      <c r="J801" s="4">
        <f t="shared" si="75"/>
        <v>26.653</v>
      </c>
      <c r="K801" s="9">
        <f t="shared" si="76"/>
        <v>3.70000000000002</v>
      </c>
      <c r="L801" s="1">
        <f t="shared" si="77"/>
        <v>-0.399999999999984</v>
      </c>
    </row>
    <row r="802" s="1" customFormat="1" spans="1:12">
      <c r="A802" s="2">
        <v>26.72</v>
      </c>
      <c r="B802" s="10" t="s">
        <v>254</v>
      </c>
      <c r="C802" s="4">
        <v>26.72</v>
      </c>
      <c r="D802" s="4">
        <v>46.2</v>
      </c>
      <c r="G802" s="2">
        <f t="shared" si="72"/>
        <v>26.686</v>
      </c>
      <c r="H802" s="11" t="str">
        <f t="shared" si="73"/>
        <v>3.377E-2</v>
      </c>
      <c r="I802" s="2">
        <f t="shared" si="74"/>
        <v>46.2</v>
      </c>
      <c r="J802" s="4">
        <f t="shared" si="75"/>
        <v>26.686</v>
      </c>
      <c r="K802" s="9">
        <f t="shared" si="76"/>
        <v>4.10000000000001</v>
      </c>
      <c r="L802" s="1">
        <f t="shared" si="77"/>
        <v>-0.399999999999984</v>
      </c>
    </row>
    <row r="803" s="1" customFormat="1" spans="1:12">
      <c r="A803" s="2">
        <v>26.753</v>
      </c>
      <c r="B803" s="10" t="s">
        <v>115</v>
      </c>
      <c r="C803" s="4">
        <v>26.753</v>
      </c>
      <c r="D803" s="4">
        <v>45.9</v>
      </c>
      <c r="G803" s="2">
        <f t="shared" si="72"/>
        <v>26.72</v>
      </c>
      <c r="H803" s="11" t="str">
        <f t="shared" si="73"/>
        <v>3.382E-2</v>
      </c>
      <c r="I803" s="2">
        <f t="shared" si="74"/>
        <v>46.2</v>
      </c>
      <c r="J803" s="4">
        <f t="shared" si="75"/>
        <v>26.72</v>
      </c>
      <c r="K803" s="9">
        <f t="shared" si="76"/>
        <v>4.60000000000002</v>
      </c>
      <c r="L803" s="1">
        <f t="shared" si="77"/>
        <v>-0.399999999999984</v>
      </c>
    </row>
    <row r="804" s="1" customFormat="1" spans="1:12">
      <c r="A804" s="2">
        <v>26.787</v>
      </c>
      <c r="B804" s="10" t="s">
        <v>229</v>
      </c>
      <c r="C804" s="4">
        <v>26.787</v>
      </c>
      <c r="D804" s="4">
        <v>45.7</v>
      </c>
      <c r="G804" s="2">
        <f t="shared" si="72"/>
        <v>26.753</v>
      </c>
      <c r="H804" s="11" t="str">
        <f t="shared" si="73"/>
        <v>3.396E-2</v>
      </c>
      <c r="I804" s="2">
        <f t="shared" si="74"/>
        <v>45.9</v>
      </c>
      <c r="J804" s="4">
        <f t="shared" si="75"/>
        <v>26.753</v>
      </c>
      <c r="K804" s="9">
        <f t="shared" si="76"/>
        <v>5.99999999999996</v>
      </c>
      <c r="L804" s="1">
        <f t="shared" si="77"/>
        <v>-0.399999999999984</v>
      </c>
    </row>
    <row r="805" s="1" customFormat="1" spans="1:12">
      <c r="A805" s="2">
        <v>26.82</v>
      </c>
      <c r="B805" s="10" t="s">
        <v>244</v>
      </c>
      <c r="C805" s="4">
        <v>26.82</v>
      </c>
      <c r="D805" s="4">
        <v>46.2</v>
      </c>
      <c r="G805" s="2">
        <f t="shared" si="72"/>
        <v>26.787</v>
      </c>
      <c r="H805" s="11" t="str">
        <f t="shared" si="73"/>
        <v>3.405E-2</v>
      </c>
      <c r="I805" s="2">
        <f t="shared" si="74"/>
        <v>45.7</v>
      </c>
      <c r="J805" s="4">
        <f t="shared" si="75"/>
        <v>26.787</v>
      </c>
      <c r="K805" s="9">
        <f t="shared" si="76"/>
        <v>6.89999999999996</v>
      </c>
      <c r="L805" s="1">
        <f t="shared" si="77"/>
        <v>-0.399999999999984</v>
      </c>
    </row>
    <row r="806" s="1" customFormat="1" spans="1:12">
      <c r="A806" s="2">
        <v>26.853</v>
      </c>
      <c r="B806" s="10" t="s">
        <v>18</v>
      </c>
      <c r="C806" s="4">
        <v>26.853</v>
      </c>
      <c r="D806" s="4">
        <v>45.4</v>
      </c>
      <c r="G806" s="2">
        <f t="shared" si="72"/>
        <v>26.82</v>
      </c>
      <c r="H806" s="11" t="str">
        <f t="shared" si="73"/>
        <v>3.411E-2</v>
      </c>
      <c r="I806" s="2">
        <f t="shared" si="74"/>
        <v>46.2</v>
      </c>
      <c r="J806" s="4">
        <f t="shared" si="75"/>
        <v>26.82</v>
      </c>
      <c r="K806" s="9">
        <f t="shared" si="76"/>
        <v>7.50000000000001</v>
      </c>
      <c r="L806" s="1">
        <f t="shared" si="77"/>
        <v>-0.399999999999984</v>
      </c>
    </row>
    <row r="807" s="1" customFormat="1" spans="1:12">
      <c r="A807" s="2">
        <v>26.887</v>
      </c>
      <c r="B807" s="10" t="s">
        <v>13</v>
      </c>
      <c r="C807" s="4">
        <v>26.887</v>
      </c>
      <c r="D807" s="4">
        <v>45.6</v>
      </c>
      <c r="G807" s="2">
        <f t="shared" si="72"/>
        <v>26.853</v>
      </c>
      <c r="H807" s="11" t="str">
        <f t="shared" si="73"/>
        <v>3.424E-2</v>
      </c>
      <c r="I807" s="2">
        <f t="shared" si="74"/>
        <v>45.4</v>
      </c>
      <c r="J807" s="4">
        <f t="shared" si="75"/>
        <v>26.853</v>
      </c>
      <c r="K807" s="9">
        <f t="shared" si="76"/>
        <v>8.79999999999999</v>
      </c>
      <c r="L807" s="1">
        <f t="shared" si="77"/>
        <v>-0.399999999999984</v>
      </c>
    </row>
    <row r="808" s="1" customFormat="1" spans="1:12">
      <c r="A808" s="2">
        <v>26.92</v>
      </c>
      <c r="B808" s="10" t="s">
        <v>143</v>
      </c>
      <c r="C808" s="4">
        <v>26.92</v>
      </c>
      <c r="D808" s="4">
        <v>45.4</v>
      </c>
      <c r="G808" s="2">
        <f t="shared" si="72"/>
        <v>26.887</v>
      </c>
      <c r="H808" s="11" t="str">
        <f t="shared" si="73"/>
        <v>3.431E-2</v>
      </c>
      <c r="I808" s="2">
        <f t="shared" si="74"/>
        <v>45.6</v>
      </c>
      <c r="J808" s="4">
        <f t="shared" si="75"/>
        <v>26.887</v>
      </c>
      <c r="K808" s="9">
        <f t="shared" si="76"/>
        <v>9.49999999999999</v>
      </c>
      <c r="L808" s="1">
        <f t="shared" si="77"/>
        <v>-0.399999999999984</v>
      </c>
    </row>
    <row r="809" s="1" customFormat="1" spans="1:12">
      <c r="A809" s="2">
        <v>26.954</v>
      </c>
      <c r="B809" s="10" t="s">
        <v>23</v>
      </c>
      <c r="C809" s="4">
        <v>26.954</v>
      </c>
      <c r="D809" s="4">
        <v>45.4</v>
      </c>
      <c r="G809" s="2">
        <f t="shared" si="72"/>
        <v>26.92</v>
      </c>
      <c r="H809" s="11" t="str">
        <f t="shared" si="73"/>
        <v>3.436E-2</v>
      </c>
      <c r="I809" s="2">
        <f t="shared" si="74"/>
        <v>45.4</v>
      </c>
      <c r="J809" s="4">
        <f t="shared" si="75"/>
        <v>26.92</v>
      </c>
      <c r="K809" s="9">
        <f t="shared" si="76"/>
        <v>10</v>
      </c>
      <c r="L809" s="1">
        <f t="shared" si="77"/>
        <v>-0.399999999999984</v>
      </c>
    </row>
    <row r="810" s="1" customFormat="1" spans="1:12">
      <c r="A810" s="2">
        <v>26.987</v>
      </c>
      <c r="B810" s="10" t="s">
        <v>167</v>
      </c>
      <c r="C810" s="4">
        <v>26.987</v>
      </c>
      <c r="D810" s="4">
        <v>45.6</v>
      </c>
      <c r="G810" s="2">
        <f t="shared" si="72"/>
        <v>26.954</v>
      </c>
      <c r="H810" s="11" t="str">
        <f t="shared" si="73"/>
        <v>3.442E-2</v>
      </c>
      <c r="I810" s="2">
        <f t="shared" si="74"/>
        <v>45.4</v>
      </c>
      <c r="J810" s="4">
        <f t="shared" si="75"/>
        <v>26.954</v>
      </c>
      <c r="K810" s="9">
        <f t="shared" si="76"/>
        <v>10.6</v>
      </c>
      <c r="L810" s="1">
        <f t="shared" si="77"/>
        <v>-0.399999999999984</v>
      </c>
    </row>
    <row r="811" s="1" customFormat="1" spans="1:12">
      <c r="A811" s="2">
        <v>27.021</v>
      </c>
      <c r="B811" s="10" t="s">
        <v>110</v>
      </c>
      <c r="C811" s="4">
        <v>27.021</v>
      </c>
      <c r="D811" s="4">
        <v>45.9</v>
      </c>
      <c r="G811" s="2">
        <f t="shared" si="72"/>
        <v>26.987</v>
      </c>
      <c r="H811" s="11" t="str">
        <f t="shared" si="73"/>
        <v>3.453E-2</v>
      </c>
      <c r="I811" s="2">
        <f t="shared" si="74"/>
        <v>45.6</v>
      </c>
      <c r="J811" s="4">
        <f t="shared" si="75"/>
        <v>26.987</v>
      </c>
      <c r="K811" s="9">
        <f t="shared" si="76"/>
        <v>11.7</v>
      </c>
      <c r="L811" s="1">
        <f t="shared" si="77"/>
        <v>-0.399999999999984</v>
      </c>
    </row>
    <row r="812" s="1" customFormat="1" spans="1:12">
      <c r="A812" s="2">
        <v>27.054</v>
      </c>
      <c r="B812" s="10" t="s">
        <v>203</v>
      </c>
      <c r="C812" s="4">
        <v>27.054</v>
      </c>
      <c r="D812" s="4">
        <v>45.3</v>
      </c>
      <c r="G812" s="2">
        <f t="shared" si="72"/>
        <v>27.021</v>
      </c>
      <c r="H812" s="11" t="str">
        <f t="shared" si="73"/>
        <v>3.457E-2</v>
      </c>
      <c r="I812" s="2">
        <f t="shared" si="74"/>
        <v>45.9</v>
      </c>
      <c r="J812" s="4">
        <f t="shared" si="75"/>
        <v>27.021</v>
      </c>
      <c r="K812" s="9">
        <f t="shared" si="76"/>
        <v>12.1</v>
      </c>
      <c r="L812" s="1">
        <f t="shared" si="77"/>
        <v>-0.399999999999984</v>
      </c>
    </row>
    <row r="813" s="1" customFormat="1" spans="1:12">
      <c r="A813" s="2">
        <v>27.088</v>
      </c>
      <c r="B813" s="10" t="s">
        <v>168</v>
      </c>
      <c r="C813" s="4">
        <v>27.088</v>
      </c>
      <c r="D813" s="4">
        <v>45.5</v>
      </c>
      <c r="G813" s="2">
        <f t="shared" si="72"/>
        <v>27.054</v>
      </c>
      <c r="H813" s="11" t="str">
        <f t="shared" si="73"/>
        <v>3.460E-2</v>
      </c>
      <c r="I813" s="2">
        <f t="shared" si="74"/>
        <v>45.3</v>
      </c>
      <c r="J813" s="4">
        <f t="shared" si="75"/>
        <v>27.054</v>
      </c>
      <c r="K813" s="9">
        <f t="shared" si="76"/>
        <v>12.4</v>
      </c>
      <c r="L813" s="1">
        <f t="shared" si="77"/>
        <v>-0.399999999999984</v>
      </c>
    </row>
    <row r="814" s="1" customFormat="1" spans="1:12">
      <c r="A814" s="2">
        <v>27.121</v>
      </c>
      <c r="B814" s="10" t="s">
        <v>168</v>
      </c>
      <c r="C814" s="4">
        <v>27.121</v>
      </c>
      <c r="D814" s="4">
        <v>45.9</v>
      </c>
      <c r="G814" s="2">
        <f t="shared" si="72"/>
        <v>27.088</v>
      </c>
      <c r="H814" s="11" t="str">
        <f t="shared" si="73"/>
        <v>3.459E-2</v>
      </c>
      <c r="I814" s="2">
        <f t="shared" si="74"/>
        <v>45.5</v>
      </c>
      <c r="J814" s="4">
        <f t="shared" si="75"/>
        <v>27.088</v>
      </c>
      <c r="K814" s="9">
        <f t="shared" si="76"/>
        <v>12.3</v>
      </c>
      <c r="L814" s="1">
        <f t="shared" si="77"/>
        <v>-0.399999999999984</v>
      </c>
    </row>
    <row r="815" s="1" customFormat="1" spans="1:12">
      <c r="A815" s="2">
        <v>27.154</v>
      </c>
      <c r="B815" s="10" t="s">
        <v>110</v>
      </c>
      <c r="C815" s="4">
        <v>27.154</v>
      </c>
      <c r="D815" s="4">
        <v>45.4</v>
      </c>
      <c r="G815" s="2">
        <f t="shared" si="72"/>
        <v>27.121</v>
      </c>
      <c r="H815" s="11" t="str">
        <f t="shared" si="73"/>
        <v>3.459E-2</v>
      </c>
      <c r="I815" s="2">
        <f t="shared" si="74"/>
        <v>45.9</v>
      </c>
      <c r="J815" s="4">
        <f t="shared" si="75"/>
        <v>27.121</v>
      </c>
      <c r="K815" s="9">
        <f t="shared" si="76"/>
        <v>12.3</v>
      </c>
      <c r="L815" s="1">
        <f t="shared" si="77"/>
        <v>-0.399999999999984</v>
      </c>
    </row>
    <row r="816" s="1" customFormat="1" spans="1:12">
      <c r="A816" s="2">
        <v>27.188</v>
      </c>
      <c r="B816" s="10" t="s">
        <v>223</v>
      </c>
      <c r="C816" s="4">
        <v>27.188</v>
      </c>
      <c r="D816" s="4">
        <v>45.1</v>
      </c>
      <c r="G816" s="2">
        <f t="shared" si="72"/>
        <v>27.154</v>
      </c>
      <c r="H816" s="11" t="str">
        <f t="shared" si="73"/>
        <v>3.457E-2</v>
      </c>
      <c r="I816" s="2">
        <f t="shared" si="74"/>
        <v>45.4</v>
      </c>
      <c r="J816" s="4">
        <f t="shared" si="75"/>
        <v>27.154</v>
      </c>
      <c r="K816" s="9">
        <f t="shared" si="76"/>
        <v>12.1</v>
      </c>
      <c r="L816" s="1">
        <f t="shared" si="77"/>
        <v>-0.399999999999984</v>
      </c>
    </row>
    <row r="817" s="1" customFormat="1" spans="1:12">
      <c r="A817" s="2">
        <v>27.221</v>
      </c>
      <c r="B817" s="10" t="s">
        <v>140</v>
      </c>
      <c r="C817" s="4">
        <v>27.221</v>
      </c>
      <c r="D817" s="4">
        <v>45.3</v>
      </c>
      <c r="G817" s="2">
        <f t="shared" si="72"/>
        <v>27.188</v>
      </c>
      <c r="H817" s="11" t="str">
        <f t="shared" si="73"/>
        <v>3.455E-2</v>
      </c>
      <c r="I817" s="2">
        <f t="shared" si="74"/>
        <v>45.1</v>
      </c>
      <c r="J817" s="4">
        <f t="shared" si="75"/>
        <v>27.188</v>
      </c>
      <c r="K817" s="9">
        <f t="shared" si="76"/>
        <v>11.9</v>
      </c>
      <c r="L817" s="1">
        <f t="shared" si="77"/>
        <v>-0.399999999999984</v>
      </c>
    </row>
    <row r="818" s="1" customFormat="1" spans="1:12">
      <c r="A818" s="2">
        <v>27.255</v>
      </c>
      <c r="B818" s="10" t="s">
        <v>42</v>
      </c>
      <c r="C818" s="4">
        <v>27.255</v>
      </c>
      <c r="D818" s="4">
        <v>46.1</v>
      </c>
      <c r="G818" s="2">
        <f t="shared" si="72"/>
        <v>27.221</v>
      </c>
      <c r="H818" s="11" t="str">
        <f t="shared" si="73"/>
        <v>3.454E-2</v>
      </c>
      <c r="I818" s="2">
        <f t="shared" si="74"/>
        <v>45.3</v>
      </c>
      <c r="J818" s="4">
        <f t="shared" si="75"/>
        <v>27.221</v>
      </c>
      <c r="K818" s="9">
        <f t="shared" si="76"/>
        <v>11.8</v>
      </c>
      <c r="L818" s="1">
        <f t="shared" si="77"/>
        <v>-0.399999999999984</v>
      </c>
    </row>
    <row r="819" s="1" customFormat="1" spans="1:12">
      <c r="A819" s="2">
        <v>27.288</v>
      </c>
      <c r="B819" s="10" t="s">
        <v>24</v>
      </c>
      <c r="C819" s="4">
        <v>27.288</v>
      </c>
      <c r="D819" s="4">
        <v>45.5</v>
      </c>
      <c r="G819" s="2">
        <f t="shared" si="72"/>
        <v>27.255</v>
      </c>
      <c r="H819" s="11" t="str">
        <f t="shared" si="73"/>
        <v>3.450E-2</v>
      </c>
      <c r="I819" s="2">
        <f t="shared" si="74"/>
        <v>46.1</v>
      </c>
      <c r="J819" s="4">
        <f t="shared" si="75"/>
        <v>27.255</v>
      </c>
      <c r="K819" s="9">
        <f t="shared" si="76"/>
        <v>11.4</v>
      </c>
      <c r="L819" s="1">
        <f t="shared" si="77"/>
        <v>-0.399999999999984</v>
      </c>
    </row>
    <row r="820" s="1" customFormat="1" spans="1:12">
      <c r="A820" s="2">
        <v>27.322</v>
      </c>
      <c r="B820" s="10" t="s">
        <v>58</v>
      </c>
      <c r="C820" s="4">
        <v>27.322</v>
      </c>
      <c r="D820" s="4">
        <v>45.3</v>
      </c>
      <c r="G820" s="2">
        <f t="shared" si="72"/>
        <v>27.288</v>
      </c>
      <c r="H820" s="11" t="str">
        <f t="shared" si="73"/>
        <v>3.445E-2</v>
      </c>
      <c r="I820" s="2">
        <f t="shared" si="74"/>
        <v>45.5</v>
      </c>
      <c r="J820" s="4">
        <f t="shared" si="75"/>
        <v>27.288</v>
      </c>
      <c r="K820" s="9">
        <f t="shared" si="76"/>
        <v>10.9</v>
      </c>
      <c r="L820" s="1">
        <f t="shared" si="77"/>
        <v>-0.399999999999984</v>
      </c>
    </row>
    <row r="821" s="1" customFormat="1" spans="1:12">
      <c r="A821" s="2">
        <v>27.355</v>
      </c>
      <c r="B821" s="10" t="s">
        <v>19</v>
      </c>
      <c r="C821" s="4">
        <v>27.355</v>
      </c>
      <c r="D821" s="4">
        <v>45.5</v>
      </c>
      <c r="G821" s="2">
        <f t="shared" si="72"/>
        <v>27.322</v>
      </c>
      <c r="H821" s="11" t="str">
        <f t="shared" si="73"/>
        <v>3.440E-2</v>
      </c>
      <c r="I821" s="2">
        <f t="shared" si="74"/>
        <v>45.3</v>
      </c>
      <c r="J821" s="4">
        <f t="shared" si="75"/>
        <v>27.322</v>
      </c>
      <c r="K821" s="9">
        <f t="shared" si="76"/>
        <v>10.4</v>
      </c>
      <c r="L821" s="1">
        <f t="shared" si="77"/>
        <v>-0.399999999999984</v>
      </c>
    </row>
    <row r="822" s="1" customFormat="1" spans="1:12">
      <c r="A822" s="2">
        <v>27.388</v>
      </c>
      <c r="B822" s="10" t="s">
        <v>235</v>
      </c>
      <c r="C822" s="4">
        <v>27.388</v>
      </c>
      <c r="D822" s="4">
        <v>45.6</v>
      </c>
      <c r="G822" s="2">
        <f t="shared" si="72"/>
        <v>27.355</v>
      </c>
      <c r="H822" s="11" t="str">
        <f t="shared" si="73"/>
        <v>3.428E-2</v>
      </c>
      <c r="I822" s="2">
        <f t="shared" si="74"/>
        <v>45.5</v>
      </c>
      <c r="J822" s="4">
        <f t="shared" si="75"/>
        <v>27.355</v>
      </c>
      <c r="K822" s="9">
        <f t="shared" si="76"/>
        <v>9.19999999999997</v>
      </c>
      <c r="L822" s="1">
        <f t="shared" si="77"/>
        <v>-0.399999999999984</v>
      </c>
    </row>
    <row r="823" s="1" customFormat="1" spans="1:12">
      <c r="A823" s="2">
        <v>27.422</v>
      </c>
      <c r="B823" s="10" t="s">
        <v>117</v>
      </c>
      <c r="C823" s="4">
        <v>27.422</v>
      </c>
      <c r="D823" s="4">
        <v>45.7</v>
      </c>
      <c r="G823" s="2">
        <f t="shared" si="72"/>
        <v>27.388</v>
      </c>
      <c r="H823" s="11" t="str">
        <f t="shared" si="73"/>
        <v>3.420E-2</v>
      </c>
      <c r="I823" s="2">
        <f t="shared" si="74"/>
        <v>45.6</v>
      </c>
      <c r="J823" s="4">
        <f t="shared" si="75"/>
        <v>27.388</v>
      </c>
      <c r="K823" s="9">
        <f t="shared" si="76"/>
        <v>8.4</v>
      </c>
      <c r="L823" s="1">
        <f t="shared" si="77"/>
        <v>-0.399999999999984</v>
      </c>
    </row>
    <row r="824" s="1" customFormat="1" spans="1:12">
      <c r="A824" s="2">
        <v>27.455</v>
      </c>
      <c r="B824" s="10" t="s">
        <v>88</v>
      </c>
      <c r="C824" s="4">
        <v>27.455</v>
      </c>
      <c r="D824" s="4">
        <v>45.4</v>
      </c>
      <c r="G824" s="2">
        <f t="shared" si="72"/>
        <v>27.422</v>
      </c>
      <c r="H824" s="11" t="str">
        <f t="shared" si="73"/>
        <v>3.412E-2</v>
      </c>
      <c r="I824" s="2">
        <f t="shared" si="74"/>
        <v>45.7</v>
      </c>
      <c r="J824" s="4">
        <f t="shared" si="75"/>
        <v>27.422</v>
      </c>
      <c r="K824" s="9">
        <f t="shared" si="76"/>
        <v>7.59999999999997</v>
      </c>
      <c r="L824" s="1">
        <f t="shared" si="77"/>
        <v>-0.399999999999984</v>
      </c>
    </row>
    <row r="825" s="1" customFormat="1" spans="1:12">
      <c r="A825" s="2">
        <v>27.489</v>
      </c>
      <c r="B825" s="10" t="s">
        <v>48</v>
      </c>
      <c r="C825" s="4">
        <v>27.489</v>
      </c>
      <c r="D825" s="4">
        <v>45.8</v>
      </c>
      <c r="G825" s="2">
        <f t="shared" si="72"/>
        <v>27.455</v>
      </c>
      <c r="H825" s="11" t="str">
        <f t="shared" si="73"/>
        <v>3.403E-2</v>
      </c>
      <c r="I825" s="2">
        <f t="shared" si="74"/>
        <v>45.4</v>
      </c>
      <c r="J825" s="4">
        <f t="shared" si="75"/>
        <v>27.455</v>
      </c>
      <c r="K825" s="9">
        <f t="shared" si="76"/>
        <v>6.69999999999997</v>
      </c>
      <c r="L825" s="1">
        <f t="shared" si="77"/>
        <v>-0.399999999999984</v>
      </c>
    </row>
    <row r="826" s="1" customFormat="1" spans="1:12">
      <c r="A826" s="2">
        <v>27.522</v>
      </c>
      <c r="B826" s="10" t="s">
        <v>252</v>
      </c>
      <c r="C826" s="4">
        <v>27.522</v>
      </c>
      <c r="D826" s="4">
        <v>45.6</v>
      </c>
      <c r="G826" s="2">
        <f t="shared" si="72"/>
        <v>27.489</v>
      </c>
      <c r="H826" s="11" t="str">
        <f t="shared" si="73"/>
        <v>3.390E-2</v>
      </c>
      <c r="I826" s="2">
        <f t="shared" si="74"/>
        <v>45.8</v>
      </c>
      <c r="J826" s="4">
        <f t="shared" si="75"/>
        <v>27.489</v>
      </c>
      <c r="K826" s="9">
        <f t="shared" si="76"/>
        <v>5.39999999999999</v>
      </c>
      <c r="L826" s="1">
        <f t="shared" si="77"/>
        <v>-0.399999999999984</v>
      </c>
    </row>
    <row r="827" s="1" customFormat="1" spans="1:12">
      <c r="A827" s="2">
        <v>27.556</v>
      </c>
      <c r="B827" s="10" t="s">
        <v>50</v>
      </c>
      <c r="C827" s="4">
        <v>27.556</v>
      </c>
      <c r="D827" s="4">
        <v>45.2</v>
      </c>
      <c r="G827" s="2">
        <f t="shared" si="72"/>
        <v>27.522</v>
      </c>
      <c r="H827" s="11" t="str">
        <f t="shared" si="73"/>
        <v>3.384E-2</v>
      </c>
      <c r="I827" s="2">
        <f t="shared" si="74"/>
        <v>45.6</v>
      </c>
      <c r="J827" s="4">
        <f t="shared" si="75"/>
        <v>27.522</v>
      </c>
      <c r="K827" s="9">
        <f t="shared" si="76"/>
        <v>4.80000000000001</v>
      </c>
      <c r="L827" s="1">
        <f t="shared" si="77"/>
        <v>-0.399999999999984</v>
      </c>
    </row>
    <row r="828" s="1" customFormat="1" spans="1:12">
      <c r="A828" s="2">
        <v>27.589</v>
      </c>
      <c r="B828" s="10" t="s">
        <v>278</v>
      </c>
      <c r="C828" s="4">
        <v>27.589</v>
      </c>
      <c r="D828" s="4">
        <v>45.2</v>
      </c>
      <c r="G828" s="2">
        <f t="shared" si="72"/>
        <v>27.556</v>
      </c>
      <c r="H828" s="11" t="str">
        <f t="shared" si="73"/>
        <v>3.377E-2</v>
      </c>
      <c r="I828" s="2">
        <f t="shared" si="74"/>
        <v>45.2</v>
      </c>
      <c r="J828" s="4">
        <f t="shared" si="75"/>
        <v>27.556</v>
      </c>
      <c r="K828" s="9">
        <f t="shared" si="76"/>
        <v>4.10000000000001</v>
      </c>
      <c r="L828" s="1">
        <f t="shared" si="77"/>
        <v>-0.399999999999984</v>
      </c>
    </row>
    <row r="829" s="1" customFormat="1" spans="1:12">
      <c r="A829" s="2">
        <v>27.623</v>
      </c>
      <c r="B829" s="10" t="s">
        <v>310</v>
      </c>
      <c r="C829" s="4">
        <v>27.623</v>
      </c>
      <c r="D829" s="4">
        <v>45.6</v>
      </c>
      <c r="G829" s="2">
        <f t="shared" si="72"/>
        <v>27.589</v>
      </c>
      <c r="H829" s="11" t="str">
        <f t="shared" si="73"/>
        <v>3.363E-2</v>
      </c>
      <c r="I829" s="2">
        <f t="shared" si="74"/>
        <v>45.2</v>
      </c>
      <c r="J829" s="4">
        <f t="shared" si="75"/>
        <v>27.589</v>
      </c>
      <c r="K829" s="9">
        <f t="shared" si="76"/>
        <v>2.69999999999999</v>
      </c>
      <c r="L829" s="1">
        <f t="shared" si="77"/>
        <v>-0.399999999999984</v>
      </c>
    </row>
    <row r="830" s="1" customFormat="1" spans="1:12">
      <c r="A830" s="2">
        <v>27.656</v>
      </c>
      <c r="B830" s="10" t="s">
        <v>271</v>
      </c>
      <c r="C830" s="4">
        <v>27.656</v>
      </c>
      <c r="D830" s="4">
        <v>45.6</v>
      </c>
      <c r="G830" s="2">
        <f t="shared" si="72"/>
        <v>27.623</v>
      </c>
      <c r="H830" s="11" t="str">
        <f t="shared" si="73"/>
        <v>3.357E-2</v>
      </c>
      <c r="I830" s="2">
        <f t="shared" si="74"/>
        <v>45.6</v>
      </c>
      <c r="J830" s="4">
        <f t="shared" si="75"/>
        <v>27.623</v>
      </c>
      <c r="K830" s="9">
        <f t="shared" si="76"/>
        <v>2.10000000000002</v>
      </c>
      <c r="L830" s="1">
        <f t="shared" si="77"/>
        <v>-0.399999999999984</v>
      </c>
    </row>
    <row r="831" s="1" customFormat="1" spans="1:12">
      <c r="A831" s="2">
        <v>27.689</v>
      </c>
      <c r="B831" s="10" t="s">
        <v>311</v>
      </c>
      <c r="C831" s="4">
        <v>27.689</v>
      </c>
      <c r="D831" s="4">
        <v>45.5</v>
      </c>
      <c r="G831" s="2">
        <f t="shared" si="72"/>
        <v>27.656</v>
      </c>
      <c r="H831" s="11" t="str">
        <f t="shared" si="73"/>
        <v>3.355E-2</v>
      </c>
      <c r="I831" s="2">
        <f t="shared" si="74"/>
        <v>45.6</v>
      </c>
      <c r="J831" s="4">
        <f t="shared" si="75"/>
        <v>27.656</v>
      </c>
      <c r="K831" s="9">
        <f t="shared" si="76"/>
        <v>1.90000000000003</v>
      </c>
      <c r="L831" s="1">
        <f t="shared" si="77"/>
        <v>-0.399999999999984</v>
      </c>
    </row>
    <row r="832" s="1" customFormat="1" spans="1:12">
      <c r="A832" s="2">
        <v>27.723</v>
      </c>
      <c r="B832" s="10" t="s">
        <v>312</v>
      </c>
      <c r="C832" s="4">
        <v>27.723</v>
      </c>
      <c r="D832" s="4">
        <v>45.7</v>
      </c>
      <c r="G832" s="2">
        <f t="shared" si="72"/>
        <v>27.689</v>
      </c>
      <c r="H832" s="11" t="str">
        <f t="shared" si="73"/>
        <v>3.352E-2</v>
      </c>
      <c r="I832" s="2">
        <f t="shared" si="74"/>
        <v>45.5</v>
      </c>
      <c r="J832" s="4">
        <f t="shared" si="75"/>
        <v>27.689</v>
      </c>
      <c r="K832" s="9">
        <f t="shared" si="76"/>
        <v>1.6</v>
      </c>
      <c r="L832" s="1">
        <f t="shared" si="77"/>
        <v>-0.399999999999984</v>
      </c>
    </row>
    <row r="833" s="1" customFormat="1" spans="1:12">
      <c r="A833" s="2">
        <v>27.756</v>
      </c>
      <c r="B833" s="10" t="s">
        <v>312</v>
      </c>
      <c r="C833" s="4">
        <v>27.756</v>
      </c>
      <c r="D833" s="4">
        <v>45.2</v>
      </c>
      <c r="G833" s="2">
        <f t="shared" si="72"/>
        <v>27.723</v>
      </c>
      <c r="H833" s="11" t="str">
        <f t="shared" si="73"/>
        <v>3.354E-2</v>
      </c>
      <c r="I833" s="2">
        <f t="shared" si="74"/>
        <v>45.7</v>
      </c>
      <c r="J833" s="4">
        <f t="shared" si="75"/>
        <v>27.723</v>
      </c>
      <c r="K833" s="9">
        <f t="shared" si="76"/>
        <v>1.8</v>
      </c>
      <c r="L833" s="1">
        <f t="shared" si="77"/>
        <v>-0.399999999999984</v>
      </c>
    </row>
    <row r="834" s="1" customFormat="1" spans="1:12">
      <c r="A834" s="2">
        <v>27.79</v>
      </c>
      <c r="B834" s="10" t="s">
        <v>310</v>
      </c>
      <c r="C834" s="4">
        <v>27.79</v>
      </c>
      <c r="D834" s="4">
        <v>45.2</v>
      </c>
      <c r="G834" s="2">
        <f t="shared" si="72"/>
        <v>27.756</v>
      </c>
      <c r="H834" s="11" t="str">
        <f t="shared" si="73"/>
        <v>3.354E-2</v>
      </c>
      <c r="I834" s="2">
        <f t="shared" si="74"/>
        <v>45.2</v>
      </c>
      <c r="J834" s="4">
        <f t="shared" si="75"/>
        <v>27.756</v>
      </c>
      <c r="K834" s="9">
        <f t="shared" si="76"/>
        <v>1.8</v>
      </c>
      <c r="L834" s="1">
        <f t="shared" si="77"/>
        <v>-0.399999999999984</v>
      </c>
    </row>
    <row r="835" s="1" customFormat="1" spans="1:12">
      <c r="A835" s="2">
        <v>27.823</v>
      </c>
      <c r="B835" s="10" t="s">
        <v>313</v>
      </c>
      <c r="C835" s="4">
        <v>27.823</v>
      </c>
      <c r="D835" s="4">
        <v>45.7</v>
      </c>
      <c r="G835" s="2">
        <f t="shared" si="72"/>
        <v>27.79</v>
      </c>
      <c r="H835" s="11" t="str">
        <f t="shared" si="73"/>
        <v>3.357E-2</v>
      </c>
      <c r="I835" s="2">
        <f t="shared" si="74"/>
        <v>45.2</v>
      </c>
      <c r="J835" s="4">
        <f t="shared" si="75"/>
        <v>27.79</v>
      </c>
      <c r="K835" s="9">
        <f t="shared" si="76"/>
        <v>2.10000000000002</v>
      </c>
      <c r="L835" s="1">
        <f t="shared" si="77"/>
        <v>-0.399999999999984</v>
      </c>
    </row>
    <row r="836" s="1" customFormat="1" spans="1:12">
      <c r="A836" s="2">
        <v>27.857</v>
      </c>
      <c r="B836" s="10" t="s">
        <v>314</v>
      </c>
      <c r="C836" s="4">
        <v>27.857</v>
      </c>
      <c r="D836" s="4">
        <v>45.4</v>
      </c>
      <c r="G836" s="2">
        <f t="shared" ref="G836:G899" si="78">A835</f>
        <v>27.823</v>
      </c>
      <c r="H836" s="11" t="str">
        <f t="shared" ref="H836:H899" si="79">B835</f>
        <v>3.359E-2</v>
      </c>
      <c r="I836" s="2">
        <f t="shared" ref="I836:I899" si="80">D835</f>
        <v>45.7</v>
      </c>
      <c r="J836" s="4">
        <f t="shared" ref="J836:J899" si="81">G836</f>
        <v>27.823</v>
      </c>
      <c r="K836" s="9">
        <f t="shared" ref="K836:K899" si="82">(H836-$H$4)*10000</f>
        <v>2.30000000000001</v>
      </c>
      <c r="L836" s="1">
        <f t="shared" si="77"/>
        <v>-0.399999999999984</v>
      </c>
    </row>
    <row r="837" s="1" customFormat="1" spans="1:12">
      <c r="A837" s="2">
        <v>27.89</v>
      </c>
      <c r="B837" s="10" t="s">
        <v>278</v>
      </c>
      <c r="C837" s="4">
        <v>27.89</v>
      </c>
      <c r="D837" s="4">
        <v>45.5</v>
      </c>
      <c r="G837" s="2">
        <f t="shared" si="78"/>
        <v>27.857</v>
      </c>
      <c r="H837" s="11" t="str">
        <f t="shared" si="79"/>
        <v>3.361E-2</v>
      </c>
      <c r="I837" s="2">
        <f t="shared" si="80"/>
        <v>45.4</v>
      </c>
      <c r="J837" s="4">
        <f t="shared" si="81"/>
        <v>27.857</v>
      </c>
      <c r="K837" s="9">
        <f t="shared" si="82"/>
        <v>2.5</v>
      </c>
      <c r="L837" s="1">
        <f t="shared" ref="L837:L892" si="83">IF(I837&lt;230,$V$4,$V$5)</f>
        <v>-0.399999999999984</v>
      </c>
    </row>
    <row r="838" s="1" customFormat="1" spans="1:12">
      <c r="A838" s="2">
        <v>27.924</v>
      </c>
      <c r="B838" s="10" t="s">
        <v>255</v>
      </c>
      <c r="C838" s="4">
        <v>27.924</v>
      </c>
      <c r="D838" s="4">
        <v>45.4</v>
      </c>
      <c r="G838" s="2">
        <f t="shared" si="78"/>
        <v>27.89</v>
      </c>
      <c r="H838" s="11" t="str">
        <f t="shared" si="79"/>
        <v>3.363E-2</v>
      </c>
      <c r="I838" s="2">
        <f t="shared" si="80"/>
        <v>45.5</v>
      </c>
      <c r="J838" s="4">
        <f t="shared" si="81"/>
        <v>27.89</v>
      </c>
      <c r="K838" s="9">
        <f t="shared" si="82"/>
        <v>2.69999999999999</v>
      </c>
      <c r="L838" s="1">
        <f t="shared" si="83"/>
        <v>-0.399999999999984</v>
      </c>
    </row>
    <row r="839" s="1" customFormat="1" spans="1:12">
      <c r="A839" s="2">
        <v>27.957</v>
      </c>
      <c r="B839" s="10" t="s">
        <v>247</v>
      </c>
      <c r="C839" s="4">
        <v>27.957</v>
      </c>
      <c r="D839" s="4">
        <v>45.7</v>
      </c>
      <c r="G839" s="2">
        <f t="shared" si="78"/>
        <v>27.924</v>
      </c>
      <c r="H839" s="11" t="str">
        <f t="shared" si="79"/>
        <v>3.366E-2</v>
      </c>
      <c r="I839" s="2">
        <f t="shared" si="80"/>
        <v>45.4</v>
      </c>
      <c r="J839" s="4">
        <f t="shared" si="81"/>
        <v>27.924</v>
      </c>
      <c r="K839" s="9">
        <f t="shared" si="82"/>
        <v>3.00000000000002</v>
      </c>
      <c r="L839" s="1">
        <f t="shared" si="83"/>
        <v>-0.399999999999984</v>
      </c>
    </row>
    <row r="840" s="1" customFormat="1" spans="1:12">
      <c r="A840" s="2">
        <v>27.99</v>
      </c>
      <c r="B840" s="10" t="s">
        <v>246</v>
      </c>
      <c r="C840" s="4">
        <v>27.99</v>
      </c>
      <c r="D840" s="4">
        <v>45.8</v>
      </c>
      <c r="G840" s="2">
        <f t="shared" si="78"/>
        <v>27.957</v>
      </c>
      <c r="H840" s="11" t="str">
        <f t="shared" si="79"/>
        <v>3.371E-2</v>
      </c>
      <c r="I840" s="2">
        <f t="shared" si="80"/>
        <v>45.7</v>
      </c>
      <c r="J840" s="4">
        <f t="shared" si="81"/>
        <v>27.957</v>
      </c>
      <c r="K840" s="9">
        <f t="shared" si="82"/>
        <v>3.49999999999996</v>
      </c>
      <c r="L840" s="1">
        <f t="shared" si="83"/>
        <v>-0.399999999999984</v>
      </c>
    </row>
    <row r="841" s="1" customFormat="1" spans="1:12">
      <c r="A841" s="2">
        <v>28.024</v>
      </c>
      <c r="B841" s="10" t="s">
        <v>251</v>
      </c>
      <c r="C841" s="4">
        <v>28.024</v>
      </c>
      <c r="D841" s="4">
        <v>45.2</v>
      </c>
      <c r="G841" s="2">
        <f t="shared" si="78"/>
        <v>27.99</v>
      </c>
      <c r="H841" s="11" t="str">
        <f t="shared" si="79"/>
        <v>3.374E-2</v>
      </c>
      <c r="I841" s="2">
        <f t="shared" si="80"/>
        <v>45.8</v>
      </c>
      <c r="J841" s="4">
        <f t="shared" si="81"/>
        <v>27.99</v>
      </c>
      <c r="K841" s="9">
        <f t="shared" si="82"/>
        <v>3.79999999999998</v>
      </c>
      <c r="L841" s="1">
        <f t="shared" si="83"/>
        <v>-0.399999999999984</v>
      </c>
    </row>
    <row r="842" s="1" customFormat="1" spans="1:12">
      <c r="A842" s="2">
        <v>28.057</v>
      </c>
      <c r="B842" s="10" t="s">
        <v>252</v>
      </c>
      <c r="C842" s="4">
        <v>28.057</v>
      </c>
      <c r="D842" s="4">
        <v>45.7</v>
      </c>
      <c r="G842" s="2">
        <f t="shared" si="78"/>
        <v>28.024</v>
      </c>
      <c r="H842" s="11" t="str">
        <f t="shared" si="79"/>
        <v>3.380E-2</v>
      </c>
      <c r="I842" s="2">
        <f t="shared" si="80"/>
        <v>45.2</v>
      </c>
      <c r="J842" s="4">
        <f t="shared" si="81"/>
        <v>28.024</v>
      </c>
      <c r="K842" s="9">
        <f t="shared" si="82"/>
        <v>4.39999999999996</v>
      </c>
      <c r="L842" s="1">
        <f t="shared" si="83"/>
        <v>-0.399999999999984</v>
      </c>
    </row>
    <row r="843" s="1" customFormat="1" spans="1:12">
      <c r="A843" s="2">
        <v>28.091</v>
      </c>
      <c r="B843" s="10" t="s">
        <v>115</v>
      </c>
      <c r="C843" s="4">
        <v>28.091</v>
      </c>
      <c r="D843" s="4">
        <v>45.5</v>
      </c>
      <c r="G843" s="2">
        <f t="shared" si="78"/>
        <v>28.057</v>
      </c>
      <c r="H843" s="11" t="str">
        <f t="shared" si="79"/>
        <v>3.384E-2</v>
      </c>
      <c r="I843" s="2">
        <f t="shared" si="80"/>
        <v>45.7</v>
      </c>
      <c r="J843" s="4">
        <f t="shared" si="81"/>
        <v>28.057</v>
      </c>
      <c r="K843" s="9">
        <f t="shared" si="82"/>
        <v>4.80000000000001</v>
      </c>
      <c r="L843" s="1">
        <f t="shared" si="83"/>
        <v>-0.399999999999984</v>
      </c>
    </row>
    <row r="844" s="1" customFormat="1" spans="1:12">
      <c r="A844" s="2">
        <v>28.124</v>
      </c>
      <c r="B844" s="10" t="s">
        <v>229</v>
      </c>
      <c r="C844" s="4">
        <v>28.124</v>
      </c>
      <c r="D844" s="4">
        <v>45.4</v>
      </c>
      <c r="G844" s="2">
        <f t="shared" si="78"/>
        <v>28.091</v>
      </c>
      <c r="H844" s="11" t="str">
        <f t="shared" si="79"/>
        <v>3.396E-2</v>
      </c>
      <c r="I844" s="2">
        <f t="shared" si="80"/>
        <v>45.5</v>
      </c>
      <c r="J844" s="4">
        <f t="shared" si="81"/>
        <v>28.091</v>
      </c>
      <c r="K844" s="9">
        <f t="shared" si="82"/>
        <v>5.99999999999996</v>
      </c>
      <c r="L844" s="1">
        <f t="shared" si="83"/>
        <v>-0.399999999999984</v>
      </c>
    </row>
    <row r="845" s="1" customFormat="1" spans="1:12">
      <c r="A845" s="2">
        <v>28.158</v>
      </c>
      <c r="B845" s="10" t="s">
        <v>117</v>
      </c>
      <c r="C845" s="4">
        <v>28.158</v>
      </c>
      <c r="D845" s="4">
        <v>45.6</v>
      </c>
      <c r="G845" s="2">
        <f t="shared" si="78"/>
        <v>28.124</v>
      </c>
      <c r="H845" s="11" t="str">
        <f t="shared" si="79"/>
        <v>3.405E-2</v>
      </c>
      <c r="I845" s="2">
        <f t="shared" si="80"/>
        <v>45.4</v>
      </c>
      <c r="J845" s="4">
        <f t="shared" si="81"/>
        <v>28.124</v>
      </c>
      <c r="K845" s="9">
        <f t="shared" si="82"/>
        <v>6.89999999999996</v>
      </c>
      <c r="L845" s="1">
        <f t="shared" si="83"/>
        <v>-0.399999999999984</v>
      </c>
    </row>
    <row r="846" s="1" customFormat="1" spans="1:12">
      <c r="A846" s="2">
        <v>28.191</v>
      </c>
      <c r="B846" s="10" t="s">
        <v>81</v>
      </c>
      <c r="C846" s="4">
        <v>28.191</v>
      </c>
      <c r="D846" s="4">
        <v>45.7</v>
      </c>
      <c r="G846" s="2">
        <f t="shared" si="78"/>
        <v>28.158</v>
      </c>
      <c r="H846" s="11" t="str">
        <f t="shared" si="79"/>
        <v>3.412E-2</v>
      </c>
      <c r="I846" s="2">
        <f t="shared" si="80"/>
        <v>45.6</v>
      </c>
      <c r="J846" s="4">
        <f t="shared" si="81"/>
        <v>28.158</v>
      </c>
      <c r="K846" s="9">
        <f t="shared" si="82"/>
        <v>7.59999999999997</v>
      </c>
      <c r="L846" s="1">
        <f t="shared" si="83"/>
        <v>-0.399999999999984</v>
      </c>
    </row>
    <row r="847" s="1" customFormat="1" spans="1:12">
      <c r="A847" s="2">
        <v>28.225</v>
      </c>
      <c r="B847" s="10" t="s">
        <v>11</v>
      </c>
      <c r="C847" s="4">
        <v>28.225</v>
      </c>
      <c r="D847" s="4">
        <v>45.4</v>
      </c>
      <c r="G847" s="2">
        <f t="shared" si="78"/>
        <v>28.191</v>
      </c>
      <c r="H847" s="11" t="str">
        <f t="shared" si="79"/>
        <v>3.425E-2</v>
      </c>
      <c r="I847" s="2">
        <f t="shared" si="80"/>
        <v>45.7</v>
      </c>
      <c r="J847" s="4">
        <f t="shared" si="81"/>
        <v>28.191</v>
      </c>
      <c r="K847" s="9">
        <f t="shared" si="82"/>
        <v>8.90000000000002</v>
      </c>
      <c r="L847" s="1">
        <f t="shared" si="83"/>
        <v>-0.399999999999984</v>
      </c>
    </row>
    <row r="848" s="1" customFormat="1" spans="1:12">
      <c r="A848" s="2">
        <v>28.258</v>
      </c>
      <c r="B848" s="10" t="s">
        <v>12</v>
      </c>
      <c r="C848" s="4">
        <v>28.258</v>
      </c>
      <c r="D848" s="4">
        <v>45.4</v>
      </c>
      <c r="G848" s="2">
        <f t="shared" si="78"/>
        <v>28.225</v>
      </c>
      <c r="H848" s="11" t="str">
        <f t="shared" si="79"/>
        <v>3.432E-2</v>
      </c>
      <c r="I848" s="2">
        <f t="shared" si="80"/>
        <v>45.4</v>
      </c>
      <c r="J848" s="4">
        <f t="shared" si="81"/>
        <v>28.225</v>
      </c>
      <c r="K848" s="9">
        <f t="shared" si="82"/>
        <v>9.60000000000002</v>
      </c>
      <c r="L848" s="1">
        <f t="shared" si="83"/>
        <v>-0.399999999999984</v>
      </c>
    </row>
    <row r="849" s="1" customFormat="1" spans="1:12">
      <c r="A849" s="2">
        <v>28.291</v>
      </c>
      <c r="B849" s="10" t="s">
        <v>22</v>
      </c>
      <c r="C849" s="4">
        <v>28.291</v>
      </c>
      <c r="D849" s="4">
        <v>45.8</v>
      </c>
      <c r="G849" s="2">
        <f t="shared" si="78"/>
        <v>28.258</v>
      </c>
      <c r="H849" s="11" t="str">
        <f t="shared" si="79"/>
        <v>3.435E-2</v>
      </c>
      <c r="I849" s="2">
        <f t="shared" si="80"/>
        <v>45.4</v>
      </c>
      <c r="J849" s="4">
        <f t="shared" si="81"/>
        <v>28.258</v>
      </c>
      <c r="K849" s="9">
        <f t="shared" si="82"/>
        <v>9.89999999999998</v>
      </c>
      <c r="L849" s="1">
        <f t="shared" si="83"/>
        <v>-0.399999999999984</v>
      </c>
    </row>
    <row r="850" s="1" customFormat="1" spans="1:12">
      <c r="A850" s="2">
        <v>28.325</v>
      </c>
      <c r="B850" s="10" t="s">
        <v>58</v>
      </c>
      <c r="C850" s="4">
        <v>28.325</v>
      </c>
      <c r="D850" s="4">
        <v>45.6</v>
      </c>
      <c r="G850" s="2">
        <f t="shared" si="78"/>
        <v>28.291</v>
      </c>
      <c r="H850" s="11" t="str">
        <f t="shared" si="79"/>
        <v>3.439E-2</v>
      </c>
      <c r="I850" s="2">
        <f t="shared" si="80"/>
        <v>45.8</v>
      </c>
      <c r="J850" s="4">
        <f t="shared" si="81"/>
        <v>28.291</v>
      </c>
      <c r="K850" s="9">
        <f t="shared" si="82"/>
        <v>10.3</v>
      </c>
      <c r="L850" s="1">
        <f t="shared" si="83"/>
        <v>-0.399999999999984</v>
      </c>
    </row>
    <row r="851" s="1" customFormat="1" spans="1:12">
      <c r="A851" s="2">
        <v>28.358</v>
      </c>
      <c r="B851" s="10" t="s">
        <v>43</v>
      </c>
      <c r="C851" s="4">
        <v>28.358</v>
      </c>
      <c r="D851" s="4">
        <v>45.5</v>
      </c>
      <c r="G851" s="2">
        <f t="shared" si="78"/>
        <v>28.325</v>
      </c>
      <c r="H851" s="11" t="str">
        <f t="shared" si="79"/>
        <v>3.440E-2</v>
      </c>
      <c r="I851" s="2">
        <f t="shared" si="80"/>
        <v>45.6</v>
      </c>
      <c r="J851" s="4">
        <f t="shared" si="81"/>
        <v>28.325</v>
      </c>
      <c r="K851" s="9">
        <f t="shared" si="82"/>
        <v>10.4</v>
      </c>
      <c r="L851" s="1">
        <f t="shared" si="83"/>
        <v>-0.399999999999984</v>
      </c>
    </row>
    <row r="852" s="1" customFormat="1" spans="1:12">
      <c r="A852" s="2">
        <v>28.392</v>
      </c>
      <c r="B852" s="10" t="s">
        <v>221</v>
      </c>
      <c r="C852" s="4">
        <v>28.392</v>
      </c>
      <c r="D852" s="4">
        <v>45.8</v>
      </c>
      <c r="G852" s="2">
        <f t="shared" si="78"/>
        <v>28.358</v>
      </c>
      <c r="H852" s="11" t="str">
        <f t="shared" si="79"/>
        <v>3.441E-2</v>
      </c>
      <c r="I852" s="2">
        <f t="shared" si="80"/>
        <v>45.5</v>
      </c>
      <c r="J852" s="4">
        <f t="shared" si="81"/>
        <v>28.358</v>
      </c>
      <c r="K852" s="9">
        <f t="shared" si="82"/>
        <v>10.5</v>
      </c>
      <c r="L852" s="1">
        <f t="shared" si="83"/>
        <v>-0.399999999999984</v>
      </c>
    </row>
    <row r="853" s="1" customFormat="1" spans="1:12">
      <c r="A853" s="2">
        <v>28.425</v>
      </c>
      <c r="B853" s="10" t="s">
        <v>26</v>
      </c>
      <c r="C853" s="4">
        <v>28.425</v>
      </c>
      <c r="D853" s="4">
        <v>44.8</v>
      </c>
      <c r="G853" s="2">
        <f t="shared" si="78"/>
        <v>28.392</v>
      </c>
      <c r="H853" s="11" t="str">
        <f t="shared" si="79"/>
        <v>3.448E-2</v>
      </c>
      <c r="I853" s="2">
        <f t="shared" si="80"/>
        <v>45.8</v>
      </c>
      <c r="J853" s="4">
        <f t="shared" si="81"/>
        <v>28.392</v>
      </c>
      <c r="K853" s="9">
        <f t="shared" si="82"/>
        <v>11.2</v>
      </c>
      <c r="L853" s="1">
        <f t="shared" si="83"/>
        <v>-0.399999999999984</v>
      </c>
    </row>
    <row r="854" s="1" customFormat="1" spans="1:12">
      <c r="A854" s="2">
        <v>28.459</v>
      </c>
      <c r="B854" s="10" t="s">
        <v>59</v>
      </c>
      <c r="C854" s="4">
        <v>28.459</v>
      </c>
      <c r="D854" s="4">
        <v>45.4</v>
      </c>
      <c r="G854" s="2">
        <f t="shared" si="78"/>
        <v>28.425</v>
      </c>
      <c r="H854" s="11" t="str">
        <f t="shared" si="79"/>
        <v>3.451E-2</v>
      </c>
      <c r="I854" s="2">
        <f t="shared" si="80"/>
        <v>44.8</v>
      </c>
      <c r="J854" s="4">
        <f t="shared" si="81"/>
        <v>28.425</v>
      </c>
      <c r="K854" s="9">
        <f t="shared" si="82"/>
        <v>11.5</v>
      </c>
      <c r="L854" s="1">
        <f t="shared" si="83"/>
        <v>-0.399999999999984</v>
      </c>
    </row>
    <row r="855" s="1" customFormat="1" spans="1:12">
      <c r="A855" s="2">
        <v>28.492</v>
      </c>
      <c r="B855" s="10" t="s">
        <v>59</v>
      </c>
      <c r="C855" s="4">
        <v>28.492</v>
      </c>
      <c r="D855" s="4">
        <v>45.8</v>
      </c>
      <c r="G855" s="2">
        <f t="shared" si="78"/>
        <v>28.459</v>
      </c>
      <c r="H855" s="11" t="str">
        <f t="shared" si="79"/>
        <v>3.452E-2</v>
      </c>
      <c r="I855" s="2">
        <f t="shared" si="80"/>
        <v>45.4</v>
      </c>
      <c r="J855" s="4">
        <f t="shared" si="81"/>
        <v>28.459</v>
      </c>
      <c r="K855" s="9">
        <f t="shared" si="82"/>
        <v>11.6</v>
      </c>
      <c r="L855" s="1">
        <f t="shared" si="83"/>
        <v>-0.399999999999984</v>
      </c>
    </row>
    <row r="856" s="1" customFormat="1" spans="1:12">
      <c r="A856" s="2">
        <v>28.525</v>
      </c>
      <c r="B856" s="10" t="s">
        <v>42</v>
      </c>
      <c r="C856" s="4">
        <v>28.525</v>
      </c>
      <c r="D856" s="4">
        <v>45.2</v>
      </c>
      <c r="G856" s="2">
        <f t="shared" si="78"/>
        <v>28.492</v>
      </c>
      <c r="H856" s="11" t="str">
        <f t="shared" si="79"/>
        <v>3.452E-2</v>
      </c>
      <c r="I856" s="2">
        <f t="shared" si="80"/>
        <v>45.8</v>
      </c>
      <c r="J856" s="4">
        <f t="shared" si="81"/>
        <v>28.492</v>
      </c>
      <c r="K856" s="9">
        <f t="shared" si="82"/>
        <v>11.6</v>
      </c>
      <c r="L856" s="1">
        <f t="shared" si="83"/>
        <v>-0.399999999999984</v>
      </c>
    </row>
    <row r="857" s="1" customFormat="1" spans="1:12">
      <c r="A857" s="2">
        <v>28.559</v>
      </c>
      <c r="B857" s="10" t="s">
        <v>24</v>
      </c>
      <c r="C857" s="4">
        <v>28.559</v>
      </c>
      <c r="D857" s="4">
        <v>45.4</v>
      </c>
      <c r="G857" s="2">
        <f t="shared" si="78"/>
        <v>28.525</v>
      </c>
      <c r="H857" s="11" t="str">
        <f t="shared" si="79"/>
        <v>3.450E-2</v>
      </c>
      <c r="I857" s="2">
        <f t="shared" si="80"/>
        <v>45.2</v>
      </c>
      <c r="J857" s="4">
        <f t="shared" si="81"/>
        <v>28.525</v>
      </c>
      <c r="K857" s="9">
        <f t="shared" si="82"/>
        <v>11.4</v>
      </c>
      <c r="L857" s="1">
        <f t="shared" si="83"/>
        <v>-0.399999999999984</v>
      </c>
    </row>
    <row r="858" s="1" customFormat="1" spans="1:12">
      <c r="A858" s="2">
        <v>28.592</v>
      </c>
      <c r="B858" s="10" t="s">
        <v>24</v>
      </c>
      <c r="C858" s="4">
        <v>28.592</v>
      </c>
      <c r="D858" s="4">
        <v>45</v>
      </c>
      <c r="G858" s="2">
        <f t="shared" si="78"/>
        <v>28.559</v>
      </c>
      <c r="H858" s="11" t="str">
        <f t="shared" si="79"/>
        <v>3.445E-2</v>
      </c>
      <c r="I858" s="2">
        <f t="shared" si="80"/>
        <v>45.4</v>
      </c>
      <c r="J858" s="4">
        <f t="shared" si="81"/>
        <v>28.559</v>
      </c>
      <c r="K858" s="9">
        <f t="shared" si="82"/>
        <v>10.9</v>
      </c>
      <c r="L858" s="1">
        <f t="shared" si="83"/>
        <v>-0.399999999999984</v>
      </c>
    </row>
    <row r="859" s="1" customFormat="1" spans="1:12">
      <c r="A859" s="2">
        <v>28.626</v>
      </c>
      <c r="B859" s="10" t="s">
        <v>43</v>
      </c>
      <c r="C859" s="4">
        <v>28.626</v>
      </c>
      <c r="D859" s="4">
        <v>45.3</v>
      </c>
      <c r="G859" s="2">
        <f t="shared" si="78"/>
        <v>28.592</v>
      </c>
      <c r="H859" s="11" t="str">
        <f t="shared" si="79"/>
        <v>3.445E-2</v>
      </c>
      <c r="I859" s="2">
        <f t="shared" si="80"/>
        <v>45</v>
      </c>
      <c r="J859" s="4">
        <f t="shared" si="81"/>
        <v>28.592</v>
      </c>
      <c r="K859" s="9">
        <f t="shared" si="82"/>
        <v>10.9</v>
      </c>
      <c r="L859" s="1">
        <f t="shared" si="83"/>
        <v>-0.399999999999984</v>
      </c>
    </row>
    <row r="860" s="1" customFormat="1" spans="1:12">
      <c r="A860" s="2">
        <v>28.659</v>
      </c>
      <c r="B860" s="10" t="s">
        <v>10</v>
      </c>
      <c r="C860" s="4">
        <v>28.659</v>
      </c>
      <c r="D860" s="4">
        <v>45.6</v>
      </c>
      <c r="G860" s="2">
        <f t="shared" si="78"/>
        <v>28.626</v>
      </c>
      <c r="H860" s="11" t="str">
        <f t="shared" si="79"/>
        <v>3.441E-2</v>
      </c>
      <c r="I860" s="2">
        <f t="shared" si="80"/>
        <v>45.3</v>
      </c>
      <c r="J860" s="4">
        <f t="shared" si="81"/>
        <v>28.626</v>
      </c>
      <c r="K860" s="9">
        <f t="shared" si="82"/>
        <v>10.5</v>
      </c>
      <c r="L860" s="1">
        <f t="shared" si="83"/>
        <v>-0.399999999999984</v>
      </c>
    </row>
    <row r="861" s="1" customFormat="1" spans="1:12">
      <c r="A861" s="2">
        <v>28.693</v>
      </c>
      <c r="B861" s="10" t="s">
        <v>44</v>
      </c>
      <c r="C861" s="4">
        <v>28.693</v>
      </c>
      <c r="D861" s="4">
        <v>45.1</v>
      </c>
      <c r="G861" s="2">
        <f t="shared" si="78"/>
        <v>28.659</v>
      </c>
      <c r="H861" s="11" t="str">
        <f t="shared" si="79"/>
        <v>3.434E-2</v>
      </c>
      <c r="I861" s="2">
        <f t="shared" si="80"/>
        <v>45.6</v>
      </c>
      <c r="J861" s="4">
        <f t="shared" si="81"/>
        <v>28.659</v>
      </c>
      <c r="K861" s="9">
        <f t="shared" si="82"/>
        <v>9.80000000000002</v>
      </c>
      <c r="L861" s="1">
        <f t="shared" si="83"/>
        <v>-0.399999999999984</v>
      </c>
    </row>
    <row r="862" s="1" customFormat="1" spans="1:12">
      <c r="A862" s="2">
        <v>28.726</v>
      </c>
      <c r="B862" s="10" t="s">
        <v>57</v>
      </c>
      <c r="C862" s="4">
        <v>28.726</v>
      </c>
      <c r="D862" s="4">
        <v>45.6</v>
      </c>
      <c r="G862" s="2">
        <f t="shared" si="78"/>
        <v>28.693</v>
      </c>
      <c r="H862" s="11" t="str">
        <f t="shared" si="79"/>
        <v>3.422E-2</v>
      </c>
      <c r="I862" s="2">
        <f t="shared" si="80"/>
        <v>45.1</v>
      </c>
      <c r="J862" s="4">
        <f t="shared" si="81"/>
        <v>28.693</v>
      </c>
      <c r="K862" s="9">
        <f t="shared" si="82"/>
        <v>8.6</v>
      </c>
      <c r="L862" s="1">
        <f t="shared" si="83"/>
        <v>-0.399999999999984</v>
      </c>
    </row>
    <row r="863" s="1" customFormat="1" spans="1:12">
      <c r="A863" s="2">
        <v>28.76</v>
      </c>
      <c r="B863" s="10" t="s">
        <v>229</v>
      </c>
      <c r="C863" s="4">
        <v>28.76</v>
      </c>
      <c r="D863" s="4">
        <v>45.5</v>
      </c>
      <c r="G863" s="2">
        <f t="shared" si="78"/>
        <v>28.726</v>
      </c>
      <c r="H863" s="11" t="str">
        <f t="shared" si="79"/>
        <v>3.413E-2</v>
      </c>
      <c r="I863" s="2">
        <f t="shared" si="80"/>
        <v>45.6</v>
      </c>
      <c r="J863" s="4">
        <f t="shared" si="81"/>
        <v>28.726</v>
      </c>
      <c r="K863" s="9">
        <f t="shared" si="82"/>
        <v>7.7</v>
      </c>
      <c r="L863" s="1">
        <f t="shared" si="83"/>
        <v>-0.399999999999984</v>
      </c>
    </row>
    <row r="864" s="1" customFormat="1" spans="1:12">
      <c r="A864" s="2">
        <v>28.793</v>
      </c>
      <c r="B864" s="10" t="s">
        <v>47</v>
      </c>
      <c r="C864" s="4">
        <v>28.793</v>
      </c>
      <c r="D864" s="4">
        <v>45.8</v>
      </c>
      <c r="G864" s="2">
        <f t="shared" si="78"/>
        <v>28.76</v>
      </c>
      <c r="H864" s="11" t="str">
        <f t="shared" si="79"/>
        <v>3.405E-2</v>
      </c>
      <c r="I864" s="2">
        <f t="shared" si="80"/>
        <v>45.5</v>
      </c>
      <c r="J864" s="4">
        <f t="shared" si="81"/>
        <v>28.76</v>
      </c>
      <c r="K864" s="9">
        <f t="shared" si="82"/>
        <v>6.89999999999996</v>
      </c>
      <c r="L864" s="1">
        <f t="shared" si="83"/>
        <v>-0.399999999999984</v>
      </c>
    </row>
    <row r="865" s="1" customFormat="1" spans="1:12">
      <c r="A865" s="2">
        <v>28.826</v>
      </c>
      <c r="B865" s="10" t="s">
        <v>253</v>
      </c>
      <c r="C865" s="4">
        <v>28.826</v>
      </c>
      <c r="D865" s="4">
        <v>45.7</v>
      </c>
      <c r="G865" s="2">
        <f t="shared" si="78"/>
        <v>28.793</v>
      </c>
      <c r="H865" s="11" t="str">
        <f t="shared" si="79"/>
        <v>3.394E-2</v>
      </c>
      <c r="I865" s="2">
        <f t="shared" si="80"/>
        <v>45.8</v>
      </c>
      <c r="J865" s="4">
        <f t="shared" si="81"/>
        <v>28.793</v>
      </c>
      <c r="K865" s="9">
        <f t="shared" si="82"/>
        <v>5.79999999999997</v>
      </c>
      <c r="L865" s="1">
        <f t="shared" si="83"/>
        <v>-0.399999999999984</v>
      </c>
    </row>
    <row r="866" s="1" customFormat="1" spans="1:12">
      <c r="A866" s="2">
        <v>28.86</v>
      </c>
      <c r="B866" s="10" t="s">
        <v>54</v>
      </c>
      <c r="C866" s="4">
        <v>28.86</v>
      </c>
      <c r="D866" s="4">
        <v>45.7</v>
      </c>
      <c r="G866" s="2">
        <f t="shared" si="78"/>
        <v>28.826</v>
      </c>
      <c r="H866" s="11" t="str">
        <f t="shared" si="79"/>
        <v>3.385E-2</v>
      </c>
      <c r="I866" s="2">
        <f t="shared" si="80"/>
        <v>45.7</v>
      </c>
      <c r="J866" s="4">
        <f t="shared" si="81"/>
        <v>28.826</v>
      </c>
      <c r="K866" s="9">
        <f t="shared" si="82"/>
        <v>4.89999999999997</v>
      </c>
      <c r="L866" s="1">
        <f t="shared" si="83"/>
        <v>-0.399999999999984</v>
      </c>
    </row>
    <row r="867" s="1" customFormat="1" spans="1:12">
      <c r="A867" s="2">
        <v>28.893</v>
      </c>
      <c r="B867" s="10" t="s">
        <v>307</v>
      </c>
      <c r="C867" s="4">
        <v>28.893</v>
      </c>
      <c r="D867" s="4">
        <v>45.7</v>
      </c>
      <c r="G867" s="2">
        <f t="shared" si="78"/>
        <v>28.86</v>
      </c>
      <c r="H867" s="11" t="str">
        <f t="shared" si="79"/>
        <v>3.378E-2</v>
      </c>
      <c r="I867" s="2">
        <f t="shared" si="80"/>
        <v>45.7</v>
      </c>
      <c r="J867" s="4">
        <f t="shared" si="81"/>
        <v>28.86</v>
      </c>
      <c r="K867" s="9">
        <f t="shared" si="82"/>
        <v>4.19999999999997</v>
      </c>
      <c r="L867" s="1">
        <f t="shared" si="83"/>
        <v>-0.399999999999984</v>
      </c>
    </row>
    <row r="868" s="1" customFormat="1" spans="1:12">
      <c r="A868" s="2">
        <v>28.927</v>
      </c>
      <c r="B868" s="10" t="s">
        <v>313</v>
      </c>
      <c r="C868" s="4">
        <v>28.927</v>
      </c>
      <c r="D868" s="4">
        <v>45.5</v>
      </c>
      <c r="G868" s="2">
        <f t="shared" si="78"/>
        <v>28.893</v>
      </c>
      <c r="H868" s="11" t="str">
        <f t="shared" si="79"/>
        <v>3.365E-2</v>
      </c>
      <c r="I868" s="2">
        <f t="shared" si="80"/>
        <v>45.7</v>
      </c>
      <c r="J868" s="4">
        <f t="shared" si="81"/>
        <v>28.893</v>
      </c>
      <c r="K868" s="9">
        <f t="shared" si="82"/>
        <v>2.89999999999999</v>
      </c>
      <c r="L868" s="1">
        <f t="shared" si="83"/>
        <v>-0.399999999999984</v>
      </c>
    </row>
    <row r="869" s="1" customFormat="1" spans="1:12">
      <c r="A869" s="2">
        <v>28.96</v>
      </c>
      <c r="B869" s="10" t="s">
        <v>271</v>
      </c>
      <c r="C869" s="4">
        <v>28.96</v>
      </c>
      <c r="D869" s="4">
        <v>45.4</v>
      </c>
      <c r="G869" s="2">
        <f t="shared" si="78"/>
        <v>28.927</v>
      </c>
      <c r="H869" s="11" t="str">
        <f t="shared" si="79"/>
        <v>3.359E-2</v>
      </c>
      <c r="I869" s="2">
        <f t="shared" si="80"/>
        <v>45.5</v>
      </c>
      <c r="J869" s="4">
        <f t="shared" si="81"/>
        <v>28.927</v>
      </c>
      <c r="K869" s="9">
        <f t="shared" si="82"/>
        <v>2.30000000000001</v>
      </c>
      <c r="L869" s="1">
        <f t="shared" si="83"/>
        <v>-0.399999999999984</v>
      </c>
    </row>
    <row r="870" s="1" customFormat="1" spans="1:12">
      <c r="A870" s="2">
        <v>28.994</v>
      </c>
      <c r="B870" s="10" t="s">
        <v>267</v>
      </c>
      <c r="C870" s="4">
        <v>28.994</v>
      </c>
      <c r="D870" s="4">
        <v>45.5</v>
      </c>
      <c r="G870" s="2">
        <f t="shared" si="78"/>
        <v>28.96</v>
      </c>
      <c r="H870" s="11" t="str">
        <f t="shared" si="79"/>
        <v>3.355E-2</v>
      </c>
      <c r="I870" s="2">
        <f t="shared" si="80"/>
        <v>45.4</v>
      </c>
      <c r="J870" s="4">
        <f t="shared" si="81"/>
        <v>28.96</v>
      </c>
      <c r="K870" s="9">
        <f t="shared" si="82"/>
        <v>1.90000000000003</v>
      </c>
      <c r="L870" s="1">
        <f t="shared" si="83"/>
        <v>-0.399999999999984</v>
      </c>
    </row>
    <row r="871" s="1" customFormat="1" spans="1:12">
      <c r="A871" s="2">
        <v>29.027</v>
      </c>
      <c r="B871" s="10" t="s">
        <v>267</v>
      </c>
      <c r="C871" s="4">
        <v>29.027</v>
      </c>
      <c r="D871" s="4">
        <v>45.9</v>
      </c>
      <c r="G871" s="2">
        <f t="shared" si="78"/>
        <v>28.994</v>
      </c>
      <c r="H871" s="11" t="str">
        <f t="shared" si="79"/>
        <v>3.353E-2</v>
      </c>
      <c r="I871" s="2">
        <f t="shared" si="80"/>
        <v>45.5</v>
      </c>
      <c r="J871" s="4">
        <f t="shared" si="81"/>
        <v>28.994</v>
      </c>
      <c r="K871" s="9">
        <f t="shared" si="82"/>
        <v>1.69999999999997</v>
      </c>
      <c r="L871" s="1">
        <f t="shared" si="83"/>
        <v>-0.399999999999984</v>
      </c>
    </row>
    <row r="872" s="1" customFormat="1" spans="1:12">
      <c r="A872" s="2">
        <v>29.061</v>
      </c>
      <c r="B872" s="10" t="s">
        <v>311</v>
      </c>
      <c r="C872" s="4">
        <v>29.061</v>
      </c>
      <c r="D872" s="4">
        <v>45.3</v>
      </c>
      <c r="G872" s="2">
        <f t="shared" si="78"/>
        <v>29.027</v>
      </c>
      <c r="H872" s="11" t="str">
        <f t="shared" si="79"/>
        <v>3.353E-2</v>
      </c>
      <c r="I872" s="2">
        <f t="shared" si="80"/>
        <v>45.9</v>
      </c>
      <c r="J872" s="4">
        <f t="shared" si="81"/>
        <v>29.027</v>
      </c>
      <c r="K872" s="9">
        <f t="shared" si="82"/>
        <v>1.69999999999997</v>
      </c>
      <c r="L872" s="1">
        <f t="shared" si="83"/>
        <v>-0.399999999999984</v>
      </c>
    </row>
    <row r="873" s="1" customFormat="1" spans="1:12">
      <c r="A873" s="2">
        <v>29.094</v>
      </c>
      <c r="B873" s="10" t="s">
        <v>271</v>
      </c>
      <c r="C873" s="4">
        <v>29.094</v>
      </c>
      <c r="D873" s="4">
        <v>45.6</v>
      </c>
      <c r="G873" s="2">
        <f t="shared" si="78"/>
        <v>29.061</v>
      </c>
      <c r="H873" s="11" t="str">
        <f t="shared" si="79"/>
        <v>3.352E-2</v>
      </c>
      <c r="I873" s="2">
        <f t="shared" si="80"/>
        <v>45.3</v>
      </c>
      <c r="J873" s="4">
        <f t="shared" si="81"/>
        <v>29.061</v>
      </c>
      <c r="K873" s="9">
        <f t="shared" si="82"/>
        <v>1.6</v>
      </c>
      <c r="L873" s="1">
        <f t="shared" si="83"/>
        <v>-0.399999999999984</v>
      </c>
    </row>
    <row r="874" s="1" customFormat="1" spans="1:12">
      <c r="A874" s="2">
        <v>29.127</v>
      </c>
      <c r="B874" s="10" t="s">
        <v>310</v>
      </c>
      <c r="C874" s="4">
        <v>29.127</v>
      </c>
      <c r="D874" s="4">
        <v>45.7</v>
      </c>
      <c r="G874" s="2">
        <f t="shared" si="78"/>
        <v>29.094</v>
      </c>
      <c r="H874" s="11" t="str">
        <f t="shared" si="79"/>
        <v>3.355E-2</v>
      </c>
      <c r="I874" s="2">
        <f t="shared" si="80"/>
        <v>45.6</v>
      </c>
      <c r="J874" s="4">
        <f t="shared" si="81"/>
        <v>29.094</v>
      </c>
      <c r="K874" s="9">
        <f t="shared" si="82"/>
        <v>1.90000000000003</v>
      </c>
      <c r="L874" s="1">
        <f t="shared" si="83"/>
        <v>-0.399999999999984</v>
      </c>
    </row>
    <row r="875" s="1" customFormat="1" spans="1:12">
      <c r="A875" s="2">
        <v>29.161</v>
      </c>
      <c r="B875" s="10" t="s">
        <v>313</v>
      </c>
      <c r="C875" s="4">
        <v>29.161</v>
      </c>
      <c r="D875" s="4">
        <v>45.3</v>
      </c>
      <c r="G875" s="2">
        <f t="shared" si="78"/>
        <v>29.127</v>
      </c>
      <c r="H875" s="11" t="str">
        <f t="shared" si="79"/>
        <v>3.357E-2</v>
      </c>
      <c r="I875" s="2">
        <f t="shared" si="80"/>
        <v>45.7</v>
      </c>
      <c r="J875" s="4">
        <f t="shared" si="81"/>
        <v>29.127</v>
      </c>
      <c r="K875" s="9">
        <f t="shared" si="82"/>
        <v>2.10000000000002</v>
      </c>
      <c r="L875" s="1">
        <f t="shared" si="83"/>
        <v>-0.399999999999984</v>
      </c>
    </row>
    <row r="876" s="1" customFormat="1" spans="1:12">
      <c r="A876" s="2">
        <v>29.194</v>
      </c>
      <c r="B876" s="10" t="s">
        <v>279</v>
      </c>
      <c r="C876" s="4">
        <v>29.194</v>
      </c>
      <c r="D876" s="4">
        <v>46</v>
      </c>
      <c r="G876" s="2">
        <f t="shared" si="78"/>
        <v>29.161</v>
      </c>
      <c r="H876" s="11" t="str">
        <f t="shared" si="79"/>
        <v>3.359E-2</v>
      </c>
      <c r="I876" s="2">
        <f t="shared" si="80"/>
        <v>45.3</v>
      </c>
      <c r="J876" s="4">
        <f t="shared" si="81"/>
        <v>29.161</v>
      </c>
      <c r="K876" s="9">
        <f t="shared" si="82"/>
        <v>2.30000000000001</v>
      </c>
      <c r="L876" s="1">
        <f t="shared" si="83"/>
        <v>-0.399999999999984</v>
      </c>
    </row>
    <row r="877" s="1" customFormat="1" spans="1:12">
      <c r="A877" s="2">
        <v>29.228</v>
      </c>
      <c r="B877" s="10" t="s">
        <v>255</v>
      </c>
      <c r="C877" s="4">
        <v>29.228</v>
      </c>
      <c r="D877" s="4">
        <v>46.1</v>
      </c>
      <c r="G877" s="2">
        <f t="shared" si="78"/>
        <v>29.194</v>
      </c>
      <c r="H877" s="11" t="str">
        <f t="shared" si="79"/>
        <v>3.362E-2</v>
      </c>
      <c r="I877" s="2">
        <f t="shared" si="80"/>
        <v>46</v>
      </c>
      <c r="J877" s="4">
        <f t="shared" si="81"/>
        <v>29.194</v>
      </c>
      <c r="K877" s="9">
        <f t="shared" si="82"/>
        <v>2.59999999999996</v>
      </c>
      <c r="L877" s="1">
        <f t="shared" si="83"/>
        <v>-0.399999999999984</v>
      </c>
    </row>
    <row r="878" s="1" customFormat="1" spans="1:12">
      <c r="A878" s="2">
        <v>29.261</v>
      </c>
      <c r="B878" s="10" t="s">
        <v>257</v>
      </c>
      <c r="C878" s="4">
        <v>29.261</v>
      </c>
      <c r="D878" s="4">
        <v>45.3</v>
      </c>
      <c r="G878" s="2">
        <f t="shared" si="78"/>
        <v>29.228</v>
      </c>
      <c r="H878" s="11" t="str">
        <f t="shared" si="79"/>
        <v>3.366E-2</v>
      </c>
      <c r="I878" s="2">
        <f t="shared" si="80"/>
        <v>46.1</v>
      </c>
      <c r="J878" s="4">
        <f t="shared" si="81"/>
        <v>29.228</v>
      </c>
      <c r="K878" s="9">
        <f t="shared" si="82"/>
        <v>3.00000000000002</v>
      </c>
      <c r="L878" s="1">
        <f t="shared" si="83"/>
        <v>-0.399999999999984</v>
      </c>
    </row>
    <row r="879" s="1" customFormat="1" spans="1:12">
      <c r="A879" s="2">
        <v>29.295</v>
      </c>
      <c r="B879" s="10" t="s">
        <v>247</v>
      </c>
      <c r="C879" s="4">
        <v>29.295</v>
      </c>
      <c r="D879" s="4">
        <v>45.8</v>
      </c>
      <c r="G879" s="2">
        <f t="shared" si="78"/>
        <v>29.261</v>
      </c>
      <c r="H879" s="11" t="str">
        <f t="shared" si="79"/>
        <v>3.368E-2</v>
      </c>
      <c r="I879" s="2">
        <f t="shared" si="80"/>
        <v>45.3</v>
      </c>
      <c r="J879" s="4">
        <f t="shared" si="81"/>
        <v>29.261</v>
      </c>
      <c r="K879" s="9">
        <f t="shared" si="82"/>
        <v>3.20000000000001</v>
      </c>
      <c r="L879" s="1">
        <f t="shared" si="83"/>
        <v>-0.399999999999984</v>
      </c>
    </row>
    <row r="880" s="1" customFormat="1" spans="1:12">
      <c r="A880" s="2">
        <v>29.328</v>
      </c>
      <c r="B880" s="10" t="s">
        <v>50</v>
      </c>
      <c r="C880" s="4">
        <v>29.328</v>
      </c>
      <c r="D880" s="4">
        <v>45.2</v>
      </c>
      <c r="G880" s="2">
        <f t="shared" si="78"/>
        <v>29.295</v>
      </c>
      <c r="H880" s="11" t="str">
        <f t="shared" si="79"/>
        <v>3.371E-2</v>
      </c>
      <c r="I880" s="2">
        <f t="shared" si="80"/>
        <v>45.8</v>
      </c>
      <c r="J880" s="4">
        <f t="shared" si="81"/>
        <v>29.295</v>
      </c>
      <c r="K880" s="9">
        <f t="shared" si="82"/>
        <v>3.49999999999996</v>
      </c>
      <c r="L880" s="1">
        <f t="shared" si="83"/>
        <v>-0.399999999999984</v>
      </c>
    </row>
    <row r="881" s="1" customFormat="1" spans="1:12">
      <c r="A881" s="2">
        <v>29.362</v>
      </c>
      <c r="B881" s="10" t="s">
        <v>54</v>
      </c>
      <c r="C881" s="4">
        <v>29.362</v>
      </c>
      <c r="D881" s="4">
        <v>45.5</v>
      </c>
      <c r="G881" s="2">
        <f t="shared" si="78"/>
        <v>29.328</v>
      </c>
      <c r="H881" s="11" t="str">
        <f t="shared" si="79"/>
        <v>3.377E-2</v>
      </c>
      <c r="I881" s="2">
        <f t="shared" si="80"/>
        <v>45.2</v>
      </c>
      <c r="J881" s="4">
        <f t="shared" si="81"/>
        <v>29.328</v>
      </c>
      <c r="K881" s="9">
        <f t="shared" si="82"/>
        <v>4.10000000000001</v>
      </c>
      <c r="L881" s="1">
        <f t="shared" si="83"/>
        <v>-0.399999999999984</v>
      </c>
    </row>
    <row r="882" s="1" customFormat="1" spans="1:12">
      <c r="A882" s="2">
        <v>29.395</v>
      </c>
      <c r="B882" s="10" t="s">
        <v>252</v>
      </c>
      <c r="C882" s="4">
        <v>29.395</v>
      </c>
      <c r="D882" s="4">
        <v>45.4</v>
      </c>
      <c r="G882" s="2">
        <f t="shared" si="78"/>
        <v>29.362</v>
      </c>
      <c r="H882" s="11" t="str">
        <f t="shared" si="79"/>
        <v>3.378E-2</v>
      </c>
      <c r="I882" s="2">
        <f t="shared" si="80"/>
        <v>45.5</v>
      </c>
      <c r="J882" s="4">
        <f t="shared" si="81"/>
        <v>29.362</v>
      </c>
      <c r="K882" s="9">
        <f t="shared" si="82"/>
        <v>4.19999999999997</v>
      </c>
      <c r="L882" s="1">
        <f t="shared" si="83"/>
        <v>-0.399999999999984</v>
      </c>
    </row>
    <row r="883" s="1" customFormat="1" spans="1:12">
      <c r="A883" s="2">
        <v>29.428</v>
      </c>
      <c r="B883" s="10" t="s">
        <v>115</v>
      </c>
      <c r="C883" s="4">
        <v>29.428</v>
      </c>
      <c r="D883" s="4">
        <v>45.7</v>
      </c>
      <c r="G883" s="2">
        <f t="shared" si="78"/>
        <v>29.395</v>
      </c>
      <c r="H883" s="11" t="str">
        <f t="shared" si="79"/>
        <v>3.384E-2</v>
      </c>
      <c r="I883" s="2">
        <f t="shared" si="80"/>
        <v>45.4</v>
      </c>
      <c r="J883" s="4">
        <f t="shared" si="81"/>
        <v>29.395</v>
      </c>
      <c r="K883" s="9">
        <f t="shared" si="82"/>
        <v>4.80000000000001</v>
      </c>
      <c r="L883" s="1">
        <f t="shared" si="83"/>
        <v>-0.399999999999984</v>
      </c>
    </row>
    <row r="884" s="1" customFormat="1" spans="1:12">
      <c r="A884" s="2">
        <v>29.462</v>
      </c>
      <c r="B884" s="10" t="s">
        <v>234</v>
      </c>
      <c r="C884" s="4">
        <v>29.462</v>
      </c>
      <c r="D884" s="4">
        <v>45.9</v>
      </c>
      <c r="G884" s="2">
        <f t="shared" si="78"/>
        <v>29.428</v>
      </c>
      <c r="H884" s="11" t="str">
        <f t="shared" si="79"/>
        <v>3.396E-2</v>
      </c>
      <c r="I884" s="2">
        <f t="shared" si="80"/>
        <v>45.7</v>
      </c>
      <c r="J884" s="4">
        <f t="shared" si="81"/>
        <v>29.428</v>
      </c>
      <c r="K884" s="9">
        <f t="shared" si="82"/>
        <v>5.99999999999996</v>
      </c>
      <c r="L884" s="1">
        <f t="shared" si="83"/>
        <v>-0.399999999999984</v>
      </c>
    </row>
    <row r="885" s="1" customFormat="1" spans="1:12">
      <c r="A885" s="2">
        <v>29.495</v>
      </c>
      <c r="B885" s="10" t="s">
        <v>269</v>
      </c>
      <c r="C885" s="4">
        <v>29.495</v>
      </c>
      <c r="D885" s="4">
        <v>45.6</v>
      </c>
      <c r="G885" s="2">
        <f t="shared" si="78"/>
        <v>29.462</v>
      </c>
      <c r="H885" s="11" t="str">
        <f t="shared" si="79"/>
        <v>3.404E-2</v>
      </c>
      <c r="I885" s="2">
        <f t="shared" si="80"/>
        <v>45.9</v>
      </c>
      <c r="J885" s="4">
        <f t="shared" si="81"/>
        <v>29.462</v>
      </c>
      <c r="K885" s="9">
        <f t="shared" si="82"/>
        <v>6.8</v>
      </c>
      <c r="L885" s="1">
        <f t="shared" si="83"/>
        <v>-0.399999999999984</v>
      </c>
    </row>
    <row r="886" s="1" customFormat="1" spans="1:12">
      <c r="A886" s="2">
        <v>29.529</v>
      </c>
      <c r="B886" s="10" t="s">
        <v>45</v>
      </c>
      <c r="C886" s="4">
        <v>29.529</v>
      </c>
      <c r="D886" s="4">
        <v>45.5</v>
      </c>
      <c r="G886" s="2">
        <f t="shared" si="78"/>
        <v>29.495</v>
      </c>
      <c r="H886" s="11" t="str">
        <f t="shared" si="79"/>
        <v>3.410E-2</v>
      </c>
      <c r="I886" s="2">
        <f t="shared" si="80"/>
        <v>45.6</v>
      </c>
      <c r="J886" s="4">
        <f t="shared" si="81"/>
        <v>29.495</v>
      </c>
      <c r="K886" s="9">
        <f t="shared" si="82"/>
        <v>7.39999999999998</v>
      </c>
      <c r="L886" s="1">
        <f t="shared" si="83"/>
        <v>-0.399999999999984</v>
      </c>
    </row>
    <row r="887" s="1" customFormat="1" spans="1:12">
      <c r="A887" s="2">
        <v>29.562</v>
      </c>
      <c r="B887" s="10" t="s">
        <v>81</v>
      </c>
      <c r="C887" s="4">
        <v>29.562</v>
      </c>
      <c r="D887" s="4">
        <v>45.5</v>
      </c>
      <c r="G887" s="2">
        <f t="shared" si="78"/>
        <v>29.529</v>
      </c>
      <c r="H887" s="11" t="str">
        <f t="shared" si="79"/>
        <v>3.415E-2</v>
      </c>
      <c r="I887" s="2">
        <f t="shared" si="80"/>
        <v>45.5</v>
      </c>
      <c r="J887" s="4">
        <f t="shared" si="81"/>
        <v>29.529</v>
      </c>
      <c r="K887" s="9">
        <f t="shared" si="82"/>
        <v>7.89999999999999</v>
      </c>
      <c r="L887" s="1">
        <f t="shared" si="83"/>
        <v>-0.399999999999984</v>
      </c>
    </row>
    <row r="888" s="1" customFormat="1" spans="1:12">
      <c r="A888" s="2">
        <v>29.596</v>
      </c>
      <c r="B888" s="10" t="s">
        <v>13</v>
      </c>
      <c r="C888" s="4">
        <v>29.596</v>
      </c>
      <c r="D888" s="4">
        <v>45.8</v>
      </c>
      <c r="G888" s="2">
        <f t="shared" si="78"/>
        <v>29.562</v>
      </c>
      <c r="H888" s="11" t="str">
        <f t="shared" si="79"/>
        <v>3.425E-2</v>
      </c>
      <c r="I888" s="2">
        <f t="shared" si="80"/>
        <v>45.5</v>
      </c>
      <c r="J888" s="4">
        <f t="shared" si="81"/>
        <v>29.562</v>
      </c>
      <c r="K888" s="9">
        <f t="shared" si="82"/>
        <v>8.90000000000002</v>
      </c>
      <c r="L888" s="1">
        <f t="shared" si="83"/>
        <v>-0.399999999999984</v>
      </c>
    </row>
    <row r="889" s="1" customFormat="1" spans="1:12">
      <c r="A889" s="2">
        <v>29.629</v>
      </c>
      <c r="B889" s="10" t="s">
        <v>9</v>
      </c>
      <c r="C889" s="4">
        <v>29.629</v>
      </c>
      <c r="D889" s="4">
        <v>45.9</v>
      </c>
      <c r="G889" s="2">
        <f t="shared" si="78"/>
        <v>29.596</v>
      </c>
      <c r="H889" s="11" t="str">
        <f t="shared" si="79"/>
        <v>3.431E-2</v>
      </c>
      <c r="I889" s="2">
        <f t="shared" si="80"/>
        <v>45.8</v>
      </c>
      <c r="J889" s="4">
        <f t="shared" si="81"/>
        <v>29.596</v>
      </c>
      <c r="K889" s="9">
        <f t="shared" si="82"/>
        <v>9.49999999999999</v>
      </c>
      <c r="L889" s="1">
        <f t="shared" si="83"/>
        <v>-0.399999999999984</v>
      </c>
    </row>
    <row r="890" s="1" customFormat="1" spans="1:12">
      <c r="A890" s="2">
        <v>29.662</v>
      </c>
      <c r="B890" s="10" t="s">
        <v>10</v>
      </c>
      <c r="C890" s="4">
        <v>29.662</v>
      </c>
      <c r="D890" s="4">
        <v>45.4</v>
      </c>
      <c r="G890" s="2">
        <f t="shared" si="78"/>
        <v>29.629</v>
      </c>
      <c r="H890" s="11" t="str">
        <f t="shared" si="79"/>
        <v>3.433E-2</v>
      </c>
      <c r="I890" s="2">
        <f t="shared" si="80"/>
        <v>45.9</v>
      </c>
      <c r="J890" s="4">
        <f t="shared" si="81"/>
        <v>29.629</v>
      </c>
      <c r="K890" s="9">
        <f t="shared" si="82"/>
        <v>9.69999999999999</v>
      </c>
      <c r="L890" s="1">
        <f t="shared" si="83"/>
        <v>-0.399999999999984</v>
      </c>
    </row>
    <row r="891" s="1" customFormat="1" spans="1:12">
      <c r="A891" s="2">
        <v>29.696</v>
      </c>
      <c r="B891" s="10" t="s">
        <v>12</v>
      </c>
      <c r="C891" s="4">
        <v>29.696</v>
      </c>
      <c r="D891" s="4">
        <v>45.4</v>
      </c>
      <c r="G891" s="2">
        <f t="shared" si="78"/>
        <v>29.662</v>
      </c>
      <c r="H891" s="11" t="str">
        <f t="shared" si="79"/>
        <v>3.434E-2</v>
      </c>
      <c r="I891" s="2">
        <f t="shared" si="80"/>
        <v>45.4</v>
      </c>
      <c r="J891" s="4">
        <f t="shared" si="81"/>
        <v>29.662</v>
      </c>
      <c r="K891" s="9">
        <f t="shared" si="82"/>
        <v>9.80000000000002</v>
      </c>
      <c r="L891" s="1">
        <f t="shared" si="83"/>
        <v>-0.399999999999984</v>
      </c>
    </row>
    <row r="892" s="1" customFormat="1" spans="1:12">
      <c r="A892" s="2"/>
      <c r="B892" s="3"/>
      <c r="C892" s="4"/>
      <c r="D892" s="4"/>
      <c r="G892" s="2">
        <f t="shared" si="78"/>
        <v>29.696</v>
      </c>
      <c r="H892" s="11" t="str">
        <f t="shared" si="79"/>
        <v>3.435E-2</v>
      </c>
      <c r="I892" s="2">
        <f t="shared" si="80"/>
        <v>45.4</v>
      </c>
      <c r="J892" s="4">
        <f t="shared" si="81"/>
        <v>29.696</v>
      </c>
      <c r="K892" s="9">
        <f t="shared" si="82"/>
        <v>9.89999999999998</v>
      </c>
      <c r="L892" s="1">
        <f t="shared" si="83"/>
        <v>-0.399999999999984</v>
      </c>
    </row>
    <row r="893" s="1" customFormat="1" spans="1:12">
      <c r="A893" s="2"/>
      <c r="B893" s="3"/>
      <c r="C893" s="4"/>
      <c r="D893" s="4"/>
      <c r="G893" s="4"/>
      <c r="H893" s="4"/>
      <c r="I893" s="4"/>
      <c r="J893" s="4"/>
    </row>
  </sheetData>
  <mergeCells count="2">
    <mergeCell ref="G1:I1"/>
    <mergeCell ref="J1:L1"/>
  </mergeCells>
  <conditionalFormatting sqref="C$1:C$1048576">
    <cfRule type="cellIs" dxfId="0" priority="4" operator="greaterThan">
      <formula>230</formula>
    </cfRule>
    <cfRule type="cellIs" dxfId="0" priority="5" operator="greaterThan">
      <formula>248</formula>
    </cfRule>
    <cfRule type="cellIs" dxfId="0" priority="7" operator="greaterThan">
      <formula>250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892">
    <cfRule type="cellIs" dxfId="0" priority="1" operator="greaterThan">
      <formula>230</formula>
    </cfRule>
    <cfRule type="cellIs" dxfId="0" priority="2" operator="greaterThan">
      <formula>248</formula>
    </cfRule>
    <cfRule type="cellIs" dxfId="0" priority="3" operator="greaterThan">
      <formula>250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80"/>
  <sheetViews>
    <sheetView workbookViewId="0">
      <selection activeCell="L4" sqref="L4:L1080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4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311</v>
      </c>
      <c r="C3" s="4">
        <v>0</v>
      </c>
      <c r="D3" s="5">
        <v>48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267</v>
      </c>
      <c r="C4" s="4">
        <v>0.033</v>
      </c>
      <c r="D4" s="5">
        <v>48.3</v>
      </c>
      <c r="E4" s="4"/>
      <c r="F4" s="4"/>
      <c r="G4" s="2">
        <f t="shared" ref="G4:G67" si="0">A3</f>
        <v>0</v>
      </c>
      <c r="H4" s="11" t="str">
        <f t="shared" ref="H4:H67" si="1">B3</f>
        <v>3.352E-2</v>
      </c>
      <c r="I4" s="2">
        <f t="shared" ref="I4:I67" si="2">D3</f>
        <v>48</v>
      </c>
      <c r="J4" s="4">
        <f t="shared" ref="J4:J67" si="3">G4</f>
        <v>0</v>
      </c>
      <c r="K4" s="9">
        <f t="shared" ref="K4:K67" si="4">(H4-$H$4)*10000</f>
        <v>0</v>
      </c>
      <c r="L4" s="1">
        <f>IF(I4&lt;230,MIN(K:K),MAX(K:K))</f>
        <v>-0.300000000000022</v>
      </c>
    </row>
    <row r="5" s="1" customFormat="1" spans="1:12">
      <c r="A5" s="2">
        <v>0.067</v>
      </c>
      <c r="B5" s="10" t="s">
        <v>312</v>
      </c>
      <c r="C5" s="4">
        <v>0.067</v>
      </c>
      <c r="D5" s="5">
        <v>48.2</v>
      </c>
      <c r="E5" s="4"/>
      <c r="F5" s="4"/>
      <c r="G5" s="2">
        <f t="shared" si="0"/>
        <v>0.033</v>
      </c>
      <c r="H5" s="11" t="str">
        <f t="shared" si="1"/>
        <v>3.353E-2</v>
      </c>
      <c r="I5" s="2">
        <f t="shared" si="2"/>
        <v>48.3</v>
      </c>
      <c r="J5" s="4">
        <f t="shared" si="3"/>
        <v>0.033</v>
      </c>
      <c r="K5" s="9">
        <f t="shared" si="4"/>
        <v>0.0999999999999612</v>
      </c>
      <c r="L5" s="1">
        <f t="shared" ref="L5:L68" si="5">IF(I5&lt;230,MIN(K:K),MAX(K:K))</f>
        <v>-0.300000000000022</v>
      </c>
    </row>
    <row r="6" s="1" customFormat="1" spans="1:12">
      <c r="A6" s="2">
        <v>0.1</v>
      </c>
      <c r="B6" s="10" t="s">
        <v>271</v>
      </c>
      <c r="C6" s="4">
        <v>0.1</v>
      </c>
      <c r="D6" s="5">
        <v>47.9</v>
      </c>
      <c r="E6" s="4"/>
      <c r="F6" s="4"/>
      <c r="G6" s="2">
        <f t="shared" si="0"/>
        <v>0.067</v>
      </c>
      <c r="H6" s="11" t="str">
        <f t="shared" si="1"/>
        <v>3.354E-2</v>
      </c>
      <c r="I6" s="2">
        <f t="shared" si="2"/>
        <v>48.2</v>
      </c>
      <c r="J6" s="4">
        <f t="shared" si="3"/>
        <v>0.067</v>
      </c>
      <c r="K6" s="9">
        <f t="shared" si="4"/>
        <v>0.199999999999992</v>
      </c>
      <c r="L6" s="1">
        <f t="shared" si="5"/>
        <v>-0.300000000000022</v>
      </c>
    </row>
    <row r="7" s="1" customFormat="1" spans="1:12">
      <c r="A7" s="2">
        <v>0.134</v>
      </c>
      <c r="B7" s="10" t="s">
        <v>308</v>
      </c>
      <c r="C7" s="4">
        <v>0.134</v>
      </c>
      <c r="D7" s="5">
        <v>48.3</v>
      </c>
      <c r="E7" s="4"/>
      <c r="F7" s="4"/>
      <c r="G7" s="2">
        <f t="shared" si="0"/>
        <v>0.1</v>
      </c>
      <c r="H7" s="11" t="str">
        <f t="shared" si="1"/>
        <v>3.355E-2</v>
      </c>
      <c r="I7" s="2">
        <f t="shared" si="2"/>
        <v>47.9</v>
      </c>
      <c r="J7" s="4">
        <f t="shared" si="3"/>
        <v>0.1</v>
      </c>
      <c r="K7" s="9">
        <f t="shared" si="4"/>
        <v>0.300000000000022</v>
      </c>
      <c r="L7" s="1">
        <f t="shared" si="5"/>
        <v>-0.300000000000022</v>
      </c>
    </row>
    <row r="8" s="1" customFormat="1" spans="1:12">
      <c r="A8" s="2">
        <v>0.167</v>
      </c>
      <c r="B8" s="10" t="s">
        <v>271</v>
      </c>
      <c r="C8" s="4">
        <v>0.167</v>
      </c>
      <c r="D8" s="5">
        <v>48.2</v>
      </c>
      <c r="E8" s="4"/>
      <c r="F8" s="4"/>
      <c r="G8" s="2">
        <f t="shared" si="0"/>
        <v>0.134</v>
      </c>
      <c r="H8" s="11" t="str">
        <f t="shared" si="1"/>
        <v>3.356E-2</v>
      </c>
      <c r="I8" s="2">
        <f t="shared" si="2"/>
        <v>48.3</v>
      </c>
      <c r="J8" s="4">
        <f t="shared" si="3"/>
        <v>0.134</v>
      </c>
      <c r="K8" s="9">
        <f t="shared" si="4"/>
        <v>0.399999999999984</v>
      </c>
      <c r="L8" s="1">
        <f t="shared" si="5"/>
        <v>-0.300000000000022</v>
      </c>
    </row>
    <row r="9" s="1" customFormat="1" spans="1:12">
      <c r="A9" s="2">
        <v>0.201</v>
      </c>
      <c r="B9" s="10" t="s">
        <v>271</v>
      </c>
      <c r="C9" s="4">
        <v>0.201</v>
      </c>
      <c r="D9" s="5">
        <v>47.7</v>
      </c>
      <c r="E9" s="4"/>
      <c r="F9" s="4"/>
      <c r="G9" s="2">
        <f t="shared" si="0"/>
        <v>0.167</v>
      </c>
      <c r="H9" s="11" t="str">
        <f t="shared" si="1"/>
        <v>3.355E-2</v>
      </c>
      <c r="I9" s="2">
        <f t="shared" si="2"/>
        <v>48.2</v>
      </c>
      <c r="J9" s="4">
        <f t="shared" si="3"/>
        <v>0.167</v>
      </c>
      <c r="K9" s="9">
        <f t="shared" si="4"/>
        <v>0.300000000000022</v>
      </c>
      <c r="L9" s="1">
        <f t="shared" si="5"/>
        <v>-0.300000000000022</v>
      </c>
    </row>
    <row r="10" s="1" customFormat="1" spans="1:12">
      <c r="A10" s="2">
        <v>0.234</v>
      </c>
      <c r="B10" s="10" t="s">
        <v>271</v>
      </c>
      <c r="C10" s="4">
        <v>0.234</v>
      </c>
      <c r="D10" s="5">
        <v>48.3</v>
      </c>
      <c r="E10" s="4"/>
      <c r="F10" s="4"/>
      <c r="G10" s="2">
        <f t="shared" si="0"/>
        <v>0.201</v>
      </c>
      <c r="H10" s="11" t="str">
        <f t="shared" si="1"/>
        <v>3.355E-2</v>
      </c>
      <c r="I10" s="2">
        <f t="shared" si="2"/>
        <v>47.7</v>
      </c>
      <c r="J10" s="4">
        <f t="shared" si="3"/>
        <v>0.201</v>
      </c>
      <c r="K10" s="9">
        <f t="shared" si="4"/>
        <v>0.300000000000022</v>
      </c>
      <c r="L10" s="1">
        <f t="shared" si="5"/>
        <v>-0.300000000000022</v>
      </c>
    </row>
    <row r="11" s="1" customFormat="1" spans="1:12">
      <c r="A11" s="2">
        <v>0.267</v>
      </c>
      <c r="B11" s="10" t="s">
        <v>308</v>
      </c>
      <c r="C11" s="4">
        <v>0.267</v>
      </c>
      <c r="D11" s="5">
        <v>48.4</v>
      </c>
      <c r="E11" s="4"/>
      <c r="F11" s="4"/>
      <c r="G11" s="2">
        <f t="shared" si="0"/>
        <v>0.234</v>
      </c>
      <c r="H11" s="11" t="str">
        <f t="shared" si="1"/>
        <v>3.355E-2</v>
      </c>
      <c r="I11" s="2">
        <f t="shared" si="2"/>
        <v>48.3</v>
      </c>
      <c r="J11" s="4">
        <f t="shared" si="3"/>
        <v>0.234</v>
      </c>
      <c r="K11" s="9">
        <f t="shared" si="4"/>
        <v>0.300000000000022</v>
      </c>
      <c r="L11" s="1">
        <f t="shared" si="5"/>
        <v>-0.300000000000022</v>
      </c>
    </row>
    <row r="12" s="1" customFormat="1" spans="1:12">
      <c r="A12" s="2">
        <v>0.301</v>
      </c>
      <c r="B12" s="10" t="s">
        <v>308</v>
      </c>
      <c r="C12" s="4">
        <v>0.301</v>
      </c>
      <c r="D12" s="5">
        <v>48.5</v>
      </c>
      <c r="E12" s="4"/>
      <c r="F12" s="4"/>
      <c r="G12" s="2">
        <f t="shared" si="0"/>
        <v>0.267</v>
      </c>
      <c r="H12" s="11" t="str">
        <f t="shared" si="1"/>
        <v>3.356E-2</v>
      </c>
      <c r="I12" s="2">
        <f t="shared" si="2"/>
        <v>48.4</v>
      </c>
      <c r="J12" s="4">
        <f t="shared" si="3"/>
        <v>0.267</v>
      </c>
      <c r="K12" s="9">
        <f t="shared" si="4"/>
        <v>0.399999999999984</v>
      </c>
      <c r="L12" s="1">
        <f t="shared" si="5"/>
        <v>-0.300000000000022</v>
      </c>
    </row>
    <row r="13" s="1" customFormat="1" spans="1:12">
      <c r="A13" s="2">
        <v>0.334</v>
      </c>
      <c r="B13" s="10" t="s">
        <v>308</v>
      </c>
      <c r="C13" s="4">
        <v>0.334</v>
      </c>
      <c r="D13" s="5">
        <v>48</v>
      </c>
      <c r="E13" s="4"/>
      <c r="F13" s="4"/>
      <c r="G13" s="2">
        <f t="shared" si="0"/>
        <v>0.301</v>
      </c>
      <c r="H13" s="11" t="str">
        <f t="shared" si="1"/>
        <v>3.356E-2</v>
      </c>
      <c r="I13" s="2">
        <f t="shared" si="2"/>
        <v>48.5</v>
      </c>
      <c r="J13" s="4">
        <f t="shared" si="3"/>
        <v>0.301</v>
      </c>
      <c r="K13" s="9">
        <f t="shared" si="4"/>
        <v>0.399999999999984</v>
      </c>
      <c r="L13" s="1">
        <f t="shared" si="5"/>
        <v>-0.300000000000022</v>
      </c>
    </row>
    <row r="14" s="1" customFormat="1" spans="1:12">
      <c r="A14" s="2">
        <v>0.368</v>
      </c>
      <c r="B14" s="10" t="s">
        <v>308</v>
      </c>
      <c r="C14" s="4">
        <v>0.368</v>
      </c>
      <c r="D14" s="5">
        <v>48.1</v>
      </c>
      <c r="E14" s="4"/>
      <c r="F14" s="4"/>
      <c r="G14" s="2">
        <f t="shared" si="0"/>
        <v>0.334</v>
      </c>
      <c r="H14" s="11" t="str">
        <f t="shared" si="1"/>
        <v>3.356E-2</v>
      </c>
      <c r="I14" s="2">
        <f t="shared" si="2"/>
        <v>48</v>
      </c>
      <c r="J14" s="4">
        <f t="shared" si="3"/>
        <v>0.334</v>
      </c>
      <c r="K14" s="9">
        <f t="shared" si="4"/>
        <v>0.399999999999984</v>
      </c>
      <c r="L14" s="1">
        <f t="shared" si="5"/>
        <v>-0.300000000000022</v>
      </c>
    </row>
    <row r="15" s="1" customFormat="1" spans="1:12">
      <c r="A15" s="2">
        <v>0.401</v>
      </c>
      <c r="B15" s="10" t="s">
        <v>271</v>
      </c>
      <c r="C15" s="4">
        <v>0.401</v>
      </c>
      <c r="D15" s="5">
        <v>48</v>
      </c>
      <c r="E15" s="4"/>
      <c r="F15" s="4"/>
      <c r="G15" s="2">
        <f t="shared" si="0"/>
        <v>0.368</v>
      </c>
      <c r="H15" s="11" t="str">
        <f t="shared" si="1"/>
        <v>3.356E-2</v>
      </c>
      <c r="I15" s="2">
        <f t="shared" si="2"/>
        <v>48.1</v>
      </c>
      <c r="J15" s="4">
        <f t="shared" si="3"/>
        <v>0.368</v>
      </c>
      <c r="K15" s="9">
        <f t="shared" si="4"/>
        <v>0.399999999999984</v>
      </c>
      <c r="L15" s="1">
        <f t="shared" si="5"/>
        <v>-0.300000000000022</v>
      </c>
    </row>
    <row r="16" s="1" customFormat="1" spans="1:12">
      <c r="A16" s="2">
        <v>0.435</v>
      </c>
      <c r="B16" s="10" t="s">
        <v>271</v>
      </c>
      <c r="C16" s="4">
        <v>0.435</v>
      </c>
      <c r="D16" s="5">
        <v>47.9</v>
      </c>
      <c r="E16" s="4"/>
      <c r="F16" s="4"/>
      <c r="G16" s="2">
        <f t="shared" si="0"/>
        <v>0.401</v>
      </c>
      <c r="H16" s="11" t="str">
        <f t="shared" si="1"/>
        <v>3.355E-2</v>
      </c>
      <c r="I16" s="2">
        <f t="shared" si="2"/>
        <v>48</v>
      </c>
      <c r="J16" s="4">
        <f t="shared" si="3"/>
        <v>0.401</v>
      </c>
      <c r="K16" s="9">
        <f t="shared" si="4"/>
        <v>0.300000000000022</v>
      </c>
      <c r="L16" s="1">
        <f t="shared" si="5"/>
        <v>-0.300000000000022</v>
      </c>
    </row>
    <row r="17" s="1" customFormat="1" spans="1:12">
      <c r="A17" s="2">
        <v>0.468</v>
      </c>
      <c r="B17" s="10" t="s">
        <v>271</v>
      </c>
      <c r="C17" s="4">
        <v>0.468</v>
      </c>
      <c r="D17" s="5">
        <v>48.1</v>
      </c>
      <c r="E17" s="4"/>
      <c r="F17" s="4"/>
      <c r="G17" s="2">
        <f t="shared" si="0"/>
        <v>0.435</v>
      </c>
      <c r="H17" s="11" t="str">
        <f t="shared" si="1"/>
        <v>3.355E-2</v>
      </c>
      <c r="I17" s="2">
        <f t="shared" si="2"/>
        <v>47.9</v>
      </c>
      <c r="J17" s="4">
        <f t="shared" si="3"/>
        <v>0.435</v>
      </c>
      <c r="K17" s="9">
        <f t="shared" si="4"/>
        <v>0.300000000000022</v>
      </c>
      <c r="L17" s="1">
        <f t="shared" si="5"/>
        <v>-0.300000000000022</v>
      </c>
    </row>
    <row r="18" s="1" customFormat="1" spans="1:12">
      <c r="A18" s="2">
        <v>0.501</v>
      </c>
      <c r="B18" s="10" t="s">
        <v>312</v>
      </c>
      <c r="C18" s="4">
        <v>0.501</v>
      </c>
      <c r="D18" s="5">
        <v>47.8</v>
      </c>
      <c r="E18" s="4"/>
      <c r="F18" s="4"/>
      <c r="G18" s="2">
        <f t="shared" si="0"/>
        <v>0.468</v>
      </c>
      <c r="H18" s="11" t="str">
        <f t="shared" si="1"/>
        <v>3.355E-2</v>
      </c>
      <c r="I18" s="2">
        <f t="shared" si="2"/>
        <v>48.1</v>
      </c>
      <c r="J18" s="4">
        <f t="shared" si="3"/>
        <v>0.468</v>
      </c>
      <c r="K18" s="9">
        <f t="shared" si="4"/>
        <v>0.300000000000022</v>
      </c>
      <c r="L18" s="1">
        <f t="shared" si="5"/>
        <v>-0.300000000000022</v>
      </c>
    </row>
    <row r="19" s="1" customFormat="1" spans="1:12">
      <c r="A19" s="2">
        <v>0.535</v>
      </c>
      <c r="B19" s="10" t="s">
        <v>312</v>
      </c>
      <c r="C19" s="4">
        <v>0.535</v>
      </c>
      <c r="D19" s="5">
        <v>47.8</v>
      </c>
      <c r="E19" s="4"/>
      <c r="F19" s="4"/>
      <c r="G19" s="2">
        <f t="shared" si="0"/>
        <v>0.501</v>
      </c>
      <c r="H19" s="11" t="str">
        <f t="shared" si="1"/>
        <v>3.354E-2</v>
      </c>
      <c r="I19" s="2">
        <f t="shared" si="2"/>
        <v>47.8</v>
      </c>
      <c r="J19" s="4">
        <f t="shared" si="3"/>
        <v>0.501</v>
      </c>
      <c r="K19" s="9">
        <f t="shared" si="4"/>
        <v>0.199999999999992</v>
      </c>
      <c r="L19" s="1">
        <f t="shared" si="5"/>
        <v>-0.300000000000022</v>
      </c>
    </row>
    <row r="20" s="1" customFormat="1" spans="1:12">
      <c r="A20" s="2">
        <v>0.568</v>
      </c>
      <c r="B20" s="10" t="s">
        <v>312</v>
      </c>
      <c r="C20" s="4">
        <v>0.568</v>
      </c>
      <c r="D20" s="5">
        <v>47.8</v>
      </c>
      <c r="E20" s="4"/>
      <c r="F20" s="4"/>
      <c r="G20" s="2">
        <f t="shared" si="0"/>
        <v>0.535</v>
      </c>
      <c r="H20" s="11" t="str">
        <f t="shared" si="1"/>
        <v>3.354E-2</v>
      </c>
      <c r="I20" s="2">
        <f t="shared" si="2"/>
        <v>47.8</v>
      </c>
      <c r="J20" s="4">
        <f t="shared" si="3"/>
        <v>0.535</v>
      </c>
      <c r="K20" s="9">
        <f t="shared" si="4"/>
        <v>0.199999999999992</v>
      </c>
      <c r="L20" s="1">
        <f t="shared" si="5"/>
        <v>-0.300000000000022</v>
      </c>
    </row>
    <row r="21" s="1" customFormat="1" spans="1:12">
      <c r="A21" s="2">
        <v>0.602</v>
      </c>
      <c r="B21" s="10" t="s">
        <v>267</v>
      </c>
      <c r="C21" s="4">
        <v>0.602</v>
      </c>
      <c r="D21" s="5">
        <v>48.2</v>
      </c>
      <c r="E21" s="4"/>
      <c r="F21" s="4"/>
      <c r="G21" s="2">
        <f t="shared" si="0"/>
        <v>0.568</v>
      </c>
      <c r="H21" s="11" t="str">
        <f t="shared" si="1"/>
        <v>3.354E-2</v>
      </c>
      <c r="I21" s="2">
        <f t="shared" si="2"/>
        <v>47.8</v>
      </c>
      <c r="J21" s="4">
        <f t="shared" si="3"/>
        <v>0.568</v>
      </c>
      <c r="K21" s="9">
        <f t="shared" si="4"/>
        <v>0.199999999999992</v>
      </c>
      <c r="L21" s="1">
        <f t="shared" si="5"/>
        <v>-0.300000000000022</v>
      </c>
    </row>
    <row r="22" s="1" customFormat="1" spans="1:12">
      <c r="A22" s="2">
        <v>0.635</v>
      </c>
      <c r="B22" s="10" t="s">
        <v>312</v>
      </c>
      <c r="C22" s="4">
        <v>0.635</v>
      </c>
      <c r="D22" s="5">
        <v>48</v>
      </c>
      <c r="E22" s="4"/>
      <c r="F22" s="4"/>
      <c r="G22" s="2">
        <f t="shared" si="0"/>
        <v>0.602</v>
      </c>
      <c r="H22" s="11" t="str">
        <f t="shared" si="1"/>
        <v>3.353E-2</v>
      </c>
      <c r="I22" s="2">
        <f t="shared" si="2"/>
        <v>48.2</v>
      </c>
      <c r="J22" s="4">
        <f t="shared" si="3"/>
        <v>0.602</v>
      </c>
      <c r="K22" s="9">
        <f t="shared" si="4"/>
        <v>0.0999999999999612</v>
      </c>
      <c r="L22" s="1">
        <f t="shared" si="5"/>
        <v>-0.300000000000022</v>
      </c>
    </row>
    <row r="23" s="1" customFormat="1" spans="1:12">
      <c r="A23" s="2">
        <v>0.669</v>
      </c>
      <c r="B23" s="10" t="s">
        <v>272</v>
      </c>
      <c r="C23" s="4">
        <v>0.669</v>
      </c>
      <c r="D23" s="5">
        <v>48.3</v>
      </c>
      <c r="E23" s="4"/>
      <c r="F23" s="4"/>
      <c r="G23" s="2">
        <f t="shared" si="0"/>
        <v>0.635</v>
      </c>
      <c r="H23" s="11" t="str">
        <f t="shared" si="1"/>
        <v>3.354E-2</v>
      </c>
      <c r="I23" s="2">
        <f t="shared" si="2"/>
        <v>48</v>
      </c>
      <c r="J23" s="4">
        <f t="shared" si="3"/>
        <v>0.635</v>
      </c>
      <c r="K23" s="9">
        <f t="shared" si="4"/>
        <v>0.199999999999992</v>
      </c>
      <c r="L23" s="1">
        <f t="shared" si="5"/>
        <v>-0.300000000000022</v>
      </c>
    </row>
    <row r="24" s="1" customFormat="1" spans="1:12">
      <c r="A24" s="2">
        <v>0.702</v>
      </c>
      <c r="B24" s="10" t="s">
        <v>315</v>
      </c>
      <c r="C24" s="4">
        <v>0.702</v>
      </c>
      <c r="D24" s="5">
        <v>48.6</v>
      </c>
      <c r="E24" s="4"/>
      <c r="F24" s="4"/>
      <c r="G24" s="2">
        <f t="shared" si="0"/>
        <v>0.669</v>
      </c>
      <c r="H24" s="11" t="str">
        <f t="shared" si="1"/>
        <v>3.350E-2</v>
      </c>
      <c r="I24" s="2">
        <f t="shared" si="2"/>
        <v>48.3</v>
      </c>
      <c r="J24" s="4">
        <f t="shared" si="3"/>
        <v>0.669</v>
      </c>
      <c r="K24" s="9">
        <f t="shared" si="4"/>
        <v>-0.199999999999992</v>
      </c>
      <c r="L24" s="1">
        <f t="shared" si="5"/>
        <v>-0.300000000000022</v>
      </c>
    </row>
    <row r="25" s="1" customFormat="1" spans="1:12">
      <c r="A25" s="2">
        <v>0.735</v>
      </c>
      <c r="B25" s="10" t="s">
        <v>315</v>
      </c>
      <c r="C25" s="4">
        <v>0.735</v>
      </c>
      <c r="D25" s="5">
        <v>48.1</v>
      </c>
      <c r="E25" s="4"/>
      <c r="F25" s="4"/>
      <c r="G25" s="2">
        <f t="shared" si="0"/>
        <v>0.702</v>
      </c>
      <c r="H25" s="11" t="str">
        <f t="shared" si="1"/>
        <v>3.351E-2</v>
      </c>
      <c r="I25" s="2">
        <f t="shared" si="2"/>
        <v>48.6</v>
      </c>
      <c r="J25" s="4">
        <f t="shared" si="3"/>
        <v>0.702</v>
      </c>
      <c r="K25" s="9">
        <f t="shared" si="4"/>
        <v>-0.100000000000031</v>
      </c>
      <c r="L25" s="1">
        <f t="shared" si="5"/>
        <v>-0.300000000000022</v>
      </c>
    </row>
    <row r="26" s="1" customFormat="1" spans="1:12">
      <c r="A26" s="2">
        <v>0.769</v>
      </c>
      <c r="B26" s="10" t="s">
        <v>315</v>
      </c>
      <c r="C26" s="4">
        <v>0.769</v>
      </c>
      <c r="D26" s="5">
        <v>48</v>
      </c>
      <c r="E26" s="4"/>
      <c r="F26" s="4"/>
      <c r="G26" s="2">
        <f t="shared" si="0"/>
        <v>0.735</v>
      </c>
      <c r="H26" s="11" t="str">
        <f t="shared" si="1"/>
        <v>3.351E-2</v>
      </c>
      <c r="I26" s="2">
        <f t="shared" si="2"/>
        <v>48.1</v>
      </c>
      <c r="J26" s="4">
        <f t="shared" si="3"/>
        <v>0.735</v>
      </c>
      <c r="K26" s="9">
        <f t="shared" si="4"/>
        <v>-0.100000000000031</v>
      </c>
      <c r="L26" s="1">
        <f t="shared" si="5"/>
        <v>-0.300000000000022</v>
      </c>
    </row>
    <row r="27" s="1" customFormat="1" spans="1:12">
      <c r="A27" s="2">
        <v>0.802</v>
      </c>
      <c r="B27" s="10" t="s">
        <v>315</v>
      </c>
      <c r="C27" s="4">
        <v>0.802</v>
      </c>
      <c r="D27" s="5">
        <v>48</v>
      </c>
      <c r="E27" s="4"/>
      <c r="F27" s="4"/>
      <c r="G27" s="2">
        <f t="shared" si="0"/>
        <v>0.769</v>
      </c>
      <c r="H27" s="11" t="str">
        <f t="shared" si="1"/>
        <v>3.351E-2</v>
      </c>
      <c r="I27" s="2">
        <f t="shared" si="2"/>
        <v>48</v>
      </c>
      <c r="J27" s="4">
        <f t="shared" si="3"/>
        <v>0.769</v>
      </c>
      <c r="K27" s="9">
        <f t="shared" si="4"/>
        <v>-0.100000000000031</v>
      </c>
      <c r="L27" s="1">
        <f t="shared" si="5"/>
        <v>-0.300000000000022</v>
      </c>
    </row>
    <row r="28" s="1" customFormat="1" spans="1:12">
      <c r="A28" s="2">
        <v>0.836</v>
      </c>
      <c r="B28" s="10" t="s">
        <v>272</v>
      </c>
      <c r="C28" s="4">
        <v>0.836</v>
      </c>
      <c r="D28" s="5">
        <v>48.1</v>
      </c>
      <c r="E28" s="4"/>
      <c r="F28" s="4"/>
      <c r="G28" s="2">
        <f t="shared" si="0"/>
        <v>0.802</v>
      </c>
      <c r="H28" s="11" t="str">
        <f t="shared" si="1"/>
        <v>3.351E-2</v>
      </c>
      <c r="I28" s="2">
        <f t="shared" si="2"/>
        <v>48</v>
      </c>
      <c r="J28" s="4">
        <f t="shared" si="3"/>
        <v>0.802</v>
      </c>
      <c r="K28" s="9">
        <f t="shared" si="4"/>
        <v>-0.100000000000031</v>
      </c>
      <c r="L28" s="1">
        <f t="shared" si="5"/>
        <v>-0.300000000000022</v>
      </c>
    </row>
    <row r="29" s="1" customFormat="1" spans="1:12">
      <c r="A29" s="2">
        <v>0.869</v>
      </c>
      <c r="B29" s="10" t="s">
        <v>272</v>
      </c>
      <c r="C29" s="4">
        <v>0.869</v>
      </c>
      <c r="D29" s="5">
        <v>48.2</v>
      </c>
      <c r="E29" s="4"/>
      <c r="F29" s="4"/>
      <c r="G29" s="2">
        <f t="shared" si="0"/>
        <v>0.836</v>
      </c>
      <c r="H29" s="11" t="str">
        <f t="shared" si="1"/>
        <v>3.350E-2</v>
      </c>
      <c r="I29" s="2">
        <f t="shared" si="2"/>
        <v>48.1</v>
      </c>
      <c r="J29" s="4">
        <f t="shared" si="3"/>
        <v>0.836</v>
      </c>
      <c r="K29" s="9">
        <f t="shared" si="4"/>
        <v>-0.199999999999992</v>
      </c>
      <c r="L29" s="1">
        <f t="shared" si="5"/>
        <v>-0.300000000000022</v>
      </c>
    </row>
    <row r="30" s="1" customFormat="1" spans="1:12">
      <c r="A30" s="2">
        <v>0.903</v>
      </c>
      <c r="B30" s="10" t="s">
        <v>266</v>
      </c>
      <c r="C30" s="4">
        <v>0.903</v>
      </c>
      <c r="D30" s="5">
        <v>48.3</v>
      </c>
      <c r="E30" s="4"/>
      <c r="F30" s="4"/>
      <c r="G30" s="2">
        <f t="shared" si="0"/>
        <v>0.869</v>
      </c>
      <c r="H30" s="11" t="str">
        <f t="shared" si="1"/>
        <v>3.350E-2</v>
      </c>
      <c r="I30" s="2">
        <f t="shared" si="2"/>
        <v>48.2</v>
      </c>
      <c r="J30" s="4">
        <f t="shared" si="3"/>
        <v>0.869</v>
      </c>
      <c r="K30" s="9">
        <f t="shared" si="4"/>
        <v>-0.199999999999992</v>
      </c>
      <c r="L30" s="1">
        <f t="shared" si="5"/>
        <v>-0.300000000000022</v>
      </c>
    </row>
    <row r="31" s="1" customFormat="1" spans="1:12">
      <c r="A31" s="2">
        <v>0.936</v>
      </c>
      <c r="B31" s="10" t="s">
        <v>266</v>
      </c>
      <c r="C31" s="4">
        <v>0.936</v>
      </c>
      <c r="D31" s="5">
        <v>48.2</v>
      </c>
      <c r="E31" s="4"/>
      <c r="F31" s="4"/>
      <c r="G31" s="2">
        <f t="shared" si="0"/>
        <v>0.903</v>
      </c>
      <c r="H31" s="11" t="str">
        <f t="shared" si="1"/>
        <v>3.349E-2</v>
      </c>
      <c r="I31" s="2">
        <f t="shared" si="2"/>
        <v>48.3</v>
      </c>
      <c r="J31" s="4">
        <f t="shared" si="3"/>
        <v>0.903</v>
      </c>
      <c r="K31" s="9">
        <f t="shared" si="4"/>
        <v>-0.300000000000022</v>
      </c>
      <c r="L31" s="1">
        <f t="shared" si="5"/>
        <v>-0.300000000000022</v>
      </c>
    </row>
    <row r="32" s="1" customFormat="1" spans="1:12">
      <c r="A32" s="2">
        <v>0.969</v>
      </c>
      <c r="B32" s="10" t="s">
        <v>272</v>
      </c>
      <c r="C32" s="4">
        <v>0.969</v>
      </c>
      <c r="D32" s="5">
        <v>48.3</v>
      </c>
      <c r="E32" s="4"/>
      <c r="F32" s="4"/>
      <c r="G32" s="2">
        <f t="shared" si="0"/>
        <v>0.936</v>
      </c>
      <c r="H32" s="11" t="str">
        <f t="shared" si="1"/>
        <v>3.349E-2</v>
      </c>
      <c r="I32" s="2">
        <f t="shared" si="2"/>
        <v>48.2</v>
      </c>
      <c r="J32" s="4">
        <f t="shared" si="3"/>
        <v>0.936</v>
      </c>
      <c r="K32" s="9">
        <f t="shared" si="4"/>
        <v>-0.300000000000022</v>
      </c>
      <c r="L32" s="1">
        <f t="shared" si="5"/>
        <v>-0.300000000000022</v>
      </c>
    </row>
    <row r="33" s="1" customFormat="1" spans="1:12">
      <c r="A33" s="2">
        <v>1.003</v>
      </c>
      <c r="B33" s="10" t="s">
        <v>266</v>
      </c>
      <c r="C33" s="4">
        <v>1.003</v>
      </c>
      <c r="D33" s="5">
        <v>48.2</v>
      </c>
      <c r="E33" s="4"/>
      <c r="F33" s="4"/>
      <c r="G33" s="2">
        <f t="shared" si="0"/>
        <v>0.969</v>
      </c>
      <c r="H33" s="11" t="str">
        <f t="shared" si="1"/>
        <v>3.350E-2</v>
      </c>
      <c r="I33" s="2">
        <f t="shared" si="2"/>
        <v>48.3</v>
      </c>
      <c r="J33" s="4">
        <f t="shared" si="3"/>
        <v>0.969</v>
      </c>
      <c r="K33" s="9">
        <f t="shared" si="4"/>
        <v>-0.199999999999992</v>
      </c>
      <c r="L33" s="1">
        <f t="shared" si="5"/>
        <v>-0.300000000000022</v>
      </c>
    </row>
    <row r="34" s="1" customFormat="1" spans="1:12">
      <c r="A34" s="2">
        <v>1.036</v>
      </c>
      <c r="B34" s="10" t="s">
        <v>272</v>
      </c>
      <c r="C34" s="4">
        <v>1.036</v>
      </c>
      <c r="D34" s="5">
        <v>48.4</v>
      </c>
      <c r="E34" s="4"/>
      <c r="F34" s="4"/>
      <c r="G34" s="2">
        <f t="shared" si="0"/>
        <v>1.003</v>
      </c>
      <c r="H34" s="11" t="str">
        <f t="shared" si="1"/>
        <v>3.349E-2</v>
      </c>
      <c r="I34" s="2">
        <f t="shared" si="2"/>
        <v>48.2</v>
      </c>
      <c r="J34" s="4">
        <f t="shared" si="3"/>
        <v>1.003</v>
      </c>
      <c r="K34" s="9">
        <f t="shared" si="4"/>
        <v>-0.300000000000022</v>
      </c>
      <c r="L34" s="1">
        <f t="shared" si="5"/>
        <v>-0.300000000000022</v>
      </c>
    </row>
    <row r="35" s="1" customFormat="1" spans="1:12">
      <c r="A35" s="2">
        <v>1.07</v>
      </c>
      <c r="B35" s="10" t="s">
        <v>315</v>
      </c>
      <c r="C35" s="4">
        <v>1.07</v>
      </c>
      <c r="D35" s="5">
        <v>47.9</v>
      </c>
      <c r="E35" s="4"/>
      <c r="F35" s="4"/>
      <c r="G35" s="2">
        <f t="shared" si="0"/>
        <v>1.036</v>
      </c>
      <c r="H35" s="11" t="str">
        <f t="shared" si="1"/>
        <v>3.350E-2</v>
      </c>
      <c r="I35" s="2">
        <f t="shared" si="2"/>
        <v>48.4</v>
      </c>
      <c r="J35" s="4">
        <f t="shared" si="3"/>
        <v>1.036</v>
      </c>
      <c r="K35" s="9">
        <f t="shared" si="4"/>
        <v>-0.199999999999992</v>
      </c>
      <c r="L35" s="1">
        <f t="shared" si="5"/>
        <v>-0.300000000000022</v>
      </c>
    </row>
    <row r="36" s="1" customFormat="1" spans="1:12">
      <c r="A36" s="2">
        <v>1.103</v>
      </c>
      <c r="B36" s="10" t="s">
        <v>315</v>
      </c>
      <c r="C36" s="4">
        <v>1.103</v>
      </c>
      <c r="D36" s="5">
        <v>48.6</v>
      </c>
      <c r="E36" s="4"/>
      <c r="F36" s="4"/>
      <c r="G36" s="2">
        <f t="shared" si="0"/>
        <v>1.07</v>
      </c>
      <c r="H36" s="11" t="str">
        <f t="shared" si="1"/>
        <v>3.351E-2</v>
      </c>
      <c r="I36" s="2">
        <f t="shared" si="2"/>
        <v>47.9</v>
      </c>
      <c r="J36" s="4">
        <f t="shared" si="3"/>
        <v>1.07</v>
      </c>
      <c r="K36" s="9">
        <f t="shared" si="4"/>
        <v>-0.100000000000031</v>
      </c>
      <c r="L36" s="1">
        <f t="shared" si="5"/>
        <v>-0.300000000000022</v>
      </c>
    </row>
    <row r="37" s="1" customFormat="1" spans="1:12">
      <c r="A37" s="2">
        <v>1.136</v>
      </c>
      <c r="B37" s="10" t="s">
        <v>315</v>
      </c>
      <c r="C37" s="4">
        <v>1.136</v>
      </c>
      <c r="D37" s="5">
        <v>48.2</v>
      </c>
      <c r="E37" s="4"/>
      <c r="F37" s="4"/>
      <c r="G37" s="2">
        <f t="shared" si="0"/>
        <v>1.103</v>
      </c>
      <c r="H37" s="11" t="str">
        <f t="shared" si="1"/>
        <v>3.351E-2</v>
      </c>
      <c r="I37" s="2">
        <f t="shared" si="2"/>
        <v>48.6</v>
      </c>
      <c r="J37" s="4">
        <f t="shared" si="3"/>
        <v>1.103</v>
      </c>
      <c r="K37" s="9">
        <f t="shared" si="4"/>
        <v>-0.100000000000031</v>
      </c>
      <c r="L37" s="1">
        <f t="shared" si="5"/>
        <v>-0.300000000000022</v>
      </c>
    </row>
    <row r="38" s="1" customFormat="1" spans="1:12">
      <c r="A38" s="2">
        <v>1.17</v>
      </c>
      <c r="B38" s="10" t="s">
        <v>267</v>
      </c>
      <c r="C38" s="4">
        <v>1.17</v>
      </c>
      <c r="D38" s="5">
        <v>48.2</v>
      </c>
      <c r="E38" s="4"/>
      <c r="F38" s="4"/>
      <c r="G38" s="2">
        <f t="shared" si="0"/>
        <v>1.136</v>
      </c>
      <c r="H38" s="11" t="str">
        <f t="shared" si="1"/>
        <v>3.351E-2</v>
      </c>
      <c r="I38" s="2">
        <f t="shared" si="2"/>
        <v>48.2</v>
      </c>
      <c r="J38" s="4">
        <f t="shared" si="3"/>
        <v>1.136</v>
      </c>
      <c r="K38" s="9">
        <f t="shared" si="4"/>
        <v>-0.100000000000031</v>
      </c>
      <c r="L38" s="1">
        <f t="shared" si="5"/>
        <v>-0.300000000000022</v>
      </c>
    </row>
    <row r="39" s="1" customFormat="1" spans="1:12">
      <c r="A39" s="2">
        <v>1.203</v>
      </c>
      <c r="B39" s="10" t="s">
        <v>311</v>
      </c>
      <c r="C39" s="4">
        <v>1.203</v>
      </c>
      <c r="D39" s="5">
        <v>48.1</v>
      </c>
      <c r="E39" s="4"/>
      <c r="F39" s="4"/>
      <c r="G39" s="2">
        <f t="shared" si="0"/>
        <v>1.17</v>
      </c>
      <c r="H39" s="11" t="str">
        <f t="shared" si="1"/>
        <v>3.353E-2</v>
      </c>
      <c r="I39" s="2">
        <f t="shared" si="2"/>
        <v>48.2</v>
      </c>
      <c r="J39" s="4">
        <f t="shared" si="3"/>
        <v>1.17</v>
      </c>
      <c r="K39" s="9">
        <f t="shared" si="4"/>
        <v>0.0999999999999612</v>
      </c>
      <c r="L39" s="1">
        <f t="shared" si="5"/>
        <v>-0.300000000000022</v>
      </c>
    </row>
    <row r="40" s="1" customFormat="1" spans="1:12">
      <c r="A40" s="2">
        <v>1.237</v>
      </c>
      <c r="B40" s="10" t="s">
        <v>311</v>
      </c>
      <c r="C40" s="4">
        <v>1.237</v>
      </c>
      <c r="D40" s="5">
        <v>48.2</v>
      </c>
      <c r="E40" s="4"/>
      <c r="F40" s="4"/>
      <c r="G40" s="2">
        <f t="shared" si="0"/>
        <v>1.203</v>
      </c>
      <c r="H40" s="11" t="str">
        <f t="shared" si="1"/>
        <v>3.352E-2</v>
      </c>
      <c r="I40" s="2">
        <f t="shared" si="2"/>
        <v>48.1</v>
      </c>
      <c r="J40" s="4">
        <f t="shared" si="3"/>
        <v>1.203</v>
      </c>
      <c r="K40" s="9">
        <f t="shared" si="4"/>
        <v>0</v>
      </c>
      <c r="L40" s="1">
        <f t="shared" si="5"/>
        <v>-0.300000000000022</v>
      </c>
    </row>
    <row r="41" s="1" customFormat="1" spans="1:12">
      <c r="A41" s="2">
        <v>1.27</v>
      </c>
      <c r="B41" s="10" t="s">
        <v>267</v>
      </c>
      <c r="C41" s="4">
        <v>1.27</v>
      </c>
      <c r="D41" s="5">
        <v>48</v>
      </c>
      <c r="E41" s="4"/>
      <c r="F41" s="4"/>
      <c r="G41" s="2">
        <f t="shared" si="0"/>
        <v>1.237</v>
      </c>
      <c r="H41" s="11" t="str">
        <f t="shared" si="1"/>
        <v>3.352E-2</v>
      </c>
      <c r="I41" s="2">
        <f t="shared" si="2"/>
        <v>48.2</v>
      </c>
      <c r="J41" s="4">
        <f t="shared" si="3"/>
        <v>1.237</v>
      </c>
      <c r="K41" s="9">
        <f t="shared" si="4"/>
        <v>0</v>
      </c>
      <c r="L41" s="1">
        <f t="shared" si="5"/>
        <v>-0.300000000000022</v>
      </c>
    </row>
    <row r="42" s="1" customFormat="1" spans="1:12">
      <c r="A42" s="2">
        <v>1.304</v>
      </c>
      <c r="B42" s="10" t="s">
        <v>267</v>
      </c>
      <c r="C42" s="4">
        <v>1.304</v>
      </c>
      <c r="D42" s="5">
        <v>48.1</v>
      </c>
      <c r="E42" s="4"/>
      <c r="F42" s="4"/>
      <c r="G42" s="2">
        <f t="shared" si="0"/>
        <v>1.27</v>
      </c>
      <c r="H42" s="11" t="str">
        <f t="shared" si="1"/>
        <v>3.353E-2</v>
      </c>
      <c r="I42" s="2">
        <f t="shared" si="2"/>
        <v>48</v>
      </c>
      <c r="J42" s="4">
        <f t="shared" si="3"/>
        <v>1.27</v>
      </c>
      <c r="K42" s="9">
        <f t="shared" si="4"/>
        <v>0.0999999999999612</v>
      </c>
      <c r="L42" s="1">
        <f t="shared" si="5"/>
        <v>-0.300000000000022</v>
      </c>
    </row>
    <row r="43" s="1" customFormat="1" spans="1:12">
      <c r="A43" s="2">
        <v>1.337</v>
      </c>
      <c r="B43" s="10" t="s">
        <v>312</v>
      </c>
      <c r="C43" s="4">
        <v>1.337</v>
      </c>
      <c r="D43" s="5">
        <v>47.4</v>
      </c>
      <c r="E43" s="4"/>
      <c r="F43" s="4"/>
      <c r="G43" s="2">
        <f t="shared" si="0"/>
        <v>1.304</v>
      </c>
      <c r="H43" s="11" t="str">
        <f t="shared" si="1"/>
        <v>3.353E-2</v>
      </c>
      <c r="I43" s="2">
        <f t="shared" si="2"/>
        <v>48.1</v>
      </c>
      <c r="J43" s="4">
        <f t="shared" si="3"/>
        <v>1.304</v>
      </c>
      <c r="K43" s="9">
        <f t="shared" si="4"/>
        <v>0.0999999999999612</v>
      </c>
      <c r="L43" s="1">
        <f t="shared" si="5"/>
        <v>-0.300000000000022</v>
      </c>
    </row>
    <row r="44" s="1" customFormat="1" spans="1:12">
      <c r="A44" s="2">
        <v>1.37</v>
      </c>
      <c r="B44" s="10" t="s">
        <v>271</v>
      </c>
      <c r="C44" s="4">
        <v>1.37</v>
      </c>
      <c r="D44" s="5">
        <v>48</v>
      </c>
      <c r="E44" s="4"/>
      <c r="F44" s="4"/>
      <c r="G44" s="2">
        <f t="shared" si="0"/>
        <v>1.337</v>
      </c>
      <c r="H44" s="11" t="str">
        <f t="shared" si="1"/>
        <v>3.354E-2</v>
      </c>
      <c r="I44" s="2">
        <f t="shared" si="2"/>
        <v>47.4</v>
      </c>
      <c r="J44" s="4">
        <f t="shared" si="3"/>
        <v>1.337</v>
      </c>
      <c r="K44" s="9">
        <f t="shared" si="4"/>
        <v>0.199999999999992</v>
      </c>
      <c r="L44" s="1">
        <f t="shared" si="5"/>
        <v>-0.300000000000022</v>
      </c>
    </row>
    <row r="45" s="1" customFormat="1" spans="1:12">
      <c r="A45" s="2">
        <v>1.404</v>
      </c>
      <c r="B45" s="10" t="s">
        <v>271</v>
      </c>
      <c r="C45" s="4">
        <v>1.404</v>
      </c>
      <c r="D45" s="5">
        <v>47.5</v>
      </c>
      <c r="E45" s="4"/>
      <c r="F45" s="4"/>
      <c r="G45" s="2">
        <f t="shared" si="0"/>
        <v>1.37</v>
      </c>
      <c r="H45" s="11" t="str">
        <f t="shared" si="1"/>
        <v>3.355E-2</v>
      </c>
      <c r="I45" s="2">
        <f t="shared" si="2"/>
        <v>48</v>
      </c>
      <c r="J45" s="4">
        <f t="shared" si="3"/>
        <v>1.37</v>
      </c>
      <c r="K45" s="9">
        <f t="shared" si="4"/>
        <v>0.300000000000022</v>
      </c>
      <c r="L45" s="1">
        <f t="shared" si="5"/>
        <v>-0.300000000000022</v>
      </c>
    </row>
    <row r="46" s="1" customFormat="1" spans="1:12">
      <c r="A46" s="2">
        <v>1.437</v>
      </c>
      <c r="B46" s="10" t="s">
        <v>308</v>
      </c>
      <c r="C46" s="4">
        <v>1.437</v>
      </c>
      <c r="D46" s="5">
        <v>47.9</v>
      </c>
      <c r="E46" s="4"/>
      <c r="F46" s="4"/>
      <c r="G46" s="2">
        <f t="shared" si="0"/>
        <v>1.404</v>
      </c>
      <c r="H46" s="11" t="str">
        <f t="shared" si="1"/>
        <v>3.355E-2</v>
      </c>
      <c r="I46" s="2">
        <f t="shared" si="2"/>
        <v>47.5</v>
      </c>
      <c r="J46" s="4">
        <f t="shared" si="3"/>
        <v>1.404</v>
      </c>
      <c r="K46" s="9">
        <f t="shared" si="4"/>
        <v>0.300000000000022</v>
      </c>
      <c r="L46" s="1">
        <f t="shared" si="5"/>
        <v>-0.300000000000022</v>
      </c>
    </row>
    <row r="47" s="1" customFormat="1" spans="1:12">
      <c r="A47" s="2">
        <v>1.471</v>
      </c>
      <c r="B47" s="10" t="s">
        <v>308</v>
      </c>
      <c r="C47" s="4">
        <v>1.471</v>
      </c>
      <c r="D47" s="5">
        <v>47.7</v>
      </c>
      <c r="E47" s="4"/>
      <c r="F47" s="4"/>
      <c r="G47" s="2">
        <f t="shared" si="0"/>
        <v>1.437</v>
      </c>
      <c r="H47" s="11" t="str">
        <f t="shared" si="1"/>
        <v>3.356E-2</v>
      </c>
      <c r="I47" s="2">
        <f t="shared" si="2"/>
        <v>47.9</v>
      </c>
      <c r="J47" s="4">
        <f t="shared" si="3"/>
        <v>1.437</v>
      </c>
      <c r="K47" s="9">
        <f t="shared" si="4"/>
        <v>0.399999999999984</v>
      </c>
      <c r="L47" s="1">
        <f t="shared" si="5"/>
        <v>-0.300000000000022</v>
      </c>
    </row>
    <row r="48" s="1" customFormat="1" spans="1:12">
      <c r="A48" s="2">
        <v>1.504</v>
      </c>
      <c r="B48" s="10" t="s">
        <v>308</v>
      </c>
      <c r="C48" s="4">
        <v>1.504</v>
      </c>
      <c r="D48" s="5">
        <v>48.3</v>
      </c>
      <c r="E48" s="4"/>
      <c r="F48" s="4"/>
      <c r="G48" s="2">
        <f t="shared" si="0"/>
        <v>1.471</v>
      </c>
      <c r="H48" s="11" t="str">
        <f t="shared" si="1"/>
        <v>3.356E-2</v>
      </c>
      <c r="I48" s="2">
        <f t="shared" si="2"/>
        <v>47.7</v>
      </c>
      <c r="J48" s="4">
        <f t="shared" si="3"/>
        <v>1.471</v>
      </c>
      <c r="K48" s="9">
        <f t="shared" si="4"/>
        <v>0.399999999999984</v>
      </c>
      <c r="L48" s="1">
        <f t="shared" si="5"/>
        <v>-0.300000000000022</v>
      </c>
    </row>
    <row r="49" s="1" customFormat="1" spans="1:12">
      <c r="A49" s="2">
        <v>1.538</v>
      </c>
      <c r="B49" s="10" t="s">
        <v>308</v>
      </c>
      <c r="C49" s="4">
        <v>1.538</v>
      </c>
      <c r="D49" s="5">
        <v>48.4</v>
      </c>
      <c r="E49" s="4"/>
      <c r="F49" s="4"/>
      <c r="G49" s="2">
        <f t="shared" si="0"/>
        <v>1.504</v>
      </c>
      <c r="H49" s="11" t="str">
        <f t="shared" si="1"/>
        <v>3.356E-2</v>
      </c>
      <c r="I49" s="2">
        <f t="shared" si="2"/>
        <v>48.3</v>
      </c>
      <c r="J49" s="4">
        <f t="shared" si="3"/>
        <v>1.504</v>
      </c>
      <c r="K49" s="9">
        <f t="shared" si="4"/>
        <v>0.399999999999984</v>
      </c>
      <c r="L49" s="1">
        <f t="shared" si="5"/>
        <v>-0.300000000000022</v>
      </c>
    </row>
    <row r="50" s="1" customFormat="1" spans="1:12">
      <c r="A50" s="2">
        <v>1.571</v>
      </c>
      <c r="B50" s="10" t="s">
        <v>271</v>
      </c>
      <c r="C50" s="4">
        <v>1.571</v>
      </c>
      <c r="D50" s="5">
        <v>47.6</v>
      </c>
      <c r="E50" s="4"/>
      <c r="F50" s="4"/>
      <c r="G50" s="2">
        <f t="shared" si="0"/>
        <v>1.538</v>
      </c>
      <c r="H50" s="11" t="str">
        <f t="shared" si="1"/>
        <v>3.356E-2</v>
      </c>
      <c r="I50" s="2">
        <f t="shared" si="2"/>
        <v>48.4</v>
      </c>
      <c r="J50" s="4">
        <f t="shared" si="3"/>
        <v>1.538</v>
      </c>
      <c r="K50" s="9">
        <f t="shared" si="4"/>
        <v>0.399999999999984</v>
      </c>
      <c r="L50" s="1">
        <f t="shared" si="5"/>
        <v>-0.300000000000022</v>
      </c>
    </row>
    <row r="51" s="1" customFormat="1" spans="1:12">
      <c r="A51" s="2">
        <v>1.604</v>
      </c>
      <c r="B51" s="10" t="s">
        <v>308</v>
      </c>
      <c r="C51" s="4">
        <v>1.604</v>
      </c>
      <c r="D51" s="5">
        <v>48</v>
      </c>
      <c r="E51" s="4"/>
      <c r="F51" s="4"/>
      <c r="G51" s="2">
        <f t="shared" si="0"/>
        <v>1.571</v>
      </c>
      <c r="H51" s="11" t="str">
        <f t="shared" si="1"/>
        <v>3.355E-2</v>
      </c>
      <c r="I51" s="2">
        <f t="shared" si="2"/>
        <v>47.6</v>
      </c>
      <c r="J51" s="4">
        <f t="shared" si="3"/>
        <v>1.571</v>
      </c>
      <c r="K51" s="9">
        <f t="shared" si="4"/>
        <v>0.300000000000022</v>
      </c>
      <c r="L51" s="1">
        <f t="shared" si="5"/>
        <v>-0.300000000000022</v>
      </c>
    </row>
    <row r="52" s="1" customFormat="1" spans="1:12">
      <c r="A52" s="2">
        <v>1.638</v>
      </c>
      <c r="B52" s="10" t="s">
        <v>308</v>
      </c>
      <c r="C52" s="4">
        <v>1.638</v>
      </c>
      <c r="D52" s="5">
        <v>48.1</v>
      </c>
      <c r="E52" s="4"/>
      <c r="F52" s="4"/>
      <c r="G52" s="2">
        <f t="shared" si="0"/>
        <v>1.604</v>
      </c>
      <c r="H52" s="11" t="str">
        <f t="shared" si="1"/>
        <v>3.356E-2</v>
      </c>
      <c r="I52" s="2">
        <f t="shared" si="2"/>
        <v>48</v>
      </c>
      <c r="J52" s="4">
        <f t="shared" si="3"/>
        <v>1.604</v>
      </c>
      <c r="K52" s="9">
        <f t="shared" si="4"/>
        <v>0.399999999999984</v>
      </c>
      <c r="L52" s="1">
        <f t="shared" si="5"/>
        <v>-0.300000000000022</v>
      </c>
    </row>
    <row r="53" s="1" customFormat="1" spans="1:12">
      <c r="A53" s="2">
        <v>1.671</v>
      </c>
      <c r="B53" s="10" t="s">
        <v>271</v>
      </c>
      <c r="C53" s="4">
        <v>1.671</v>
      </c>
      <c r="D53" s="5">
        <v>47.7</v>
      </c>
      <c r="E53" s="4"/>
      <c r="F53" s="4"/>
      <c r="G53" s="2">
        <f t="shared" si="0"/>
        <v>1.638</v>
      </c>
      <c r="H53" s="11" t="str">
        <f t="shared" si="1"/>
        <v>3.356E-2</v>
      </c>
      <c r="I53" s="2">
        <f t="shared" si="2"/>
        <v>48.1</v>
      </c>
      <c r="J53" s="4">
        <f t="shared" si="3"/>
        <v>1.638</v>
      </c>
      <c r="K53" s="9">
        <f t="shared" si="4"/>
        <v>0.399999999999984</v>
      </c>
      <c r="L53" s="1">
        <f t="shared" si="5"/>
        <v>-0.300000000000022</v>
      </c>
    </row>
    <row r="54" s="1" customFormat="1" spans="1:12">
      <c r="A54" s="2">
        <v>1.705</v>
      </c>
      <c r="B54" s="10" t="s">
        <v>308</v>
      </c>
      <c r="C54" s="4">
        <v>1.705</v>
      </c>
      <c r="D54" s="5">
        <v>47.7</v>
      </c>
      <c r="E54" s="4"/>
      <c r="F54" s="4"/>
      <c r="G54" s="2">
        <f t="shared" si="0"/>
        <v>1.671</v>
      </c>
      <c r="H54" s="11" t="str">
        <f t="shared" si="1"/>
        <v>3.355E-2</v>
      </c>
      <c r="I54" s="2">
        <f t="shared" si="2"/>
        <v>47.7</v>
      </c>
      <c r="J54" s="4">
        <f t="shared" si="3"/>
        <v>1.671</v>
      </c>
      <c r="K54" s="9">
        <f t="shared" si="4"/>
        <v>0.300000000000022</v>
      </c>
      <c r="L54" s="1">
        <f t="shared" si="5"/>
        <v>-0.300000000000022</v>
      </c>
    </row>
    <row r="55" s="1" customFormat="1" spans="1:12">
      <c r="A55" s="2">
        <v>1.738</v>
      </c>
      <c r="B55" s="10" t="s">
        <v>271</v>
      </c>
      <c r="C55" s="4">
        <v>1.738</v>
      </c>
      <c r="D55" s="5">
        <v>47.8</v>
      </c>
      <c r="E55" s="4"/>
      <c r="F55" s="4"/>
      <c r="G55" s="2">
        <f t="shared" si="0"/>
        <v>1.705</v>
      </c>
      <c r="H55" s="11" t="str">
        <f t="shared" si="1"/>
        <v>3.356E-2</v>
      </c>
      <c r="I55" s="2">
        <f t="shared" si="2"/>
        <v>47.7</v>
      </c>
      <c r="J55" s="4">
        <f t="shared" si="3"/>
        <v>1.705</v>
      </c>
      <c r="K55" s="9">
        <f t="shared" si="4"/>
        <v>0.399999999999984</v>
      </c>
      <c r="L55" s="1">
        <f t="shared" si="5"/>
        <v>-0.300000000000022</v>
      </c>
    </row>
    <row r="56" s="1" customFormat="1" spans="1:12">
      <c r="A56" s="2">
        <v>1.772</v>
      </c>
      <c r="B56" s="10" t="s">
        <v>312</v>
      </c>
      <c r="C56" s="4">
        <v>1.772</v>
      </c>
      <c r="D56" s="5">
        <v>47.8</v>
      </c>
      <c r="E56" s="4"/>
      <c r="F56" s="4"/>
      <c r="G56" s="2">
        <f t="shared" si="0"/>
        <v>1.738</v>
      </c>
      <c r="H56" s="11" t="str">
        <f t="shared" si="1"/>
        <v>3.355E-2</v>
      </c>
      <c r="I56" s="2">
        <f t="shared" si="2"/>
        <v>47.8</v>
      </c>
      <c r="J56" s="4">
        <f t="shared" si="3"/>
        <v>1.738</v>
      </c>
      <c r="K56" s="9">
        <f t="shared" si="4"/>
        <v>0.300000000000022</v>
      </c>
      <c r="L56" s="1">
        <f t="shared" si="5"/>
        <v>-0.300000000000022</v>
      </c>
    </row>
    <row r="57" s="1" customFormat="1" spans="1:12">
      <c r="A57" s="2">
        <v>1.805</v>
      </c>
      <c r="B57" s="10" t="s">
        <v>271</v>
      </c>
      <c r="C57" s="4">
        <v>1.805</v>
      </c>
      <c r="D57" s="5">
        <v>48.3</v>
      </c>
      <c r="E57" s="4"/>
      <c r="F57" s="4"/>
      <c r="G57" s="2">
        <f t="shared" si="0"/>
        <v>1.772</v>
      </c>
      <c r="H57" s="11" t="str">
        <f t="shared" si="1"/>
        <v>3.354E-2</v>
      </c>
      <c r="I57" s="2">
        <f t="shared" si="2"/>
        <v>47.8</v>
      </c>
      <c r="J57" s="4">
        <f t="shared" si="3"/>
        <v>1.772</v>
      </c>
      <c r="K57" s="9">
        <f t="shared" si="4"/>
        <v>0.199999999999992</v>
      </c>
      <c r="L57" s="1">
        <f t="shared" si="5"/>
        <v>-0.300000000000022</v>
      </c>
    </row>
    <row r="58" s="1" customFormat="1" spans="1:12">
      <c r="A58" s="2">
        <v>1.838</v>
      </c>
      <c r="B58" s="10" t="s">
        <v>312</v>
      </c>
      <c r="C58" s="4">
        <v>1.838</v>
      </c>
      <c r="D58" s="5">
        <v>48.1</v>
      </c>
      <c r="E58" s="4"/>
      <c r="F58" s="4"/>
      <c r="G58" s="2">
        <f t="shared" si="0"/>
        <v>1.805</v>
      </c>
      <c r="H58" s="11" t="str">
        <f t="shared" si="1"/>
        <v>3.355E-2</v>
      </c>
      <c r="I58" s="2">
        <f t="shared" si="2"/>
        <v>48.3</v>
      </c>
      <c r="J58" s="4">
        <f t="shared" si="3"/>
        <v>1.805</v>
      </c>
      <c r="K58" s="9">
        <f t="shared" si="4"/>
        <v>0.300000000000022</v>
      </c>
      <c r="L58" s="1">
        <f t="shared" si="5"/>
        <v>-0.300000000000022</v>
      </c>
    </row>
    <row r="59" s="1" customFormat="1" spans="1:12">
      <c r="A59" s="2">
        <v>1.872</v>
      </c>
      <c r="B59" s="10" t="s">
        <v>267</v>
      </c>
      <c r="C59" s="4">
        <v>1.872</v>
      </c>
      <c r="D59" s="5">
        <v>48.3</v>
      </c>
      <c r="E59" s="4"/>
      <c r="F59" s="4"/>
      <c r="G59" s="2">
        <f t="shared" si="0"/>
        <v>1.838</v>
      </c>
      <c r="H59" s="11" t="str">
        <f t="shared" si="1"/>
        <v>3.354E-2</v>
      </c>
      <c r="I59" s="2">
        <f t="shared" si="2"/>
        <v>48.1</v>
      </c>
      <c r="J59" s="4">
        <f t="shared" si="3"/>
        <v>1.838</v>
      </c>
      <c r="K59" s="9">
        <f t="shared" si="4"/>
        <v>0.199999999999992</v>
      </c>
      <c r="L59" s="1">
        <f t="shared" si="5"/>
        <v>-0.300000000000022</v>
      </c>
    </row>
    <row r="60" s="1" customFormat="1" spans="1:12">
      <c r="A60" s="2">
        <v>1.905</v>
      </c>
      <c r="B60" s="10" t="s">
        <v>267</v>
      </c>
      <c r="C60" s="4">
        <v>1.905</v>
      </c>
      <c r="D60" s="5">
        <v>48</v>
      </c>
      <c r="E60" s="4"/>
      <c r="F60" s="4"/>
      <c r="G60" s="2">
        <f t="shared" si="0"/>
        <v>1.872</v>
      </c>
      <c r="H60" s="11" t="str">
        <f t="shared" si="1"/>
        <v>3.353E-2</v>
      </c>
      <c r="I60" s="2">
        <f t="shared" si="2"/>
        <v>48.3</v>
      </c>
      <c r="J60" s="4">
        <f t="shared" si="3"/>
        <v>1.872</v>
      </c>
      <c r="K60" s="9">
        <f t="shared" si="4"/>
        <v>0.0999999999999612</v>
      </c>
      <c r="L60" s="1">
        <f t="shared" si="5"/>
        <v>-0.300000000000022</v>
      </c>
    </row>
    <row r="61" s="1" customFormat="1" spans="1:12">
      <c r="A61" s="2">
        <v>1.939</v>
      </c>
      <c r="B61" s="10" t="s">
        <v>267</v>
      </c>
      <c r="C61" s="4">
        <v>1.939</v>
      </c>
      <c r="D61" s="5">
        <v>48.4</v>
      </c>
      <c r="E61" s="4"/>
      <c r="F61" s="4"/>
      <c r="G61" s="2">
        <f t="shared" si="0"/>
        <v>1.905</v>
      </c>
      <c r="H61" s="11" t="str">
        <f t="shared" si="1"/>
        <v>3.353E-2</v>
      </c>
      <c r="I61" s="2">
        <f t="shared" si="2"/>
        <v>48</v>
      </c>
      <c r="J61" s="4">
        <f t="shared" si="3"/>
        <v>1.905</v>
      </c>
      <c r="K61" s="9">
        <f t="shared" si="4"/>
        <v>0.0999999999999612</v>
      </c>
      <c r="L61" s="1">
        <f t="shared" si="5"/>
        <v>-0.300000000000022</v>
      </c>
    </row>
    <row r="62" s="1" customFormat="1" spans="1:12">
      <c r="A62" s="2">
        <v>1.972</v>
      </c>
      <c r="B62" s="10" t="s">
        <v>315</v>
      </c>
      <c r="C62" s="4">
        <v>1.972</v>
      </c>
      <c r="D62" s="5">
        <v>47.8</v>
      </c>
      <c r="E62" s="4"/>
      <c r="F62" s="4"/>
      <c r="G62" s="2">
        <f t="shared" si="0"/>
        <v>1.939</v>
      </c>
      <c r="H62" s="11" t="str">
        <f t="shared" si="1"/>
        <v>3.353E-2</v>
      </c>
      <c r="I62" s="2">
        <f t="shared" si="2"/>
        <v>48.4</v>
      </c>
      <c r="J62" s="4">
        <f t="shared" si="3"/>
        <v>1.939</v>
      </c>
      <c r="K62" s="9">
        <f t="shared" si="4"/>
        <v>0.0999999999999612</v>
      </c>
      <c r="L62" s="1">
        <f t="shared" si="5"/>
        <v>-0.300000000000022</v>
      </c>
    </row>
    <row r="63" s="1" customFormat="1" spans="1:12">
      <c r="A63" s="2">
        <v>2.006</v>
      </c>
      <c r="B63" s="10" t="s">
        <v>311</v>
      </c>
      <c r="C63" s="4">
        <v>2.006</v>
      </c>
      <c r="D63" s="5">
        <v>47.8</v>
      </c>
      <c r="E63" s="4"/>
      <c r="F63" s="4"/>
      <c r="G63" s="2">
        <f t="shared" si="0"/>
        <v>1.972</v>
      </c>
      <c r="H63" s="11" t="str">
        <f t="shared" si="1"/>
        <v>3.351E-2</v>
      </c>
      <c r="I63" s="2">
        <f t="shared" si="2"/>
        <v>47.8</v>
      </c>
      <c r="J63" s="4">
        <f t="shared" si="3"/>
        <v>1.972</v>
      </c>
      <c r="K63" s="9">
        <f t="shared" si="4"/>
        <v>-0.100000000000031</v>
      </c>
      <c r="L63" s="1">
        <f t="shared" si="5"/>
        <v>-0.300000000000022</v>
      </c>
    </row>
    <row r="64" s="1" customFormat="1" spans="1:12">
      <c r="A64" s="2">
        <v>2.039</v>
      </c>
      <c r="B64" s="10" t="s">
        <v>315</v>
      </c>
      <c r="C64" s="4">
        <v>2.039</v>
      </c>
      <c r="D64" s="5">
        <v>47.8</v>
      </c>
      <c r="E64" s="4"/>
      <c r="F64" s="4"/>
      <c r="G64" s="2">
        <f t="shared" si="0"/>
        <v>2.006</v>
      </c>
      <c r="H64" s="11" t="str">
        <f t="shared" si="1"/>
        <v>3.352E-2</v>
      </c>
      <c r="I64" s="2">
        <f t="shared" si="2"/>
        <v>47.8</v>
      </c>
      <c r="J64" s="4">
        <f t="shared" si="3"/>
        <v>2.006</v>
      </c>
      <c r="K64" s="9">
        <f t="shared" si="4"/>
        <v>0</v>
      </c>
      <c r="L64" s="1">
        <f t="shared" si="5"/>
        <v>-0.300000000000022</v>
      </c>
    </row>
    <row r="65" s="1" customFormat="1" spans="1:12">
      <c r="A65" s="2">
        <v>2.072</v>
      </c>
      <c r="B65" s="10" t="s">
        <v>315</v>
      </c>
      <c r="C65" s="4">
        <v>2.072</v>
      </c>
      <c r="D65" s="5">
        <v>48.3</v>
      </c>
      <c r="E65" s="4"/>
      <c r="F65" s="4"/>
      <c r="G65" s="2">
        <f t="shared" si="0"/>
        <v>2.039</v>
      </c>
      <c r="H65" s="11" t="str">
        <f t="shared" si="1"/>
        <v>3.351E-2</v>
      </c>
      <c r="I65" s="2">
        <f t="shared" si="2"/>
        <v>47.8</v>
      </c>
      <c r="J65" s="4">
        <f t="shared" si="3"/>
        <v>2.039</v>
      </c>
      <c r="K65" s="9">
        <f t="shared" si="4"/>
        <v>-0.100000000000031</v>
      </c>
      <c r="L65" s="1">
        <f t="shared" si="5"/>
        <v>-0.300000000000022</v>
      </c>
    </row>
    <row r="66" s="1" customFormat="1" spans="1:12">
      <c r="A66" s="2">
        <v>2.106</v>
      </c>
      <c r="B66" s="10" t="s">
        <v>315</v>
      </c>
      <c r="C66" s="4">
        <v>2.106</v>
      </c>
      <c r="D66" s="5">
        <v>48.2</v>
      </c>
      <c r="E66" s="4"/>
      <c r="F66" s="4"/>
      <c r="G66" s="2">
        <f t="shared" si="0"/>
        <v>2.072</v>
      </c>
      <c r="H66" s="11" t="str">
        <f t="shared" si="1"/>
        <v>3.351E-2</v>
      </c>
      <c r="I66" s="2">
        <f t="shared" si="2"/>
        <v>48.3</v>
      </c>
      <c r="J66" s="4">
        <f t="shared" si="3"/>
        <v>2.072</v>
      </c>
      <c r="K66" s="9">
        <f t="shared" si="4"/>
        <v>-0.100000000000031</v>
      </c>
      <c r="L66" s="1">
        <f t="shared" si="5"/>
        <v>-0.300000000000022</v>
      </c>
    </row>
    <row r="67" s="1" customFormat="1" spans="1:12">
      <c r="A67" s="2">
        <v>2.139</v>
      </c>
      <c r="B67" s="10" t="s">
        <v>272</v>
      </c>
      <c r="C67" s="4">
        <v>2.139</v>
      </c>
      <c r="D67" s="5">
        <v>47.6</v>
      </c>
      <c r="E67" s="4"/>
      <c r="F67" s="4"/>
      <c r="G67" s="2">
        <f t="shared" si="0"/>
        <v>2.106</v>
      </c>
      <c r="H67" s="11" t="str">
        <f t="shared" si="1"/>
        <v>3.351E-2</v>
      </c>
      <c r="I67" s="2">
        <f t="shared" si="2"/>
        <v>48.2</v>
      </c>
      <c r="J67" s="4">
        <f t="shared" si="3"/>
        <v>2.106</v>
      </c>
      <c r="K67" s="9">
        <f t="shared" si="4"/>
        <v>-0.100000000000031</v>
      </c>
      <c r="L67" s="1">
        <f t="shared" si="5"/>
        <v>-0.300000000000022</v>
      </c>
    </row>
    <row r="68" s="1" customFormat="1" spans="1:12">
      <c r="A68" s="2">
        <v>2.173</v>
      </c>
      <c r="B68" s="10" t="s">
        <v>266</v>
      </c>
      <c r="C68" s="4">
        <v>2.173</v>
      </c>
      <c r="D68" s="5">
        <v>48.3</v>
      </c>
      <c r="E68" s="4"/>
      <c r="F68" s="4"/>
      <c r="G68" s="2">
        <f t="shared" ref="G68:G131" si="6">A67</f>
        <v>2.139</v>
      </c>
      <c r="H68" s="11" t="str">
        <f t="shared" ref="H68:H131" si="7">B67</f>
        <v>3.350E-2</v>
      </c>
      <c r="I68" s="2">
        <f t="shared" ref="I68:I131" si="8">D67</f>
        <v>47.6</v>
      </c>
      <c r="J68" s="4">
        <f t="shared" ref="J68:J131" si="9">G68</f>
        <v>2.139</v>
      </c>
      <c r="K68" s="9">
        <f t="shared" ref="K68:K131" si="10">(H68-$H$4)*10000</f>
        <v>-0.199999999999992</v>
      </c>
      <c r="L68" s="1">
        <f t="shared" si="5"/>
        <v>-0.300000000000022</v>
      </c>
    </row>
    <row r="69" s="1" customFormat="1" spans="1:12">
      <c r="A69" s="2">
        <v>2.206</v>
      </c>
      <c r="B69" s="10" t="s">
        <v>272</v>
      </c>
      <c r="C69" s="4">
        <v>2.206</v>
      </c>
      <c r="D69" s="5">
        <v>47.9</v>
      </c>
      <c r="E69" s="4"/>
      <c r="F69" s="4"/>
      <c r="G69" s="2">
        <f t="shared" si="6"/>
        <v>2.173</v>
      </c>
      <c r="H69" s="11" t="str">
        <f t="shared" si="7"/>
        <v>3.349E-2</v>
      </c>
      <c r="I69" s="2">
        <f t="shared" si="8"/>
        <v>48.3</v>
      </c>
      <c r="J69" s="4">
        <f t="shared" si="9"/>
        <v>2.173</v>
      </c>
      <c r="K69" s="9">
        <f t="shared" si="10"/>
        <v>-0.300000000000022</v>
      </c>
      <c r="L69" s="1">
        <f t="shared" ref="L69:L132" si="11">IF(I69&lt;230,MIN(K:K),MAX(K:K))</f>
        <v>-0.300000000000022</v>
      </c>
    </row>
    <row r="70" s="1" customFormat="1" spans="1:12">
      <c r="A70" s="2">
        <v>2.24</v>
      </c>
      <c r="B70" s="10" t="s">
        <v>266</v>
      </c>
      <c r="C70" s="4">
        <v>2.24</v>
      </c>
      <c r="D70" s="5">
        <v>47.9</v>
      </c>
      <c r="E70" s="4"/>
      <c r="F70" s="4"/>
      <c r="G70" s="2">
        <f t="shared" si="6"/>
        <v>2.206</v>
      </c>
      <c r="H70" s="11" t="str">
        <f t="shared" si="7"/>
        <v>3.350E-2</v>
      </c>
      <c r="I70" s="2">
        <f t="shared" si="8"/>
        <v>47.9</v>
      </c>
      <c r="J70" s="4">
        <f t="shared" si="9"/>
        <v>2.206</v>
      </c>
      <c r="K70" s="9">
        <f t="shared" si="10"/>
        <v>-0.199999999999992</v>
      </c>
      <c r="L70" s="1">
        <f t="shared" si="11"/>
        <v>-0.300000000000022</v>
      </c>
    </row>
    <row r="71" s="1" customFormat="1" spans="1:12">
      <c r="A71" s="2">
        <v>2.273</v>
      </c>
      <c r="B71" s="10" t="s">
        <v>272</v>
      </c>
      <c r="C71" s="4">
        <v>2.273</v>
      </c>
      <c r="D71" s="5">
        <v>48.3</v>
      </c>
      <c r="E71" s="4"/>
      <c r="F71" s="4"/>
      <c r="G71" s="2">
        <f t="shared" si="6"/>
        <v>2.24</v>
      </c>
      <c r="H71" s="11" t="str">
        <f t="shared" si="7"/>
        <v>3.349E-2</v>
      </c>
      <c r="I71" s="2">
        <f t="shared" si="8"/>
        <v>47.9</v>
      </c>
      <c r="J71" s="4">
        <f t="shared" si="9"/>
        <v>2.24</v>
      </c>
      <c r="K71" s="9">
        <f t="shared" si="10"/>
        <v>-0.300000000000022</v>
      </c>
      <c r="L71" s="1">
        <f t="shared" si="11"/>
        <v>-0.300000000000022</v>
      </c>
    </row>
    <row r="72" s="1" customFormat="1" spans="1:12">
      <c r="A72" s="2">
        <v>2.306</v>
      </c>
      <c r="B72" s="10" t="s">
        <v>272</v>
      </c>
      <c r="C72" s="4">
        <v>2.306</v>
      </c>
      <c r="D72" s="5">
        <v>48.2</v>
      </c>
      <c r="E72" s="4"/>
      <c r="F72" s="4"/>
      <c r="G72" s="2">
        <f t="shared" si="6"/>
        <v>2.273</v>
      </c>
      <c r="H72" s="11" t="str">
        <f t="shared" si="7"/>
        <v>3.350E-2</v>
      </c>
      <c r="I72" s="2">
        <f t="shared" si="8"/>
        <v>48.3</v>
      </c>
      <c r="J72" s="4">
        <f t="shared" si="9"/>
        <v>2.273</v>
      </c>
      <c r="K72" s="9">
        <f t="shared" si="10"/>
        <v>-0.199999999999992</v>
      </c>
      <c r="L72" s="1">
        <f t="shared" si="11"/>
        <v>-0.300000000000022</v>
      </c>
    </row>
    <row r="73" s="1" customFormat="1" spans="1:12">
      <c r="A73" s="2">
        <v>2.34</v>
      </c>
      <c r="B73" s="10" t="s">
        <v>272</v>
      </c>
      <c r="C73" s="4">
        <v>2.34</v>
      </c>
      <c r="D73" s="5">
        <v>47.9</v>
      </c>
      <c r="E73" s="4"/>
      <c r="F73" s="4"/>
      <c r="G73" s="2">
        <f t="shared" si="6"/>
        <v>2.306</v>
      </c>
      <c r="H73" s="11" t="str">
        <f t="shared" si="7"/>
        <v>3.350E-2</v>
      </c>
      <c r="I73" s="2">
        <f t="shared" si="8"/>
        <v>48.2</v>
      </c>
      <c r="J73" s="4">
        <f t="shared" si="9"/>
        <v>2.306</v>
      </c>
      <c r="K73" s="9">
        <f t="shared" si="10"/>
        <v>-0.199999999999992</v>
      </c>
      <c r="L73" s="1">
        <f t="shared" si="11"/>
        <v>-0.300000000000022</v>
      </c>
    </row>
    <row r="74" s="1" customFormat="1" spans="1:12">
      <c r="A74" s="2">
        <v>2.373</v>
      </c>
      <c r="B74" s="10" t="s">
        <v>272</v>
      </c>
      <c r="C74" s="4">
        <v>2.373</v>
      </c>
      <c r="D74" s="5">
        <v>47.6</v>
      </c>
      <c r="E74" s="4"/>
      <c r="F74" s="4"/>
      <c r="G74" s="2">
        <f t="shared" si="6"/>
        <v>2.34</v>
      </c>
      <c r="H74" s="11" t="str">
        <f t="shared" si="7"/>
        <v>3.350E-2</v>
      </c>
      <c r="I74" s="2">
        <f t="shared" si="8"/>
        <v>47.9</v>
      </c>
      <c r="J74" s="4">
        <f t="shared" si="9"/>
        <v>2.34</v>
      </c>
      <c r="K74" s="9">
        <f t="shared" si="10"/>
        <v>-0.199999999999992</v>
      </c>
      <c r="L74" s="1">
        <f t="shared" si="11"/>
        <v>-0.300000000000022</v>
      </c>
    </row>
    <row r="75" s="1" customFormat="1" spans="1:12">
      <c r="A75" s="2">
        <v>2.407</v>
      </c>
      <c r="B75" s="10" t="s">
        <v>315</v>
      </c>
      <c r="C75" s="4">
        <v>2.407</v>
      </c>
      <c r="D75" s="5">
        <v>48.4</v>
      </c>
      <c r="E75" s="4"/>
      <c r="F75" s="4"/>
      <c r="G75" s="2">
        <f t="shared" si="6"/>
        <v>2.373</v>
      </c>
      <c r="H75" s="11" t="str">
        <f t="shared" si="7"/>
        <v>3.350E-2</v>
      </c>
      <c r="I75" s="2">
        <f t="shared" si="8"/>
        <v>47.6</v>
      </c>
      <c r="J75" s="4">
        <f t="shared" si="9"/>
        <v>2.373</v>
      </c>
      <c r="K75" s="9">
        <f t="shared" si="10"/>
        <v>-0.199999999999992</v>
      </c>
      <c r="L75" s="1">
        <f t="shared" si="11"/>
        <v>-0.300000000000022</v>
      </c>
    </row>
    <row r="76" s="1" customFormat="1" spans="1:12">
      <c r="A76" s="2">
        <v>2.44</v>
      </c>
      <c r="B76" s="10" t="s">
        <v>315</v>
      </c>
      <c r="C76" s="4">
        <v>2.44</v>
      </c>
      <c r="D76" s="5">
        <v>48.1</v>
      </c>
      <c r="E76" s="4"/>
      <c r="F76" s="4"/>
      <c r="G76" s="2">
        <f t="shared" si="6"/>
        <v>2.407</v>
      </c>
      <c r="H76" s="11" t="str">
        <f t="shared" si="7"/>
        <v>3.351E-2</v>
      </c>
      <c r="I76" s="2">
        <f t="shared" si="8"/>
        <v>48.4</v>
      </c>
      <c r="J76" s="4">
        <f t="shared" si="9"/>
        <v>2.407</v>
      </c>
      <c r="K76" s="9">
        <f t="shared" si="10"/>
        <v>-0.100000000000031</v>
      </c>
      <c r="L76" s="1">
        <f t="shared" si="11"/>
        <v>-0.300000000000022</v>
      </c>
    </row>
    <row r="77" s="1" customFormat="1" spans="1:12">
      <c r="A77" s="2">
        <v>2.474</v>
      </c>
      <c r="B77" s="10" t="s">
        <v>315</v>
      </c>
      <c r="C77" s="4">
        <v>2.474</v>
      </c>
      <c r="D77" s="5">
        <v>48</v>
      </c>
      <c r="E77" s="4"/>
      <c r="F77" s="4"/>
      <c r="G77" s="2">
        <f t="shared" si="6"/>
        <v>2.44</v>
      </c>
      <c r="H77" s="11" t="str">
        <f t="shared" si="7"/>
        <v>3.351E-2</v>
      </c>
      <c r="I77" s="2">
        <f t="shared" si="8"/>
        <v>48.1</v>
      </c>
      <c r="J77" s="4">
        <f t="shared" si="9"/>
        <v>2.44</v>
      </c>
      <c r="K77" s="9">
        <f t="shared" si="10"/>
        <v>-0.100000000000031</v>
      </c>
      <c r="L77" s="1">
        <f t="shared" si="11"/>
        <v>-0.300000000000022</v>
      </c>
    </row>
    <row r="78" s="1" customFormat="1" spans="1:12">
      <c r="A78" s="2">
        <v>2.507</v>
      </c>
      <c r="B78" s="10" t="s">
        <v>311</v>
      </c>
      <c r="C78" s="4">
        <v>2.507</v>
      </c>
      <c r="D78" s="5">
        <v>48.3</v>
      </c>
      <c r="E78" s="4"/>
      <c r="F78" s="4"/>
      <c r="G78" s="2">
        <f t="shared" si="6"/>
        <v>2.474</v>
      </c>
      <c r="H78" s="11" t="str">
        <f t="shared" si="7"/>
        <v>3.351E-2</v>
      </c>
      <c r="I78" s="2">
        <f t="shared" si="8"/>
        <v>48</v>
      </c>
      <c r="J78" s="4">
        <f t="shared" si="9"/>
        <v>2.474</v>
      </c>
      <c r="K78" s="9">
        <f t="shared" si="10"/>
        <v>-0.100000000000031</v>
      </c>
      <c r="L78" s="1">
        <f t="shared" si="11"/>
        <v>-0.300000000000022</v>
      </c>
    </row>
    <row r="79" s="1" customFormat="1" spans="1:12">
      <c r="A79" s="2">
        <v>2.54</v>
      </c>
      <c r="B79" s="10" t="s">
        <v>311</v>
      </c>
      <c r="C79" s="4">
        <v>2.54</v>
      </c>
      <c r="D79" s="5">
        <v>47.8</v>
      </c>
      <c r="E79" s="4"/>
      <c r="F79" s="4"/>
      <c r="G79" s="2">
        <f t="shared" si="6"/>
        <v>2.507</v>
      </c>
      <c r="H79" s="11" t="str">
        <f t="shared" si="7"/>
        <v>3.352E-2</v>
      </c>
      <c r="I79" s="2">
        <f t="shared" si="8"/>
        <v>48.3</v>
      </c>
      <c r="J79" s="4">
        <f t="shared" si="9"/>
        <v>2.507</v>
      </c>
      <c r="K79" s="9">
        <f t="shared" si="10"/>
        <v>0</v>
      </c>
      <c r="L79" s="1">
        <f t="shared" si="11"/>
        <v>-0.300000000000022</v>
      </c>
    </row>
    <row r="80" s="1" customFormat="1" spans="1:12">
      <c r="A80" s="2">
        <v>2.574</v>
      </c>
      <c r="B80" s="10" t="s">
        <v>267</v>
      </c>
      <c r="C80" s="4">
        <v>2.574</v>
      </c>
      <c r="D80" s="5">
        <v>47.8</v>
      </c>
      <c r="E80" s="4"/>
      <c r="F80" s="4"/>
      <c r="G80" s="2">
        <f t="shared" si="6"/>
        <v>2.54</v>
      </c>
      <c r="H80" s="11" t="str">
        <f t="shared" si="7"/>
        <v>3.352E-2</v>
      </c>
      <c r="I80" s="2">
        <f t="shared" si="8"/>
        <v>47.8</v>
      </c>
      <c r="J80" s="4">
        <f t="shared" si="9"/>
        <v>2.54</v>
      </c>
      <c r="K80" s="9">
        <f t="shared" si="10"/>
        <v>0</v>
      </c>
      <c r="L80" s="1">
        <f t="shared" si="11"/>
        <v>-0.300000000000022</v>
      </c>
    </row>
    <row r="81" s="1" customFormat="1" spans="1:12">
      <c r="A81" s="2">
        <v>2.607</v>
      </c>
      <c r="B81" s="10" t="s">
        <v>312</v>
      </c>
      <c r="C81" s="4">
        <v>2.607</v>
      </c>
      <c r="D81" s="5">
        <v>48</v>
      </c>
      <c r="E81" s="4"/>
      <c r="F81" s="4"/>
      <c r="G81" s="2">
        <f t="shared" si="6"/>
        <v>2.574</v>
      </c>
      <c r="H81" s="11" t="str">
        <f t="shared" si="7"/>
        <v>3.353E-2</v>
      </c>
      <c r="I81" s="2">
        <f t="shared" si="8"/>
        <v>47.8</v>
      </c>
      <c r="J81" s="4">
        <f t="shared" si="9"/>
        <v>2.574</v>
      </c>
      <c r="K81" s="9">
        <f t="shared" si="10"/>
        <v>0.0999999999999612</v>
      </c>
      <c r="L81" s="1">
        <f t="shared" si="11"/>
        <v>-0.300000000000022</v>
      </c>
    </row>
    <row r="82" s="1" customFormat="1" spans="1:12">
      <c r="A82" s="2">
        <v>2.641</v>
      </c>
      <c r="B82" s="10" t="s">
        <v>271</v>
      </c>
      <c r="C82" s="4">
        <v>2.641</v>
      </c>
      <c r="D82" s="5">
        <v>47.9</v>
      </c>
      <c r="E82" s="4"/>
      <c r="F82" s="4"/>
      <c r="G82" s="2">
        <f t="shared" si="6"/>
        <v>2.607</v>
      </c>
      <c r="H82" s="11" t="str">
        <f t="shared" si="7"/>
        <v>3.354E-2</v>
      </c>
      <c r="I82" s="2">
        <f t="shared" si="8"/>
        <v>48</v>
      </c>
      <c r="J82" s="4">
        <f t="shared" si="9"/>
        <v>2.607</v>
      </c>
      <c r="K82" s="9">
        <f t="shared" si="10"/>
        <v>0.199999999999992</v>
      </c>
      <c r="L82" s="1">
        <f t="shared" si="11"/>
        <v>-0.300000000000022</v>
      </c>
    </row>
    <row r="83" s="1" customFormat="1" spans="1:12">
      <c r="A83" s="2">
        <v>2.674</v>
      </c>
      <c r="B83" s="10" t="s">
        <v>271</v>
      </c>
      <c r="C83" s="4">
        <v>2.674</v>
      </c>
      <c r="D83" s="5">
        <v>48.5</v>
      </c>
      <c r="E83" s="4"/>
      <c r="F83" s="4"/>
      <c r="G83" s="2">
        <f t="shared" si="6"/>
        <v>2.641</v>
      </c>
      <c r="H83" s="11" t="str">
        <f t="shared" si="7"/>
        <v>3.355E-2</v>
      </c>
      <c r="I83" s="2">
        <f t="shared" si="8"/>
        <v>47.9</v>
      </c>
      <c r="J83" s="4">
        <f t="shared" si="9"/>
        <v>2.641</v>
      </c>
      <c r="K83" s="9">
        <f t="shared" si="10"/>
        <v>0.300000000000022</v>
      </c>
      <c r="L83" s="1">
        <f t="shared" si="11"/>
        <v>-0.300000000000022</v>
      </c>
    </row>
    <row r="84" s="1" customFormat="1" spans="1:12">
      <c r="A84" s="2">
        <v>2.708</v>
      </c>
      <c r="B84" s="10" t="s">
        <v>271</v>
      </c>
      <c r="C84" s="4">
        <v>2.708</v>
      </c>
      <c r="D84" s="5">
        <v>48.2</v>
      </c>
      <c r="E84" s="4"/>
      <c r="F84" s="4"/>
      <c r="G84" s="2">
        <f t="shared" si="6"/>
        <v>2.674</v>
      </c>
      <c r="H84" s="11" t="str">
        <f t="shared" si="7"/>
        <v>3.355E-2</v>
      </c>
      <c r="I84" s="2">
        <f t="shared" si="8"/>
        <v>48.5</v>
      </c>
      <c r="J84" s="4">
        <f t="shared" si="9"/>
        <v>2.674</v>
      </c>
      <c r="K84" s="9">
        <f t="shared" si="10"/>
        <v>0.300000000000022</v>
      </c>
      <c r="L84" s="1">
        <f t="shared" si="11"/>
        <v>-0.300000000000022</v>
      </c>
    </row>
    <row r="85" s="1" customFormat="1" spans="1:12">
      <c r="A85" s="2">
        <v>2.741</v>
      </c>
      <c r="B85" s="10" t="s">
        <v>312</v>
      </c>
      <c r="C85" s="4">
        <v>2.741</v>
      </c>
      <c r="D85" s="5">
        <v>48.3</v>
      </c>
      <c r="E85" s="4"/>
      <c r="F85" s="4"/>
      <c r="G85" s="2">
        <f t="shared" si="6"/>
        <v>2.708</v>
      </c>
      <c r="H85" s="11" t="str">
        <f t="shared" si="7"/>
        <v>3.355E-2</v>
      </c>
      <c r="I85" s="2">
        <f t="shared" si="8"/>
        <v>48.2</v>
      </c>
      <c r="J85" s="4">
        <f t="shared" si="9"/>
        <v>2.708</v>
      </c>
      <c r="K85" s="9">
        <f t="shared" si="10"/>
        <v>0.300000000000022</v>
      </c>
      <c r="L85" s="1">
        <f t="shared" si="11"/>
        <v>-0.300000000000022</v>
      </c>
    </row>
    <row r="86" s="1" customFormat="1" spans="1:12">
      <c r="A86" s="2">
        <v>2.774</v>
      </c>
      <c r="B86" s="10" t="s">
        <v>308</v>
      </c>
      <c r="C86" s="4">
        <v>2.774</v>
      </c>
      <c r="D86" s="5">
        <v>48.3</v>
      </c>
      <c r="E86" s="4"/>
      <c r="F86" s="4"/>
      <c r="G86" s="2">
        <f t="shared" si="6"/>
        <v>2.741</v>
      </c>
      <c r="H86" s="11" t="str">
        <f t="shared" si="7"/>
        <v>3.354E-2</v>
      </c>
      <c r="I86" s="2">
        <f t="shared" si="8"/>
        <v>48.3</v>
      </c>
      <c r="J86" s="4">
        <f t="shared" si="9"/>
        <v>2.741</v>
      </c>
      <c r="K86" s="9">
        <f t="shared" si="10"/>
        <v>0.199999999999992</v>
      </c>
      <c r="L86" s="1">
        <f t="shared" si="11"/>
        <v>-0.300000000000022</v>
      </c>
    </row>
    <row r="87" s="1" customFormat="1" spans="1:12">
      <c r="A87" s="2">
        <v>2.808</v>
      </c>
      <c r="B87" s="10" t="s">
        <v>271</v>
      </c>
      <c r="C87" s="4">
        <v>2.808</v>
      </c>
      <c r="D87" s="5">
        <v>48.3</v>
      </c>
      <c r="E87" s="4"/>
      <c r="F87" s="4"/>
      <c r="G87" s="2">
        <f t="shared" si="6"/>
        <v>2.774</v>
      </c>
      <c r="H87" s="11" t="str">
        <f t="shared" si="7"/>
        <v>3.356E-2</v>
      </c>
      <c r="I87" s="2">
        <f t="shared" si="8"/>
        <v>48.3</v>
      </c>
      <c r="J87" s="4">
        <f t="shared" si="9"/>
        <v>2.774</v>
      </c>
      <c r="K87" s="9">
        <f t="shared" si="10"/>
        <v>0.399999999999984</v>
      </c>
      <c r="L87" s="1">
        <f t="shared" si="11"/>
        <v>-0.300000000000022</v>
      </c>
    </row>
    <row r="88" s="1" customFormat="1" spans="1:12">
      <c r="A88" s="2">
        <v>2.841</v>
      </c>
      <c r="B88" s="10" t="s">
        <v>312</v>
      </c>
      <c r="C88" s="4">
        <v>2.841</v>
      </c>
      <c r="D88" s="5">
        <v>48.3</v>
      </c>
      <c r="E88" s="4"/>
      <c r="F88" s="4"/>
      <c r="G88" s="2">
        <f t="shared" si="6"/>
        <v>2.808</v>
      </c>
      <c r="H88" s="11" t="str">
        <f t="shared" si="7"/>
        <v>3.355E-2</v>
      </c>
      <c r="I88" s="2">
        <f t="shared" si="8"/>
        <v>48.3</v>
      </c>
      <c r="J88" s="4">
        <f t="shared" si="9"/>
        <v>2.808</v>
      </c>
      <c r="K88" s="9">
        <f t="shared" si="10"/>
        <v>0.300000000000022</v>
      </c>
      <c r="L88" s="1">
        <f t="shared" si="11"/>
        <v>-0.300000000000022</v>
      </c>
    </row>
    <row r="89" s="1" customFormat="1" spans="1:12">
      <c r="A89" s="2">
        <v>2.875</v>
      </c>
      <c r="B89" s="10" t="s">
        <v>271</v>
      </c>
      <c r="C89" s="4">
        <v>2.875</v>
      </c>
      <c r="D89" s="5">
        <v>48.3</v>
      </c>
      <c r="E89" s="4"/>
      <c r="F89" s="4"/>
      <c r="G89" s="2">
        <f t="shared" si="6"/>
        <v>2.841</v>
      </c>
      <c r="H89" s="11" t="str">
        <f t="shared" si="7"/>
        <v>3.354E-2</v>
      </c>
      <c r="I89" s="2">
        <f t="shared" si="8"/>
        <v>48.3</v>
      </c>
      <c r="J89" s="4">
        <f t="shared" si="9"/>
        <v>2.841</v>
      </c>
      <c r="K89" s="9">
        <f t="shared" si="10"/>
        <v>0.199999999999992</v>
      </c>
      <c r="L89" s="1">
        <f t="shared" si="11"/>
        <v>-0.300000000000022</v>
      </c>
    </row>
    <row r="90" s="1" customFormat="1" spans="1:12">
      <c r="A90" s="2">
        <v>2.908</v>
      </c>
      <c r="B90" s="10" t="s">
        <v>308</v>
      </c>
      <c r="C90" s="4">
        <v>2.908</v>
      </c>
      <c r="D90" s="5">
        <v>48</v>
      </c>
      <c r="E90" s="4"/>
      <c r="F90" s="4"/>
      <c r="G90" s="2">
        <f t="shared" si="6"/>
        <v>2.875</v>
      </c>
      <c r="H90" s="11" t="str">
        <f t="shared" si="7"/>
        <v>3.355E-2</v>
      </c>
      <c r="I90" s="2">
        <f t="shared" si="8"/>
        <v>48.3</v>
      </c>
      <c r="J90" s="4">
        <f t="shared" si="9"/>
        <v>2.875</v>
      </c>
      <c r="K90" s="9">
        <f t="shared" si="10"/>
        <v>0.300000000000022</v>
      </c>
      <c r="L90" s="1">
        <f t="shared" si="11"/>
        <v>-0.300000000000022</v>
      </c>
    </row>
    <row r="91" s="1" customFormat="1" spans="1:12">
      <c r="A91" s="2">
        <v>2.942</v>
      </c>
      <c r="B91" s="10" t="s">
        <v>308</v>
      </c>
      <c r="C91" s="4">
        <v>2.942</v>
      </c>
      <c r="D91" s="5">
        <v>48.2</v>
      </c>
      <c r="E91" s="4"/>
      <c r="F91" s="4"/>
      <c r="G91" s="2">
        <f t="shared" si="6"/>
        <v>2.908</v>
      </c>
      <c r="H91" s="11" t="str">
        <f t="shared" si="7"/>
        <v>3.356E-2</v>
      </c>
      <c r="I91" s="2">
        <f t="shared" si="8"/>
        <v>48</v>
      </c>
      <c r="J91" s="4">
        <f t="shared" si="9"/>
        <v>2.908</v>
      </c>
      <c r="K91" s="9">
        <f t="shared" si="10"/>
        <v>0.399999999999984</v>
      </c>
      <c r="L91" s="1">
        <f t="shared" si="11"/>
        <v>-0.300000000000022</v>
      </c>
    </row>
    <row r="92" s="1" customFormat="1" spans="1:12">
      <c r="A92" s="2">
        <v>2.975</v>
      </c>
      <c r="B92" s="10" t="s">
        <v>271</v>
      </c>
      <c r="C92" s="4">
        <v>2.975</v>
      </c>
      <c r="D92" s="5">
        <v>48</v>
      </c>
      <c r="E92" s="4"/>
      <c r="F92" s="4"/>
      <c r="G92" s="2">
        <f t="shared" si="6"/>
        <v>2.942</v>
      </c>
      <c r="H92" s="11" t="str">
        <f t="shared" si="7"/>
        <v>3.356E-2</v>
      </c>
      <c r="I92" s="2">
        <f t="shared" si="8"/>
        <v>48.2</v>
      </c>
      <c r="J92" s="4">
        <f t="shared" si="9"/>
        <v>2.942</v>
      </c>
      <c r="K92" s="9">
        <f t="shared" si="10"/>
        <v>0.399999999999984</v>
      </c>
      <c r="L92" s="1">
        <f t="shared" si="11"/>
        <v>-0.300000000000022</v>
      </c>
    </row>
    <row r="93" s="1" customFormat="1" spans="1:12">
      <c r="A93" s="2">
        <v>3.008</v>
      </c>
      <c r="B93" s="10" t="s">
        <v>312</v>
      </c>
      <c r="C93" s="4">
        <v>3.008</v>
      </c>
      <c r="D93" s="5">
        <v>48</v>
      </c>
      <c r="E93" s="4"/>
      <c r="F93" s="4"/>
      <c r="G93" s="2">
        <f t="shared" si="6"/>
        <v>2.975</v>
      </c>
      <c r="H93" s="11" t="str">
        <f t="shared" si="7"/>
        <v>3.355E-2</v>
      </c>
      <c r="I93" s="2">
        <f t="shared" si="8"/>
        <v>48</v>
      </c>
      <c r="J93" s="4">
        <f t="shared" si="9"/>
        <v>2.975</v>
      </c>
      <c r="K93" s="9">
        <f t="shared" si="10"/>
        <v>0.300000000000022</v>
      </c>
      <c r="L93" s="1">
        <f t="shared" si="11"/>
        <v>-0.300000000000022</v>
      </c>
    </row>
    <row r="94" s="1" customFormat="1" spans="1:12">
      <c r="A94" s="2">
        <v>3.042</v>
      </c>
      <c r="B94" s="10" t="s">
        <v>271</v>
      </c>
      <c r="C94" s="4">
        <v>3.042</v>
      </c>
      <c r="D94" s="5">
        <v>48.3</v>
      </c>
      <c r="E94" s="4"/>
      <c r="F94" s="4"/>
      <c r="G94" s="2">
        <f t="shared" si="6"/>
        <v>3.008</v>
      </c>
      <c r="H94" s="11" t="str">
        <f t="shared" si="7"/>
        <v>3.354E-2</v>
      </c>
      <c r="I94" s="2">
        <f t="shared" si="8"/>
        <v>48</v>
      </c>
      <c r="J94" s="4">
        <f t="shared" si="9"/>
        <v>3.008</v>
      </c>
      <c r="K94" s="9">
        <f t="shared" si="10"/>
        <v>0.199999999999992</v>
      </c>
      <c r="L94" s="1">
        <f t="shared" si="11"/>
        <v>-0.300000000000022</v>
      </c>
    </row>
    <row r="95" s="1" customFormat="1" spans="1:12">
      <c r="A95" s="2">
        <v>3.075</v>
      </c>
      <c r="B95" s="10" t="s">
        <v>271</v>
      </c>
      <c r="C95" s="4">
        <v>3.075</v>
      </c>
      <c r="D95" s="5">
        <v>48.3</v>
      </c>
      <c r="E95" s="4"/>
      <c r="F95" s="4"/>
      <c r="G95" s="2">
        <f t="shared" si="6"/>
        <v>3.042</v>
      </c>
      <c r="H95" s="11" t="str">
        <f t="shared" si="7"/>
        <v>3.355E-2</v>
      </c>
      <c r="I95" s="2">
        <f t="shared" si="8"/>
        <v>48.3</v>
      </c>
      <c r="J95" s="4">
        <f t="shared" si="9"/>
        <v>3.042</v>
      </c>
      <c r="K95" s="9">
        <f t="shared" si="10"/>
        <v>0.300000000000022</v>
      </c>
      <c r="L95" s="1">
        <f t="shared" si="11"/>
        <v>-0.300000000000022</v>
      </c>
    </row>
    <row r="96" s="1" customFormat="1" spans="1:12">
      <c r="A96" s="2">
        <v>3.109</v>
      </c>
      <c r="B96" s="10" t="s">
        <v>271</v>
      </c>
      <c r="C96" s="4">
        <v>3.109</v>
      </c>
      <c r="D96" s="5">
        <v>47.6</v>
      </c>
      <c r="E96" s="4"/>
      <c r="F96" s="4"/>
      <c r="G96" s="2">
        <f t="shared" si="6"/>
        <v>3.075</v>
      </c>
      <c r="H96" s="11" t="str">
        <f t="shared" si="7"/>
        <v>3.355E-2</v>
      </c>
      <c r="I96" s="2">
        <f t="shared" si="8"/>
        <v>48.3</v>
      </c>
      <c r="J96" s="4">
        <f t="shared" si="9"/>
        <v>3.075</v>
      </c>
      <c r="K96" s="9">
        <f t="shared" si="10"/>
        <v>0.300000000000022</v>
      </c>
      <c r="L96" s="1">
        <f t="shared" si="11"/>
        <v>-0.300000000000022</v>
      </c>
    </row>
    <row r="97" s="1" customFormat="1" spans="1:12">
      <c r="A97" s="2">
        <v>3.142</v>
      </c>
      <c r="B97" s="10" t="s">
        <v>267</v>
      </c>
      <c r="C97" s="4">
        <v>3.142</v>
      </c>
      <c r="D97" s="5">
        <v>48.3</v>
      </c>
      <c r="E97" s="4"/>
      <c r="F97" s="4"/>
      <c r="G97" s="2">
        <f t="shared" si="6"/>
        <v>3.109</v>
      </c>
      <c r="H97" s="11" t="str">
        <f t="shared" si="7"/>
        <v>3.355E-2</v>
      </c>
      <c r="I97" s="2">
        <f t="shared" si="8"/>
        <v>47.6</v>
      </c>
      <c r="J97" s="4">
        <f t="shared" si="9"/>
        <v>3.109</v>
      </c>
      <c r="K97" s="9">
        <f t="shared" si="10"/>
        <v>0.300000000000022</v>
      </c>
      <c r="L97" s="1">
        <f t="shared" si="11"/>
        <v>-0.300000000000022</v>
      </c>
    </row>
    <row r="98" s="1" customFormat="1" spans="1:12">
      <c r="A98" s="2">
        <v>3.175</v>
      </c>
      <c r="B98" s="10" t="s">
        <v>312</v>
      </c>
      <c r="C98" s="4">
        <v>3.175</v>
      </c>
      <c r="D98" s="5">
        <v>48.3</v>
      </c>
      <c r="E98" s="4"/>
      <c r="F98" s="4"/>
      <c r="G98" s="2">
        <f t="shared" si="6"/>
        <v>3.142</v>
      </c>
      <c r="H98" s="11" t="str">
        <f t="shared" si="7"/>
        <v>3.353E-2</v>
      </c>
      <c r="I98" s="2">
        <f t="shared" si="8"/>
        <v>48.3</v>
      </c>
      <c r="J98" s="4">
        <f t="shared" si="9"/>
        <v>3.142</v>
      </c>
      <c r="K98" s="9">
        <f t="shared" si="10"/>
        <v>0.0999999999999612</v>
      </c>
      <c r="L98" s="1">
        <f t="shared" si="11"/>
        <v>-0.300000000000022</v>
      </c>
    </row>
    <row r="99" s="1" customFormat="1" spans="1:12">
      <c r="A99" s="2">
        <v>3.209</v>
      </c>
      <c r="B99" s="10" t="s">
        <v>267</v>
      </c>
      <c r="C99" s="4">
        <v>3.209</v>
      </c>
      <c r="D99" s="5">
        <v>48.1</v>
      </c>
      <c r="E99" s="4"/>
      <c r="F99" s="4"/>
      <c r="G99" s="2">
        <f t="shared" si="6"/>
        <v>3.175</v>
      </c>
      <c r="H99" s="11" t="str">
        <f t="shared" si="7"/>
        <v>3.354E-2</v>
      </c>
      <c r="I99" s="2">
        <f t="shared" si="8"/>
        <v>48.3</v>
      </c>
      <c r="J99" s="4">
        <f t="shared" si="9"/>
        <v>3.175</v>
      </c>
      <c r="K99" s="9">
        <f t="shared" si="10"/>
        <v>0.199999999999992</v>
      </c>
      <c r="L99" s="1">
        <f t="shared" si="11"/>
        <v>-0.300000000000022</v>
      </c>
    </row>
    <row r="100" s="1" customFormat="1" spans="1:12">
      <c r="A100" s="2">
        <v>3.242</v>
      </c>
      <c r="B100" s="10" t="s">
        <v>267</v>
      </c>
      <c r="C100" s="4">
        <v>3.242</v>
      </c>
      <c r="D100" s="5">
        <v>47.7</v>
      </c>
      <c r="E100" s="4"/>
      <c r="F100" s="4"/>
      <c r="G100" s="2">
        <f t="shared" si="6"/>
        <v>3.209</v>
      </c>
      <c r="H100" s="11" t="str">
        <f t="shared" si="7"/>
        <v>3.353E-2</v>
      </c>
      <c r="I100" s="2">
        <f t="shared" si="8"/>
        <v>48.1</v>
      </c>
      <c r="J100" s="4">
        <f t="shared" si="9"/>
        <v>3.209</v>
      </c>
      <c r="K100" s="9">
        <f t="shared" si="10"/>
        <v>0.0999999999999612</v>
      </c>
      <c r="L100" s="1">
        <f t="shared" si="11"/>
        <v>-0.300000000000022</v>
      </c>
    </row>
    <row r="101" s="1" customFormat="1" spans="1:12">
      <c r="A101" s="2">
        <v>3.276</v>
      </c>
      <c r="B101" s="10" t="s">
        <v>311</v>
      </c>
      <c r="C101" s="4">
        <v>3.276</v>
      </c>
      <c r="D101" s="5">
        <v>47.9</v>
      </c>
      <c r="E101" s="4"/>
      <c r="F101" s="4"/>
      <c r="G101" s="2">
        <f t="shared" si="6"/>
        <v>3.242</v>
      </c>
      <c r="H101" s="11" t="str">
        <f t="shared" si="7"/>
        <v>3.353E-2</v>
      </c>
      <c r="I101" s="2">
        <f t="shared" si="8"/>
        <v>47.7</v>
      </c>
      <c r="J101" s="4">
        <f t="shared" si="9"/>
        <v>3.242</v>
      </c>
      <c r="K101" s="9">
        <f t="shared" si="10"/>
        <v>0.0999999999999612</v>
      </c>
      <c r="L101" s="1">
        <f t="shared" si="11"/>
        <v>-0.300000000000022</v>
      </c>
    </row>
    <row r="102" s="1" customFormat="1" spans="1:12">
      <c r="A102" s="2">
        <v>3.309</v>
      </c>
      <c r="B102" s="10" t="s">
        <v>311</v>
      </c>
      <c r="C102" s="4">
        <v>3.309</v>
      </c>
      <c r="D102" s="5">
        <v>47.8</v>
      </c>
      <c r="E102" s="4"/>
      <c r="F102" s="4"/>
      <c r="G102" s="2">
        <f t="shared" si="6"/>
        <v>3.276</v>
      </c>
      <c r="H102" s="11" t="str">
        <f t="shared" si="7"/>
        <v>3.352E-2</v>
      </c>
      <c r="I102" s="2">
        <f t="shared" si="8"/>
        <v>47.9</v>
      </c>
      <c r="J102" s="4">
        <f t="shared" si="9"/>
        <v>3.276</v>
      </c>
      <c r="K102" s="9">
        <f t="shared" si="10"/>
        <v>0</v>
      </c>
      <c r="L102" s="1">
        <f t="shared" si="11"/>
        <v>-0.300000000000022</v>
      </c>
    </row>
    <row r="103" s="1" customFormat="1" spans="1:12">
      <c r="A103" s="2">
        <v>3.343</v>
      </c>
      <c r="B103" s="10" t="s">
        <v>315</v>
      </c>
      <c r="C103" s="4">
        <v>3.343</v>
      </c>
      <c r="D103" s="5">
        <v>48.3</v>
      </c>
      <c r="E103" s="4"/>
      <c r="F103" s="4"/>
      <c r="G103" s="2">
        <f t="shared" si="6"/>
        <v>3.309</v>
      </c>
      <c r="H103" s="11" t="str">
        <f t="shared" si="7"/>
        <v>3.352E-2</v>
      </c>
      <c r="I103" s="2">
        <f t="shared" si="8"/>
        <v>47.8</v>
      </c>
      <c r="J103" s="4">
        <f t="shared" si="9"/>
        <v>3.309</v>
      </c>
      <c r="K103" s="9">
        <f t="shared" si="10"/>
        <v>0</v>
      </c>
      <c r="L103" s="1">
        <f t="shared" si="11"/>
        <v>-0.300000000000022</v>
      </c>
    </row>
    <row r="104" s="1" customFormat="1" spans="1:12">
      <c r="A104" s="2">
        <v>3.376</v>
      </c>
      <c r="B104" s="10" t="s">
        <v>315</v>
      </c>
      <c r="C104" s="4">
        <v>3.376</v>
      </c>
      <c r="D104" s="5">
        <v>47.8</v>
      </c>
      <c r="E104" s="4"/>
      <c r="F104" s="4"/>
      <c r="G104" s="2">
        <f t="shared" si="6"/>
        <v>3.343</v>
      </c>
      <c r="H104" s="11" t="str">
        <f t="shared" si="7"/>
        <v>3.351E-2</v>
      </c>
      <c r="I104" s="2">
        <f t="shared" si="8"/>
        <v>48.3</v>
      </c>
      <c r="J104" s="4">
        <f t="shared" si="9"/>
        <v>3.343</v>
      </c>
      <c r="K104" s="9">
        <f t="shared" si="10"/>
        <v>-0.100000000000031</v>
      </c>
      <c r="L104" s="1">
        <f t="shared" si="11"/>
        <v>-0.300000000000022</v>
      </c>
    </row>
    <row r="105" s="1" customFormat="1" spans="1:12">
      <c r="A105" s="2">
        <v>3.409</v>
      </c>
      <c r="B105" s="10" t="s">
        <v>315</v>
      </c>
      <c r="C105" s="4">
        <v>3.409</v>
      </c>
      <c r="D105" s="5">
        <v>47.4</v>
      </c>
      <c r="E105" s="4"/>
      <c r="F105" s="4"/>
      <c r="G105" s="2">
        <f t="shared" si="6"/>
        <v>3.376</v>
      </c>
      <c r="H105" s="11" t="str">
        <f t="shared" si="7"/>
        <v>3.351E-2</v>
      </c>
      <c r="I105" s="2">
        <f t="shared" si="8"/>
        <v>47.8</v>
      </c>
      <c r="J105" s="4">
        <f t="shared" si="9"/>
        <v>3.376</v>
      </c>
      <c r="K105" s="9">
        <f t="shared" si="10"/>
        <v>-0.100000000000031</v>
      </c>
      <c r="L105" s="1">
        <f t="shared" si="11"/>
        <v>-0.300000000000022</v>
      </c>
    </row>
    <row r="106" s="1" customFormat="1" spans="1:12">
      <c r="A106" s="2">
        <v>3.443</v>
      </c>
      <c r="B106" s="10" t="s">
        <v>315</v>
      </c>
      <c r="C106" s="4">
        <v>3.443</v>
      </c>
      <c r="D106" s="5">
        <v>47.6</v>
      </c>
      <c r="E106" s="4"/>
      <c r="F106" s="4"/>
      <c r="G106" s="2">
        <f t="shared" si="6"/>
        <v>3.409</v>
      </c>
      <c r="H106" s="11" t="str">
        <f t="shared" si="7"/>
        <v>3.351E-2</v>
      </c>
      <c r="I106" s="2">
        <f t="shared" si="8"/>
        <v>47.4</v>
      </c>
      <c r="J106" s="4">
        <f t="shared" si="9"/>
        <v>3.409</v>
      </c>
      <c r="K106" s="9">
        <f t="shared" si="10"/>
        <v>-0.100000000000031</v>
      </c>
      <c r="L106" s="1">
        <f t="shared" si="11"/>
        <v>-0.300000000000022</v>
      </c>
    </row>
    <row r="107" s="1" customFormat="1" spans="1:12">
      <c r="A107" s="2">
        <v>3.476</v>
      </c>
      <c r="B107" s="10" t="s">
        <v>266</v>
      </c>
      <c r="C107" s="4">
        <v>3.476</v>
      </c>
      <c r="D107" s="5">
        <v>47.6</v>
      </c>
      <c r="E107" s="4"/>
      <c r="F107" s="4"/>
      <c r="G107" s="2">
        <f t="shared" si="6"/>
        <v>3.443</v>
      </c>
      <c r="H107" s="11" t="str">
        <f t="shared" si="7"/>
        <v>3.351E-2</v>
      </c>
      <c r="I107" s="2">
        <f t="shared" si="8"/>
        <v>47.6</v>
      </c>
      <c r="J107" s="4">
        <f t="shared" si="9"/>
        <v>3.443</v>
      </c>
      <c r="K107" s="9">
        <f t="shared" si="10"/>
        <v>-0.100000000000031</v>
      </c>
      <c r="L107" s="1">
        <f t="shared" si="11"/>
        <v>-0.300000000000022</v>
      </c>
    </row>
    <row r="108" s="1" customFormat="1" spans="1:12">
      <c r="A108" s="2">
        <v>3.51</v>
      </c>
      <c r="B108" s="10" t="s">
        <v>272</v>
      </c>
      <c r="C108" s="4">
        <v>3.51</v>
      </c>
      <c r="D108" s="5">
        <v>47.9</v>
      </c>
      <c r="E108" s="4"/>
      <c r="F108" s="4"/>
      <c r="G108" s="2">
        <f t="shared" si="6"/>
        <v>3.476</v>
      </c>
      <c r="H108" s="11" t="str">
        <f t="shared" si="7"/>
        <v>3.349E-2</v>
      </c>
      <c r="I108" s="2">
        <f t="shared" si="8"/>
        <v>47.6</v>
      </c>
      <c r="J108" s="4">
        <f t="shared" si="9"/>
        <v>3.476</v>
      </c>
      <c r="K108" s="9">
        <f t="shared" si="10"/>
        <v>-0.300000000000022</v>
      </c>
      <c r="L108" s="1">
        <f t="shared" si="11"/>
        <v>-0.300000000000022</v>
      </c>
    </row>
    <row r="109" s="1" customFormat="1" spans="1:12">
      <c r="A109" s="2">
        <v>3.543</v>
      </c>
      <c r="B109" s="10" t="s">
        <v>272</v>
      </c>
      <c r="C109" s="4">
        <v>3.543</v>
      </c>
      <c r="D109" s="5">
        <v>47.9</v>
      </c>
      <c r="E109" s="4"/>
      <c r="F109" s="4"/>
      <c r="G109" s="2">
        <f t="shared" si="6"/>
        <v>3.51</v>
      </c>
      <c r="H109" s="11" t="str">
        <f t="shared" si="7"/>
        <v>3.350E-2</v>
      </c>
      <c r="I109" s="2">
        <f t="shared" si="8"/>
        <v>47.9</v>
      </c>
      <c r="J109" s="4">
        <f t="shared" si="9"/>
        <v>3.51</v>
      </c>
      <c r="K109" s="9">
        <f t="shared" si="10"/>
        <v>-0.199999999999992</v>
      </c>
      <c r="L109" s="1">
        <f t="shared" si="11"/>
        <v>-0.300000000000022</v>
      </c>
    </row>
    <row r="110" s="1" customFormat="1" spans="1:12">
      <c r="A110" s="2">
        <v>3.577</v>
      </c>
      <c r="B110" s="10" t="s">
        <v>266</v>
      </c>
      <c r="C110" s="4">
        <v>3.577</v>
      </c>
      <c r="D110" s="5">
        <v>48.2</v>
      </c>
      <c r="E110" s="4"/>
      <c r="F110" s="4"/>
      <c r="G110" s="2">
        <f t="shared" si="6"/>
        <v>3.543</v>
      </c>
      <c r="H110" s="11" t="str">
        <f t="shared" si="7"/>
        <v>3.350E-2</v>
      </c>
      <c r="I110" s="2">
        <f t="shared" si="8"/>
        <v>47.9</v>
      </c>
      <c r="J110" s="4">
        <f t="shared" si="9"/>
        <v>3.543</v>
      </c>
      <c r="K110" s="9">
        <f t="shared" si="10"/>
        <v>-0.199999999999992</v>
      </c>
      <c r="L110" s="1">
        <f t="shared" si="11"/>
        <v>-0.300000000000022</v>
      </c>
    </row>
    <row r="111" s="1" customFormat="1" spans="1:12">
      <c r="A111" s="2">
        <v>3.61</v>
      </c>
      <c r="B111" s="10" t="s">
        <v>266</v>
      </c>
      <c r="C111" s="4">
        <v>3.61</v>
      </c>
      <c r="D111" s="5">
        <v>47.9</v>
      </c>
      <c r="E111" s="4"/>
      <c r="F111" s="4"/>
      <c r="G111" s="2">
        <f t="shared" si="6"/>
        <v>3.577</v>
      </c>
      <c r="H111" s="11" t="str">
        <f t="shared" si="7"/>
        <v>3.349E-2</v>
      </c>
      <c r="I111" s="2">
        <f t="shared" si="8"/>
        <v>48.2</v>
      </c>
      <c r="J111" s="4">
        <f t="shared" si="9"/>
        <v>3.577</v>
      </c>
      <c r="K111" s="9">
        <f t="shared" si="10"/>
        <v>-0.300000000000022</v>
      </c>
      <c r="L111" s="1">
        <f t="shared" si="11"/>
        <v>-0.300000000000022</v>
      </c>
    </row>
    <row r="112" s="1" customFormat="1" spans="1:12">
      <c r="A112" s="2">
        <v>3.643</v>
      </c>
      <c r="B112" s="10" t="s">
        <v>272</v>
      </c>
      <c r="C112" s="4">
        <v>3.643</v>
      </c>
      <c r="D112" s="5">
        <v>48.3</v>
      </c>
      <c r="E112" s="4"/>
      <c r="F112" s="4"/>
      <c r="G112" s="2">
        <f t="shared" si="6"/>
        <v>3.61</v>
      </c>
      <c r="H112" s="11" t="str">
        <f t="shared" si="7"/>
        <v>3.349E-2</v>
      </c>
      <c r="I112" s="2">
        <f t="shared" si="8"/>
        <v>47.9</v>
      </c>
      <c r="J112" s="4">
        <f t="shared" si="9"/>
        <v>3.61</v>
      </c>
      <c r="K112" s="9">
        <f t="shared" si="10"/>
        <v>-0.300000000000022</v>
      </c>
      <c r="L112" s="1">
        <f t="shared" si="11"/>
        <v>-0.300000000000022</v>
      </c>
    </row>
    <row r="113" s="1" customFormat="1" spans="1:12">
      <c r="A113" s="2">
        <v>3.677</v>
      </c>
      <c r="B113" s="10" t="s">
        <v>272</v>
      </c>
      <c r="C113" s="4">
        <v>3.677</v>
      </c>
      <c r="D113" s="5">
        <v>48.2</v>
      </c>
      <c r="E113" s="4"/>
      <c r="F113" s="4"/>
      <c r="G113" s="2">
        <f t="shared" si="6"/>
        <v>3.643</v>
      </c>
      <c r="H113" s="11" t="str">
        <f t="shared" si="7"/>
        <v>3.350E-2</v>
      </c>
      <c r="I113" s="2">
        <f t="shared" si="8"/>
        <v>48.3</v>
      </c>
      <c r="J113" s="4">
        <f t="shared" si="9"/>
        <v>3.643</v>
      </c>
      <c r="K113" s="9">
        <f t="shared" si="10"/>
        <v>-0.199999999999992</v>
      </c>
      <c r="L113" s="1">
        <f t="shared" si="11"/>
        <v>-0.300000000000022</v>
      </c>
    </row>
    <row r="114" s="1" customFormat="1" spans="1:12">
      <c r="A114" s="2">
        <v>3.71</v>
      </c>
      <c r="B114" s="10" t="s">
        <v>272</v>
      </c>
      <c r="C114" s="4">
        <v>3.71</v>
      </c>
      <c r="D114" s="5">
        <v>242.8</v>
      </c>
      <c r="E114" s="4"/>
      <c r="F114" s="4"/>
      <c r="G114" s="2">
        <f t="shared" si="6"/>
        <v>3.677</v>
      </c>
      <c r="H114" s="11" t="str">
        <f t="shared" si="7"/>
        <v>3.350E-2</v>
      </c>
      <c r="I114" s="2">
        <f t="shared" si="8"/>
        <v>48.2</v>
      </c>
      <c r="J114" s="4">
        <f t="shared" si="9"/>
        <v>3.677</v>
      </c>
      <c r="K114" s="9">
        <f t="shared" si="10"/>
        <v>-0.199999999999992</v>
      </c>
      <c r="L114" s="1">
        <f t="shared" si="11"/>
        <v>-0.300000000000022</v>
      </c>
    </row>
    <row r="115" s="1" customFormat="1" spans="1:12">
      <c r="A115" s="2">
        <v>3.744</v>
      </c>
      <c r="B115" s="10" t="s">
        <v>315</v>
      </c>
      <c r="C115" s="4">
        <v>3.744</v>
      </c>
      <c r="D115" s="5">
        <v>253.7</v>
      </c>
      <c r="E115" s="4"/>
      <c r="F115" s="4"/>
      <c r="G115" s="2">
        <f t="shared" si="6"/>
        <v>3.71</v>
      </c>
      <c r="H115" s="11" t="str">
        <f t="shared" si="7"/>
        <v>3.350E-2</v>
      </c>
      <c r="I115" s="2">
        <f t="shared" si="8"/>
        <v>242.8</v>
      </c>
      <c r="J115" s="4">
        <f t="shared" si="9"/>
        <v>3.71</v>
      </c>
      <c r="K115" s="9">
        <f t="shared" si="10"/>
        <v>-0.199999999999992</v>
      </c>
      <c r="L115" s="1">
        <f t="shared" si="11"/>
        <v>28.4</v>
      </c>
    </row>
    <row r="116" s="1" customFormat="1" spans="1:12">
      <c r="A116" s="2">
        <v>3.777</v>
      </c>
      <c r="B116" s="10" t="s">
        <v>315</v>
      </c>
      <c r="C116" s="4">
        <v>3.777</v>
      </c>
      <c r="D116" s="5">
        <v>253.7</v>
      </c>
      <c r="E116" s="4"/>
      <c r="F116" s="4"/>
      <c r="G116" s="2">
        <f t="shared" si="6"/>
        <v>3.744</v>
      </c>
      <c r="H116" s="11" t="str">
        <f t="shared" si="7"/>
        <v>3.351E-2</v>
      </c>
      <c r="I116" s="2">
        <f t="shared" si="8"/>
        <v>253.7</v>
      </c>
      <c r="J116" s="4">
        <f t="shared" si="9"/>
        <v>3.744</v>
      </c>
      <c r="K116" s="9">
        <f t="shared" si="10"/>
        <v>-0.100000000000031</v>
      </c>
      <c r="L116" s="1">
        <f t="shared" si="11"/>
        <v>28.4</v>
      </c>
    </row>
    <row r="117" s="1" customFormat="1" spans="1:12">
      <c r="A117" s="2">
        <v>3.811</v>
      </c>
      <c r="B117" s="10" t="s">
        <v>315</v>
      </c>
      <c r="C117" s="4">
        <v>3.811</v>
      </c>
      <c r="D117" s="5">
        <v>253.7</v>
      </c>
      <c r="E117" s="4"/>
      <c r="F117" s="4"/>
      <c r="G117" s="2">
        <f t="shared" si="6"/>
        <v>3.777</v>
      </c>
      <c r="H117" s="11" t="str">
        <f t="shared" si="7"/>
        <v>3.351E-2</v>
      </c>
      <c r="I117" s="2">
        <f t="shared" si="8"/>
        <v>253.7</v>
      </c>
      <c r="J117" s="4">
        <f t="shared" si="9"/>
        <v>3.777</v>
      </c>
      <c r="K117" s="9">
        <f t="shared" si="10"/>
        <v>-0.100000000000031</v>
      </c>
      <c r="L117" s="1">
        <f t="shared" si="11"/>
        <v>28.4</v>
      </c>
    </row>
    <row r="118" s="1" customFormat="1" spans="1:12">
      <c r="A118" s="2">
        <v>3.844</v>
      </c>
      <c r="B118" s="10" t="s">
        <v>311</v>
      </c>
      <c r="C118" s="4">
        <v>3.844</v>
      </c>
      <c r="D118" s="5">
        <v>253.7</v>
      </c>
      <c r="E118" s="4"/>
      <c r="F118" s="4"/>
      <c r="G118" s="2">
        <f t="shared" si="6"/>
        <v>3.811</v>
      </c>
      <c r="H118" s="11" t="str">
        <f t="shared" si="7"/>
        <v>3.351E-2</v>
      </c>
      <c r="I118" s="2">
        <f t="shared" si="8"/>
        <v>253.7</v>
      </c>
      <c r="J118" s="4">
        <f t="shared" si="9"/>
        <v>3.811</v>
      </c>
      <c r="K118" s="9">
        <f t="shared" si="10"/>
        <v>-0.100000000000031</v>
      </c>
      <c r="L118" s="1">
        <f t="shared" si="11"/>
        <v>28.4</v>
      </c>
    </row>
    <row r="119" s="1" customFormat="1" spans="1:12">
      <c r="A119" s="2">
        <v>3.877</v>
      </c>
      <c r="B119" s="10" t="s">
        <v>311</v>
      </c>
      <c r="C119" s="4">
        <v>3.877</v>
      </c>
      <c r="D119" s="5">
        <v>253.7</v>
      </c>
      <c r="E119" s="4"/>
      <c r="F119" s="4"/>
      <c r="G119" s="2">
        <f t="shared" si="6"/>
        <v>3.844</v>
      </c>
      <c r="H119" s="11" t="str">
        <f t="shared" si="7"/>
        <v>3.352E-2</v>
      </c>
      <c r="I119" s="2">
        <f t="shared" si="8"/>
        <v>253.7</v>
      </c>
      <c r="J119" s="4">
        <f t="shared" si="9"/>
        <v>3.844</v>
      </c>
      <c r="K119" s="9">
        <f t="shared" si="10"/>
        <v>0</v>
      </c>
      <c r="L119" s="1">
        <f t="shared" si="11"/>
        <v>28.4</v>
      </c>
    </row>
    <row r="120" s="1" customFormat="1" spans="1:12">
      <c r="A120" s="2">
        <v>3.911</v>
      </c>
      <c r="B120" s="10" t="s">
        <v>311</v>
      </c>
      <c r="C120" s="4">
        <v>3.911</v>
      </c>
      <c r="D120" s="5">
        <v>253.7</v>
      </c>
      <c r="E120" s="4"/>
      <c r="F120" s="4"/>
      <c r="G120" s="2">
        <f t="shared" si="6"/>
        <v>3.877</v>
      </c>
      <c r="H120" s="11" t="str">
        <f t="shared" si="7"/>
        <v>3.352E-2</v>
      </c>
      <c r="I120" s="2">
        <f t="shared" si="8"/>
        <v>253.7</v>
      </c>
      <c r="J120" s="4">
        <f t="shared" si="9"/>
        <v>3.877</v>
      </c>
      <c r="K120" s="9">
        <f t="shared" si="10"/>
        <v>0</v>
      </c>
      <c r="L120" s="1">
        <f t="shared" si="11"/>
        <v>28.4</v>
      </c>
    </row>
    <row r="121" s="1" customFormat="1" spans="1:12">
      <c r="A121" s="2">
        <v>3.944</v>
      </c>
      <c r="B121" s="10" t="s">
        <v>311</v>
      </c>
      <c r="C121" s="4">
        <v>3.944</v>
      </c>
      <c r="D121" s="5">
        <v>253.7</v>
      </c>
      <c r="E121" s="4"/>
      <c r="F121" s="4"/>
      <c r="G121" s="2">
        <f t="shared" si="6"/>
        <v>3.911</v>
      </c>
      <c r="H121" s="11" t="str">
        <f t="shared" si="7"/>
        <v>3.352E-2</v>
      </c>
      <c r="I121" s="2">
        <f t="shared" si="8"/>
        <v>253.7</v>
      </c>
      <c r="J121" s="4">
        <f t="shared" si="9"/>
        <v>3.911</v>
      </c>
      <c r="K121" s="9">
        <f t="shared" si="10"/>
        <v>0</v>
      </c>
      <c r="L121" s="1">
        <f t="shared" si="11"/>
        <v>28.4</v>
      </c>
    </row>
    <row r="122" s="1" customFormat="1" spans="1:12">
      <c r="A122" s="2">
        <v>3.978</v>
      </c>
      <c r="B122" s="10" t="s">
        <v>311</v>
      </c>
      <c r="C122" s="4">
        <v>3.978</v>
      </c>
      <c r="D122" s="5">
        <v>253.7</v>
      </c>
      <c r="E122" s="4"/>
      <c r="F122" s="4"/>
      <c r="G122" s="2">
        <f t="shared" si="6"/>
        <v>3.944</v>
      </c>
      <c r="H122" s="11" t="str">
        <f t="shared" si="7"/>
        <v>3.352E-2</v>
      </c>
      <c r="I122" s="2">
        <f t="shared" si="8"/>
        <v>253.7</v>
      </c>
      <c r="J122" s="4">
        <f t="shared" si="9"/>
        <v>3.944</v>
      </c>
      <c r="K122" s="9">
        <f t="shared" si="10"/>
        <v>0</v>
      </c>
      <c r="L122" s="1">
        <f t="shared" si="11"/>
        <v>28.4</v>
      </c>
    </row>
    <row r="123" s="1" customFormat="1" spans="1:12">
      <c r="A123" s="2">
        <v>4.011</v>
      </c>
      <c r="B123" s="10" t="s">
        <v>312</v>
      </c>
      <c r="C123" s="4">
        <v>4.011</v>
      </c>
      <c r="D123" s="5">
        <v>253.8</v>
      </c>
      <c r="E123" s="4"/>
      <c r="F123" s="4"/>
      <c r="G123" s="2">
        <f t="shared" si="6"/>
        <v>3.978</v>
      </c>
      <c r="H123" s="11" t="str">
        <f t="shared" si="7"/>
        <v>3.352E-2</v>
      </c>
      <c r="I123" s="2">
        <f t="shared" si="8"/>
        <v>253.7</v>
      </c>
      <c r="J123" s="4">
        <f t="shared" si="9"/>
        <v>3.978</v>
      </c>
      <c r="K123" s="9">
        <f t="shared" si="10"/>
        <v>0</v>
      </c>
      <c r="L123" s="1">
        <f t="shared" si="11"/>
        <v>28.4</v>
      </c>
    </row>
    <row r="124" s="1" customFormat="1" spans="1:12">
      <c r="A124" s="2">
        <v>4.045</v>
      </c>
      <c r="B124" s="10" t="s">
        <v>312</v>
      </c>
      <c r="C124" s="4">
        <v>4.045</v>
      </c>
      <c r="D124" s="5">
        <v>253.8</v>
      </c>
      <c r="E124" s="4"/>
      <c r="F124" s="4"/>
      <c r="G124" s="2">
        <f t="shared" si="6"/>
        <v>4.011</v>
      </c>
      <c r="H124" s="11" t="str">
        <f t="shared" si="7"/>
        <v>3.354E-2</v>
      </c>
      <c r="I124" s="2">
        <f t="shared" si="8"/>
        <v>253.8</v>
      </c>
      <c r="J124" s="4">
        <f t="shared" si="9"/>
        <v>4.011</v>
      </c>
      <c r="K124" s="9">
        <f t="shared" si="10"/>
        <v>0.199999999999992</v>
      </c>
      <c r="L124" s="1">
        <f t="shared" si="11"/>
        <v>28.4</v>
      </c>
    </row>
    <row r="125" s="1" customFormat="1" spans="1:12">
      <c r="A125" s="2">
        <v>4.078</v>
      </c>
      <c r="B125" s="10" t="s">
        <v>271</v>
      </c>
      <c r="C125" s="4">
        <v>4.078</v>
      </c>
      <c r="D125" s="5">
        <v>253.8</v>
      </c>
      <c r="E125" s="4"/>
      <c r="F125" s="4"/>
      <c r="G125" s="2">
        <f t="shared" si="6"/>
        <v>4.045</v>
      </c>
      <c r="H125" s="11" t="str">
        <f t="shared" si="7"/>
        <v>3.354E-2</v>
      </c>
      <c r="I125" s="2">
        <f t="shared" si="8"/>
        <v>253.8</v>
      </c>
      <c r="J125" s="4">
        <f t="shared" si="9"/>
        <v>4.045</v>
      </c>
      <c r="K125" s="9">
        <f t="shared" si="10"/>
        <v>0.199999999999992</v>
      </c>
      <c r="L125" s="1">
        <f t="shared" si="11"/>
        <v>28.4</v>
      </c>
    </row>
    <row r="126" s="1" customFormat="1" spans="1:12">
      <c r="A126" s="2">
        <v>4.111</v>
      </c>
      <c r="B126" s="10" t="s">
        <v>271</v>
      </c>
      <c r="C126" s="4">
        <v>4.111</v>
      </c>
      <c r="D126" s="5">
        <v>253.8</v>
      </c>
      <c r="E126" s="4"/>
      <c r="F126" s="4"/>
      <c r="G126" s="2">
        <f t="shared" si="6"/>
        <v>4.078</v>
      </c>
      <c r="H126" s="11" t="str">
        <f t="shared" si="7"/>
        <v>3.355E-2</v>
      </c>
      <c r="I126" s="2">
        <f t="shared" si="8"/>
        <v>253.8</v>
      </c>
      <c r="J126" s="4">
        <f t="shared" si="9"/>
        <v>4.078</v>
      </c>
      <c r="K126" s="9">
        <f t="shared" si="10"/>
        <v>0.300000000000022</v>
      </c>
      <c r="L126" s="1">
        <f t="shared" si="11"/>
        <v>28.4</v>
      </c>
    </row>
    <row r="127" s="1" customFormat="1" spans="1:12">
      <c r="A127" s="2">
        <v>4.145</v>
      </c>
      <c r="B127" s="10" t="s">
        <v>310</v>
      </c>
      <c r="C127" s="4">
        <v>4.145</v>
      </c>
      <c r="D127" s="5">
        <v>253.8</v>
      </c>
      <c r="E127" s="4"/>
      <c r="F127" s="4"/>
      <c r="G127" s="2">
        <f t="shared" si="6"/>
        <v>4.111</v>
      </c>
      <c r="H127" s="11" t="str">
        <f t="shared" si="7"/>
        <v>3.355E-2</v>
      </c>
      <c r="I127" s="2">
        <f t="shared" si="8"/>
        <v>253.8</v>
      </c>
      <c r="J127" s="4">
        <f t="shared" si="9"/>
        <v>4.111</v>
      </c>
      <c r="K127" s="9">
        <f t="shared" si="10"/>
        <v>0.300000000000022</v>
      </c>
      <c r="L127" s="1">
        <f t="shared" si="11"/>
        <v>28.4</v>
      </c>
    </row>
    <row r="128" s="1" customFormat="1" spans="1:12">
      <c r="A128" s="2">
        <v>4.178</v>
      </c>
      <c r="B128" s="10" t="s">
        <v>313</v>
      </c>
      <c r="C128" s="4">
        <v>4.178</v>
      </c>
      <c r="D128" s="5">
        <v>253.8</v>
      </c>
      <c r="E128" s="4"/>
      <c r="F128" s="4"/>
      <c r="G128" s="2">
        <f t="shared" si="6"/>
        <v>4.145</v>
      </c>
      <c r="H128" s="11" t="str">
        <f t="shared" si="7"/>
        <v>3.357E-2</v>
      </c>
      <c r="I128" s="2">
        <f t="shared" si="8"/>
        <v>253.8</v>
      </c>
      <c r="J128" s="4">
        <f t="shared" si="9"/>
        <v>4.145</v>
      </c>
      <c r="K128" s="9">
        <f t="shared" si="10"/>
        <v>0.500000000000014</v>
      </c>
      <c r="L128" s="1">
        <f t="shared" si="11"/>
        <v>28.4</v>
      </c>
    </row>
    <row r="129" s="1" customFormat="1" spans="1:12">
      <c r="A129" s="2">
        <v>4.212</v>
      </c>
      <c r="B129" s="10" t="s">
        <v>314</v>
      </c>
      <c r="C129" s="4">
        <v>4.212</v>
      </c>
      <c r="D129" s="5">
        <v>253.8</v>
      </c>
      <c r="E129" s="4"/>
      <c r="F129" s="4"/>
      <c r="G129" s="2">
        <f t="shared" si="6"/>
        <v>4.178</v>
      </c>
      <c r="H129" s="11" t="str">
        <f t="shared" si="7"/>
        <v>3.359E-2</v>
      </c>
      <c r="I129" s="2">
        <f t="shared" si="8"/>
        <v>253.8</v>
      </c>
      <c r="J129" s="4">
        <f t="shared" si="9"/>
        <v>4.178</v>
      </c>
      <c r="K129" s="9">
        <f t="shared" si="10"/>
        <v>0.700000000000006</v>
      </c>
      <c r="L129" s="1">
        <f t="shared" si="11"/>
        <v>28.4</v>
      </c>
    </row>
    <row r="130" s="1" customFormat="1" spans="1:12">
      <c r="A130" s="2">
        <v>4.245</v>
      </c>
      <c r="B130" s="10" t="s">
        <v>278</v>
      </c>
      <c r="C130" s="4">
        <v>4.245</v>
      </c>
      <c r="D130" s="5">
        <v>253.8</v>
      </c>
      <c r="E130" s="4"/>
      <c r="F130" s="4"/>
      <c r="G130" s="2">
        <f t="shared" si="6"/>
        <v>4.212</v>
      </c>
      <c r="H130" s="11" t="str">
        <f t="shared" si="7"/>
        <v>3.361E-2</v>
      </c>
      <c r="I130" s="2">
        <f t="shared" si="8"/>
        <v>253.8</v>
      </c>
      <c r="J130" s="4">
        <f t="shared" si="9"/>
        <v>4.212</v>
      </c>
      <c r="K130" s="9">
        <f t="shared" si="10"/>
        <v>0.899999999999998</v>
      </c>
      <c r="L130" s="1">
        <f t="shared" si="11"/>
        <v>28.4</v>
      </c>
    </row>
    <row r="131" s="1" customFormat="1" spans="1:12">
      <c r="A131" s="2">
        <v>4.279</v>
      </c>
      <c r="B131" s="10" t="s">
        <v>255</v>
      </c>
      <c r="C131" s="4">
        <v>4.279</v>
      </c>
      <c r="D131" s="5">
        <v>253.8</v>
      </c>
      <c r="E131" s="4"/>
      <c r="F131" s="4"/>
      <c r="G131" s="2">
        <f t="shared" si="6"/>
        <v>4.245</v>
      </c>
      <c r="H131" s="11" t="str">
        <f t="shared" si="7"/>
        <v>3.363E-2</v>
      </c>
      <c r="I131" s="2">
        <f t="shared" si="8"/>
        <v>253.8</v>
      </c>
      <c r="J131" s="4">
        <f t="shared" si="9"/>
        <v>4.245</v>
      </c>
      <c r="K131" s="9">
        <f t="shared" si="10"/>
        <v>1.09999999999999</v>
      </c>
      <c r="L131" s="1">
        <f t="shared" si="11"/>
        <v>28.4</v>
      </c>
    </row>
    <row r="132" s="1" customFormat="1" spans="1:12">
      <c r="A132" s="2">
        <v>4.312</v>
      </c>
      <c r="B132" s="10" t="s">
        <v>257</v>
      </c>
      <c r="C132" s="4">
        <v>4.312</v>
      </c>
      <c r="D132" s="5">
        <v>253.8</v>
      </c>
      <c r="E132" s="4"/>
      <c r="F132" s="4"/>
      <c r="G132" s="2">
        <f t="shared" ref="G132:G195" si="12">A131</f>
        <v>4.279</v>
      </c>
      <c r="H132" s="11" t="str">
        <f t="shared" ref="H132:H195" si="13">B131</f>
        <v>3.366E-2</v>
      </c>
      <c r="I132" s="2">
        <f t="shared" ref="I132:I195" si="14">D131</f>
        <v>253.8</v>
      </c>
      <c r="J132" s="4">
        <f t="shared" ref="J132:J195" si="15">G132</f>
        <v>4.279</v>
      </c>
      <c r="K132" s="9">
        <f t="shared" ref="K132:K195" si="16">(H132-$H$4)*10000</f>
        <v>1.40000000000001</v>
      </c>
      <c r="L132" s="1">
        <f t="shared" si="11"/>
        <v>28.4</v>
      </c>
    </row>
    <row r="133" s="1" customFormat="1" spans="1:12">
      <c r="A133" s="2">
        <v>4.345</v>
      </c>
      <c r="B133" s="10" t="s">
        <v>251</v>
      </c>
      <c r="C133" s="4">
        <v>4.345</v>
      </c>
      <c r="D133" s="5">
        <v>253.8</v>
      </c>
      <c r="E133" s="4"/>
      <c r="F133" s="4"/>
      <c r="G133" s="2">
        <f t="shared" si="12"/>
        <v>4.312</v>
      </c>
      <c r="H133" s="11" t="str">
        <f t="shared" si="13"/>
        <v>3.368E-2</v>
      </c>
      <c r="I133" s="2">
        <f t="shared" si="14"/>
        <v>253.8</v>
      </c>
      <c r="J133" s="4">
        <f t="shared" si="15"/>
        <v>4.312</v>
      </c>
      <c r="K133" s="9">
        <f t="shared" si="16"/>
        <v>1.6</v>
      </c>
      <c r="L133" s="1">
        <f t="shared" ref="L133:L196" si="17">IF(I133&lt;230,MIN(K:K),MAX(K:K))</f>
        <v>28.4</v>
      </c>
    </row>
    <row r="134" s="1" customFormat="1" spans="1:12">
      <c r="A134" s="2">
        <v>4.379</v>
      </c>
      <c r="B134" s="10" t="s">
        <v>113</v>
      </c>
      <c r="C134" s="4">
        <v>4.379</v>
      </c>
      <c r="D134" s="5">
        <v>253.8</v>
      </c>
      <c r="E134" s="4"/>
      <c r="F134" s="4"/>
      <c r="G134" s="2">
        <f t="shared" si="12"/>
        <v>4.345</v>
      </c>
      <c r="H134" s="11" t="str">
        <f t="shared" si="13"/>
        <v>3.380E-2</v>
      </c>
      <c r="I134" s="2">
        <f t="shared" si="14"/>
        <v>253.8</v>
      </c>
      <c r="J134" s="4">
        <f t="shared" si="15"/>
        <v>4.345</v>
      </c>
      <c r="K134" s="9">
        <f t="shared" si="16"/>
        <v>2.79999999999996</v>
      </c>
      <c r="L134" s="1">
        <f t="shared" si="17"/>
        <v>28.4</v>
      </c>
    </row>
    <row r="135" s="1" customFormat="1" spans="1:12">
      <c r="A135" s="2">
        <v>4.412</v>
      </c>
      <c r="B135" s="10" t="s">
        <v>111</v>
      </c>
      <c r="C135" s="4">
        <v>4.412</v>
      </c>
      <c r="D135" s="5">
        <v>253.8</v>
      </c>
      <c r="E135" s="4"/>
      <c r="F135" s="4"/>
      <c r="G135" s="2">
        <f t="shared" si="12"/>
        <v>4.379</v>
      </c>
      <c r="H135" s="11" t="str">
        <f t="shared" si="13"/>
        <v>3.389E-2</v>
      </c>
      <c r="I135" s="2">
        <f t="shared" si="14"/>
        <v>253.8</v>
      </c>
      <c r="J135" s="4">
        <f t="shared" si="15"/>
        <v>4.379</v>
      </c>
      <c r="K135" s="9">
        <f t="shared" si="16"/>
        <v>3.70000000000002</v>
      </c>
      <c r="L135" s="1">
        <f t="shared" si="17"/>
        <v>28.4</v>
      </c>
    </row>
    <row r="136" s="1" customFormat="1" spans="1:12">
      <c r="A136" s="2">
        <v>4.446</v>
      </c>
      <c r="B136" s="10" t="s">
        <v>46</v>
      </c>
      <c r="C136" s="4">
        <v>4.446</v>
      </c>
      <c r="D136" s="5">
        <v>253.8</v>
      </c>
      <c r="E136" s="4"/>
      <c r="F136" s="4"/>
      <c r="G136" s="2">
        <f t="shared" si="12"/>
        <v>4.412</v>
      </c>
      <c r="H136" s="11" t="str">
        <f t="shared" si="13"/>
        <v>3.395E-2</v>
      </c>
      <c r="I136" s="2">
        <f t="shared" si="14"/>
        <v>253.8</v>
      </c>
      <c r="J136" s="4">
        <f t="shared" si="15"/>
        <v>4.412</v>
      </c>
      <c r="K136" s="9">
        <f t="shared" si="16"/>
        <v>4.3</v>
      </c>
      <c r="L136" s="1">
        <f t="shared" si="17"/>
        <v>28.4</v>
      </c>
    </row>
    <row r="137" s="1" customFormat="1" spans="1:12">
      <c r="A137" s="2">
        <v>4.479</v>
      </c>
      <c r="B137" s="10" t="s">
        <v>117</v>
      </c>
      <c r="C137" s="4">
        <v>4.479</v>
      </c>
      <c r="D137" s="5">
        <v>253.8</v>
      </c>
      <c r="E137" s="4"/>
      <c r="F137" s="4"/>
      <c r="G137" s="2">
        <f t="shared" si="12"/>
        <v>4.446</v>
      </c>
      <c r="H137" s="11" t="str">
        <f t="shared" si="13"/>
        <v>3.401E-2</v>
      </c>
      <c r="I137" s="2">
        <f t="shared" si="14"/>
        <v>253.8</v>
      </c>
      <c r="J137" s="4">
        <f t="shared" si="15"/>
        <v>4.446</v>
      </c>
      <c r="K137" s="9">
        <f t="shared" si="16"/>
        <v>4.89999999999997</v>
      </c>
      <c r="L137" s="1">
        <f t="shared" si="17"/>
        <v>28.4</v>
      </c>
    </row>
    <row r="138" s="1" customFormat="1" spans="1:12">
      <c r="A138" s="2">
        <v>4.513</v>
      </c>
      <c r="B138" s="10" t="s">
        <v>142</v>
      </c>
      <c r="C138" s="4">
        <v>4.513</v>
      </c>
      <c r="D138" s="5">
        <v>253.8</v>
      </c>
      <c r="E138" s="4"/>
      <c r="F138" s="4"/>
      <c r="G138" s="2">
        <f t="shared" si="12"/>
        <v>4.479</v>
      </c>
      <c r="H138" s="11" t="str">
        <f t="shared" si="13"/>
        <v>3.412E-2</v>
      </c>
      <c r="I138" s="2">
        <f t="shared" si="14"/>
        <v>253.8</v>
      </c>
      <c r="J138" s="4">
        <f t="shared" si="15"/>
        <v>4.479</v>
      </c>
      <c r="K138" s="9">
        <f t="shared" si="16"/>
        <v>5.99999999999996</v>
      </c>
      <c r="L138" s="1">
        <f t="shared" si="17"/>
        <v>28.4</v>
      </c>
    </row>
    <row r="139" s="1" customFormat="1" spans="1:12">
      <c r="A139" s="2">
        <v>4.546</v>
      </c>
      <c r="B139" s="10" t="s">
        <v>81</v>
      </c>
      <c r="C139" s="4">
        <v>4.546</v>
      </c>
      <c r="D139" s="5">
        <v>233.3</v>
      </c>
      <c r="E139" s="4"/>
      <c r="F139" s="4"/>
      <c r="G139" s="2">
        <f t="shared" si="12"/>
        <v>4.513</v>
      </c>
      <c r="H139" s="11" t="str">
        <f t="shared" si="13"/>
        <v>3.418E-2</v>
      </c>
      <c r="I139" s="2">
        <f t="shared" si="14"/>
        <v>253.8</v>
      </c>
      <c r="J139" s="4">
        <f t="shared" si="15"/>
        <v>4.513</v>
      </c>
      <c r="K139" s="9">
        <f t="shared" si="16"/>
        <v>6.60000000000001</v>
      </c>
      <c r="L139" s="1">
        <f t="shared" si="17"/>
        <v>28.4</v>
      </c>
    </row>
    <row r="140" s="1" customFormat="1" spans="1:12">
      <c r="A140" s="2">
        <v>4.579</v>
      </c>
      <c r="B140" s="10" t="s">
        <v>19</v>
      </c>
      <c r="C140" s="4">
        <v>4.579</v>
      </c>
      <c r="D140" s="5">
        <v>48.9</v>
      </c>
      <c r="E140" s="4"/>
      <c r="F140" s="4"/>
      <c r="G140" s="2">
        <f t="shared" si="12"/>
        <v>4.546</v>
      </c>
      <c r="H140" s="11" t="str">
        <f t="shared" si="13"/>
        <v>3.425E-2</v>
      </c>
      <c r="I140" s="2">
        <f t="shared" si="14"/>
        <v>233.3</v>
      </c>
      <c r="J140" s="4">
        <f t="shared" si="15"/>
        <v>4.546</v>
      </c>
      <c r="K140" s="9">
        <f t="shared" si="16"/>
        <v>7.30000000000001</v>
      </c>
      <c r="L140" s="1">
        <f t="shared" si="17"/>
        <v>28.4</v>
      </c>
    </row>
    <row r="141" s="1" customFormat="1" spans="1:12">
      <c r="A141" s="2">
        <v>4.613</v>
      </c>
      <c r="B141" s="10" t="s">
        <v>13</v>
      </c>
      <c r="C141" s="4">
        <v>4.613</v>
      </c>
      <c r="D141" s="5">
        <v>49.3</v>
      </c>
      <c r="E141" s="4"/>
      <c r="F141" s="4"/>
      <c r="G141" s="2">
        <f t="shared" si="12"/>
        <v>4.579</v>
      </c>
      <c r="H141" s="11" t="str">
        <f t="shared" si="13"/>
        <v>3.428E-2</v>
      </c>
      <c r="I141" s="2">
        <f t="shared" si="14"/>
        <v>48.9</v>
      </c>
      <c r="J141" s="4">
        <f t="shared" si="15"/>
        <v>4.579</v>
      </c>
      <c r="K141" s="9">
        <f t="shared" si="16"/>
        <v>7.59999999999997</v>
      </c>
      <c r="L141" s="1">
        <f t="shared" si="17"/>
        <v>-0.300000000000022</v>
      </c>
    </row>
    <row r="142" s="1" customFormat="1" spans="1:12">
      <c r="A142" s="2">
        <v>4.646</v>
      </c>
      <c r="B142" s="10" t="s">
        <v>43</v>
      </c>
      <c r="C142" s="4">
        <v>4.646</v>
      </c>
      <c r="D142" s="5">
        <v>49.2</v>
      </c>
      <c r="E142" s="4"/>
      <c r="F142" s="4"/>
      <c r="G142" s="2">
        <f t="shared" si="12"/>
        <v>4.613</v>
      </c>
      <c r="H142" s="11" t="str">
        <f t="shared" si="13"/>
        <v>3.431E-2</v>
      </c>
      <c r="I142" s="2">
        <f t="shared" si="14"/>
        <v>49.3</v>
      </c>
      <c r="J142" s="4">
        <f t="shared" si="15"/>
        <v>4.613</v>
      </c>
      <c r="K142" s="9">
        <f t="shared" si="16"/>
        <v>7.89999999999999</v>
      </c>
      <c r="L142" s="1">
        <f t="shared" si="17"/>
        <v>-0.300000000000022</v>
      </c>
    </row>
    <row r="143" s="1" customFormat="1" spans="1:12">
      <c r="A143" s="2">
        <v>4.68</v>
      </c>
      <c r="B143" s="10" t="s">
        <v>216</v>
      </c>
      <c r="C143" s="4">
        <v>4.68</v>
      </c>
      <c r="D143" s="5">
        <v>48.9</v>
      </c>
      <c r="E143" s="4"/>
      <c r="F143" s="4"/>
      <c r="G143" s="2">
        <f t="shared" si="12"/>
        <v>4.646</v>
      </c>
      <c r="H143" s="11" t="str">
        <f t="shared" si="13"/>
        <v>3.441E-2</v>
      </c>
      <c r="I143" s="2">
        <f t="shared" si="14"/>
        <v>49.2</v>
      </c>
      <c r="J143" s="4">
        <f t="shared" si="15"/>
        <v>4.646</v>
      </c>
      <c r="K143" s="9">
        <f t="shared" si="16"/>
        <v>8.90000000000002</v>
      </c>
      <c r="L143" s="1">
        <f t="shared" si="17"/>
        <v>-0.300000000000022</v>
      </c>
    </row>
    <row r="144" s="1" customFormat="1" spans="1:12">
      <c r="A144" s="2">
        <v>4.713</v>
      </c>
      <c r="B144" s="10" t="s">
        <v>42</v>
      </c>
      <c r="C144" s="4">
        <v>4.713</v>
      </c>
      <c r="D144" s="5">
        <v>48.4</v>
      </c>
      <c r="E144" s="4"/>
      <c r="F144" s="4"/>
      <c r="G144" s="2">
        <f t="shared" si="12"/>
        <v>4.68</v>
      </c>
      <c r="H144" s="11" t="str">
        <f t="shared" si="13"/>
        <v>3.446E-2</v>
      </c>
      <c r="I144" s="2">
        <f t="shared" si="14"/>
        <v>48.9</v>
      </c>
      <c r="J144" s="4">
        <f t="shared" si="15"/>
        <v>4.68</v>
      </c>
      <c r="K144" s="9">
        <f t="shared" si="16"/>
        <v>9.39999999999996</v>
      </c>
      <c r="L144" s="1">
        <f t="shared" si="17"/>
        <v>-0.300000000000022</v>
      </c>
    </row>
    <row r="145" s="1" customFormat="1" spans="1:12">
      <c r="A145" s="2">
        <v>4.747</v>
      </c>
      <c r="B145" s="10" t="s">
        <v>167</v>
      </c>
      <c r="C145" s="4">
        <v>4.747</v>
      </c>
      <c r="D145" s="5">
        <v>47.9</v>
      </c>
      <c r="E145" s="4"/>
      <c r="F145" s="4"/>
      <c r="G145" s="2">
        <f t="shared" si="12"/>
        <v>4.713</v>
      </c>
      <c r="H145" s="11" t="str">
        <f t="shared" si="13"/>
        <v>3.450E-2</v>
      </c>
      <c r="I145" s="2">
        <f t="shared" si="14"/>
        <v>48.4</v>
      </c>
      <c r="J145" s="4">
        <f t="shared" si="15"/>
        <v>4.713</v>
      </c>
      <c r="K145" s="9">
        <f t="shared" si="16"/>
        <v>9.80000000000002</v>
      </c>
      <c r="L145" s="1">
        <f t="shared" si="17"/>
        <v>-0.300000000000022</v>
      </c>
    </row>
    <row r="146" s="1" customFormat="1" spans="1:12">
      <c r="A146" s="2">
        <v>4.78</v>
      </c>
      <c r="B146" s="10" t="s">
        <v>140</v>
      </c>
      <c r="C146" s="4">
        <v>4.78</v>
      </c>
      <c r="D146" s="5">
        <v>48.5</v>
      </c>
      <c r="E146" s="4"/>
      <c r="F146" s="4"/>
      <c r="G146" s="2">
        <f t="shared" si="12"/>
        <v>4.747</v>
      </c>
      <c r="H146" s="11" t="str">
        <f t="shared" si="13"/>
        <v>3.453E-2</v>
      </c>
      <c r="I146" s="2">
        <f t="shared" si="14"/>
        <v>47.9</v>
      </c>
      <c r="J146" s="4">
        <f t="shared" si="15"/>
        <v>4.747</v>
      </c>
      <c r="K146" s="9">
        <f t="shared" si="16"/>
        <v>10.1</v>
      </c>
      <c r="L146" s="1">
        <f t="shared" si="17"/>
        <v>-0.300000000000022</v>
      </c>
    </row>
    <row r="147" s="1" customFormat="1" spans="1:12">
      <c r="A147" s="2">
        <v>4.813</v>
      </c>
      <c r="B147" s="10" t="s">
        <v>41</v>
      </c>
      <c r="C147" s="4">
        <v>4.813</v>
      </c>
      <c r="D147" s="5">
        <v>48.1</v>
      </c>
      <c r="E147" s="4"/>
      <c r="F147" s="4"/>
      <c r="G147" s="2">
        <f t="shared" si="12"/>
        <v>4.78</v>
      </c>
      <c r="H147" s="11" t="str">
        <f t="shared" si="13"/>
        <v>3.454E-2</v>
      </c>
      <c r="I147" s="2">
        <f t="shared" si="14"/>
        <v>48.5</v>
      </c>
      <c r="J147" s="4">
        <f t="shared" si="15"/>
        <v>4.78</v>
      </c>
      <c r="K147" s="9">
        <f t="shared" si="16"/>
        <v>10.2</v>
      </c>
      <c r="L147" s="1">
        <f t="shared" si="17"/>
        <v>-0.300000000000022</v>
      </c>
    </row>
    <row r="148" s="1" customFormat="1" spans="1:12">
      <c r="A148" s="2">
        <v>4.847</v>
      </c>
      <c r="B148" s="10" t="s">
        <v>140</v>
      </c>
      <c r="C148" s="4">
        <v>4.847</v>
      </c>
      <c r="D148" s="5">
        <v>48.2</v>
      </c>
      <c r="E148" s="4"/>
      <c r="F148" s="4"/>
      <c r="G148" s="2">
        <f t="shared" si="12"/>
        <v>4.813</v>
      </c>
      <c r="H148" s="11" t="str">
        <f t="shared" si="13"/>
        <v>3.456E-2</v>
      </c>
      <c r="I148" s="2">
        <f t="shared" si="14"/>
        <v>48.1</v>
      </c>
      <c r="J148" s="4">
        <f t="shared" si="15"/>
        <v>4.813</v>
      </c>
      <c r="K148" s="9">
        <f t="shared" si="16"/>
        <v>10.4</v>
      </c>
      <c r="L148" s="1">
        <f t="shared" si="17"/>
        <v>-0.300000000000022</v>
      </c>
    </row>
    <row r="149" s="1" customFormat="1" spans="1:12">
      <c r="A149" s="2">
        <v>4.88</v>
      </c>
      <c r="B149" s="10" t="s">
        <v>59</v>
      </c>
      <c r="C149" s="4">
        <v>4.88</v>
      </c>
      <c r="D149" s="5">
        <v>48.2</v>
      </c>
      <c r="E149" s="4"/>
      <c r="F149" s="4"/>
      <c r="G149" s="2">
        <f t="shared" si="12"/>
        <v>4.847</v>
      </c>
      <c r="H149" s="11" t="str">
        <f t="shared" si="13"/>
        <v>3.454E-2</v>
      </c>
      <c r="I149" s="2">
        <f t="shared" si="14"/>
        <v>48.2</v>
      </c>
      <c r="J149" s="4">
        <f t="shared" si="15"/>
        <v>4.847</v>
      </c>
      <c r="K149" s="9">
        <f t="shared" si="16"/>
        <v>10.2</v>
      </c>
      <c r="L149" s="1">
        <f t="shared" si="17"/>
        <v>-0.300000000000022</v>
      </c>
    </row>
    <row r="150" s="1" customFormat="1" spans="1:12">
      <c r="A150" s="2">
        <v>4.914</v>
      </c>
      <c r="B150" s="10" t="s">
        <v>26</v>
      </c>
      <c r="C150" s="4">
        <v>4.914</v>
      </c>
      <c r="D150" s="5">
        <v>48.3</v>
      </c>
      <c r="E150" s="4"/>
      <c r="F150" s="4"/>
      <c r="G150" s="2">
        <f t="shared" si="12"/>
        <v>4.88</v>
      </c>
      <c r="H150" s="11" t="str">
        <f t="shared" si="13"/>
        <v>3.452E-2</v>
      </c>
      <c r="I150" s="2">
        <f t="shared" si="14"/>
        <v>48.2</v>
      </c>
      <c r="J150" s="4">
        <f t="shared" si="15"/>
        <v>4.88</v>
      </c>
      <c r="K150" s="9">
        <f t="shared" si="16"/>
        <v>10</v>
      </c>
      <c r="L150" s="1">
        <f t="shared" si="17"/>
        <v>-0.300000000000022</v>
      </c>
    </row>
    <row r="151" s="1" customFormat="1" spans="1:12">
      <c r="A151" s="2">
        <v>4.947</v>
      </c>
      <c r="B151" s="10" t="s">
        <v>144</v>
      </c>
      <c r="C151" s="4">
        <v>4.947</v>
      </c>
      <c r="D151" s="5">
        <v>47.7</v>
      </c>
      <c r="E151" s="4"/>
      <c r="F151" s="4"/>
      <c r="G151" s="2">
        <f t="shared" si="12"/>
        <v>4.914</v>
      </c>
      <c r="H151" s="11" t="str">
        <f t="shared" si="13"/>
        <v>3.451E-2</v>
      </c>
      <c r="I151" s="2">
        <f t="shared" si="14"/>
        <v>48.3</v>
      </c>
      <c r="J151" s="4">
        <f t="shared" si="15"/>
        <v>4.914</v>
      </c>
      <c r="K151" s="9">
        <f t="shared" si="16"/>
        <v>9.89999999999998</v>
      </c>
      <c r="L151" s="1">
        <f t="shared" si="17"/>
        <v>-0.300000000000022</v>
      </c>
    </row>
    <row r="152" s="1" customFormat="1" spans="1:12">
      <c r="A152" s="2">
        <v>4.981</v>
      </c>
      <c r="B152" s="10" t="s">
        <v>216</v>
      </c>
      <c r="C152" s="4">
        <v>4.981</v>
      </c>
      <c r="D152" s="5">
        <v>48.2</v>
      </c>
      <c r="E152" s="4"/>
      <c r="F152" s="4"/>
      <c r="G152" s="2">
        <f t="shared" si="12"/>
        <v>4.947</v>
      </c>
      <c r="H152" s="11" t="str">
        <f t="shared" si="13"/>
        <v>3.449E-2</v>
      </c>
      <c r="I152" s="2">
        <f t="shared" si="14"/>
        <v>47.7</v>
      </c>
      <c r="J152" s="4">
        <f t="shared" si="15"/>
        <v>4.947</v>
      </c>
      <c r="K152" s="9">
        <f t="shared" si="16"/>
        <v>9.69999999999999</v>
      </c>
      <c r="L152" s="1">
        <f t="shared" si="17"/>
        <v>-0.300000000000022</v>
      </c>
    </row>
    <row r="153" s="1" customFormat="1" spans="1:12">
      <c r="A153" s="2">
        <v>5.014</v>
      </c>
      <c r="B153" s="10" t="s">
        <v>141</v>
      </c>
      <c r="C153" s="4">
        <v>5.014</v>
      </c>
      <c r="D153" s="5">
        <v>47.8</v>
      </c>
      <c r="E153" s="4"/>
      <c r="F153" s="4"/>
      <c r="G153" s="2">
        <f t="shared" si="12"/>
        <v>4.981</v>
      </c>
      <c r="H153" s="11" t="str">
        <f t="shared" si="13"/>
        <v>3.446E-2</v>
      </c>
      <c r="I153" s="2">
        <f t="shared" si="14"/>
        <v>48.2</v>
      </c>
      <c r="J153" s="4">
        <f t="shared" si="15"/>
        <v>4.981</v>
      </c>
      <c r="K153" s="9">
        <f t="shared" si="16"/>
        <v>9.39999999999996</v>
      </c>
      <c r="L153" s="1">
        <f t="shared" si="17"/>
        <v>-0.300000000000022</v>
      </c>
    </row>
    <row r="154" s="1" customFormat="1" spans="1:12">
      <c r="A154" s="2">
        <v>5.047</v>
      </c>
      <c r="B154" s="10" t="s">
        <v>23</v>
      </c>
      <c r="C154" s="4">
        <v>5.047</v>
      </c>
      <c r="D154" s="5">
        <v>48.1</v>
      </c>
      <c r="E154" s="4"/>
      <c r="F154" s="4"/>
      <c r="G154" s="2">
        <f t="shared" si="12"/>
        <v>5.014</v>
      </c>
      <c r="H154" s="11" t="str">
        <f t="shared" si="13"/>
        <v>3.444E-2</v>
      </c>
      <c r="I154" s="2">
        <f t="shared" si="14"/>
        <v>47.8</v>
      </c>
      <c r="J154" s="4">
        <f t="shared" si="15"/>
        <v>5.014</v>
      </c>
      <c r="K154" s="9">
        <f t="shared" si="16"/>
        <v>9.19999999999997</v>
      </c>
      <c r="L154" s="1">
        <f t="shared" si="17"/>
        <v>-0.300000000000022</v>
      </c>
    </row>
    <row r="155" s="1" customFormat="1" spans="1:12">
      <c r="A155" s="2">
        <v>5.081</v>
      </c>
      <c r="B155" s="10" t="s">
        <v>22</v>
      </c>
      <c r="C155" s="4">
        <v>5.081</v>
      </c>
      <c r="D155" s="5">
        <v>48</v>
      </c>
      <c r="E155" s="4"/>
      <c r="F155" s="4"/>
      <c r="G155" s="2">
        <f t="shared" si="12"/>
        <v>5.047</v>
      </c>
      <c r="H155" s="11" t="str">
        <f t="shared" si="13"/>
        <v>3.442E-2</v>
      </c>
      <c r="I155" s="2">
        <f t="shared" si="14"/>
        <v>48.1</v>
      </c>
      <c r="J155" s="4">
        <f t="shared" si="15"/>
        <v>5.047</v>
      </c>
      <c r="K155" s="9">
        <f t="shared" si="16"/>
        <v>8.99999999999998</v>
      </c>
      <c r="L155" s="1">
        <f t="shared" si="17"/>
        <v>-0.300000000000022</v>
      </c>
    </row>
    <row r="156" s="1" customFormat="1" spans="1:12">
      <c r="A156" s="2">
        <v>5.114</v>
      </c>
      <c r="B156" s="10" t="s">
        <v>21</v>
      </c>
      <c r="C156" s="4">
        <v>5.114</v>
      </c>
      <c r="D156" s="5">
        <v>47.6</v>
      </c>
      <c r="E156" s="4"/>
      <c r="F156" s="4"/>
      <c r="G156" s="2">
        <f t="shared" si="12"/>
        <v>5.081</v>
      </c>
      <c r="H156" s="11" t="str">
        <f t="shared" si="13"/>
        <v>3.439E-2</v>
      </c>
      <c r="I156" s="2">
        <f t="shared" si="14"/>
        <v>48</v>
      </c>
      <c r="J156" s="4">
        <f t="shared" si="15"/>
        <v>5.081</v>
      </c>
      <c r="K156" s="9">
        <f t="shared" si="16"/>
        <v>8.69999999999996</v>
      </c>
      <c r="L156" s="1">
        <f t="shared" si="17"/>
        <v>-0.300000000000022</v>
      </c>
    </row>
    <row r="157" s="1" customFormat="1" spans="1:12">
      <c r="A157" s="2">
        <v>5.148</v>
      </c>
      <c r="B157" s="10" t="s">
        <v>12</v>
      </c>
      <c r="C157" s="4">
        <v>5.148</v>
      </c>
      <c r="D157" s="5">
        <v>48.4</v>
      </c>
      <c r="E157" s="4"/>
      <c r="F157" s="4"/>
      <c r="G157" s="2">
        <f t="shared" si="12"/>
        <v>5.114</v>
      </c>
      <c r="H157" s="11" t="str">
        <f t="shared" si="13"/>
        <v>3.437E-2</v>
      </c>
      <c r="I157" s="2">
        <f t="shared" si="14"/>
        <v>47.6</v>
      </c>
      <c r="J157" s="4">
        <f t="shared" si="15"/>
        <v>5.114</v>
      </c>
      <c r="K157" s="9">
        <f t="shared" si="16"/>
        <v>8.49999999999997</v>
      </c>
      <c r="L157" s="1">
        <f t="shared" si="17"/>
        <v>-0.300000000000022</v>
      </c>
    </row>
    <row r="158" s="1" customFormat="1" spans="1:12">
      <c r="A158" s="2">
        <v>5.181</v>
      </c>
      <c r="B158" s="10" t="s">
        <v>20</v>
      </c>
      <c r="C158" s="4">
        <v>5.181</v>
      </c>
      <c r="D158" s="5">
        <v>47.9</v>
      </c>
      <c r="E158" s="4"/>
      <c r="F158" s="4"/>
      <c r="G158" s="2">
        <f t="shared" si="12"/>
        <v>5.148</v>
      </c>
      <c r="H158" s="11" t="str">
        <f t="shared" si="13"/>
        <v>3.435E-2</v>
      </c>
      <c r="I158" s="2">
        <f t="shared" si="14"/>
        <v>48.4</v>
      </c>
      <c r="J158" s="4">
        <f t="shared" si="15"/>
        <v>5.148</v>
      </c>
      <c r="K158" s="9">
        <f t="shared" si="16"/>
        <v>8.29999999999997</v>
      </c>
      <c r="L158" s="1">
        <f t="shared" si="17"/>
        <v>-0.300000000000022</v>
      </c>
    </row>
    <row r="159" s="1" customFormat="1" spans="1:12">
      <c r="A159" s="2">
        <v>5.214</v>
      </c>
      <c r="B159" s="10" t="s">
        <v>19</v>
      </c>
      <c r="C159" s="4">
        <v>5.214</v>
      </c>
      <c r="D159" s="5">
        <v>48</v>
      </c>
      <c r="E159" s="4"/>
      <c r="F159" s="4"/>
      <c r="G159" s="2">
        <f t="shared" si="12"/>
        <v>5.181</v>
      </c>
      <c r="H159" s="11" t="str">
        <f t="shared" si="13"/>
        <v>3.430E-2</v>
      </c>
      <c r="I159" s="2">
        <f t="shared" si="14"/>
        <v>47.9</v>
      </c>
      <c r="J159" s="4">
        <f t="shared" si="15"/>
        <v>5.181</v>
      </c>
      <c r="K159" s="9">
        <f t="shared" si="16"/>
        <v>7.79999999999996</v>
      </c>
      <c r="L159" s="1">
        <f t="shared" si="17"/>
        <v>-0.300000000000022</v>
      </c>
    </row>
    <row r="160" s="1" customFormat="1" spans="1:12">
      <c r="A160" s="2">
        <v>5.248</v>
      </c>
      <c r="B160" s="10" t="s">
        <v>18</v>
      </c>
      <c r="C160" s="4">
        <v>5.248</v>
      </c>
      <c r="D160" s="5">
        <v>47.7</v>
      </c>
      <c r="E160" s="4"/>
      <c r="F160" s="4"/>
      <c r="G160" s="2">
        <f t="shared" si="12"/>
        <v>5.214</v>
      </c>
      <c r="H160" s="11" t="str">
        <f t="shared" si="13"/>
        <v>3.428E-2</v>
      </c>
      <c r="I160" s="2">
        <f t="shared" si="14"/>
        <v>48</v>
      </c>
      <c r="J160" s="4">
        <f t="shared" si="15"/>
        <v>5.214</v>
      </c>
      <c r="K160" s="9">
        <f t="shared" si="16"/>
        <v>7.59999999999997</v>
      </c>
      <c r="L160" s="1">
        <f t="shared" si="17"/>
        <v>-0.300000000000022</v>
      </c>
    </row>
    <row r="161" s="1" customFormat="1" spans="1:12">
      <c r="A161" s="2">
        <v>5.281</v>
      </c>
      <c r="B161" s="10" t="s">
        <v>45</v>
      </c>
      <c r="C161" s="4">
        <v>5.281</v>
      </c>
      <c r="D161" s="5">
        <v>48.1</v>
      </c>
      <c r="E161" s="4"/>
      <c r="F161" s="4"/>
      <c r="G161" s="2">
        <f t="shared" si="12"/>
        <v>5.248</v>
      </c>
      <c r="H161" s="11" t="str">
        <f t="shared" si="13"/>
        <v>3.424E-2</v>
      </c>
      <c r="I161" s="2">
        <f t="shared" si="14"/>
        <v>47.7</v>
      </c>
      <c r="J161" s="4">
        <f t="shared" si="15"/>
        <v>5.248</v>
      </c>
      <c r="K161" s="9">
        <f t="shared" si="16"/>
        <v>7.19999999999998</v>
      </c>
      <c r="L161" s="1">
        <f t="shared" si="17"/>
        <v>-0.300000000000022</v>
      </c>
    </row>
    <row r="162" s="1" customFormat="1" spans="1:12">
      <c r="A162" s="2">
        <v>5.315</v>
      </c>
      <c r="B162" s="10" t="s">
        <v>230</v>
      </c>
      <c r="C162" s="4">
        <v>5.315</v>
      </c>
      <c r="D162" s="5">
        <v>48.2</v>
      </c>
      <c r="E162" s="4"/>
      <c r="F162" s="4"/>
      <c r="G162" s="2">
        <f t="shared" si="12"/>
        <v>5.281</v>
      </c>
      <c r="H162" s="11" t="str">
        <f t="shared" si="13"/>
        <v>3.415E-2</v>
      </c>
      <c r="I162" s="2">
        <f t="shared" si="14"/>
        <v>48.1</v>
      </c>
      <c r="J162" s="4">
        <f t="shared" si="15"/>
        <v>5.281</v>
      </c>
      <c r="K162" s="9">
        <f t="shared" si="16"/>
        <v>6.29999999999999</v>
      </c>
      <c r="L162" s="1">
        <f t="shared" si="17"/>
        <v>-0.300000000000022</v>
      </c>
    </row>
    <row r="163" s="1" customFormat="1" spans="1:12">
      <c r="A163" s="2">
        <v>5.348</v>
      </c>
      <c r="B163" s="10" t="s">
        <v>229</v>
      </c>
      <c r="C163" s="4">
        <v>5.348</v>
      </c>
      <c r="D163" s="5">
        <v>47.8</v>
      </c>
      <c r="E163" s="4"/>
      <c r="F163" s="4"/>
      <c r="G163" s="2">
        <f t="shared" si="12"/>
        <v>5.315</v>
      </c>
      <c r="H163" s="11" t="str">
        <f t="shared" si="13"/>
        <v>3.409E-2</v>
      </c>
      <c r="I163" s="2">
        <f t="shared" si="14"/>
        <v>48.2</v>
      </c>
      <c r="J163" s="4">
        <f t="shared" si="15"/>
        <v>5.315</v>
      </c>
      <c r="K163" s="9">
        <f t="shared" si="16"/>
        <v>5.70000000000001</v>
      </c>
      <c r="L163" s="1">
        <f t="shared" si="17"/>
        <v>-0.300000000000022</v>
      </c>
    </row>
    <row r="164" s="1" customFormat="1" spans="1:12">
      <c r="A164" s="2">
        <v>5.382</v>
      </c>
      <c r="B164" s="10" t="s">
        <v>46</v>
      </c>
      <c r="C164" s="4">
        <v>5.382</v>
      </c>
      <c r="D164" s="5">
        <v>253.8</v>
      </c>
      <c r="E164" s="4"/>
      <c r="F164" s="4"/>
      <c r="G164" s="2">
        <f t="shared" si="12"/>
        <v>5.348</v>
      </c>
      <c r="H164" s="11" t="str">
        <f t="shared" si="13"/>
        <v>3.405E-2</v>
      </c>
      <c r="I164" s="2">
        <f t="shared" si="14"/>
        <v>47.8</v>
      </c>
      <c r="J164" s="4">
        <f t="shared" si="15"/>
        <v>5.348</v>
      </c>
      <c r="K164" s="9">
        <f t="shared" si="16"/>
        <v>5.29999999999996</v>
      </c>
      <c r="L164" s="1">
        <f t="shared" si="17"/>
        <v>-0.300000000000022</v>
      </c>
    </row>
    <row r="165" s="1" customFormat="1" spans="1:12">
      <c r="A165" s="2">
        <v>5.415</v>
      </c>
      <c r="B165" s="10" t="s">
        <v>46</v>
      </c>
      <c r="C165" s="4">
        <v>5.415</v>
      </c>
      <c r="D165" s="5">
        <v>253.8</v>
      </c>
      <c r="E165" s="4"/>
      <c r="F165" s="4"/>
      <c r="G165" s="2">
        <f t="shared" si="12"/>
        <v>5.382</v>
      </c>
      <c r="H165" s="11" t="str">
        <f t="shared" si="13"/>
        <v>3.401E-2</v>
      </c>
      <c r="I165" s="2">
        <f t="shared" si="14"/>
        <v>253.8</v>
      </c>
      <c r="J165" s="4">
        <f t="shared" si="15"/>
        <v>5.382</v>
      </c>
      <c r="K165" s="9">
        <f t="shared" si="16"/>
        <v>4.89999999999997</v>
      </c>
      <c r="L165" s="1">
        <f t="shared" si="17"/>
        <v>28.4</v>
      </c>
    </row>
    <row r="166" s="1" customFormat="1" spans="1:12">
      <c r="A166" s="2">
        <v>5.448</v>
      </c>
      <c r="B166" s="10" t="s">
        <v>83</v>
      </c>
      <c r="C166" s="4">
        <v>5.448</v>
      </c>
      <c r="D166" s="5">
        <v>253.8</v>
      </c>
      <c r="E166" s="4"/>
      <c r="F166" s="4"/>
      <c r="G166" s="2">
        <f t="shared" si="12"/>
        <v>5.415</v>
      </c>
      <c r="H166" s="11" t="str">
        <f t="shared" si="13"/>
        <v>3.401E-2</v>
      </c>
      <c r="I166" s="2">
        <f t="shared" si="14"/>
        <v>253.8</v>
      </c>
      <c r="J166" s="4">
        <f t="shared" si="15"/>
        <v>5.415</v>
      </c>
      <c r="K166" s="9">
        <f t="shared" si="16"/>
        <v>4.89999999999997</v>
      </c>
      <c r="L166" s="1">
        <f t="shared" si="17"/>
        <v>28.4</v>
      </c>
    </row>
    <row r="167" s="1" customFormat="1" spans="1:12">
      <c r="A167" s="2">
        <v>5.482</v>
      </c>
      <c r="B167" s="10" t="s">
        <v>83</v>
      </c>
      <c r="C167" s="4">
        <v>5.482</v>
      </c>
      <c r="D167" s="5">
        <v>253.8</v>
      </c>
      <c r="E167" s="4"/>
      <c r="F167" s="4"/>
      <c r="G167" s="2">
        <f t="shared" si="12"/>
        <v>5.448</v>
      </c>
      <c r="H167" s="11" t="str">
        <f t="shared" si="13"/>
        <v>3.400E-2</v>
      </c>
      <c r="I167" s="2">
        <f t="shared" si="14"/>
        <v>253.8</v>
      </c>
      <c r="J167" s="4">
        <f t="shared" si="15"/>
        <v>5.448</v>
      </c>
      <c r="K167" s="9">
        <f t="shared" si="16"/>
        <v>4.80000000000001</v>
      </c>
      <c r="L167" s="1">
        <f t="shared" si="17"/>
        <v>28.4</v>
      </c>
    </row>
    <row r="168" s="1" customFormat="1" spans="1:12">
      <c r="A168" s="2">
        <v>5.515</v>
      </c>
      <c r="B168" s="10" t="s">
        <v>83</v>
      </c>
      <c r="C168" s="4">
        <v>5.515</v>
      </c>
      <c r="D168" s="5">
        <v>253.8</v>
      </c>
      <c r="E168" s="4"/>
      <c r="F168" s="4"/>
      <c r="G168" s="2">
        <f t="shared" si="12"/>
        <v>5.482</v>
      </c>
      <c r="H168" s="11" t="str">
        <f t="shared" si="13"/>
        <v>3.400E-2</v>
      </c>
      <c r="I168" s="2">
        <f t="shared" si="14"/>
        <v>253.8</v>
      </c>
      <c r="J168" s="4">
        <f t="shared" si="15"/>
        <v>5.482</v>
      </c>
      <c r="K168" s="9">
        <f t="shared" si="16"/>
        <v>4.80000000000001</v>
      </c>
      <c r="L168" s="1">
        <f t="shared" si="17"/>
        <v>28.4</v>
      </c>
    </row>
    <row r="169" s="1" customFormat="1" spans="1:12">
      <c r="A169" s="2">
        <v>5.549</v>
      </c>
      <c r="B169" s="10" t="s">
        <v>56</v>
      </c>
      <c r="C169" s="4">
        <v>5.549</v>
      </c>
      <c r="D169" s="5">
        <v>253.8</v>
      </c>
      <c r="E169" s="4"/>
      <c r="F169" s="4"/>
      <c r="G169" s="2">
        <f t="shared" si="12"/>
        <v>5.515</v>
      </c>
      <c r="H169" s="11" t="str">
        <f t="shared" si="13"/>
        <v>3.400E-2</v>
      </c>
      <c r="I169" s="2">
        <f t="shared" si="14"/>
        <v>253.8</v>
      </c>
      <c r="J169" s="4">
        <f t="shared" si="15"/>
        <v>5.515</v>
      </c>
      <c r="K169" s="9">
        <f t="shared" si="16"/>
        <v>4.80000000000001</v>
      </c>
      <c r="L169" s="1">
        <f t="shared" si="17"/>
        <v>28.4</v>
      </c>
    </row>
    <row r="170" s="1" customFormat="1" spans="1:12">
      <c r="A170" s="2">
        <v>5.582</v>
      </c>
      <c r="B170" s="10" t="s">
        <v>234</v>
      </c>
      <c r="C170" s="4">
        <v>5.582</v>
      </c>
      <c r="D170" s="5">
        <v>253.8</v>
      </c>
      <c r="E170" s="4"/>
      <c r="F170" s="4"/>
      <c r="G170" s="2">
        <f t="shared" si="12"/>
        <v>5.549</v>
      </c>
      <c r="H170" s="11" t="str">
        <f t="shared" si="13"/>
        <v>3.402E-2</v>
      </c>
      <c r="I170" s="2">
        <f t="shared" si="14"/>
        <v>253.8</v>
      </c>
      <c r="J170" s="4">
        <f t="shared" si="15"/>
        <v>5.549</v>
      </c>
      <c r="K170" s="9">
        <f t="shared" si="16"/>
        <v>5</v>
      </c>
      <c r="L170" s="1">
        <f t="shared" si="17"/>
        <v>28.4</v>
      </c>
    </row>
    <row r="171" s="1" customFormat="1" spans="1:12">
      <c r="A171" s="2">
        <v>5.616</v>
      </c>
      <c r="B171" s="10" t="s">
        <v>116</v>
      </c>
      <c r="C171" s="4">
        <v>5.616</v>
      </c>
      <c r="D171" s="5">
        <v>253.8</v>
      </c>
      <c r="E171" s="4"/>
      <c r="F171" s="4"/>
      <c r="G171" s="2">
        <f t="shared" si="12"/>
        <v>5.582</v>
      </c>
      <c r="H171" s="11" t="str">
        <f t="shared" si="13"/>
        <v>3.404E-2</v>
      </c>
      <c r="I171" s="2">
        <f t="shared" si="14"/>
        <v>253.8</v>
      </c>
      <c r="J171" s="4">
        <f t="shared" si="15"/>
        <v>5.582</v>
      </c>
      <c r="K171" s="9">
        <f t="shared" si="16"/>
        <v>5.2</v>
      </c>
      <c r="L171" s="1">
        <f t="shared" si="17"/>
        <v>28.4</v>
      </c>
    </row>
    <row r="172" s="1" customFormat="1" spans="1:12">
      <c r="A172" s="2">
        <v>5.649</v>
      </c>
      <c r="B172" s="10" t="s">
        <v>228</v>
      </c>
      <c r="C172" s="4">
        <v>5.649</v>
      </c>
      <c r="D172" s="5">
        <v>253.8</v>
      </c>
      <c r="E172" s="4"/>
      <c r="F172" s="4"/>
      <c r="G172" s="2">
        <f t="shared" si="12"/>
        <v>5.616</v>
      </c>
      <c r="H172" s="11" t="str">
        <f t="shared" si="13"/>
        <v>3.406E-2</v>
      </c>
      <c r="I172" s="2">
        <f t="shared" si="14"/>
        <v>253.8</v>
      </c>
      <c r="J172" s="4">
        <f t="shared" si="15"/>
        <v>5.616</v>
      </c>
      <c r="K172" s="9">
        <f t="shared" si="16"/>
        <v>5.39999999999999</v>
      </c>
      <c r="L172" s="1">
        <f t="shared" si="17"/>
        <v>28.4</v>
      </c>
    </row>
    <row r="173" s="1" customFormat="1" spans="1:12">
      <c r="A173" s="2">
        <v>5.682</v>
      </c>
      <c r="B173" s="10" t="s">
        <v>230</v>
      </c>
      <c r="C173" s="4">
        <v>5.682</v>
      </c>
      <c r="D173" s="5">
        <v>253.8</v>
      </c>
      <c r="E173" s="4"/>
      <c r="F173" s="4"/>
      <c r="G173" s="2">
        <f t="shared" si="12"/>
        <v>5.649</v>
      </c>
      <c r="H173" s="11" t="str">
        <f t="shared" si="13"/>
        <v>3.407E-2</v>
      </c>
      <c r="I173" s="2">
        <f t="shared" si="14"/>
        <v>253.8</v>
      </c>
      <c r="J173" s="4">
        <f t="shared" si="15"/>
        <v>5.649</v>
      </c>
      <c r="K173" s="9">
        <f t="shared" si="16"/>
        <v>5.50000000000002</v>
      </c>
      <c r="L173" s="1">
        <f t="shared" si="17"/>
        <v>28.4</v>
      </c>
    </row>
    <row r="174" s="1" customFormat="1" spans="1:12">
      <c r="A174" s="2">
        <v>5.716</v>
      </c>
      <c r="B174" s="10" t="s">
        <v>244</v>
      </c>
      <c r="C174" s="4">
        <v>5.716</v>
      </c>
      <c r="D174" s="5">
        <v>253.8</v>
      </c>
      <c r="E174" s="4"/>
      <c r="F174" s="4"/>
      <c r="G174" s="2">
        <f t="shared" si="12"/>
        <v>5.682</v>
      </c>
      <c r="H174" s="11" t="str">
        <f t="shared" si="13"/>
        <v>3.409E-2</v>
      </c>
      <c r="I174" s="2">
        <f t="shared" si="14"/>
        <v>253.8</v>
      </c>
      <c r="J174" s="4">
        <f t="shared" si="15"/>
        <v>5.682</v>
      </c>
      <c r="K174" s="9">
        <f t="shared" si="16"/>
        <v>5.70000000000001</v>
      </c>
      <c r="L174" s="1">
        <f t="shared" si="17"/>
        <v>28.4</v>
      </c>
    </row>
    <row r="175" s="1" customFormat="1" spans="1:12">
      <c r="A175" s="2">
        <v>5.749</v>
      </c>
      <c r="B175" s="10" t="s">
        <v>238</v>
      </c>
      <c r="C175" s="4">
        <v>5.749</v>
      </c>
      <c r="D175" s="5">
        <v>253.8</v>
      </c>
      <c r="E175" s="4"/>
      <c r="F175" s="4"/>
      <c r="G175" s="2">
        <f t="shared" si="12"/>
        <v>5.716</v>
      </c>
      <c r="H175" s="11" t="str">
        <f t="shared" si="13"/>
        <v>3.411E-2</v>
      </c>
      <c r="I175" s="2">
        <f t="shared" si="14"/>
        <v>253.8</v>
      </c>
      <c r="J175" s="4">
        <f t="shared" si="15"/>
        <v>5.716</v>
      </c>
      <c r="K175" s="9">
        <f t="shared" si="16"/>
        <v>5.9</v>
      </c>
      <c r="L175" s="1">
        <f t="shared" si="17"/>
        <v>28.4</v>
      </c>
    </row>
    <row r="176" s="1" customFormat="1" spans="1:12">
      <c r="A176" s="2">
        <v>5.783</v>
      </c>
      <c r="B176" s="10" t="s">
        <v>142</v>
      </c>
      <c r="C176" s="4">
        <v>5.783</v>
      </c>
      <c r="D176" s="5">
        <v>253.8</v>
      </c>
      <c r="E176" s="4"/>
      <c r="F176" s="4"/>
      <c r="G176" s="2">
        <f t="shared" si="12"/>
        <v>5.749</v>
      </c>
      <c r="H176" s="11" t="str">
        <f t="shared" si="13"/>
        <v>3.416E-2</v>
      </c>
      <c r="I176" s="2">
        <f t="shared" si="14"/>
        <v>253.8</v>
      </c>
      <c r="J176" s="4">
        <f t="shared" si="15"/>
        <v>5.749</v>
      </c>
      <c r="K176" s="9">
        <f t="shared" si="16"/>
        <v>6.40000000000002</v>
      </c>
      <c r="L176" s="1">
        <f t="shared" si="17"/>
        <v>28.4</v>
      </c>
    </row>
    <row r="177" s="1" customFormat="1" spans="1:12">
      <c r="A177" s="2">
        <v>5.816</v>
      </c>
      <c r="B177" s="10" t="s">
        <v>44</v>
      </c>
      <c r="C177" s="4">
        <v>5.816</v>
      </c>
      <c r="D177" s="5">
        <v>253.8</v>
      </c>
      <c r="E177" s="4"/>
      <c r="F177" s="4"/>
      <c r="G177" s="2">
        <f t="shared" si="12"/>
        <v>5.783</v>
      </c>
      <c r="H177" s="11" t="str">
        <f t="shared" si="13"/>
        <v>3.418E-2</v>
      </c>
      <c r="I177" s="2">
        <f t="shared" si="14"/>
        <v>253.8</v>
      </c>
      <c r="J177" s="4">
        <f t="shared" si="15"/>
        <v>5.783</v>
      </c>
      <c r="K177" s="9">
        <f t="shared" si="16"/>
        <v>6.60000000000001</v>
      </c>
      <c r="L177" s="1">
        <f t="shared" si="17"/>
        <v>28.4</v>
      </c>
    </row>
    <row r="178" s="1" customFormat="1" spans="1:12">
      <c r="A178" s="2">
        <v>5.85</v>
      </c>
      <c r="B178" s="10" t="s">
        <v>16</v>
      </c>
      <c r="C178" s="4">
        <v>5.85</v>
      </c>
      <c r="D178" s="5">
        <v>253.8</v>
      </c>
      <c r="E178" s="4"/>
      <c r="F178" s="4"/>
      <c r="G178" s="2">
        <f t="shared" si="12"/>
        <v>5.816</v>
      </c>
      <c r="H178" s="11" t="str">
        <f t="shared" si="13"/>
        <v>3.422E-2</v>
      </c>
      <c r="I178" s="2">
        <f t="shared" si="14"/>
        <v>253.8</v>
      </c>
      <c r="J178" s="4">
        <f t="shared" si="15"/>
        <v>5.816</v>
      </c>
      <c r="K178" s="9">
        <f t="shared" si="16"/>
        <v>6.99999999999999</v>
      </c>
      <c r="L178" s="1">
        <f t="shared" si="17"/>
        <v>28.4</v>
      </c>
    </row>
    <row r="179" s="1" customFormat="1" spans="1:12">
      <c r="A179" s="2">
        <v>5.883</v>
      </c>
      <c r="B179" s="10" t="s">
        <v>20</v>
      </c>
      <c r="C179" s="4">
        <v>5.883</v>
      </c>
      <c r="D179" s="5">
        <v>253.8</v>
      </c>
      <c r="E179" s="4"/>
      <c r="F179" s="4"/>
      <c r="G179" s="2">
        <f t="shared" si="12"/>
        <v>5.85</v>
      </c>
      <c r="H179" s="11" t="str">
        <f t="shared" si="13"/>
        <v>3.426E-2</v>
      </c>
      <c r="I179" s="2">
        <f t="shared" si="14"/>
        <v>253.8</v>
      </c>
      <c r="J179" s="4">
        <f t="shared" si="15"/>
        <v>5.85</v>
      </c>
      <c r="K179" s="9">
        <f t="shared" si="16"/>
        <v>7.39999999999998</v>
      </c>
      <c r="L179" s="1">
        <f t="shared" si="17"/>
        <v>28.4</v>
      </c>
    </row>
    <row r="180" s="1" customFormat="1" spans="1:12">
      <c r="A180" s="2">
        <v>5.916</v>
      </c>
      <c r="B180" s="10" t="s">
        <v>141</v>
      </c>
      <c r="C180" s="4">
        <v>5.916</v>
      </c>
      <c r="D180" s="5">
        <v>253.8</v>
      </c>
      <c r="E180" s="4"/>
      <c r="F180" s="4"/>
      <c r="G180" s="2">
        <f t="shared" si="12"/>
        <v>5.883</v>
      </c>
      <c r="H180" s="11" t="str">
        <f t="shared" si="13"/>
        <v>3.430E-2</v>
      </c>
      <c r="I180" s="2">
        <f t="shared" si="14"/>
        <v>253.8</v>
      </c>
      <c r="J180" s="4">
        <f t="shared" si="15"/>
        <v>5.883</v>
      </c>
      <c r="K180" s="9">
        <f t="shared" si="16"/>
        <v>7.79999999999996</v>
      </c>
      <c r="L180" s="1">
        <f t="shared" si="17"/>
        <v>28.4</v>
      </c>
    </row>
    <row r="181" s="1" customFormat="1" spans="1:12">
      <c r="A181" s="2">
        <v>5.95</v>
      </c>
      <c r="B181" s="10" t="s">
        <v>167</v>
      </c>
      <c r="C181" s="4">
        <v>5.95</v>
      </c>
      <c r="D181" s="5">
        <v>253.8</v>
      </c>
      <c r="E181" s="4"/>
      <c r="F181" s="4"/>
      <c r="G181" s="2">
        <f t="shared" si="12"/>
        <v>5.916</v>
      </c>
      <c r="H181" s="11" t="str">
        <f t="shared" si="13"/>
        <v>3.444E-2</v>
      </c>
      <c r="I181" s="2">
        <f t="shared" si="14"/>
        <v>253.8</v>
      </c>
      <c r="J181" s="4">
        <f t="shared" si="15"/>
        <v>5.916</v>
      </c>
      <c r="K181" s="9">
        <f t="shared" si="16"/>
        <v>9.19999999999997</v>
      </c>
      <c r="L181" s="1">
        <f t="shared" si="17"/>
        <v>28.4</v>
      </c>
    </row>
    <row r="182" s="1" customFormat="1" spans="1:12">
      <c r="A182" s="2">
        <v>5.983</v>
      </c>
      <c r="B182" s="10" t="s">
        <v>220</v>
      </c>
      <c r="C182" s="4">
        <v>5.983</v>
      </c>
      <c r="D182" s="5">
        <v>253.8</v>
      </c>
      <c r="E182" s="4"/>
      <c r="F182" s="4"/>
      <c r="G182" s="2">
        <f t="shared" si="12"/>
        <v>5.95</v>
      </c>
      <c r="H182" s="11" t="str">
        <f t="shared" si="13"/>
        <v>3.453E-2</v>
      </c>
      <c r="I182" s="2">
        <f t="shared" si="14"/>
        <v>253.8</v>
      </c>
      <c r="J182" s="4">
        <f t="shared" si="15"/>
        <v>5.95</v>
      </c>
      <c r="K182" s="9">
        <f t="shared" si="16"/>
        <v>10.1</v>
      </c>
      <c r="L182" s="1">
        <f t="shared" si="17"/>
        <v>28.4</v>
      </c>
    </row>
    <row r="183" s="1" customFormat="1" spans="1:12">
      <c r="A183" s="2">
        <v>6.017</v>
      </c>
      <c r="B183" s="10" t="s">
        <v>250</v>
      </c>
      <c r="C183" s="4">
        <v>6.017</v>
      </c>
      <c r="D183" s="5">
        <v>253.8</v>
      </c>
      <c r="E183" s="4"/>
      <c r="F183" s="4"/>
      <c r="G183" s="2">
        <f t="shared" si="12"/>
        <v>5.983</v>
      </c>
      <c r="H183" s="11" t="str">
        <f t="shared" si="13"/>
        <v>3.458E-2</v>
      </c>
      <c r="I183" s="2">
        <f t="shared" si="14"/>
        <v>253.8</v>
      </c>
      <c r="J183" s="4">
        <f t="shared" si="15"/>
        <v>5.983</v>
      </c>
      <c r="K183" s="9">
        <f t="shared" si="16"/>
        <v>10.6</v>
      </c>
      <c r="L183" s="1">
        <f t="shared" si="17"/>
        <v>28.4</v>
      </c>
    </row>
    <row r="184" s="1" customFormat="1" spans="1:12">
      <c r="A184" s="2">
        <v>6.05</v>
      </c>
      <c r="B184" s="10" t="s">
        <v>60</v>
      </c>
      <c r="C184" s="4">
        <v>6.05</v>
      </c>
      <c r="D184" s="5">
        <v>253.8</v>
      </c>
      <c r="E184" s="4"/>
      <c r="F184" s="4"/>
      <c r="G184" s="2">
        <f t="shared" si="12"/>
        <v>6.017</v>
      </c>
      <c r="H184" s="11" t="str">
        <f t="shared" si="13"/>
        <v>3.473E-2</v>
      </c>
      <c r="I184" s="2">
        <f t="shared" si="14"/>
        <v>253.8</v>
      </c>
      <c r="J184" s="4">
        <f t="shared" si="15"/>
        <v>6.017</v>
      </c>
      <c r="K184" s="9">
        <f t="shared" si="16"/>
        <v>12.1</v>
      </c>
      <c r="L184" s="1">
        <f t="shared" si="17"/>
        <v>28.4</v>
      </c>
    </row>
    <row r="185" s="1" customFormat="1" spans="1:12">
      <c r="A185" s="2">
        <v>6.084</v>
      </c>
      <c r="B185" s="10" t="s">
        <v>194</v>
      </c>
      <c r="C185" s="4">
        <v>6.084</v>
      </c>
      <c r="D185" s="5">
        <v>253.8</v>
      </c>
      <c r="E185" s="4"/>
      <c r="F185" s="4"/>
      <c r="G185" s="2">
        <f t="shared" si="12"/>
        <v>6.05</v>
      </c>
      <c r="H185" s="11" t="str">
        <f t="shared" si="13"/>
        <v>3.483E-2</v>
      </c>
      <c r="I185" s="2">
        <f t="shared" si="14"/>
        <v>253.8</v>
      </c>
      <c r="J185" s="4">
        <f t="shared" si="15"/>
        <v>6.05</v>
      </c>
      <c r="K185" s="9">
        <f t="shared" si="16"/>
        <v>13.1</v>
      </c>
      <c r="L185" s="1">
        <f t="shared" si="17"/>
        <v>28.4</v>
      </c>
    </row>
    <row r="186" s="1" customFormat="1" spans="1:12">
      <c r="A186" s="2">
        <v>6.117</v>
      </c>
      <c r="B186" s="10" t="s">
        <v>191</v>
      </c>
      <c r="C186" s="4">
        <v>6.117</v>
      </c>
      <c r="D186" s="5">
        <v>253.8</v>
      </c>
      <c r="E186" s="4"/>
      <c r="F186" s="4"/>
      <c r="G186" s="2">
        <f t="shared" si="12"/>
        <v>6.084</v>
      </c>
      <c r="H186" s="11" t="str">
        <f t="shared" si="13"/>
        <v>3.490E-2</v>
      </c>
      <c r="I186" s="2">
        <f t="shared" si="14"/>
        <v>253.8</v>
      </c>
      <c r="J186" s="4">
        <f t="shared" si="15"/>
        <v>6.084</v>
      </c>
      <c r="K186" s="9">
        <f t="shared" si="16"/>
        <v>13.8</v>
      </c>
      <c r="L186" s="1">
        <f t="shared" si="17"/>
        <v>28.4</v>
      </c>
    </row>
    <row r="187" s="1" customFormat="1" spans="1:12">
      <c r="A187" s="2">
        <v>6.15</v>
      </c>
      <c r="B187" s="10" t="s">
        <v>218</v>
      </c>
      <c r="C187" s="4">
        <v>6.15</v>
      </c>
      <c r="D187" s="5">
        <v>253.8</v>
      </c>
      <c r="E187" s="4"/>
      <c r="F187" s="4"/>
      <c r="G187" s="2">
        <f t="shared" si="12"/>
        <v>6.117</v>
      </c>
      <c r="H187" s="11" t="str">
        <f t="shared" si="13"/>
        <v>3.507E-2</v>
      </c>
      <c r="I187" s="2">
        <f t="shared" si="14"/>
        <v>253.8</v>
      </c>
      <c r="J187" s="4">
        <f t="shared" si="15"/>
        <v>6.117</v>
      </c>
      <c r="K187" s="9">
        <f t="shared" si="16"/>
        <v>15.5</v>
      </c>
      <c r="L187" s="1">
        <f t="shared" si="17"/>
        <v>28.4</v>
      </c>
    </row>
    <row r="188" s="1" customFormat="1" spans="1:12">
      <c r="A188" s="2">
        <v>6.184</v>
      </c>
      <c r="B188" s="10" t="s">
        <v>215</v>
      </c>
      <c r="C188" s="4">
        <v>6.184</v>
      </c>
      <c r="D188" s="5">
        <v>253.8</v>
      </c>
      <c r="E188" s="4"/>
      <c r="F188" s="4"/>
      <c r="G188" s="2">
        <f t="shared" si="12"/>
        <v>6.15</v>
      </c>
      <c r="H188" s="11" t="str">
        <f t="shared" si="13"/>
        <v>3.516E-2</v>
      </c>
      <c r="I188" s="2">
        <f t="shared" si="14"/>
        <v>253.8</v>
      </c>
      <c r="J188" s="4">
        <f t="shared" si="15"/>
        <v>6.15</v>
      </c>
      <c r="K188" s="9">
        <f t="shared" si="16"/>
        <v>16.4</v>
      </c>
      <c r="L188" s="1">
        <f t="shared" si="17"/>
        <v>28.4</v>
      </c>
    </row>
    <row r="189" s="1" customFormat="1" spans="1:12">
      <c r="A189" s="2">
        <v>6.217</v>
      </c>
      <c r="B189" s="10" t="s">
        <v>186</v>
      </c>
      <c r="C189" s="4">
        <v>6.217</v>
      </c>
      <c r="D189" s="5">
        <v>214.1</v>
      </c>
      <c r="E189" s="4"/>
      <c r="F189" s="4"/>
      <c r="G189" s="2">
        <f t="shared" si="12"/>
        <v>6.184</v>
      </c>
      <c r="H189" s="11" t="str">
        <f t="shared" si="13"/>
        <v>3.522E-2</v>
      </c>
      <c r="I189" s="2">
        <f t="shared" si="14"/>
        <v>253.8</v>
      </c>
      <c r="J189" s="4">
        <f t="shared" si="15"/>
        <v>6.184</v>
      </c>
      <c r="K189" s="9">
        <f t="shared" si="16"/>
        <v>17</v>
      </c>
      <c r="L189" s="1">
        <f t="shared" si="17"/>
        <v>28.4</v>
      </c>
    </row>
    <row r="190" s="1" customFormat="1" spans="1:12">
      <c r="A190" s="2">
        <v>6.251</v>
      </c>
      <c r="B190" s="10" t="s">
        <v>214</v>
      </c>
      <c r="C190" s="4">
        <v>6.251</v>
      </c>
      <c r="D190" s="5">
        <v>69.1</v>
      </c>
      <c r="E190" s="4"/>
      <c r="F190" s="4"/>
      <c r="G190" s="2">
        <f t="shared" si="12"/>
        <v>6.217</v>
      </c>
      <c r="H190" s="11" t="str">
        <f t="shared" si="13"/>
        <v>3.536E-2</v>
      </c>
      <c r="I190" s="2">
        <f t="shared" si="14"/>
        <v>214.1</v>
      </c>
      <c r="J190" s="4">
        <f t="shared" si="15"/>
        <v>6.217</v>
      </c>
      <c r="K190" s="9">
        <f t="shared" si="16"/>
        <v>18.4</v>
      </c>
      <c r="L190" s="1">
        <f t="shared" si="17"/>
        <v>-0.300000000000022</v>
      </c>
    </row>
    <row r="191" s="1" customFormat="1" spans="1:12">
      <c r="A191" s="2">
        <v>6.284</v>
      </c>
      <c r="B191" s="10" t="s">
        <v>75</v>
      </c>
      <c r="C191" s="4">
        <v>6.284</v>
      </c>
      <c r="D191" s="5">
        <v>69.9</v>
      </c>
      <c r="E191" s="4"/>
      <c r="F191" s="4"/>
      <c r="G191" s="2">
        <f t="shared" si="12"/>
        <v>6.251</v>
      </c>
      <c r="H191" s="11" t="str">
        <f t="shared" si="13"/>
        <v>3.544E-2</v>
      </c>
      <c r="I191" s="2">
        <f t="shared" si="14"/>
        <v>69.1</v>
      </c>
      <c r="J191" s="4">
        <f t="shared" si="15"/>
        <v>6.251</v>
      </c>
      <c r="K191" s="9">
        <f t="shared" si="16"/>
        <v>19.2</v>
      </c>
      <c r="L191" s="1">
        <f t="shared" si="17"/>
        <v>-0.300000000000022</v>
      </c>
    </row>
    <row r="192" s="1" customFormat="1" spans="1:12">
      <c r="A192" s="2">
        <v>6.318</v>
      </c>
      <c r="B192" s="10" t="s">
        <v>213</v>
      </c>
      <c r="C192" s="4">
        <v>6.318</v>
      </c>
      <c r="D192" s="5">
        <v>69.5</v>
      </c>
      <c r="E192" s="4"/>
      <c r="F192" s="4"/>
      <c r="G192" s="2">
        <f t="shared" si="12"/>
        <v>6.284</v>
      </c>
      <c r="H192" s="11" t="str">
        <f t="shared" si="13"/>
        <v>3.548E-2</v>
      </c>
      <c r="I192" s="2">
        <f t="shared" si="14"/>
        <v>69.9</v>
      </c>
      <c r="J192" s="4">
        <f t="shared" si="15"/>
        <v>6.284</v>
      </c>
      <c r="K192" s="9">
        <f t="shared" si="16"/>
        <v>19.6</v>
      </c>
      <c r="L192" s="1">
        <f t="shared" si="17"/>
        <v>-0.300000000000022</v>
      </c>
    </row>
    <row r="193" s="1" customFormat="1" spans="1:12">
      <c r="A193" s="2">
        <v>6.351</v>
      </c>
      <c r="B193" s="10" t="s">
        <v>149</v>
      </c>
      <c r="C193" s="4">
        <v>6.351</v>
      </c>
      <c r="D193" s="5">
        <v>69.2</v>
      </c>
      <c r="E193" s="4"/>
      <c r="F193" s="4"/>
      <c r="G193" s="2">
        <f t="shared" si="12"/>
        <v>6.318</v>
      </c>
      <c r="H193" s="11" t="str">
        <f t="shared" si="13"/>
        <v>3.552E-2</v>
      </c>
      <c r="I193" s="2">
        <f t="shared" si="14"/>
        <v>69.5</v>
      </c>
      <c r="J193" s="4">
        <f t="shared" si="15"/>
        <v>6.318</v>
      </c>
      <c r="K193" s="9">
        <f t="shared" si="16"/>
        <v>20</v>
      </c>
      <c r="L193" s="1">
        <f t="shared" si="17"/>
        <v>-0.300000000000022</v>
      </c>
    </row>
    <row r="194" s="1" customFormat="1" spans="1:12">
      <c r="A194" s="2">
        <v>6.384</v>
      </c>
      <c r="B194" s="10" t="s">
        <v>286</v>
      </c>
      <c r="C194" s="4">
        <v>6.384</v>
      </c>
      <c r="D194" s="5">
        <v>68.9</v>
      </c>
      <c r="E194" s="4"/>
      <c r="F194" s="4"/>
      <c r="G194" s="2">
        <f t="shared" si="12"/>
        <v>6.351</v>
      </c>
      <c r="H194" s="11" t="str">
        <f t="shared" si="13"/>
        <v>3.564E-2</v>
      </c>
      <c r="I194" s="2">
        <f t="shared" si="14"/>
        <v>69.2</v>
      </c>
      <c r="J194" s="4">
        <f t="shared" si="15"/>
        <v>6.351</v>
      </c>
      <c r="K194" s="9">
        <f t="shared" si="16"/>
        <v>21.2</v>
      </c>
      <c r="L194" s="1">
        <f t="shared" si="17"/>
        <v>-0.300000000000022</v>
      </c>
    </row>
    <row r="195" s="1" customFormat="1" spans="1:12">
      <c r="A195" s="2">
        <v>6.418</v>
      </c>
      <c r="B195" s="10" t="s">
        <v>219</v>
      </c>
      <c r="C195" s="4">
        <v>6.418</v>
      </c>
      <c r="D195" s="5">
        <v>68.6</v>
      </c>
      <c r="E195" s="4"/>
      <c r="F195" s="4"/>
      <c r="G195" s="2">
        <f t="shared" si="12"/>
        <v>6.384</v>
      </c>
      <c r="H195" s="11" t="str">
        <f t="shared" si="13"/>
        <v>3.570E-2</v>
      </c>
      <c r="I195" s="2">
        <f t="shared" si="14"/>
        <v>68.9</v>
      </c>
      <c r="J195" s="4">
        <f t="shared" si="15"/>
        <v>6.384</v>
      </c>
      <c r="K195" s="9">
        <f t="shared" si="16"/>
        <v>21.8</v>
      </c>
      <c r="L195" s="1">
        <f t="shared" si="17"/>
        <v>-0.300000000000022</v>
      </c>
    </row>
    <row r="196" s="1" customFormat="1" spans="1:12">
      <c r="A196" s="2">
        <v>6.451</v>
      </c>
      <c r="B196" s="10" t="s">
        <v>66</v>
      </c>
      <c r="C196" s="4">
        <v>6.451</v>
      </c>
      <c r="D196" s="5">
        <v>68.8</v>
      </c>
      <c r="E196" s="4"/>
      <c r="F196" s="4"/>
      <c r="G196" s="2">
        <f t="shared" ref="G196:G259" si="18">A195</f>
        <v>6.418</v>
      </c>
      <c r="H196" s="11" t="str">
        <f t="shared" ref="H196:H259" si="19">B195</f>
        <v>3.574E-2</v>
      </c>
      <c r="I196" s="2">
        <f t="shared" ref="I196:I259" si="20">D195</f>
        <v>68.6</v>
      </c>
      <c r="J196" s="4">
        <f t="shared" ref="J196:J259" si="21">G196</f>
        <v>6.418</v>
      </c>
      <c r="K196" s="9">
        <f t="shared" ref="K196:K259" si="22">(H196-$H$4)*10000</f>
        <v>22.2</v>
      </c>
      <c r="L196" s="1">
        <f t="shared" si="17"/>
        <v>-0.300000000000022</v>
      </c>
    </row>
    <row r="197" s="1" customFormat="1" spans="1:12">
      <c r="A197" s="2">
        <v>6.485</v>
      </c>
      <c r="B197" s="10" t="s">
        <v>93</v>
      </c>
      <c r="C197" s="4">
        <v>6.485</v>
      </c>
      <c r="D197" s="5">
        <v>69.1</v>
      </c>
      <c r="E197" s="4"/>
      <c r="F197" s="4"/>
      <c r="G197" s="2">
        <f t="shared" si="18"/>
        <v>6.451</v>
      </c>
      <c r="H197" s="11" t="str">
        <f t="shared" si="19"/>
        <v>3.575E-2</v>
      </c>
      <c r="I197" s="2">
        <f t="shared" si="20"/>
        <v>68.8</v>
      </c>
      <c r="J197" s="4">
        <f t="shared" si="21"/>
        <v>6.451</v>
      </c>
      <c r="K197" s="9">
        <f t="shared" si="22"/>
        <v>22.3</v>
      </c>
      <c r="L197" s="1">
        <f t="shared" ref="L197:L260" si="23">IF(I197&lt;230,MIN(K:K),MAX(K:K))</f>
        <v>-0.300000000000022</v>
      </c>
    </row>
    <row r="198" s="1" customFormat="1" spans="1:12">
      <c r="A198" s="2">
        <v>6.518</v>
      </c>
      <c r="B198" s="10" t="s">
        <v>73</v>
      </c>
      <c r="C198" s="4">
        <v>6.518</v>
      </c>
      <c r="D198" s="5">
        <v>68.8</v>
      </c>
      <c r="E198" s="4"/>
      <c r="F198" s="4"/>
      <c r="G198" s="2">
        <f t="shared" si="18"/>
        <v>6.485</v>
      </c>
      <c r="H198" s="11" t="str">
        <f t="shared" si="19"/>
        <v>3.573E-2</v>
      </c>
      <c r="I198" s="2">
        <f t="shared" si="20"/>
        <v>69.1</v>
      </c>
      <c r="J198" s="4">
        <f t="shared" si="21"/>
        <v>6.485</v>
      </c>
      <c r="K198" s="9">
        <f t="shared" si="22"/>
        <v>22.1</v>
      </c>
      <c r="L198" s="1">
        <f t="shared" si="23"/>
        <v>-0.300000000000022</v>
      </c>
    </row>
    <row r="199" s="1" customFormat="1" spans="1:12">
      <c r="A199" s="2">
        <v>6.552</v>
      </c>
      <c r="B199" s="10" t="s">
        <v>286</v>
      </c>
      <c r="C199" s="4">
        <v>6.552</v>
      </c>
      <c r="D199" s="5">
        <v>68.6</v>
      </c>
      <c r="E199" s="4"/>
      <c r="F199" s="4"/>
      <c r="G199" s="2">
        <f t="shared" si="18"/>
        <v>6.518</v>
      </c>
      <c r="H199" s="11" t="str">
        <f t="shared" si="19"/>
        <v>3.571E-2</v>
      </c>
      <c r="I199" s="2">
        <f t="shared" si="20"/>
        <v>68.8</v>
      </c>
      <c r="J199" s="4">
        <f t="shared" si="21"/>
        <v>6.518</v>
      </c>
      <c r="K199" s="9">
        <f t="shared" si="22"/>
        <v>21.9</v>
      </c>
      <c r="L199" s="1">
        <f t="shared" si="23"/>
        <v>-0.300000000000022</v>
      </c>
    </row>
    <row r="200" s="1" customFormat="1" spans="1:12">
      <c r="A200" s="2">
        <v>6.585</v>
      </c>
      <c r="B200" s="10" t="s">
        <v>211</v>
      </c>
      <c r="C200" s="4">
        <v>6.585</v>
      </c>
      <c r="D200" s="5">
        <v>68.6</v>
      </c>
      <c r="E200" s="4"/>
      <c r="F200" s="4"/>
      <c r="G200" s="2">
        <f t="shared" si="18"/>
        <v>6.552</v>
      </c>
      <c r="H200" s="11" t="str">
        <f t="shared" si="19"/>
        <v>3.570E-2</v>
      </c>
      <c r="I200" s="2">
        <f t="shared" si="20"/>
        <v>68.6</v>
      </c>
      <c r="J200" s="4">
        <f t="shared" si="21"/>
        <v>6.552</v>
      </c>
      <c r="K200" s="9">
        <f t="shared" si="22"/>
        <v>21.8</v>
      </c>
      <c r="L200" s="1">
        <f t="shared" si="23"/>
        <v>-0.300000000000022</v>
      </c>
    </row>
    <row r="201" s="1" customFormat="1" spans="1:12">
      <c r="A201" s="2">
        <v>6.618</v>
      </c>
      <c r="B201" s="10" t="s">
        <v>210</v>
      </c>
      <c r="C201" s="4">
        <v>6.618</v>
      </c>
      <c r="D201" s="5">
        <v>68.7</v>
      </c>
      <c r="E201" s="4"/>
      <c r="F201" s="4"/>
      <c r="G201" s="2">
        <f t="shared" si="18"/>
        <v>6.585</v>
      </c>
      <c r="H201" s="11" t="str">
        <f t="shared" si="19"/>
        <v>3.568E-2</v>
      </c>
      <c r="I201" s="2">
        <f t="shared" si="20"/>
        <v>68.6</v>
      </c>
      <c r="J201" s="4">
        <f t="shared" si="21"/>
        <v>6.585</v>
      </c>
      <c r="K201" s="9">
        <f t="shared" si="22"/>
        <v>21.6</v>
      </c>
      <c r="L201" s="1">
        <f t="shared" si="23"/>
        <v>-0.300000000000022</v>
      </c>
    </row>
    <row r="202" s="1" customFormat="1" spans="1:12">
      <c r="A202" s="2">
        <v>6.652</v>
      </c>
      <c r="B202" s="10" t="s">
        <v>212</v>
      </c>
      <c r="C202" s="4">
        <v>6.652</v>
      </c>
      <c r="D202" s="5">
        <v>68.6</v>
      </c>
      <c r="E202" s="4"/>
      <c r="F202" s="4"/>
      <c r="G202" s="2">
        <f t="shared" si="18"/>
        <v>6.618</v>
      </c>
      <c r="H202" s="11" t="str">
        <f t="shared" si="19"/>
        <v>3.566E-2</v>
      </c>
      <c r="I202" s="2">
        <f t="shared" si="20"/>
        <v>68.7</v>
      </c>
      <c r="J202" s="4">
        <f t="shared" si="21"/>
        <v>6.618</v>
      </c>
      <c r="K202" s="9">
        <f t="shared" si="22"/>
        <v>21.4</v>
      </c>
      <c r="L202" s="1">
        <f t="shared" si="23"/>
        <v>-0.300000000000022</v>
      </c>
    </row>
    <row r="203" s="1" customFormat="1" spans="1:12">
      <c r="A203" s="2">
        <v>6.685</v>
      </c>
      <c r="B203" s="10" t="s">
        <v>306</v>
      </c>
      <c r="C203" s="4">
        <v>6.685</v>
      </c>
      <c r="D203" s="5">
        <v>68.4</v>
      </c>
      <c r="E203" s="4"/>
      <c r="F203" s="4"/>
      <c r="G203" s="2">
        <f t="shared" si="18"/>
        <v>6.652</v>
      </c>
      <c r="H203" s="11" t="str">
        <f t="shared" si="19"/>
        <v>3.562E-2</v>
      </c>
      <c r="I203" s="2">
        <f t="shared" si="20"/>
        <v>68.6</v>
      </c>
      <c r="J203" s="4">
        <f t="shared" si="21"/>
        <v>6.652</v>
      </c>
      <c r="K203" s="9">
        <f t="shared" si="22"/>
        <v>21</v>
      </c>
      <c r="L203" s="1">
        <f t="shared" si="23"/>
        <v>-0.300000000000022</v>
      </c>
    </row>
    <row r="204" s="1" customFormat="1" spans="1:12">
      <c r="A204" s="2">
        <v>6.719</v>
      </c>
      <c r="B204" s="10" t="s">
        <v>184</v>
      </c>
      <c r="C204" s="4">
        <v>6.719</v>
      </c>
      <c r="D204" s="5">
        <v>68.4</v>
      </c>
      <c r="E204" s="4"/>
      <c r="F204" s="4"/>
      <c r="G204" s="2">
        <f t="shared" si="18"/>
        <v>6.685</v>
      </c>
      <c r="H204" s="11" t="str">
        <f t="shared" si="19"/>
        <v>3.558E-2</v>
      </c>
      <c r="I204" s="2">
        <f t="shared" si="20"/>
        <v>68.4</v>
      </c>
      <c r="J204" s="4">
        <f t="shared" si="21"/>
        <v>6.685</v>
      </c>
      <c r="K204" s="9">
        <f t="shared" si="22"/>
        <v>20.6</v>
      </c>
      <c r="L204" s="1">
        <f t="shared" si="23"/>
        <v>-0.300000000000022</v>
      </c>
    </row>
    <row r="205" s="1" customFormat="1" spans="1:12">
      <c r="A205" s="2">
        <v>6.752</v>
      </c>
      <c r="B205" s="10" t="s">
        <v>75</v>
      </c>
      <c r="C205" s="4">
        <v>6.752</v>
      </c>
      <c r="D205" s="5">
        <v>68.4</v>
      </c>
      <c r="E205" s="4"/>
      <c r="F205" s="4"/>
      <c r="G205" s="2">
        <f t="shared" si="18"/>
        <v>6.719</v>
      </c>
      <c r="H205" s="11" t="str">
        <f t="shared" si="19"/>
        <v>3.553E-2</v>
      </c>
      <c r="I205" s="2">
        <f t="shared" si="20"/>
        <v>68.4</v>
      </c>
      <c r="J205" s="4">
        <f t="shared" si="21"/>
        <v>6.719</v>
      </c>
      <c r="K205" s="9">
        <f t="shared" si="22"/>
        <v>20.1</v>
      </c>
      <c r="L205" s="1">
        <f t="shared" si="23"/>
        <v>-0.300000000000022</v>
      </c>
    </row>
    <row r="206" s="1" customFormat="1" spans="1:12">
      <c r="A206" s="2">
        <v>6.786</v>
      </c>
      <c r="B206" s="10" t="s">
        <v>186</v>
      </c>
      <c r="C206" s="4">
        <v>6.786</v>
      </c>
      <c r="D206" s="5">
        <v>68.6</v>
      </c>
      <c r="E206" s="4"/>
      <c r="F206" s="4"/>
      <c r="G206" s="2">
        <f t="shared" si="18"/>
        <v>6.752</v>
      </c>
      <c r="H206" s="11" t="str">
        <f t="shared" si="19"/>
        <v>3.548E-2</v>
      </c>
      <c r="I206" s="2">
        <f t="shared" si="20"/>
        <v>68.4</v>
      </c>
      <c r="J206" s="4">
        <f t="shared" si="21"/>
        <v>6.752</v>
      </c>
      <c r="K206" s="9">
        <f t="shared" si="22"/>
        <v>19.6</v>
      </c>
      <c r="L206" s="1">
        <f t="shared" si="23"/>
        <v>-0.300000000000022</v>
      </c>
    </row>
    <row r="207" s="1" customFormat="1" spans="1:12">
      <c r="A207" s="2">
        <v>6.819</v>
      </c>
      <c r="B207" s="10" t="s">
        <v>200</v>
      </c>
      <c r="C207" s="4">
        <v>6.819</v>
      </c>
      <c r="D207" s="5">
        <v>68.3</v>
      </c>
      <c r="E207" s="4"/>
      <c r="F207" s="4"/>
      <c r="G207" s="2">
        <f t="shared" si="18"/>
        <v>6.786</v>
      </c>
      <c r="H207" s="11" t="str">
        <f t="shared" si="19"/>
        <v>3.536E-2</v>
      </c>
      <c r="I207" s="2">
        <f t="shared" si="20"/>
        <v>68.6</v>
      </c>
      <c r="J207" s="4">
        <f t="shared" si="21"/>
        <v>6.786</v>
      </c>
      <c r="K207" s="9">
        <f t="shared" si="22"/>
        <v>18.4</v>
      </c>
      <c r="L207" s="1">
        <f t="shared" si="23"/>
        <v>-0.300000000000022</v>
      </c>
    </row>
    <row r="208" s="1" customFormat="1" spans="1:12">
      <c r="A208" s="2">
        <v>6.852</v>
      </c>
      <c r="B208" s="10" t="s">
        <v>218</v>
      </c>
      <c r="C208" s="4">
        <v>6.852</v>
      </c>
      <c r="D208" s="5">
        <v>68.2</v>
      </c>
      <c r="E208" s="4"/>
      <c r="F208" s="4"/>
      <c r="G208" s="2">
        <f t="shared" si="18"/>
        <v>6.819</v>
      </c>
      <c r="H208" s="11" t="str">
        <f t="shared" si="19"/>
        <v>3.526E-2</v>
      </c>
      <c r="I208" s="2">
        <f t="shared" si="20"/>
        <v>68.3</v>
      </c>
      <c r="J208" s="4">
        <f t="shared" si="21"/>
        <v>6.819</v>
      </c>
      <c r="K208" s="9">
        <f t="shared" si="22"/>
        <v>17.4</v>
      </c>
      <c r="L208" s="1">
        <f t="shared" si="23"/>
        <v>-0.300000000000022</v>
      </c>
    </row>
    <row r="209" s="1" customFormat="1" spans="1:12">
      <c r="A209" s="2">
        <v>6.886</v>
      </c>
      <c r="B209" s="10" t="s">
        <v>33</v>
      </c>
      <c r="C209" s="4">
        <v>6.886</v>
      </c>
      <c r="D209" s="5">
        <v>68.5</v>
      </c>
      <c r="E209" s="4"/>
      <c r="F209" s="4"/>
      <c r="G209" s="2">
        <f t="shared" si="18"/>
        <v>6.852</v>
      </c>
      <c r="H209" s="11" t="str">
        <f t="shared" si="19"/>
        <v>3.516E-2</v>
      </c>
      <c r="I209" s="2">
        <f t="shared" si="20"/>
        <v>68.2</v>
      </c>
      <c r="J209" s="4">
        <f t="shared" si="21"/>
        <v>6.852</v>
      </c>
      <c r="K209" s="9">
        <f t="shared" si="22"/>
        <v>16.4</v>
      </c>
      <c r="L209" s="1">
        <f t="shared" si="23"/>
        <v>-0.300000000000022</v>
      </c>
    </row>
    <row r="210" s="1" customFormat="1" spans="1:12">
      <c r="A210" s="2">
        <v>6.919</v>
      </c>
      <c r="B210" s="10" t="s">
        <v>192</v>
      </c>
      <c r="C210" s="4">
        <v>6.919</v>
      </c>
      <c r="D210" s="5">
        <v>68.4</v>
      </c>
      <c r="E210" s="4"/>
      <c r="F210" s="4"/>
      <c r="G210" s="2">
        <f t="shared" si="18"/>
        <v>6.886</v>
      </c>
      <c r="H210" s="11" t="str">
        <f t="shared" si="19"/>
        <v>3.504E-2</v>
      </c>
      <c r="I210" s="2">
        <f t="shared" si="20"/>
        <v>68.5</v>
      </c>
      <c r="J210" s="4">
        <f t="shared" si="21"/>
        <v>6.886</v>
      </c>
      <c r="K210" s="9">
        <f t="shared" si="22"/>
        <v>15.2</v>
      </c>
      <c r="L210" s="1">
        <f t="shared" si="23"/>
        <v>-0.300000000000022</v>
      </c>
    </row>
    <row r="211" s="1" customFormat="1" spans="1:12">
      <c r="A211" s="2">
        <v>6.953</v>
      </c>
      <c r="B211" s="10" t="s">
        <v>195</v>
      </c>
      <c r="C211" s="4">
        <v>6.953</v>
      </c>
      <c r="D211" s="5">
        <v>68.5</v>
      </c>
      <c r="E211" s="4"/>
      <c r="F211" s="4"/>
      <c r="G211" s="2">
        <f t="shared" si="18"/>
        <v>6.919</v>
      </c>
      <c r="H211" s="11" t="str">
        <f t="shared" si="19"/>
        <v>3.495E-2</v>
      </c>
      <c r="I211" s="2">
        <f t="shared" si="20"/>
        <v>68.4</v>
      </c>
      <c r="J211" s="4">
        <f t="shared" si="21"/>
        <v>6.919</v>
      </c>
      <c r="K211" s="9">
        <f t="shared" si="22"/>
        <v>14.3</v>
      </c>
      <c r="L211" s="1">
        <f t="shared" si="23"/>
        <v>-0.300000000000022</v>
      </c>
    </row>
    <row r="212" s="1" customFormat="1" spans="1:12">
      <c r="A212" s="2">
        <v>6.986</v>
      </c>
      <c r="B212" s="10" t="s">
        <v>171</v>
      </c>
      <c r="C212" s="4">
        <v>6.986</v>
      </c>
      <c r="D212" s="5">
        <v>68.3</v>
      </c>
      <c r="E212" s="4"/>
      <c r="F212" s="4"/>
      <c r="G212" s="2">
        <f t="shared" si="18"/>
        <v>6.953</v>
      </c>
      <c r="H212" s="11" t="str">
        <f t="shared" si="19"/>
        <v>3.488E-2</v>
      </c>
      <c r="I212" s="2">
        <f t="shared" si="20"/>
        <v>68.5</v>
      </c>
      <c r="J212" s="4">
        <f t="shared" si="21"/>
        <v>6.953</v>
      </c>
      <c r="K212" s="9">
        <f t="shared" si="22"/>
        <v>13.6</v>
      </c>
      <c r="L212" s="1">
        <f t="shared" si="23"/>
        <v>-0.300000000000022</v>
      </c>
    </row>
    <row r="213" s="1" customFormat="1" spans="1:12">
      <c r="A213" s="2">
        <v>7.02</v>
      </c>
      <c r="B213" s="10" t="s">
        <v>217</v>
      </c>
      <c r="C213" s="4">
        <v>7.02</v>
      </c>
      <c r="D213" s="5">
        <v>242.7</v>
      </c>
      <c r="E213" s="4"/>
      <c r="F213" s="4"/>
      <c r="G213" s="2">
        <f t="shared" si="18"/>
        <v>6.986</v>
      </c>
      <c r="H213" s="11" t="str">
        <f t="shared" si="19"/>
        <v>3.474E-2</v>
      </c>
      <c r="I213" s="2">
        <f t="shared" si="20"/>
        <v>68.3</v>
      </c>
      <c r="J213" s="4">
        <f t="shared" si="21"/>
        <v>6.986</v>
      </c>
      <c r="K213" s="9">
        <f t="shared" si="22"/>
        <v>12.2</v>
      </c>
      <c r="L213" s="1">
        <f t="shared" si="23"/>
        <v>-0.300000000000022</v>
      </c>
    </row>
    <row r="214" s="1" customFormat="1" spans="1:12">
      <c r="A214" s="2">
        <v>7.053</v>
      </c>
      <c r="B214" s="10" t="s">
        <v>27</v>
      </c>
      <c r="C214" s="4">
        <v>7.053</v>
      </c>
      <c r="D214" s="5">
        <v>253.8</v>
      </c>
      <c r="E214" s="4"/>
      <c r="F214" s="4"/>
      <c r="G214" s="2">
        <f t="shared" si="18"/>
        <v>7.02</v>
      </c>
      <c r="H214" s="11" t="str">
        <f t="shared" si="19"/>
        <v>3.467E-2</v>
      </c>
      <c r="I214" s="2">
        <f t="shared" si="20"/>
        <v>242.7</v>
      </c>
      <c r="J214" s="4">
        <f t="shared" si="21"/>
        <v>7.02</v>
      </c>
      <c r="K214" s="9">
        <f t="shared" si="22"/>
        <v>11.5</v>
      </c>
      <c r="L214" s="1">
        <f t="shared" si="23"/>
        <v>28.4</v>
      </c>
    </row>
    <row r="215" s="1" customFormat="1" spans="1:12">
      <c r="A215" s="2">
        <v>7.086</v>
      </c>
      <c r="B215" s="10" t="s">
        <v>203</v>
      </c>
      <c r="C215" s="4">
        <v>7.086</v>
      </c>
      <c r="D215" s="5">
        <v>253.7</v>
      </c>
      <c r="E215" s="4"/>
      <c r="F215" s="4"/>
      <c r="G215" s="2">
        <f t="shared" si="18"/>
        <v>7.053</v>
      </c>
      <c r="H215" s="11" t="str">
        <f t="shared" si="19"/>
        <v>3.463E-2</v>
      </c>
      <c r="I215" s="2">
        <f t="shared" si="20"/>
        <v>253.8</v>
      </c>
      <c r="J215" s="4">
        <f t="shared" si="21"/>
        <v>7.053</v>
      </c>
      <c r="K215" s="9">
        <f t="shared" si="22"/>
        <v>11.1</v>
      </c>
      <c r="L215" s="1">
        <f t="shared" si="23"/>
        <v>28.4</v>
      </c>
    </row>
    <row r="216" s="1" customFormat="1" spans="1:12">
      <c r="A216" s="2">
        <v>7.12</v>
      </c>
      <c r="B216" s="10" t="s">
        <v>203</v>
      </c>
      <c r="C216" s="4">
        <v>7.12</v>
      </c>
      <c r="D216" s="5">
        <v>253.7</v>
      </c>
      <c r="E216" s="4"/>
      <c r="F216" s="4"/>
      <c r="G216" s="2">
        <f t="shared" si="18"/>
        <v>7.086</v>
      </c>
      <c r="H216" s="11" t="str">
        <f t="shared" si="19"/>
        <v>3.460E-2</v>
      </c>
      <c r="I216" s="2">
        <f t="shared" si="20"/>
        <v>253.7</v>
      </c>
      <c r="J216" s="4">
        <f t="shared" si="21"/>
        <v>7.086</v>
      </c>
      <c r="K216" s="9">
        <f t="shared" si="22"/>
        <v>10.8</v>
      </c>
      <c r="L216" s="1">
        <f t="shared" si="23"/>
        <v>28.4</v>
      </c>
    </row>
    <row r="217" s="1" customFormat="1" spans="1:12">
      <c r="A217" s="2">
        <v>7.153</v>
      </c>
      <c r="B217" s="10" t="s">
        <v>203</v>
      </c>
      <c r="C217" s="4">
        <v>7.153</v>
      </c>
      <c r="D217" s="5">
        <v>253.7</v>
      </c>
      <c r="E217" s="4"/>
      <c r="F217" s="4"/>
      <c r="G217" s="2">
        <f t="shared" si="18"/>
        <v>7.12</v>
      </c>
      <c r="H217" s="11" t="str">
        <f t="shared" si="19"/>
        <v>3.460E-2</v>
      </c>
      <c r="I217" s="2">
        <f t="shared" si="20"/>
        <v>253.7</v>
      </c>
      <c r="J217" s="4">
        <f t="shared" si="21"/>
        <v>7.12</v>
      </c>
      <c r="K217" s="9">
        <f t="shared" si="22"/>
        <v>10.8</v>
      </c>
      <c r="L217" s="1">
        <f t="shared" si="23"/>
        <v>28.4</v>
      </c>
    </row>
    <row r="218" s="1" customFormat="1" spans="1:12">
      <c r="A218" s="2">
        <v>7.187</v>
      </c>
      <c r="B218" s="10" t="s">
        <v>169</v>
      </c>
      <c r="C218" s="4">
        <v>7.187</v>
      </c>
      <c r="D218" s="5">
        <v>253.7</v>
      </c>
      <c r="E218" s="4"/>
      <c r="F218" s="4"/>
      <c r="G218" s="2">
        <f t="shared" si="18"/>
        <v>7.153</v>
      </c>
      <c r="H218" s="11" t="str">
        <f t="shared" si="19"/>
        <v>3.460E-2</v>
      </c>
      <c r="I218" s="2">
        <f t="shared" si="20"/>
        <v>253.7</v>
      </c>
      <c r="J218" s="4">
        <f t="shared" si="21"/>
        <v>7.153</v>
      </c>
      <c r="K218" s="9">
        <f t="shared" si="22"/>
        <v>10.8</v>
      </c>
      <c r="L218" s="1">
        <f t="shared" si="23"/>
        <v>28.4</v>
      </c>
    </row>
    <row r="219" s="1" customFormat="1" spans="1:12">
      <c r="A219" s="2">
        <v>7.22</v>
      </c>
      <c r="B219" s="10" t="s">
        <v>27</v>
      </c>
      <c r="C219" s="4">
        <v>7.22</v>
      </c>
      <c r="D219" s="5">
        <v>253.7</v>
      </c>
      <c r="E219" s="4"/>
      <c r="F219" s="4"/>
      <c r="G219" s="2">
        <f t="shared" si="18"/>
        <v>7.187</v>
      </c>
      <c r="H219" s="11" t="str">
        <f t="shared" si="19"/>
        <v>3.461E-2</v>
      </c>
      <c r="I219" s="2">
        <f t="shared" si="20"/>
        <v>253.7</v>
      </c>
      <c r="J219" s="4">
        <f t="shared" si="21"/>
        <v>7.187</v>
      </c>
      <c r="K219" s="9">
        <f t="shared" si="22"/>
        <v>10.9</v>
      </c>
      <c r="L219" s="1">
        <f t="shared" si="23"/>
        <v>28.4</v>
      </c>
    </row>
    <row r="220" s="1" customFormat="1" spans="1:12">
      <c r="A220" s="2">
        <v>7.253</v>
      </c>
      <c r="B220" s="10" t="s">
        <v>237</v>
      </c>
      <c r="C220" s="4">
        <v>7.253</v>
      </c>
      <c r="D220" s="5">
        <v>253.7</v>
      </c>
      <c r="E220" s="4"/>
      <c r="F220" s="4"/>
      <c r="G220" s="2">
        <f t="shared" si="18"/>
        <v>7.22</v>
      </c>
      <c r="H220" s="11" t="str">
        <f t="shared" si="19"/>
        <v>3.463E-2</v>
      </c>
      <c r="I220" s="2">
        <f t="shared" si="20"/>
        <v>253.7</v>
      </c>
      <c r="J220" s="4">
        <f t="shared" si="21"/>
        <v>7.22</v>
      </c>
      <c r="K220" s="9">
        <f t="shared" si="22"/>
        <v>11.1</v>
      </c>
      <c r="L220" s="1">
        <f t="shared" si="23"/>
        <v>28.4</v>
      </c>
    </row>
    <row r="221" s="1" customFormat="1" spans="1:12">
      <c r="A221" s="2">
        <v>7.287</v>
      </c>
      <c r="B221" s="10" t="s">
        <v>40</v>
      </c>
      <c r="C221" s="4">
        <v>7.287</v>
      </c>
      <c r="D221" s="5">
        <v>253.7</v>
      </c>
      <c r="E221" s="4"/>
      <c r="F221" s="4"/>
      <c r="G221" s="2">
        <f t="shared" si="18"/>
        <v>7.253</v>
      </c>
      <c r="H221" s="11" t="str">
        <f t="shared" si="19"/>
        <v>3.464E-2</v>
      </c>
      <c r="I221" s="2">
        <f t="shared" si="20"/>
        <v>253.7</v>
      </c>
      <c r="J221" s="4">
        <f t="shared" si="21"/>
        <v>7.253</v>
      </c>
      <c r="K221" s="9">
        <f t="shared" si="22"/>
        <v>11.2</v>
      </c>
      <c r="L221" s="1">
        <f t="shared" si="23"/>
        <v>28.4</v>
      </c>
    </row>
    <row r="222" s="1" customFormat="1" spans="1:12">
      <c r="A222" s="2">
        <v>7.32</v>
      </c>
      <c r="B222" s="10" t="s">
        <v>204</v>
      </c>
      <c r="C222" s="4">
        <v>7.32</v>
      </c>
      <c r="D222" s="5">
        <v>253.7</v>
      </c>
      <c r="E222" s="4"/>
      <c r="F222" s="4"/>
      <c r="G222" s="2">
        <f t="shared" si="18"/>
        <v>7.287</v>
      </c>
      <c r="H222" s="11" t="str">
        <f t="shared" si="19"/>
        <v>3.466E-2</v>
      </c>
      <c r="I222" s="2">
        <f t="shared" si="20"/>
        <v>253.7</v>
      </c>
      <c r="J222" s="4">
        <f t="shared" si="21"/>
        <v>7.287</v>
      </c>
      <c r="K222" s="9">
        <f t="shared" si="22"/>
        <v>11.4</v>
      </c>
      <c r="L222" s="1">
        <f t="shared" si="23"/>
        <v>28.4</v>
      </c>
    </row>
    <row r="223" s="1" customFormat="1" spans="1:12">
      <c r="A223" s="2">
        <v>7.354</v>
      </c>
      <c r="B223" s="10" t="s">
        <v>119</v>
      </c>
      <c r="C223" s="4">
        <v>7.354</v>
      </c>
      <c r="D223" s="5">
        <v>253.7</v>
      </c>
      <c r="E223" s="4"/>
      <c r="F223" s="4"/>
      <c r="G223" s="2">
        <f t="shared" si="18"/>
        <v>7.32</v>
      </c>
      <c r="H223" s="11" t="str">
        <f t="shared" si="19"/>
        <v>3.468E-2</v>
      </c>
      <c r="I223" s="2">
        <f t="shared" si="20"/>
        <v>253.7</v>
      </c>
      <c r="J223" s="4">
        <f t="shared" si="21"/>
        <v>7.32</v>
      </c>
      <c r="K223" s="9">
        <f t="shared" si="22"/>
        <v>11.6</v>
      </c>
      <c r="L223" s="1">
        <f t="shared" si="23"/>
        <v>28.4</v>
      </c>
    </row>
    <row r="224" s="1" customFormat="1" spans="1:12">
      <c r="A224" s="2">
        <v>7.387</v>
      </c>
      <c r="B224" s="10" t="s">
        <v>171</v>
      </c>
      <c r="C224" s="4">
        <v>7.387</v>
      </c>
      <c r="D224" s="5">
        <v>253.7</v>
      </c>
      <c r="E224" s="4"/>
      <c r="F224" s="4"/>
      <c r="G224" s="2">
        <f t="shared" si="18"/>
        <v>7.354</v>
      </c>
      <c r="H224" s="11" t="str">
        <f t="shared" si="19"/>
        <v>3.471E-2</v>
      </c>
      <c r="I224" s="2">
        <f t="shared" si="20"/>
        <v>253.7</v>
      </c>
      <c r="J224" s="4">
        <f t="shared" si="21"/>
        <v>7.354</v>
      </c>
      <c r="K224" s="9">
        <f t="shared" si="22"/>
        <v>11.9</v>
      </c>
      <c r="L224" s="1">
        <f t="shared" si="23"/>
        <v>28.4</v>
      </c>
    </row>
    <row r="225" s="1" customFormat="1" spans="1:12">
      <c r="A225" s="2">
        <v>7.421</v>
      </c>
      <c r="B225" s="10" t="s">
        <v>172</v>
      </c>
      <c r="C225" s="4">
        <v>7.421</v>
      </c>
      <c r="D225" s="5">
        <v>253.7</v>
      </c>
      <c r="E225" s="4"/>
      <c r="F225" s="4"/>
      <c r="G225" s="2">
        <f t="shared" si="18"/>
        <v>7.387</v>
      </c>
      <c r="H225" s="11" t="str">
        <f t="shared" si="19"/>
        <v>3.474E-2</v>
      </c>
      <c r="I225" s="2">
        <f t="shared" si="20"/>
        <v>253.7</v>
      </c>
      <c r="J225" s="4">
        <f t="shared" si="21"/>
        <v>7.387</v>
      </c>
      <c r="K225" s="9">
        <f t="shared" si="22"/>
        <v>12.2</v>
      </c>
      <c r="L225" s="1">
        <f t="shared" si="23"/>
        <v>28.4</v>
      </c>
    </row>
    <row r="226" s="1" customFormat="1" spans="1:12">
      <c r="A226" s="2">
        <v>7.454</v>
      </c>
      <c r="B226" s="10" t="s">
        <v>243</v>
      </c>
      <c r="C226" s="4">
        <v>7.454</v>
      </c>
      <c r="D226" s="5">
        <v>253.7</v>
      </c>
      <c r="E226" s="4"/>
      <c r="F226" s="4"/>
      <c r="G226" s="2">
        <f t="shared" si="18"/>
        <v>7.421</v>
      </c>
      <c r="H226" s="11" t="str">
        <f t="shared" si="19"/>
        <v>3.477E-2</v>
      </c>
      <c r="I226" s="2">
        <f t="shared" si="20"/>
        <v>253.7</v>
      </c>
      <c r="J226" s="4">
        <f t="shared" si="21"/>
        <v>7.421</v>
      </c>
      <c r="K226" s="9">
        <f t="shared" si="22"/>
        <v>12.5</v>
      </c>
      <c r="L226" s="1">
        <f t="shared" si="23"/>
        <v>28.4</v>
      </c>
    </row>
    <row r="227" s="1" customFormat="1" spans="1:12">
      <c r="A227" s="2">
        <v>7.487</v>
      </c>
      <c r="B227" s="10" t="s">
        <v>139</v>
      </c>
      <c r="C227" s="4">
        <v>7.487</v>
      </c>
      <c r="D227" s="5">
        <v>253.7</v>
      </c>
      <c r="E227" s="4"/>
      <c r="F227" s="4"/>
      <c r="G227" s="2">
        <f t="shared" si="18"/>
        <v>7.454</v>
      </c>
      <c r="H227" s="11" t="str">
        <f t="shared" si="19"/>
        <v>3.480E-2</v>
      </c>
      <c r="I227" s="2">
        <f t="shared" si="20"/>
        <v>253.7</v>
      </c>
      <c r="J227" s="4">
        <f t="shared" si="21"/>
        <v>7.454</v>
      </c>
      <c r="K227" s="9">
        <f t="shared" si="22"/>
        <v>12.8</v>
      </c>
      <c r="L227" s="1">
        <f t="shared" si="23"/>
        <v>28.4</v>
      </c>
    </row>
    <row r="228" s="1" customFormat="1" spans="1:12">
      <c r="A228" s="2">
        <v>7.521</v>
      </c>
      <c r="B228" s="10" t="s">
        <v>193</v>
      </c>
      <c r="C228" s="4">
        <v>7.521</v>
      </c>
      <c r="D228" s="5">
        <v>253.8</v>
      </c>
      <c r="E228" s="4"/>
      <c r="F228" s="4"/>
      <c r="G228" s="2">
        <f t="shared" si="18"/>
        <v>7.487</v>
      </c>
      <c r="H228" s="11" t="str">
        <f t="shared" si="19"/>
        <v>3.485E-2</v>
      </c>
      <c r="I228" s="2">
        <f t="shared" si="20"/>
        <v>253.7</v>
      </c>
      <c r="J228" s="4">
        <f t="shared" si="21"/>
        <v>7.487</v>
      </c>
      <c r="K228" s="9">
        <f t="shared" si="22"/>
        <v>13.3</v>
      </c>
      <c r="L228" s="1">
        <f t="shared" si="23"/>
        <v>28.4</v>
      </c>
    </row>
    <row r="229" s="1" customFormat="1" spans="1:12">
      <c r="A229" s="2">
        <v>7.554</v>
      </c>
      <c r="B229" s="10" t="s">
        <v>191</v>
      </c>
      <c r="C229" s="4">
        <v>7.554</v>
      </c>
      <c r="D229" s="5">
        <v>253.7</v>
      </c>
      <c r="E229" s="4"/>
      <c r="F229" s="4"/>
      <c r="G229" s="2">
        <f t="shared" si="18"/>
        <v>7.521</v>
      </c>
      <c r="H229" s="11" t="str">
        <f t="shared" si="19"/>
        <v>3.491E-2</v>
      </c>
      <c r="I229" s="2">
        <f t="shared" si="20"/>
        <v>253.8</v>
      </c>
      <c r="J229" s="4">
        <f t="shared" si="21"/>
        <v>7.521</v>
      </c>
      <c r="K229" s="9">
        <f t="shared" si="22"/>
        <v>13.9</v>
      </c>
      <c r="L229" s="1">
        <f t="shared" si="23"/>
        <v>28.4</v>
      </c>
    </row>
    <row r="230" s="1" customFormat="1" spans="1:12">
      <c r="A230" s="2">
        <v>7.588</v>
      </c>
      <c r="B230" s="10" t="s">
        <v>218</v>
      </c>
      <c r="C230" s="4">
        <v>7.588</v>
      </c>
      <c r="D230" s="5">
        <v>253.8</v>
      </c>
      <c r="E230" s="4"/>
      <c r="F230" s="4"/>
      <c r="G230" s="2">
        <f t="shared" si="18"/>
        <v>7.554</v>
      </c>
      <c r="H230" s="11" t="str">
        <f t="shared" si="19"/>
        <v>3.507E-2</v>
      </c>
      <c r="I230" s="2">
        <f t="shared" si="20"/>
        <v>253.7</v>
      </c>
      <c r="J230" s="4">
        <f t="shared" si="21"/>
        <v>7.554</v>
      </c>
      <c r="K230" s="9">
        <f t="shared" si="22"/>
        <v>15.5</v>
      </c>
      <c r="L230" s="1">
        <f t="shared" si="23"/>
        <v>28.4</v>
      </c>
    </row>
    <row r="231" s="1" customFormat="1" spans="1:12">
      <c r="A231" s="2">
        <v>7.621</v>
      </c>
      <c r="B231" s="10" t="s">
        <v>137</v>
      </c>
      <c r="C231" s="4">
        <v>7.621</v>
      </c>
      <c r="D231" s="5">
        <v>253.7</v>
      </c>
      <c r="E231" s="4"/>
      <c r="F231" s="4"/>
      <c r="G231" s="2">
        <f t="shared" si="18"/>
        <v>7.588</v>
      </c>
      <c r="H231" s="11" t="str">
        <f t="shared" si="19"/>
        <v>3.516E-2</v>
      </c>
      <c r="I231" s="2">
        <f t="shared" si="20"/>
        <v>253.8</v>
      </c>
      <c r="J231" s="4">
        <f t="shared" si="21"/>
        <v>7.588</v>
      </c>
      <c r="K231" s="9">
        <f t="shared" si="22"/>
        <v>16.4</v>
      </c>
      <c r="L231" s="1">
        <f t="shared" si="23"/>
        <v>28.4</v>
      </c>
    </row>
    <row r="232" s="1" customFormat="1" spans="1:12">
      <c r="A232" s="2">
        <v>7.655</v>
      </c>
      <c r="B232" s="10" t="s">
        <v>91</v>
      </c>
      <c r="C232" s="4">
        <v>7.655</v>
      </c>
      <c r="D232" s="5">
        <v>253.7</v>
      </c>
      <c r="E232" s="4"/>
      <c r="F232" s="4"/>
      <c r="G232" s="2">
        <f t="shared" si="18"/>
        <v>7.621</v>
      </c>
      <c r="H232" s="11" t="str">
        <f t="shared" si="19"/>
        <v>3.524E-2</v>
      </c>
      <c r="I232" s="2">
        <f t="shared" si="20"/>
        <v>253.7</v>
      </c>
      <c r="J232" s="4">
        <f t="shared" si="21"/>
        <v>7.621</v>
      </c>
      <c r="K232" s="9">
        <f t="shared" si="22"/>
        <v>17.2</v>
      </c>
      <c r="L232" s="1">
        <f t="shared" si="23"/>
        <v>28.4</v>
      </c>
    </row>
    <row r="233" s="1" customFormat="1" spans="1:12">
      <c r="A233" s="2">
        <v>7.688</v>
      </c>
      <c r="B233" s="10" t="s">
        <v>225</v>
      </c>
      <c r="C233" s="4">
        <v>7.688</v>
      </c>
      <c r="D233" s="5">
        <v>253.7</v>
      </c>
      <c r="E233" s="4"/>
      <c r="F233" s="4"/>
      <c r="G233" s="2">
        <f t="shared" si="18"/>
        <v>7.655</v>
      </c>
      <c r="H233" s="11" t="str">
        <f t="shared" si="19"/>
        <v>3.539E-2</v>
      </c>
      <c r="I233" s="2">
        <f t="shared" si="20"/>
        <v>253.7</v>
      </c>
      <c r="J233" s="4">
        <f t="shared" si="21"/>
        <v>7.655</v>
      </c>
      <c r="K233" s="9">
        <f t="shared" si="22"/>
        <v>18.7</v>
      </c>
      <c r="L233" s="1">
        <f t="shared" si="23"/>
        <v>28.4</v>
      </c>
    </row>
    <row r="234" s="1" customFormat="1" spans="1:12">
      <c r="A234" s="2">
        <v>7.721</v>
      </c>
      <c r="B234" s="10" t="s">
        <v>210</v>
      </c>
      <c r="C234" s="4">
        <v>7.721</v>
      </c>
      <c r="D234" s="5">
        <v>253.7</v>
      </c>
      <c r="E234" s="4"/>
      <c r="F234" s="4"/>
      <c r="G234" s="2">
        <f t="shared" si="18"/>
        <v>7.688</v>
      </c>
      <c r="H234" s="11" t="str">
        <f t="shared" si="19"/>
        <v>3.550E-2</v>
      </c>
      <c r="I234" s="2">
        <f t="shared" si="20"/>
        <v>253.7</v>
      </c>
      <c r="J234" s="4">
        <f t="shared" si="21"/>
        <v>7.688</v>
      </c>
      <c r="K234" s="9">
        <f t="shared" si="22"/>
        <v>19.8</v>
      </c>
      <c r="L234" s="1">
        <f t="shared" si="23"/>
        <v>28.4</v>
      </c>
    </row>
    <row r="235" s="1" customFormat="1" spans="1:12">
      <c r="A235" s="2">
        <v>7.755</v>
      </c>
      <c r="B235" s="10" t="s">
        <v>72</v>
      </c>
      <c r="C235" s="4">
        <v>7.755</v>
      </c>
      <c r="D235" s="5">
        <v>253.7</v>
      </c>
      <c r="E235" s="4"/>
      <c r="F235" s="4"/>
      <c r="G235" s="2">
        <f t="shared" si="18"/>
        <v>7.721</v>
      </c>
      <c r="H235" s="11" t="str">
        <f t="shared" si="19"/>
        <v>3.566E-2</v>
      </c>
      <c r="I235" s="2">
        <f t="shared" si="20"/>
        <v>253.7</v>
      </c>
      <c r="J235" s="4">
        <f t="shared" si="21"/>
        <v>7.721</v>
      </c>
      <c r="K235" s="9">
        <f t="shared" si="22"/>
        <v>21.4</v>
      </c>
      <c r="L235" s="1">
        <f t="shared" si="23"/>
        <v>28.4</v>
      </c>
    </row>
    <row r="236" s="1" customFormat="1" spans="1:12">
      <c r="A236" s="2">
        <v>7.788</v>
      </c>
      <c r="B236" s="10" t="s">
        <v>179</v>
      </c>
      <c r="C236" s="4">
        <v>7.788</v>
      </c>
      <c r="D236" s="5">
        <v>253.7</v>
      </c>
      <c r="E236" s="4"/>
      <c r="F236" s="4"/>
      <c r="G236" s="2">
        <f t="shared" si="18"/>
        <v>7.755</v>
      </c>
      <c r="H236" s="11" t="str">
        <f t="shared" si="19"/>
        <v>3.577E-2</v>
      </c>
      <c r="I236" s="2">
        <f t="shared" si="20"/>
        <v>253.7</v>
      </c>
      <c r="J236" s="4">
        <f t="shared" si="21"/>
        <v>7.755</v>
      </c>
      <c r="K236" s="9">
        <f t="shared" si="22"/>
        <v>22.5</v>
      </c>
      <c r="L236" s="1">
        <f t="shared" si="23"/>
        <v>28.4</v>
      </c>
    </row>
    <row r="237" s="1" customFormat="1" spans="1:12">
      <c r="A237" s="2">
        <v>7.822</v>
      </c>
      <c r="B237" s="10" t="s">
        <v>304</v>
      </c>
      <c r="C237" s="4">
        <v>7.822</v>
      </c>
      <c r="D237" s="5">
        <v>253.7</v>
      </c>
      <c r="E237" s="4"/>
      <c r="F237" s="4"/>
      <c r="G237" s="2">
        <f t="shared" si="18"/>
        <v>7.788</v>
      </c>
      <c r="H237" s="11" t="str">
        <f t="shared" si="19"/>
        <v>3.586E-2</v>
      </c>
      <c r="I237" s="2">
        <f t="shared" si="20"/>
        <v>253.7</v>
      </c>
      <c r="J237" s="4">
        <f t="shared" si="21"/>
        <v>7.788</v>
      </c>
      <c r="K237" s="9">
        <f t="shared" si="22"/>
        <v>23.4</v>
      </c>
      <c r="L237" s="1">
        <f t="shared" si="23"/>
        <v>28.4</v>
      </c>
    </row>
    <row r="238" s="1" customFormat="1" spans="1:12">
      <c r="A238" s="2">
        <v>7.855</v>
      </c>
      <c r="B238" s="10" t="s">
        <v>152</v>
      </c>
      <c r="C238" s="4">
        <v>7.855</v>
      </c>
      <c r="D238" s="5">
        <v>253.8</v>
      </c>
      <c r="E238" s="4"/>
      <c r="F238" s="4"/>
      <c r="G238" s="2">
        <f t="shared" si="18"/>
        <v>7.822</v>
      </c>
      <c r="H238" s="11" t="str">
        <f t="shared" si="19"/>
        <v>3.598E-2</v>
      </c>
      <c r="I238" s="2">
        <f t="shared" si="20"/>
        <v>253.7</v>
      </c>
      <c r="J238" s="4">
        <f t="shared" si="21"/>
        <v>7.822</v>
      </c>
      <c r="K238" s="9">
        <f t="shared" si="22"/>
        <v>24.6</v>
      </c>
      <c r="L238" s="1">
        <f t="shared" si="23"/>
        <v>28.4</v>
      </c>
    </row>
    <row r="239" s="1" customFormat="1" spans="1:12">
      <c r="A239" s="2">
        <v>7.889</v>
      </c>
      <c r="B239" s="10" t="s">
        <v>294</v>
      </c>
      <c r="C239" s="4">
        <v>7.889</v>
      </c>
      <c r="D239" s="5">
        <v>84.6</v>
      </c>
      <c r="E239" s="4"/>
      <c r="F239" s="4"/>
      <c r="G239" s="2">
        <f t="shared" si="18"/>
        <v>7.855</v>
      </c>
      <c r="H239" s="11" t="str">
        <f t="shared" si="19"/>
        <v>3.603E-2</v>
      </c>
      <c r="I239" s="2">
        <f t="shared" si="20"/>
        <v>253.8</v>
      </c>
      <c r="J239" s="4">
        <f t="shared" si="21"/>
        <v>7.855</v>
      </c>
      <c r="K239" s="9">
        <f t="shared" si="22"/>
        <v>25.1</v>
      </c>
      <c r="L239" s="1">
        <f t="shared" si="23"/>
        <v>28.4</v>
      </c>
    </row>
    <row r="240" s="1" customFormat="1" spans="1:12">
      <c r="A240" s="2">
        <v>7.922</v>
      </c>
      <c r="B240" s="10" t="s">
        <v>283</v>
      </c>
      <c r="C240" s="4">
        <v>7.922</v>
      </c>
      <c r="D240" s="5">
        <v>113</v>
      </c>
      <c r="E240" s="4"/>
      <c r="F240" s="4"/>
      <c r="G240" s="2">
        <f t="shared" si="18"/>
        <v>7.889</v>
      </c>
      <c r="H240" s="11" t="str">
        <f t="shared" si="19"/>
        <v>3.606E-2</v>
      </c>
      <c r="I240" s="2">
        <f t="shared" si="20"/>
        <v>84.6</v>
      </c>
      <c r="J240" s="4">
        <f t="shared" si="21"/>
        <v>7.889</v>
      </c>
      <c r="K240" s="9">
        <f t="shared" si="22"/>
        <v>25.4</v>
      </c>
      <c r="L240" s="1">
        <f t="shared" si="23"/>
        <v>-0.300000000000022</v>
      </c>
    </row>
    <row r="241" s="1" customFormat="1" spans="1:12">
      <c r="A241" s="2">
        <v>7.955</v>
      </c>
      <c r="B241" s="10" t="s">
        <v>123</v>
      </c>
      <c r="C241" s="4">
        <v>7.955</v>
      </c>
      <c r="D241" s="5">
        <v>110.4</v>
      </c>
      <c r="E241" s="4"/>
      <c r="F241" s="4"/>
      <c r="G241" s="2">
        <f t="shared" si="18"/>
        <v>7.922</v>
      </c>
      <c r="H241" s="11" t="str">
        <f t="shared" si="19"/>
        <v>3.613E-2</v>
      </c>
      <c r="I241" s="2">
        <f t="shared" si="20"/>
        <v>113</v>
      </c>
      <c r="J241" s="4">
        <f t="shared" si="21"/>
        <v>7.922</v>
      </c>
      <c r="K241" s="9">
        <f t="shared" si="22"/>
        <v>26.1</v>
      </c>
      <c r="L241" s="1">
        <f t="shared" si="23"/>
        <v>-0.300000000000022</v>
      </c>
    </row>
    <row r="242" s="1" customFormat="1" spans="1:12">
      <c r="A242" s="2">
        <v>7.989</v>
      </c>
      <c r="B242" s="10" t="s">
        <v>291</v>
      </c>
      <c r="C242" s="4">
        <v>7.989</v>
      </c>
      <c r="D242" s="5">
        <v>108.2</v>
      </c>
      <c r="E242" s="4"/>
      <c r="F242" s="4"/>
      <c r="G242" s="2">
        <f t="shared" si="18"/>
        <v>7.955</v>
      </c>
      <c r="H242" s="11" t="str">
        <f t="shared" si="19"/>
        <v>3.622E-2</v>
      </c>
      <c r="I242" s="2">
        <f t="shared" si="20"/>
        <v>110.4</v>
      </c>
      <c r="J242" s="4">
        <f t="shared" si="21"/>
        <v>7.955</v>
      </c>
      <c r="K242" s="9">
        <f t="shared" si="22"/>
        <v>27</v>
      </c>
      <c r="L242" s="1">
        <f t="shared" si="23"/>
        <v>-0.300000000000022</v>
      </c>
    </row>
    <row r="243" s="1" customFormat="1" spans="1:12">
      <c r="A243" s="2">
        <v>8.022</v>
      </c>
      <c r="B243" s="10" t="s">
        <v>155</v>
      </c>
      <c r="C243" s="4">
        <v>8.022</v>
      </c>
      <c r="D243" s="5">
        <v>106.1</v>
      </c>
      <c r="E243" s="4"/>
      <c r="F243" s="4"/>
      <c r="G243" s="2">
        <f t="shared" si="18"/>
        <v>7.989</v>
      </c>
      <c r="H243" s="11" t="str">
        <f t="shared" si="19"/>
        <v>3.628E-2</v>
      </c>
      <c r="I243" s="2">
        <f t="shared" si="20"/>
        <v>108.2</v>
      </c>
      <c r="J243" s="4">
        <f t="shared" si="21"/>
        <v>7.989</v>
      </c>
      <c r="K243" s="9">
        <f t="shared" si="22"/>
        <v>27.6</v>
      </c>
      <c r="L243" s="1">
        <f t="shared" si="23"/>
        <v>-0.300000000000022</v>
      </c>
    </row>
    <row r="244" s="1" customFormat="1" spans="1:12">
      <c r="A244" s="2">
        <v>8.056</v>
      </c>
      <c r="B244" s="10" t="s">
        <v>97</v>
      </c>
      <c r="C244" s="4">
        <v>8.056</v>
      </c>
      <c r="D244" s="5">
        <v>103.7</v>
      </c>
      <c r="E244" s="4"/>
      <c r="F244" s="4"/>
      <c r="G244" s="2">
        <f t="shared" si="18"/>
        <v>8.022</v>
      </c>
      <c r="H244" s="11" t="str">
        <f t="shared" si="19"/>
        <v>3.630E-2</v>
      </c>
      <c r="I244" s="2">
        <f t="shared" si="20"/>
        <v>106.1</v>
      </c>
      <c r="J244" s="4">
        <f t="shared" si="21"/>
        <v>8.022</v>
      </c>
      <c r="K244" s="9">
        <f t="shared" si="22"/>
        <v>27.8</v>
      </c>
      <c r="L244" s="1">
        <f t="shared" si="23"/>
        <v>-0.300000000000022</v>
      </c>
    </row>
    <row r="245" s="1" customFormat="1" spans="1:12">
      <c r="A245" s="2">
        <v>8.089</v>
      </c>
      <c r="B245" s="10" t="s">
        <v>155</v>
      </c>
      <c r="C245" s="4">
        <v>8.089</v>
      </c>
      <c r="D245" s="5">
        <v>102.9</v>
      </c>
      <c r="E245" s="4"/>
      <c r="F245" s="4"/>
      <c r="G245" s="2">
        <f t="shared" si="18"/>
        <v>8.056</v>
      </c>
      <c r="H245" s="11" t="str">
        <f t="shared" si="19"/>
        <v>3.629E-2</v>
      </c>
      <c r="I245" s="2">
        <f t="shared" si="20"/>
        <v>103.7</v>
      </c>
      <c r="J245" s="4">
        <f t="shared" si="21"/>
        <v>8.056</v>
      </c>
      <c r="K245" s="9">
        <f t="shared" si="22"/>
        <v>27.7</v>
      </c>
      <c r="L245" s="1">
        <f t="shared" si="23"/>
        <v>-0.300000000000022</v>
      </c>
    </row>
    <row r="246" s="1" customFormat="1" spans="1:12">
      <c r="A246" s="2">
        <v>8.123</v>
      </c>
      <c r="B246" s="10" t="s">
        <v>291</v>
      </c>
      <c r="C246" s="4">
        <v>8.123</v>
      </c>
      <c r="D246" s="5">
        <v>101.1</v>
      </c>
      <c r="E246" s="4"/>
      <c r="F246" s="4"/>
      <c r="G246" s="2">
        <f t="shared" si="18"/>
        <v>8.089</v>
      </c>
      <c r="H246" s="11" t="str">
        <f t="shared" si="19"/>
        <v>3.630E-2</v>
      </c>
      <c r="I246" s="2">
        <f t="shared" si="20"/>
        <v>102.9</v>
      </c>
      <c r="J246" s="4">
        <f t="shared" si="21"/>
        <v>8.089</v>
      </c>
      <c r="K246" s="9">
        <f t="shared" si="22"/>
        <v>27.8</v>
      </c>
      <c r="L246" s="1">
        <f t="shared" si="23"/>
        <v>-0.300000000000022</v>
      </c>
    </row>
    <row r="247" s="1" customFormat="1" spans="1:12">
      <c r="A247" s="2">
        <v>8.156</v>
      </c>
      <c r="B247" s="10" t="s">
        <v>154</v>
      </c>
      <c r="C247" s="4">
        <v>8.156</v>
      </c>
      <c r="D247" s="5">
        <v>100.2</v>
      </c>
      <c r="E247" s="4"/>
      <c r="F247" s="4"/>
      <c r="G247" s="2">
        <f t="shared" si="18"/>
        <v>8.123</v>
      </c>
      <c r="H247" s="11" t="str">
        <f t="shared" si="19"/>
        <v>3.628E-2</v>
      </c>
      <c r="I247" s="2">
        <f t="shared" si="20"/>
        <v>101.1</v>
      </c>
      <c r="J247" s="4">
        <f t="shared" si="21"/>
        <v>8.123</v>
      </c>
      <c r="K247" s="9">
        <f t="shared" si="22"/>
        <v>27.6</v>
      </c>
      <c r="L247" s="1">
        <f t="shared" si="23"/>
        <v>-0.300000000000022</v>
      </c>
    </row>
    <row r="248" s="1" customFormat="1" spans="1:12">
      <c r="A248" s="2">
        <v>8.189</v>
      </c>
      <c r="B248" s="10" t="s">
        <v>161</v>
      </c>
      <c r="C248" s="4">
        <v>8.189</v>
      </c>
      <c r="D248" s="5">
        <v>97.3</v>
      </c>
      <c r="E248" s="4"/>
      <c r="F248" s="4"/>
      <c r="G248" s="2">
        <f t="shared" si="18"/>
        <v>8.156</v>
      </c>
      <c r="H248" s="11" t="str">
        <f t="shared" si="19"/>
        <v>3.625E-2</v>
      </c>
      <c r="I248" s="2">
        <f t="shared" si="20"/>
        <v>100.2</v>
      </c>
      <c r="J248" s="4">
        <f t="shared" si="21"/>
        <v>8.156</v>
      </c>
      <c r="K248" s="9">
        <f t="shared" si="22"/>
        <v>27.3</v>
      </c>
      <c r="L248" s="1">
        <f t="shared" si="23"/>
        <v>-0.300000000000022</v>
      </c>
    </row>
    <row r="249" s="1" customFormat="1" spans="1:12">
      <c r="A249" s="2">
        <v>8.223</v>
      </c>
      <c r="B249" s="10" t="s">
        <v>96</v>
      </c>
      <c r="C249" s="4">
        <v>8.223</v>
      </c>
      <c r="D249" s="5">
        <v>95.8</v>
      </c>
      <c r="E249" s="4"/>
      <c r="F249" s="4"/>
      <c r="G249" s="2">
        <f t="shared" si="18"/>
        <v>8.189</v>
      </c>
      <c r="H249" s="11" t="str">
        <f t="shared" si="19"/>
        <v>3.621E-2</v>
      </c>
      <c r="I249" s="2">
        <f t="shared" si="20"/>
        <v>97.3</v>
      </c>
      <c r="J249" s="4">
        <f t="shared" si="21"/>
        <v>8.189</v>
      </c>
      <c r="K249" s="9">
        <f t="shared" si="22"/>
        <v>26.9</v>
      </c>
      <c r="L249" s="1">
        <f t="shared" si="23"/>
        <v>-0.300000000000022</v>
      </c>
    </row>
    <row r="250" s="1" customFormat="1" spans="1:12">
      <c r="A250" s="2">
        <v>8.256</v>
      </c>
      <c r="B250" s="10" t="s">
        <v>303</v>
      </c>
      <c r="C250" s="4">
        <v>8.256</v>
      </c>
      <c r="D250" s="5">
        <v>93.4</v>
      </c>
      <c r="E250" s="4"/>
      <c r="F250" s="4"/>
      <c r="G250" s="2">
        <f t="shared" si="18"/>
        <v>8.223</v>
      </c>
      <c r="H250" s="11" t="str">
        <f t="shared" si="19"/>
        <v>3.618E-2</v>
      </c>
      <c r="I250" s="2">
        <f t="shared" si="20"/>
        <v>95.8</v>
      </c>
      <c r="J250" s="4">
        <f t="shared" si="21"/>
        <v>8.223</v>
      </c>
      <c r="K250" s="9">
        <f t="shared" si="22"/>
        <v>26.6</v>
      </c>
      <c r="L250" s="1">
        <f t="shared" si="23"/>
        <v>-0.300000000000022</v>
      </c>
    </row>
    <row r="251" s="1" customFormat="1" spans="1:12">
      <c r="A251" s="2">
        <v>8.29</v>
      </c>
      <c r="B251" s="10" t="s">
        <v>133</v>
      </c>
      <c r="C251" s="4">
        <v>8.29</v>
      </c>
      <c r="D251" s="5">
        <v>92.1</v>
      </c>
      <c r="E251" s="4"/>
      <c r="F251" s="4"/>
      <c r="G251" s="2">
        <f t="shared" si="18"/>
        <v>8.256</v>
      </c>
      <c r="H251" s="11" t="str">
        <f t="shared" si="19"/>
        <v>3.614E-2</v>
      </c>
      <c r="I251" s="2">
        <f t="shared" si="20"/>
        <v>93.4</v>
      </c>
      <c r="J251" s="4">
        <f t="shared" si="21"/>
        <v>8.256</v>
      </c>
      <c r="K251" s="9">
        <f t="shared" si="22"/>
        <v>26.2</v>
      </c>
      <c r="L251" s="1">
        <f t="shared" si="23"/>
        <v>-0.300000000000022</v>
      </c>
    </row>
    <row r="252" s="1" customFormat="1" spans="1:12">
      <c r="A252" s="2">
        <v>8.323</v>
      </c>
      <c r="B252" s="10" t="s">
        <v>104</v>
      </c>
      <c r="C252" s="4">
        <v>8.323</v>
      </c>
      <c r="D252" s="5">
        <v>89.4</v>
      </c>
      <c r="E252" s="4"/>
      <c r="F252" s="4"/>
      <c r="G252" s="2">
        <f t="shared" si="18"/>
        <v>8.29</v>
      </c>
      <c r="H252" s="11" t="str">
        <f t="shared" si="19"/>
        <v>3.610E-2</v>
      </c>
      <c r="I252" s="2">
        <f t="shared" si="20"/>
        <v>92.1</v>
      </c>
      <c r="J252" s="4">
        <f t="shared" si="21"/>
        <v>8.29</v>
      </c>
      <c r="K252" s="9">
        <f t="shared" si="22"/>
        <v>25.8</v>
      </c>
      <c r="L252" s="1">
        <f t="shared" si="23"/>
        <v>-0.300000000000022</v>
      </c>
    </row>
    <row r="253" s="1" customFormat="1" spans="1:12">
      <c r="A253" s="2">
        <v>8.357</v>
      </c>
      <c r="B253" s="10" t="s">
        <v>151</v>
      </c>
      <c r="C253" s="4">
        <v>8.357</v>
      </c>
      <c r="D253" s="5">
        <v>87.7</v>
      </c>
      <c r="E253" s="4"/>
      <c r="F253" s="4"/>
      <c r="G253" s="2">
        <f t="shared" si="18"/>
        <v>8.323</v>
      </c>
      <c r="H253" s="11" t="str">
        <f t="shared" si="19"/>
        <v>3.608E-2</v>
      </c>
      <c r="I253" s="2">
        <f t="shared" si="20"/>
        <v>89.4</v>
      </c>
      <c r="J253" s="4">
        <f t="shared" si="21"/>
        <v>8.323</v>
      </c>
      <c r="K253" s="9">
        <f t="shared" si="22"/>
        <v>25.6</v>
      </c>
      <c r="L253" s="1">
        <f t="shared" si="23"/>
        <v>-0.300000000000022</v>
      </c>
    </row>
    <row r="254" s="1" customFormat="1" spans="1:12">
      <c r="A254" s="2">
        <v>8.39</v>
      </c>
      <c r="B254" s="10" t="s">
        <v>180</v>
      </c>
      <c r="C254" s="4">
        <v>8.39</v>
      </c>
      <c r="D254" s="5">
        <v>85.7</v>
      </c>
      <c r="E254" s="4"/>
      <c r="F254" s="4"/>
      <c r="G254" s="2">
        <f t="shared" si="18"/>
        <v>8.357</v>
      </c>
      <c r="H254" s="11" t="str">
        <f t="shared" si="19"/>
        <v>3.594E-2</v>
      </c>
      <c r="I254" s="2">
        <f t="shared" si="20"/>
        <v>87.7</v>
      </c>
      <c r="J254" s="4">
        <f t="shared" si="21"/>
        <v>8.357</v>
      </c>
      <c r="K254" s="9">
        <f t="shared" si="22"/>
        <v>24.2</v>
      </c>
      <c r="L254" s="1">
        <f t="shared" si="23"/>
        <v>-0.300000000000022</v>
      </c>
    </row>
    <row r="255" s="1" customFormat="1" spans="1:12">
      <c r="A255" s="2">
        <v>8.423</v>
      </c>
      <c r="B255" s="10" t="s">
        <v>66</v>
      </c>
      <c r="C255" s="4">
        <v>8.423</v>
      </c>
      <c r="D255" s="5">
        <v>85.2</v>
      </c>
      <c r="E255" s="4"/>
      <c r="F255" s="4"/>
      <c r="G255" s="2">
        <f t="shared" si="18"/>
        <v>8.39</v>
      </c>
      <c r="H255" s="11" t="str">
        <f t="shared" si="19"/>
        <v>3.584E-2</v>
      </c>
      <c r="I255" s="2">
        <f t="shared" si="20"/>
        <v>85.7</v>
      </c>
      <c r="J255" s="4">
        <f t="shared" si="21"/>
        <v>8.39</v>
      </c>
      <c r="K255" s="9">
        <f t="shared" si="22"/>
        <v>23.2</v>
      </c>
      <c r="L255" s="1">
        <f t="shared" si="23"/>
        <v>-0.300000000000022</v>
      </c>
    </row>
    <row r="256" s="1" customFormat="1" spans="1:12">
      <c r="A256" s="2">
        <v>8.457</v>
      </c>
      <c r="B256" s="10" t="s">
        <v>306</v>
      </c>
      <c r="C256" s="4">
        <v>8.457</v>
      </c>
      <c r="D256" s="5">
        <v>81.2</v>
      </c>
      <c r="E256" s="4"/>
      <c r="F256" s="4"/>
      <c r="G256" s="2">
        <f t="shared" si="18"/>
        <v>8.423</v>
      </c>
      <c r="H256" s="11" t="str">
        <f t="shared" si="19"/>
        <v>3.575E-2</v>
      </c>
      <c r="I256" s="2">
        <f t="shared" si="20"/>
        <v>85.2</v>
      </c>
      <c r="J256" s="4">
        <f t="shared" si="21"/>
        <v>8.423</v>
      </c>
      <c r="K256" s="9">
        <f t="shared" si="22"/>
        <v>22.3</v>
      </c>
      <c r="L256" s="1">
        <f t="shared" si="23"/>
        <v>-0.300000000000022</v>
      </c>
    </row>
    <row r="257" s="1" customFormat="1" spans="1:12">
      <c r="A257" s="2">
        <v>8.49</v>
      </c>
      <c r="B257" s="10" t="s">
        <v>225</v>
      </c>
      <c r="C257" s="4">
        <v>8.49</v>
      </c>
      <c r="D257" s="5">
        <v>81.2</v>
      </c>
      <c r="E257" s="4"/>
      <c r="F257" s="4"/>
      <c r="G257" s="2">
        <f t="shared" si="18"/>
        <v>8.457</v>
      </c>
      <c r="H257" s="11" t="str">
        <f t="shared" si="19"/>
        <v>3.558E-2</v>
      </c>
      <c r="I257" s="2">
        <f t="shared" si="20"/>
        <v>81.2</v>
      </c>
      <c r="J257" s="4">
        <f t="shared" si="21"/>
        <v>8.457</v>
      </c>
      <c r="K257" s="9">
        <f t="shared" si="22"/>
        <v>20.6</v>
      </c>
      <c r="L257" s="1">
        <f t="shared" si="23"/>
        <v>-0.300000000000022</v>
      </c>
    </row>
    <row r="258" s="1" customFormat="1" spans="1:12">
      <c r="A258" s="2">
        <v>8.524</v>
      </c>
      <c r="B258" s="10" t="s">
        <v>63</v>
      </c>
      <c r="C258" s="4">
        <v>8.524</v>
      </c>
      <c r="D258" s="5">
        <v>80.1</v>
      </c>
      <c r="E258" s="4"/>
      <c r="F258" s="4"/>
      <c r="G258" s="2">
        <f t="shared" si="18"/>
        <v>8.49</v>
      </c>
      <c r="H258" s="11" t="str">
        <f t="shared" si="19"/>
        <v>3.550E-2</v>
      </c>
      <c r="I258" s="2">
        <f t="shared" si="20"/>
        <v>81.2</v>
      </c>
      <c r="J258" s="4">
        <f t="shared" si="21"/>
        <v>8.49</v>
      </c>
      <c r="K258" s="9">
        <f t="shared" si="22"/>
        <v>19.8</v>
      </c>
      <c r="L258" s="1">
        <f t="shared" si="23"/>
        <v>-0.300000000000022</v>
      </c>
    </row>
    <row r="259" s="1" customFormat="1" spans="1:12">
      <c r="A259" s="2">
        <v>8.557</v>
      </c>
      <c r="B259" s="10" t="s">
        <v>199</v>
      </c>
      <c r="C259" s="4">
        <v>8.557</v>
      </c>
      <c r="D259" s="5">
        <v>79.6</v>
      </c>
      <c r="E259" s="4"/>
      <c r="F259" s="4"/>
      <c r="G259" s="2">
        <f t="shared" si="18"/>
        <v>8.524</v>
      </c>
      <c r="H259" s="11" t="str">
        <f t="shared" si="19"/>
        <v>3.542E-2</v>
      </c>
      <c r="I259" s="2">
        <f t="shared" si="20"/>
        <v>80.1</v>
      </c>
      <c r="J259" s="4">
        <f t="shared" si="21"/>
        <v>8.524</v>
      </c>
      <c r="K259" s="9">
        <f t="shared" si="22"/>
        <v>19</v>
      </c>
      <c r="L259" s="1">
        <f t="shared" si="23"/>
        <v>-0.300000000000022</v>
      </c>
    </row>
    <row r="260" s="1" customFormat="1" spans="1:12">
      <c r="A260" s="2">
        <v>8.591</v>
      </c>
      <c r="B260" s="10" t="s">
        <v>197</v>
      </c>
      <c r="C260" s="4">
        <v>8.591</v>
      </c>
      <c r="D260" s="5">
        <v>78.2</v>
      </c>
      <c r="E260" s="4"/>
      <c r="F260" s="4"/>
      <c r="G260" s="2">
        <f t="shared" ref="G260:G323" si="24">A259</f>
        <v>8.557</v>
      </c>
      <c r="H260" s="11" t="str">
        <f t="shared" ref="H260:H323" si="25">B259</f>
        <v>3.529E-2</v>
      </c>
      <c r="I260" s="2">
        <f t="shared" ref="I260:I323" si="26">D259</f>
        <v>79.6</v>
      </c>
      <c r="J260" s="4">
        <f t="shared" ref="J260:J323" si="27">G260</f>
        <v>8.557</v>
      </c>
      <c r="K260" s="9">
        <f t="shared" ref="K260:K323" si="28">(H260-$H$4)*10000</f>
        <v>17.7</v>
      </c>
      <c r="L260" s="1">
        <f t="shared" si="23"/>
        <v>-0.300000000000022</v>
      </c>
    </row>
    <row r="261" s="1" customFormat="1" spans="1:12">
      <c r="A261" s="2">
        <v>8.624</v>
      </c>
      <c r="B261" s="10" t="s">
        <v>146</v>
      </c>
      <c r="C261" s="4">
        <v>8.624</v>
      </c>
      <c r="D261" s="5">
        <v>76.9</v>
      </c>
      <c r="E261" s="4"/>
      <c r="F261" s="4"/>
      <c r="G261" s="2">
        <f t="shared" si="24"/>
        <v>8.591</v>
      </c>
      <c r="H261" s="11" t="str">
        <f t="shared" si="25"/>
        <v>3.520E-2</v>
      </c>
      <c r="I261" s="2">
        <f t="shared" si="26"/>
        <v>78.2</v>
      </c>
      <c r="J261" s="4">
        <f t="shared" si="27"/>
        <v>8.591</v>
      </c>
      <c r="K261" s="9">
        <f t="shared" si="28"/>
        <v>16.8</v>
      </c>
      <c r="L261" s="1">
        <f t="shared" ref="L261:L324" si="29">IF(I261&lt;230,MIN(K:K),MAX(K:K))</f>
        <v>-0.300000000000022</v>
      </c>
    </row>
    <row r="262" s="1" customFormat="1" spans="1:12">
      <c r="A262" s="2">
        <v>8.657</v>
      </c>
      <c r="B262" s="10" t="s">
        <v>33</v>
      </c>
      <c r="C262" s="4">
        <v>8.657</v>
      </c>
      <c r="D262" s="5">
        <v>76.2</v>
      </c>
      <c r="E262" s="4"/>
      <c r="F262" s="4"/>
      <c r="G262" s="2">
        <f t="shared" si="24"/>
        <v>8.624</v>
      </c>
      <c r="H262" s="11" t="str">
        <f t="shared" si="25"/>
        <v>3.514E-2</v>
      </c>
      <c r="I262" s="2">
        <f t="shared" si="26"/>
        <v>76.9</v>
      </c>
      <c r="J262" s="4">
        <f t="shared" si="27"/>
        <v>8.624</v>
      </c>
      <c r="K262" s="9">
        <f t="shared" si="28"/>
        <v>16.2</v>
      </c>
      <c r="L262" s="1">
        <f t="shared" si="29"/>
        <v>-0.300000000000022</v>
      </c>
    </row>
    <row r="263" s="1" customFormat="1" spans="1:12">
      <c r="A263" s="2">
        <v>8.691</v>
      </c>
      <c r="B263" s="10" t="s">
        <v>108</v>
      </c>
      <c r="C263" s="4">
        <v>8.691</v>
      </c>
      <c r="D263" s="5">
        <v>253.7</v>
      </c>
      <c r="E263" s="4"/>
      <c r="F263" s="4"/>
      <c r="G263" s="2">
        <f t="shared" si="24"/>
        <v>8.657</v>
      </c>
      <c r="H263" s="11" t="str">
        <f t="shared" si="25"/>
        <v>3.504E-2</v>
      </c>
      <c r="I263" s="2">
        <f t="shared" si="26"/>
        <v>76.2</v>
      </c>
      <c r="J263" s="4">
        <f t="shared" si="27"/>
        <v>8.657</v>
      </c>
      <c r="K263" s="9">
        <f t="shared" si="28"/>
        <v>15.2</v>
      </c>
      <c r="L263" s="1">
        <f t="shared" si="29"/>
        <v>-0.300000000000022</v>
      </c>
    </row>
    <row r="264" s="1" customFormat="1" spans="1:12">
      <c r="A264" s="2">
        <v>8.724</v>
      </c>
      <c r="B264" s="10" t="s">
        <v>192</v>
      </c>
      <c r="C264" s="4">
        <v>8.724</v>
      </c>
      <c r="D264" s="5">
        <v>253.7</v>
      </c>
      <c r="E264" s="4"/>
      <c r="F264" s="4"/>
      <c r="G264" s="2">
        <f t="shared" si="24"/>
        <v>8.691</v>
      </c>
      <c r="H264" s="11" t="str">
        <f t="shared" si="25"/>
        <v>3.497E-2</v>
      </c>
      <c r="I264" s="2">
        <f t="shared" si="26"/>
        <v>253.7</v>
      </c>
      <c r="J264" s="4">
        <f t="shared" si="27"/>
        <v>8.691</v>
      </c>
      <c r="K264" s="9">
        <f t="shared" si="28"/>
        <v>14.5</v>
      </c>
      <c r="L264" s="1">
        <f t="shared" si="29"/>
        <v>28.4</v>
      </c>
    </row>
    <row r="265" s="1" customFormat="1" spans="1:12">
      <c r="A265" s="2">
        <v>8.758</v>
      </c>
      <c r="B265" s="10" t="s">
        <v>31</v>
      </c>
      <c r="C265" s="4">
        <v>8.758</v>
      </c>
      <c r="D265" s="5">
        <v>253.7</v>
      </c>
      <c r="E265" s="4"/>
      <c r="F265" s="4"/>
      <c r="G265" s="2">
        <f t="shared" si="24"/>
        <v>8.724</v>
      </c>
      <c r="H265" s="11" t="str">
        <f t="shared" si="25"/>
        <v>3.495E-2</v>
      </c>
      <c r="I265" s="2">
        <f t="shared" si="26"/>
        <v>253.7</v>
      </c>
      <c r="J265" s="4">
        <f t="shared" si="27"/>
        <v>8.724</v>
      </c>
      <c r="K265" s="9">
        <f t="shared" si="28"/>
        <v>14.3</v>
      </c>
      <c r="L265" s="1">
        <f t="shared" si="29"/>
        <v>28.4</v>
      </c>
    </row>
    <row r="266" s="1" customFormat="1" spans="1:12">
      <c r="A266" s="2">
        <v>8.791</v>
      </c>
      <c r="B266" s="10" t="s">
        <v>192</v>
      </c>
      <c r="C266" s="4">
        <v>8.791</v>
      </c>
      <c r="D266" s="5">
        <v>253.7</v>
      </c>
      <c r="E266" s="4"/>
      <c r="F266" s="4"/>
      <c r="G266" s="2">
        <f t="shared" si="24"/>
        <v>8.758</v>
      </c>
      <c r="H266" s="11" t="str">
        <f t="shared" si="25"/>
        <v>3.494E-2</v>
      </c>
      <c r="I266" s="2">
        <f t="shared" si="26"/>
        <v>253.7</v>
      </c>
      <c r="J266" s="4">
        <f t="shared" si="27"/>
        <v>8.758</v>
      </c>
      <c r="K266" s="9">
        <f t="shared" si="28"/>
        <v>14.2</v>
      </c>
      <c r="L266" s="1">
        <f t="shared" si="29"/>
        <v>28.4</v>
      </c>
    </row>
    <row r="267" s="1" customFormat="1" spans="1:12">
      <c r="A267" s="2">
        <v>8.825</v>
      </c>
      <c r="B267" s="10" t="s">
        <v>108</v>
      </c>
      <c r="C267" s="4">
        <v>8.825</v>
      </c>
      <c r="D267" s="5">
        <v>253.7</v>
      </c>
      <c r="E267" s="4"/>
      <c r="F267" s="4"/>
      <c r="G267" s="2">
        <f t="shared" si="24"/>
        <v>8.791</v>
      </c>
      <c r="H267" s="11" t="str">
        <f t="shared" si="25"/>
        <v>3.495E-2</v>
      </c>
      <c r="I267" s="2">
        <f t="shared" si="26"/>
        <v>253.7</v>
      </c>
      <c r="J267" s="4">
        <f t="shared" si="27"/>
        <v>8.791</v>
      </c>
      <c r="K267" s="9">
        <f t="shared" si="28"/>
        <v>14.3</v>
      </c>
      <c r="L267" s="1">
        <f t="shared" si="29"/>
        <v>28.4</v>
      </c>
    </row>
    <row r="268" s="1" customFormat="1" spans="1:12">
      <c r="A268" s="2">
        <v>8.858</v>
      </c>
      <c r="B268" s="10" t="s">
        <v>190</v>
      </c>
      <c r="C268" s="4">
        <v>8.858</v>
      </c>
      <c r="D268" s="5">
        <v>253.7</v>
      </c>
      <c r="E268" s="4"/>
      <c r="F268" s="4"/>
      <c r="G268" s="2">
        <f t="shared" si="24"/>
        <v>8.825</v>
      </c>
      <c r="H268" s="11" t="str">
        <f t="shared" si="25"/>
        <v>3.497E-2</v>
      </c>
      <c r="I268" s="2">
        <f t="shared" si="26"/>
        <v>253.7</v>
      </c>
      <c r="J268" s="4">
        <f t="shared" si="27"/>
        <v>8.825</v>
      </c>
      <c r="K268" s="9">
        <f t="shared" si="28"/>
        <v>14.5</v>
      </c>
      <c r="L268" s="1">
        <f t="shared" si="29"/>
        <v>28.4</v>
      </c>
    </row>
    <row r="269" s="1" customFormat="1" spans="1:12">
      <c r="A269" s="2">
        <v>8.891</v>
      </c>
      <c r="B269" s="10" t="s">
        <v>35</v>
      </c>
      <c r="C269" s="4">
        <v>8.891</v>
      </c>
      <c r="D269" s="5">
        <v>253.7</v>
      </c>
      <c r="E269" s="4"/>
      <c r="F269" s="4"/>
      <c r="G269" s="2">
        <f t="shared" si="24"/>
        <v>8.858</v>
      </c>
      <c r="H269" s="11" t="str">
        <f t="shared" si="25"/>
        <v>3.499E-2</v>
      </c>
      <c r="I269" s="2">
        <f t="shared" si="26"/>
        <v>253.7</v>
      </c>
      <c r="J269" s="4">
        <f t="shared" si="27"/>
        <v>8.858</v>
      </c>
      <c r="K269" s="9">
        <f t="shared" si="28"/>
        <v>14.7</v>
      </c>
      <c r="L269" s="1">
        <f t="shared" si="29"/>
        <v>28.4</v>
      </c>
    </row>
    <row r="270" s="1" customFormat="1" spans="1:12">
      <c r="A270" s="2">
        <v>8.925</v>
      </c>
      <c r="B270" s="10" t="s">
        <v>78</v>
      </c>
      <c r="C270" s="4">
        <v>8.925</v>
      </c>
      <c r="D270" s="5">
        <v>253.7</v>
      </c>
      <c r="E270" s="4"/>
      <c r="F270" s="4"/>
      <c r="G270" s="2">
        <f t="shared" si="24"/>
        <v>8.891</v>
      </c>
      <c r="H270" s="11" t="str">
        <f t="shared" si="25"/>
        <v>3.500E-2</v>
      </c>
      <c r="I270" s="2">
        <f t="shared" si="26"/>
        <v>253.7</v>
      </c>
      <c r="J270" s="4">
        <f t="shared" si="27"/>
        <v>8.891</v>
      </c>
      <c r="K270" s="9">
        <f t="shared" si="28"/>
        <v>14.8</v>
      </c>
      <c r="L270" s="1">
        <f t="shared" si="29"/>
        <v>28.4</v>
      </c>
    </row>
    <row r="271" s="1" customFormat="1" spans="1:12">
      <c r="A271" s="2">
        <v>8.958</v>
      </c>
      <c r="B271" s="10" t="s">
        <v>173</v>
      </c>
      <c r="C271" s="4">
        <v>8.958</v>
      </c>
      <c r="D271" s="5">
        <v>253.7</v>
      </c>
      <c r="E271" s="4"/>
      <c r="F271" s="4"/>
      <c r="G271" s="2">
        <f t="shared" si="24"/>
        <v>8.925</v>
      </c>
      <c r="H271" s="11" t="str">
        <f t="shared" si="25"/>
        <v>3.503E-2</v>
      </c>
      <c r="I271" s="2">
        <f t="shared" si="26"/>
        <v>253.7</v>
      </c>
      <c r="J271" s="4">
        <f t="shared" si="27"/>
        <v>8.925</v>
      </c>
      <c r="K271" s="9">
        <f t="shared" si="28"/>
        <v>15.1</v>
      </c>
      <c r="L271" s="1">
        <f t="shared" si="29"/>
        <v>28.4</v>
      </c>
    </row>
    <row r="272" s="1" customFormat="1" spans="1:12">
      <c r="A272" s="2">
        <v>8.992</v>
      </c>
      <c r="B272" s="10" t="s">
        <v>61</v>
      </c>
      <c r="C272" s="4">
        <v>8.992</v>
      </c>
      <c r="D272" s="5">
        <v>253.7</v>
      </c>
      <c r="E272" s="4"/>
      <c r="F272" s="4"/>
      <c r="G272" s="2">
        <f t="shared" si="24"/>
        <v>8.958</v>
      </c>
      <c r="H272" s="11" t="str">
        <f t="shared" si="25"/>
        <v>3.506E-2</v>
      </c>
      <c r="I272" s="2">
        <f t="shared" si="26"/>
        <v>253.7</v>
      </c>
      <c r="J272" s="4">
        <f t="shared" si="27"/>
        <v>8.958</v>
      </c>
      <c r="K272" s="9">
        <f t="shared" si="28"/>
        <v>15.4</v>
      </c>
      <c r="L272" s="1">
        <f t="shared" si="29"/>
        <v>28.4</v>
      </c>
    </row>
    <row r="273" s="1" customFormat="1" spans="1:12">
      <c r="A273" s="2">
        <v>9.025</v>
      </c>
      <c r="B273" s="10" t="s">
        <v>232</v>
      </c>
      <c r="C273" s="4">
        <v>9.025</v>
      </c>
      <c r="D273" s="5">
        <v>253.8</v>
      </c>
      <c r="E273" s="4"/>
      <c r="F273" s="4"/>
      <c r="G273" s="2">
        <f t="shared" si="24"/>
        <v>8.992</v>
      </c>
      <c r="H273" s="11" t="str">
        <f t="shared" si="25"/>
        <v>3.509E-2</v>
      </c>
      <c r="I273" s="2">
        <f t="shared" si="26"/>
        <v>253.7</v>
      </c>
      <c r="J273" s="4">
        <f t="shared" si="27"/>
        <v>8.992</v>
      </c>
      <c r="K273" s="9">
        <f t="shared" si="28"/>
        <v>15.7</v>
      </c>
      <c r="L273" s="1">
        <f t="shared" si="29"/>
        <v>28.4</v>
      </c>
    </row>
    <row r="274" s="1" customFormat="1" spans="1:12">
      <c r="A274" s="2">
        <v>9.059</v>
      </c>
      <c r="B274" s="10" t="s">
        <v>187</v>
      </c>
      <c r="C274" s="4">
        <v>9.059</v>
      </c>
      <c r="D274" s="5">
        <v>253.8</v>
      </c>
      <c r="E274" s="4"/>
      <c r="F274" s="4"/>
      <c r="G274" s="2">
        <f t="shared" si="24"/>
        <v>9.025</v>
      </c>
      <c r="H274" s="11" t="str">
        <f t="shared" si="25"/>
        <v>3.512E-2</v>
      </c>
      <c r="I274" s="2">
        <f t="shared" si="26"/>
        <v>253.8</v>
      </c>
      <c r="J274" s="4">
        <f t="shared" si="27"/>
        <v>9.025</v>
      </c>
      <c r="K274" s="9">
        <f t="shared" si="28"/>
        <v>16</v>
      </c>
      <c r="L274" s="1">
        <f t="shared" si="29"/>
        <v>28.4</v>
      </c>
    </row>
    <row r="275" s="1" customFormat="1" spans="1:12">
      <c r="A275" s="2">
        <v>9.092</v>
      </c>
      <c r="B275" s="10" t="s">
        <v>215</v>
      </c>
      <c r="C275" s="4">
        <v>9.092</v>
      </c>
      <c r="D275" s="5">
        <v>253.8</v>
      </c>
      <c r="E275" s="4"/>
      <c r="F275" s="4"/>
      <c r="G275" s="2">
        <f t="shared" si="24"/>
        <v>9.059</v>
      </c>
      <c r="H275" s="11" t="str">
        <f t="shared" si="25"/>
        <v>3.518E-2</v>
      </c>
      <c r="I275" s="2">
        <f t="shared" si="26"/>
        <v>253.8</v>
      </c>
      <c r="J275" s="4">
        <f t="shared" si="27"/>
        <v>9.059</v>
      </c>
      <c r="K275" s="9">
        <f t="shared" si="28"/>
        <v>16.6</v>
      </c>
      <c r="L275" s="1">
        <f t="shared" si="29"/>
        <v>28.4</v>
      </c>
    </row>
    <row r="276" s="1" customFormat="1" spans="1:12">
      <c r="A276" s="2">
        <v>9.125</v>
      </c>
      <c r="B276" s="10" t="s">
        <v>227</v>
      </c>
      <c r="C276" s="4">
        <v>9.125</v>
      </c>
      <c r="D276" s="5">
        <v>253.8</v>
      </c>
      <c r="E276" s="4"/>
      <c r="F276" s="4"/>
      <c r="G276" s="2">
        <f t="shared" si="24"/>
        <v>9.092</v>
      </c>
      <c r="H276" s="11" t="str">
        <f t="shared" si="25"/>
        <v>3.522E-2</v>
      </c>
      <c r="I276" s="2">
        <f t="shared" si="26"/>
        <v>253.8</v>
      </c>
      <c r="J276" s="4">
        <f t="shared" si="27"/>
        <v>9.092</v>
      </c>
      <c r="K276" s="9">
        <f t="shared" si="28"/>
        <v>17</v>
      </c>
      <c r="L276" s="1">
        <f t="shared" si="29"/>
        <v>28.4</v>
      </c>
    </row>
    <row r="277" s="1" customFormat="1" spans="1:12">
      <c r="A277" s="2">
        <v>9.159</v>
      </c>
      <c r="B277" s="10" t="s">
        <v>214</v>
      </c>
      <c r="C277" s="4">
        <v>9.159</v>
      </c>
      <c r="D277" s="5">
        <v>253.8</v>
      </c>
      <c r="E277" s="4"/>
      <c r="F277" s="4"/>
      <c r="G277" s="2">
        <f t="shared" si="24"/>
        <v>9.125</v>
      </c>
      <c r="H277" s="11" t="str">
        <f t="shared" si="25"/>
        <v>3.538E-2</v>
      </c>
      <c r="I277" s="2">
        <f t="shared" si="26"/>
        <v>253.8</v>
      </c>
      <c r="J277" s="4">
        <f t="shared" si="27"/>
        <v>9.125</v>
      </c>
      <c r="K277" s="9">
        <f t="shared" si="28"/>
        <v>18.6</v>
      </c>
      <c r="L277" s="1">
        <f t="shared" si="29"/>
        <v>28.4</v>
      </c>
    </row>
    <row r="278" s="1" customFormat="1" spans="1:12">
      <c r="A278" s="2">
        <v>9.192</v>
      </c>
      <c r="B278" s="10" t="s">
        <v>213</v>
      </c>
      <c r="C278" s="4">
        <v>9.192</v>
      </c>
      <c r="D278" s="5">
        <v>253.8</v>
      </c>
      <c r="E278" s="4"/>
      <c r="F278" s="4"/>
      <c r="G278" s="2">
        <f t="shared" si="24"/>
        <v>9.159</v>
      </c>
      <c r="H278" s="11" t="str">
        <f t="shared" si="25"/>
        <v>3.544E-2</v>
      </c>
      <c r="I278" s="2">
        <f t="shared" si="26"/>
        <v>253.8</v>
      </c>
      <c r="J278" s="4">
        <f t="shared" si="27"/>
        <v>9.159</v>
      </c>
      <c r="K278" s="9">
        <f t="shared" si="28"/>
        <v>19.2</v>
      </c>
      <c r="L278" s="1">
        <f t="shared" si="29"/>
        <v>28.4</v>
      </c>
    </row>
    <row r="279" s="1" customFormat="1" spans="1:12">
      <c r="A279" s="2">
        <v>9.226</v>
      </c>
      <c r="B279" s="10" t="s">
        <v>211</v>
      </c>
      <c r="C279" s="4">
        <v>9.226</v>
      </c>
      <c r="D279" s="5">
        <v>253.8</v>
      </c>
      <c r="E279" s="4"/>
      <c r="F279" s="4"/>
      <c r="G279" s="2">
        <f t="shared" si="24"/>
        <v>9.192</v>
      </c>
      <c r="H279" s="11" t="str">
        <f t="shared" si="25"/>
        <v>3.552E-2</v>
      </c>
      <c r="I279" s="2">
        <f t="shared" si="26"/>
        <v>253.8</v>
      </c>
      <c r="J279" s="4">
        <f t="shared" si="27"/>
        <v>9.192</v>
      </c>
      <c r="K279" s="9">
        <f t="shared" si="28"/>
        <v>20</v>
      </c>
      <c r="L279" s="1">
        <f t="shared" si="29"/>
        <v>28.4</v>
      </c>
    </row>
    <row r="280" s="1" customFormat="1" spans="1:12">
      <c r="A280" s="2">
        <v>9.259</v>
      </c>
      <c r="B280" s="10" t="s">
        <v>182</v>
      </c>
      <c r="C280" s="4">
        <v>9.259</v>
      </c>
      <c r="D280" s="5">
        <v>253.8</v>
      </c>
      <c r="E280" s="4"/>
      <c r="F280" s="4"/>
      <c r="G280" s="2">
        <f t="shared" si="24"/>
        <v>9.226</v>
      </c>
      <c r="H280" s="11" t="str">
        <f t="shared" si="25"/>
        <v>3.568E-2</v>
      </c>
      <c r="I280" s="2">
        <f t="shared" si="26"/>
        <v>253.8</v>
      </c>
      <c r="J280" s="4">
        <f t="shared" si="27"/>
        <v>9.226</v>
      </c>
      <c r="K280" s="9">
        <f t="shared" si="28"/>
        <v>21.6</v>
      </c>
      <c r="L280" s="1">
        <f t="shared" si="29"/>
        <v>28.4</v>
      </c>
    </row>
    <row r="281" s="1" customFormat="1" spans="1:12">
      <c r="A281" s="2">
        <v>9.292</v>
      </c>
      <c r="B281" s="10" t="s">
        <v>180</v>
      </c>
      <c r="C281" s="4">
        <v>9.292</v>
      </c>
      <c r="D281" s="5">
        <v>253.8</v>
      </c>
      <c r="E281" s="4"/>
      <c r="F281" s="4"/>
      <c r="G281" s="2">
        <f t="shared" si="24"/>
        <v>9.259</v>
      </c>
      <c r="H281" s="11" t="str">
        <f t="shared" si="25"/>
        <v>3.578E-2</v>
      </c>
      <c r="I281" s="2">
        <f t="shared" si="26"/>
        <v>253.8</v>
      </c>
      <c r="J281" s="4">
        <f t="shared" si="27"/>
        <v>9.259</v>
      </c>
      <c r="K281" s="9">
        <f t="shared" si="28"/>
        <v>22.6</v>
      </c>
      <c r="L281" s="1">
        <f t="shared" si="29"/>
        <v>28.4</v>
      </c>
    </row>
    <row r="282" s="1" customFormat="1" spans="1:12">
      <c r="A282" s="2">
        <v>9.326</v>
      </c>
      <c r="B282" s="10" t="s">
        <v>295</v>
      </c>
      <c r="C282" s="4">
        <v>9.326</v>
      </c>
      <c r="D282" s="5">
        <v>253.8</v>
      </c>
      <c r="E282" s="4"/>
      <c r="F282" s="4"/>
      <c r="G282" s="2">
        <f t="shared" si="24"/>
        <v>9.292</v>
      </c>
      <c r="H282" s="11" t="str">
        <f t="shared" si="25"/>
        <v>3.584E-2</v>
      </c>
      <c r="I282" s="2">
        <f t="shared" si="26"/>
        <v>253.8</v>
      </c>
      <c r="J282" s="4">
        <f t="shared" si="27"/>
        <v>9.292</v>
      </c>
      <c r="K282" s="9">
        <f t="shared" si="28"/>
        <v>23.2</v>
      </c>
      <c r="L282" s="1">
        <f t="shared" si="29"/>
        <v>28.4</v>
      </c>
    </row>
    <row r="283" s="1" customFormat="1" spans="1:12">
      <c r="A283" s="2">
        <v>9.359</v>
      </c>
      <c r="B283" s="10" t="s">
        <v>316</v>
      </c>
      <c r="C283" s="4">
        <v>9.359</v>
      </c>
      <c r="D283" s="5">
        <v>253.8</v>
      </c>
      <c r="E283" s="4"/>
      <c r="F283" s="4"/>
      <c r="G283" s="2">
        <f t="shared" si="24"/>
        <v>9.326</v>
      </c>
      <c r="H283" s="11" t="str">
        <f t="shared" si="25"/>
        <v>3.596E-2</v>
      </c>
      <c r="I283" s="2">
        <f t="shared" si="26"/>
        <v>253.8</v>
      </c>
      <c r="J283" s="4">
        <f t="shared" si="27"/>
        <v>9.326</v>
      </c>
      <c r="K283" s="9">
        <f t="shared" si="28"/>
        <v>24.4</v>
      </c>
      <c r="L283" s="1">
        <f t="shared" si="29"/>
        <v>28.4</v>
      </c>
    </row>
    <row r="284" s="1" customFormat="1" spans="1:12">
      <c r="A284" s="2">
        <v>9.393</v>
      </c>
      <c r="B284" s="10" t="s">
        <v>297</v>
      </c>
      <c r="C284" s="4">
        <v>9.393</v>
      </c>
      <c r="D284" s="5">
        <v>253.8</v>
      </c>
      <c r="E284" s="4"/>
      <c r="F284" s="4"/>
      <c r="G284" s="2">
        <f t="shared" si="24"/>
        <v>9.359</v>
      </c>
      <c r="H284" s="11" t="str">
        <f t="shared" si="25"/>
        <v>3.602E-2</v>
      </c>
      <c r="I284" s="2">
        <f t="shared" si="26"/>
        <v>253.8</v>
      </c>
      <c r="J284" s="4">
        <f t="shared" si="27"/>
        <v>9.359</v>
      </c>
      <c r="K284" s="9">
        <f t="shared" si="28"/>
        <v>25</v>
      </c>
      <c r="L284" s="1">
        <f t="shared" si="29"/>
        <v>28.4</v>
      </c>
    </row>
    <row r="285" s="1" customFormat="1" spans="1:12">
      <c r="A285" s="2">
        <v>9.426</v>
      </c>
      <c r="B285" s="10" t="s">
        <v>317</v>
      </c>
      <c r="C285" s="4">
        <v>9.426</v>
      </c>
      <c r="D285" s="5">
        <v>253.8</v>
      </c>
      <c r="E285" s="4"/>
      <c r="F285" s="4"/>
      <c r="G285" s="2">
        <f t="shared" si="24"/>
        <v>9.393</v>
      </c>
      <c r="H285" s="11" t="str">
        <f t="shared" si="25"/>
        <v>3.607E-2</v>
      </c>
      <c r="I285" s="2">
        <f t="shared" si="26"/>
        <v>253.8</v>
      </c>
      <c r="J285" s="4">
        <f t="shared" si="27"/>
        <v>9.393</v>
      </c>
      <c r="K285" s="9">
        <f t="shared" si="28"/>
        <v>25.5</v>
      </c>
      <c r="L285" s="1">
        <f t="shared" si="29"/>
        <v>28.4</v>
      </c>
    </row>
    <row r="286" s="1" customFormat="1" spans="1:12">
      <c r="A286" s="2">
        <v>9.46</v>
      </c>
      <c r="B286" s="10" t="s">
        <v>293</v>
      </c>
      <c r="C286" s="4">
        <v>9.46</v>
      </c>
      <c r="D286" s="5">
        <v>253.8</v>
      </c>
      <c r="E286" s="4"/>
      <c r="F286" s="4"/>
      <c r="G286" s="2">
        <f t="shared" si="24"/>
        <v>9.426</v>
      </c>
      <c r="H286" s="11" t="str">
        <f t="shared" si="25"/>
        <v>3.615E-2</v>
      </c>
      <c r="I286" s="2">
        <f t="shared" si="26"/>
        <v>253.8</v>
      </c>
      <c r="J286" s="4">
        <f t="shared" si="27"/>
        <v>9.426</v>
      </c>
      <c r="K286" s="9">
        <f t="shared" si="28"/>
        <v>26.3</v>
      </c>
      <c r="L286" s="1">
        <f t="shared" si="29"/>
        <v>28.4</v>
      </c>
    </row>
    <row r="287" s="1" customFormat="1" spans="1:12">
      <c r="A287" s="2">
        <v>9.493</v>
      </c>
      <c r="B287" s="10" t="s">
        <v>97</v>
      </c>
      <c r="C287" s="4">
        <v>9.493</v>
      </c>
      <c r="D287" s="5">
        <v>253.8</v>
      </c>
      <c r="E287" s="4"/>
      <c r="F287" s="4"/>
      <c r="G287" s="2">
        <f t="shared" si="24"/>
        <v>9.46</v>
      </c>
      <c r="H287" s="11" t="str">
        <f t="shared" si="25"/>
        <v>3.624E-2</v>
      </c>
      <c r="I287" s="2">
        <f t="shared" si="26"/>
        <v>253.8</v>
      </c>
      <c r="J287" s="4">
        <f t="shared" si="27"/>
        <v>9.46</v>
      </c>
      <c r="K287" s="9">
        <f t="shared" si="28"/>
        <v>27.2</v>
      </c>
      <c r="L287" s="1">
        <f t="shared" si="29"/>
        <v>28.4</v>
      </c>
    </row>
    <row r="288" s="1" customFormat="1" spans="1:12">
      <c r="A288" s="2">
        <v>9.526</v>
      </c>
      <c r="B288" s="10" t="s">
        <v>290</v>
      </c>
      <c r="C288" s="4">
        <v>9.526</v>
      </c>
      <c r="D288" s="5">
        <v>244.2</v>
      </c>
      <c r="E288" s="4"/>
      <c r="F288" s="4"/>
      <c r="G288" s="2">
        <f t="shared" si="24"/>
        <v>9.493</v>
      </c>
      <c r="H288" s="11" t="str">
        <f t="shared" si="25"/>
        <v>3.629E-2</v>
      </c>
      <c r="I288" s="2">
        <f t="shared" si="26"/>
        <v>253.8</v>
      </c>
      <c r="J288" s="4">
        <f t="shared" si="27"/>
        <v>9.493</v>
      </c>
      <c r="K288" s="9">
        <f t="shared" si="28"/>
        <v>27.7</v>
      </c>
      <c r="L288" s="1">
        <f t="shared" si="29"/>
        <v>28.4</v>
      </c>
    </row>
    <row r="289" s="1" customFormat="1" spans="1:12">
      <c r="A289" s="2">
        <v>9.56</v>
      </c>
      <c r="B289" s="10" t="s">
        <v>124</v>
      </c>
      <c r="C289" s="4">
        <v>9.56</v>
      </c>
      <c r="D289" s="5">
        <v>120.7</v>
      </c>
      <c r="E289" s="4"/>
      <c r="F289" s="4"/>
      <c r="G289" s="2">
        <f t="shared" si="24"/>
        <v>9.526</v>
      </c>
      <c r="H289" s="11" t="str">
        <f t="shared" si="25"/>
        <v>3.632E-2</v>
      </c>
      <c r="I289" s="2">
        <f t="shared" si="26"/>
        <v>244.2</v>
      </c>
      <c r="J289" s="4">
        <f t="shared" si="27"/>
        <v>9.526</v>
      </c>
      <c r="K289" s="9">
        <f t="shared" si="28"/>
        <v>28</v>
      </c>
      <c r="L289" s="1">
        <f t="shared" si="29"/>
        <v>28.4</v>
      </c>
    </row>
    <row r="290" s="1" customFormat="1" spans="1:12">
      <c r="A290" s="2">
        <v>9.593</v>
      </c>
      <c r="B290" s="10" t="s">
        <v>124</v>
      </c>
      <c r="C290" s="4">
        <v>9.593</v>
      </c>
      <c r="D290" s="5">
        <v>139.5</v>
      </c>
      <c r="E290" s="4"/>
      <c r="F290" s="4"/>
      <c r="G290" s="2">
        <f t="shared" si="24"/>
        <v>9.56</v>
      </c>
      <c r="H290" s="11" t="str">
        <f t="shared" si="25"/>
        <v>3.631E-2</v>
      </c>
      <c r="I290" s="2">
        <f t="shared" si="26"/>
        <v>120.7</v>
      </c>
      <c r="J290" s="4">
        <f t="shared" si="27"/>
        <v>9.56</v>
      </c>
      <c r="K290" s="9">
        <f t="shared" si="28"/>
        <v>27.9</v>
      </c>
      <c r="L290" s="1">
        <f t="shared" si="29"/>
        <v>-0.300000000000022</v>
      </c>
    </row>
    <row r="291" s="1" customFormat="1" spans="1:12">
      <c r="A291" s="2">
        <v>9.627</v>
      </c>
      <c r="B291" s="10" t="s">
        <v>97</v>
      </c>
      <c r="C291" s="4">
        <v>9.627</v>
      </c>
      <c r="D291" s="5">
        <v>139</v>
      </c>
      <c r="E291" s="4"/>
      <c r="F291" s="4"/>
      <c r="G291" s="2">
        <f t="shared" si="24"/>
        <v>9.593</v>
      </c>
      <c r="H291" s="11" t="str">
        <f t="shared" si="25"/>
        <v>3.631E-2</v>
      </c>
      <c r="I291" s="2">
        <f t="shared" si="26"/>
        <v>139.5</v>
      </c>
      <c r="J291" s="4">
        <f t="shared" si="27"/>
        <v>9.593</v>
      </c>
      <c r="K291" s="9">
        <f t="shared" si="28"/>
        <v>27.9</v>
      </c>
      <c r="L291" s="1">
        <f t="shared" si="29"/>
        <v>-0.300000000000022</v>
      </c>
    </row>
    <row r="292" s="1" customFormat="1" spans="1:12">
      <c r="A292" s="2">
        <v>9.66</v>
      </c>
      <c r="B292" s="10" t="s">
        <v>291</v>
      </c>
      <c r="C292" s="4">
        <v>9.66</v>
      </c>
      <c r="D292" s="5">
        <v>136.5</v>
      </c>
      <c r="E292" s="4"/>
      <c r="F292" s="4"/>
      <c r="G292" s="2">
        <f t="shared" si="24"/>
        <v>9.627</v>
      </c>
      <c r="H292" s="11" t="str">
        <f t="shared" si="25"/>
        <v>3.629E-2</v>
      </c>
      <c r="I292" s="2">
        <f t="shared" si="26"/>
        <v>139</v>
      </c>
      <c r="J292" s="4">
        <f t="shared" si="27"/>
        <v>9.627</v>
      </c>
      <c r="K292" s="9">
        <f t="shared" si="28"/>
        <v>27.7</v>
      </c>
      <c r="L292" s="1">
        <f t="shared" si="29"/>
        <v>-0.300000000000022</v>
      </c>
    </row>
    <row r="293" s="1" customFormat="1" spans="1:12">
      <c r="A293" s="2">
        <v>9.694</v>
      </c>
      <c r="B293" s="10" t="s">
        <v>132</v>
      </c>
      <c r="C293" s="4">
        <v>9.694</v>
      </c>
      <c r="D293" s="5">
        <v>136</v>
      </c>
      <c r="E293" s="4"/>
      <c r="F293" s="4"/>
      <c r="G293" s="2">
        <f t="shared" si="24"/>
        <v>9.66</v>
      </c>
      <c r="H293" s="11" t="str">
        <f t="shared" si="25"/>
        <v>3.628E-2</v>
      </c>
      <c r="I293" s="2">
        <f t="shared" si="26"/>
        <v>136.5</v>
      </c>
      <c r="J293" s="4">
        <f t="shared" si="27"/>
        <v>9.66</v>
      </c>
      <c r="K293" s="9">
        <f t="shared" si="28"/>
        <v>27.6</v>
      </c>
      <c r="L293" s="1">
        <f t="shared" si="29"/>
        <v>-0.300000000000022</v>
      </c>
    </row>
    <row r="294" s="1" customFormat="1" spans="1:12">
      <c r="A294" s="2">
        <v>9.727</v>
      </c>
      <c r="B294" s="10" t="s">
        <v>154</v>
      </c>
      <c r="C294" s="4">
        <v>9.727</v>
      </c>
      <c r="D294" s="5">
        <v>134.7</v>
      </c>
      <c r="E294" s="4"/>
      <c r="F294" s="4"/>
      <c r="G294" s="2">
        <f t="shared" si="24"/>
        <v>9.694</v>
      </c>
      <c r="H294" s="11" t="str">
        <f t="shared" si="25"/>
        <v>3.626E-2</v>
      </c>
      <c r="I294" s="2">
        <f t="shared" si="26"/>
        <v>136</v>
      </c>
      <c r="J294" s="4">
        <f t="shared" si="27"/>
        <v>9.694</v>
      </c>
      <c r="K294" s="9">
        <f t="shared" si="28"/>
        <v>27.4</v>
      </c>
      <c r="L294" s="1">
        <f t="shared" si="29"/>
        <v>-0.300000000000022</v>
      </c>
    </row>
    <row r="295" s="1" customFormat="1" spans="1:12">
      <c r="A295" s="2">
        <v>9.76</v>
      </c>
      <c r="B295" s="10" t="s">
        <v>123</v>
      </c>
      <c r="C295" s="4">
        <v>9.76</v>
      </c>
      <c r="D295" s="5">
        <v>133.4</v>
      </c>
      <c r="E295" s="4"/>
      <c r="F295" s="4"/>
      <c r="G295" s="2">
        <f t="shared" si="24"/>
        <v>9.727</v>
      </c>
      <c r="H295" s="11" t="str">
        <f t="shared" si="25"/>
        <v>3.625E-2</v>
      </c>
      <c r="I295" s="2">
        <f t="shared" si="26"/>
        <v>134.7</v>
      </c>
      <c r="J295" s="4">
        <f t="shared" si="27"/>
        <v>9.727</v>
      </c>
      <c r="K295" s="9">
        <f t="shared" si="28"/>
        <v>27.3</v>
      </c>
      <c r="L295" s="1">
        <f t="shared" si="29"/>
        <v>-0.300000000000022</v>
      </c>
    </row>
    <row r="296" s="1" customFormat="1" spans="1:12">
      <c r="A296" s="2">
        <v>9.794</v>
      </c>
      <c r="B296" s="10" t="s">
        <v>153</v>
      </c>
      <c r="C296" s="4">
        <v>9.794</v>
      </c>
      <c r="D296" s="5">
        <v>131.2</v>
      </c>
      <c r="E296" s="4"/>
      <c r="F296" s="4"/>
      <c r="G296" s="2">
        <f t="shared" si="24"/>
        <v>9.76</v>
      </c>
      <c r="H296" s="11" t="str">
        <f t="shared" si="25"/>
        <v>3.622E-2</v>
      </c>
      <c r="I296" s="2">
        <f t="shared" si="26"/>
        <v>133.4</v>
      </c>
      <c r="J296" s="4">
        <f t="shared" si="27"/>
        <v>9.76</v>
      </c>
      <c r="K296" s="9">
        <f t="shared" si="28"/>
        <v>27</v>
      </c>
      <c r="L296" s="1">
        <f t="shared" si="29"/>
        <v>-0.300000000000022</v>
      </c>
    </row>
    <row r="297" s="1" customFormat="1" spans="1:12">
      <c r="A297" s="2">
        <v>9.827</v>
      </c>
      <c r="B297" s="10" t="s">
        <v>317</v>
      </c>
      <c r="C297" s="4">
        <v>9.827</v>
      </c>
      <c r="D297" s="5">
        <v>130.5</v>
      </c>
      <c r="E297" s="4"/>
      <c r="F297" s="4"/>
      <c r="G297" s="2">
        <f t="shared" si="24"/>
        <v>9.794</v>
      </c>
      <c r="H297" s="11" t="str">
        <f t="shared" si="25"/>
        <v>3.619E-2</v>
      </c>
      <c r="I297" s="2">
        <f t="shared" si="26"/>
        <v>131.2</v>
      </c>
      <c r="J297" s="4">
        <f t="shared" si="27"/>
        <v>9.794</v>
      </c>
      <c r="K297" s="9">
        <f t="shared" si="28"/>
        <v>26.7</v>
      </c>
      <c r="L297" s="1">
        <f t="shared" si="29"/>
        <v>-0.300000000000022</v>
      </c>
    </row>
    <row r="298" s="1" customFormat="1" spans="1:12">
      <c r="A298" s="2">
        <v>9.861</v>
      </c>
      <c r="B298" s="10" t="s">
        <v>283</v>
      </c>
      <c r="C298" s="4">
        <v>9.861</v>
      </c>
      <c r="D298" s="5">
        <v>129.4</v>
      </c>
      <c r="E298" s="4"/>
      <c r="F298" s="4"/>
      <c r="G298" s="2">
        <f t="shared" si="24"/>
        <v>9.827</v>
      </c>
      <c r="H298" s="11" t="str">
        <f t="shared" si="25"/>
        <v>3.615E-2</v>
      </c>
      <c r="I298" s="2">
        <f t="shared" si="26"/>
        <v>130.5</v>
      </c>
      <c r="J298" s="4">
        <f t="shared" si="27"/>
        <v>9.827</v>
      </c>
      <c r="K298" s="9">
        <f t="shared" si="28"/>
        <v>26.3</v>
      </c>
      <c r="L298" s="1">
        <f t="shared" si="29"/>
        <v>-0.300000000000022</v>
      </c>
    </row>
    <row r="299" s="1" customFormat="1" spans="1:12">
      <c r="A299" s="2">
        <v>9.894</v>
      </c>
      <c r="B299" s="10" t="s">
        <v>297</v>
      </c>
      <c r="C299" s="4">
        <v>9.894</v>
      </c>
      <c r="D299" s="5">
        <v>127.9</v>
      </c>
      <c r="E299" s="4"/>
      <c r="F299" s="4"/>
      <c r="G299" s="2">
        <f t="shared" si="24"/>
        <v>9.861</v>
      </c>
      <c r="H299" s="11" t="str">
        <f t="shared" si="25"/>
        <v>3.613E-2</v>
      </c>
      <c r="I299" s="2">
        <f t="shared" si="26"/>
        <v>129.4</v>
      </c>
      <c r="J299" s="4">
        <f t="shared" si="27"/>
        <v>9.861</v>
      </c>
      <c r="K299" s="9">
        <f t="shared" si="28"/>
        <v>26.1</v>
      </c>
      <c r="L299" s="1">
        <f t="shared" si="29"/>
        <v>-0.300000000000022</v>
      </c>
    </row>
    <row r="300" s="1" customFormat="1" spans="1:12">
      <c r="A300" s="2">
        <v>9.928</v>
      </c>
      <c r="B300" s="10" t="s">
        <v>304</v>
      </c>
      <c r="C300" s="4">
        <v>9.928</v>
      </c>
      <c r="D300" s="5">
        <v>126.7</v>
      </c>
      <c r="E300" s="4"/>
      <c r="F300" s="4"/>
      <c r="G300" s="2">
        <f t="shared" si="24"/>
        <v>9.894</v>
      </c>
      <c r="H300" s="11" t="str">
        <f t="shared" si="25"/>
        <v>3.607E-2</v>
      </c>
      <c r="I300" s="2">
        <f t="shared" si="26"/>
        <v>127.9</v>
      </c>
      <c r="J300" s="4">
        <f t="shared" si="27"/>
        <v>9.894</v>
      </c>
      <c r="K300" s="9">
        <f t="shared" si="28"/>
        <v>25.5</v>
      </c>
      <c r="L300" s="1">
        <f t="shared" si="29"/>
        <v>-0.300000000000022</v>
      </c>
    </row>
    <row r="301" s="1" customFormat="1" spans="1:12">
      <c r="A301" s="2">
        <v>9.961</v>
      </c>
      <c r="B301" s="10" t="s">
        <v>68</v>
      </c>
      <c r="C301" s="4">
        <v>9.961</v>
      </c>
      <c r="D301" s="5">
        <v>125.5</v>
      </c>
      <c r="E301" s="4"/>
      <c r="F301" s="4"/>
      <c r="G301" s="2">
        <f t="shared" si="24"/>
        <v>9.928</v>
      </c>
      <c r="H301" s="11" t="str">
        <f t="shared" si="25"/>
        <v>3.598E-2</v>
      </c>
      <c r="I301" s="2">
        <f t="shared" si="26"/>
        <v>126.7</v>
      </c>
      <c r="J301" s="4">
        <f t="shared" si="27"/>
        <v>9.928</v>
      </c>
      <c r="K301" s="9">
        <f t="shared" si="28"/>
        <v>24.6</v>
      </c>
      <c r="L301" s="1">
        <f t="shared" si="29"/>
        <v>-0.300000000000022</v>
      </c>
    </row>
    <row r="302" s="1" customFormat="1" spans="1:12">
      <c r="A302" s="2">
        <v>9.994</v>
      </c>
      <c r="B302" s="10" t="s">
        <v>301</v>
      </c>
      <c r="C302" s="4">
        <v>9.994</v>
      </c>
      <c r="D302" s="5">
        <v>124.1</v>
      </c>
      <c r="E302" s="4"/>
      <c r="F302" s="4"/>
      <c r="G302" s="2">
        <f t="shared" si="24"/>
        <v>9.961</v>
      </c>
      <c r="H302" s="11" t="str">
        <f t="shared" si="25"/>
        <v>3.591E-2</v>
      </c>
      <c r="I302" s="2">
        <f t="shared" si="26"/>
        <v>125.5</v>
      </c>
      <c r="J302" s="4">
        <f t="shared" si="27"/>
        <v>9.961</v>
      </c>
      <c r="K302" s="9">
        <f t="shared" si="28"/>
        <v>23.9</v>
      </c>
      <c r="L302" s="1">
        <f t="shared" si="29"/>
        <v>-0.300000000000022</v>
      </c>
    </row>
    <row r="303" s="1" customFormat="1" spans="1:12">
      <c r="A303" s="2">
        <v>10.028</v>
      </c>
      <c r="B303" s="10" t="s">
        <v>177</v>
      </c>
      <c r="C303" s="4">
        <v>10.028</v>
      </c>
      <c r="D303" s="5">
        <v>121.9</v>
      </c>
      <c r="E303" s="4"/>
      <c r="F303" s="4"/>
      <c r="G303" s="2">
        <f t="shared" si="24"/>
        <v>9.994</v>
      </c>
      <c r="H303" s="11" t="str">
        <f t="shared" si="25"/>
        <v>3.585E-2</v>
      </c>
      <c r="I303" s="2">
        <f t="shared" si="26"/>
        <v>124.1</v>
      </c>
      <c r="J303" s="4">
        <f t="shared" si="27"/>
        <v>9.994</v>
      </c>
      <c r="K303" s="9">
        <f t="shared" si="28"/>
        <v>23.3</v>
      </c>
      <c r="L303" s="1">
        <f t="shared" si="29"/>
        <v>-0.300000000000022</v>
      </c>
    </row>
    <row r="304" s="1" customFormat="1" spans="1:12">
      <c r="A304" s="2">
        <v>10.061</v>
      </c>
      <c r="B304" s="10" t="s">
        <v>66</v>
      </c>
      <c r="C304" s="4">
        <v>10.061</v>
      </c>
      <c r="D304" s="5">
        <v>122</v>
      </c>
      <c r="E304" s="4"/>
      <c r="F304" s="4"/>
      <c r="G304" s="2">
        <f t="shared" si="24"/>
        <v>10.028</v>
      </c>
      <c r="H304" s="11" t="str">
        <f t="shared" si="25"/>
        <v>3.582E-2</v>
      </c>
      <c r="I304" s="2">
        <f t="shared" si="26"/>
        <v>121.9</v>
      </c>
      <c r="J304" s="4">
        <f t="shared" si="27"/>
        <v>10.028</v>
      </c>
      <c r="K304" s="9">
        <f t="shared" si="28"/>
        <v>23</v>
      </c>
      <c r="L304" s="1">
        <f t="shared" si="29"/>
        <v>-0.300000000000022</v>
      </c>
    </row>
    <row r="305" s="1" customFormat="1" spans="1:12">
      <c r="A305" s="2">
        <v>10.095</v>
      </c>
      <c r="B305" s="10" t="s">
        <v>74</v>
      </c>
      <c r="C305" s="4">
        <v>10.095</v>
      </c>
      <c r="D305" s="5">
        <v>119.3</v>
      </c>
      <c r="E305" s="4"/>
      <c r="F305" s="4"/>
      <c r="G305" s="2">
        <f t="shared" si="24"/>
        <v>10.061</v>
      </c>
      <c r="H305" s="11" t="str">
        <f t="shared" si="25"/>
        <v>3.575E-2</v>
      </c>
      <c r="I305" s="2">
        <f t="shared" si="26"/>
        <v>122</v>
      </c>
      <c r="J305" s="4">
        <f t="shared" si="27"/>
        <v>10.061</v>
      </c>
      <c r="K305" s="9">
        <f t="shared" si="28"/>
        <v>22.3</v>
      </c>
      <c r="L305" s="1">
        <f t="shared" si="29"/>
        <v>-0.300000000000022</v>
      </c>
    </row>
    <row r="306" s="1" customFormat="1" spans="1:12">
      <c r="A306" s="2">
        <v>10.128</v>
      </c>
      <c r="B306" s="10" t="s">
        <v>296</v>
      </c>
      <c r="C306" s="4">
        <v>10.128</v>
      </c>
      <c r="D306" s="5">
        <v>119.3</v>
      </c>
      <c r="E306" s="4"/>
      <c r="F306" s="4"/>
      <c r="G306" s="2">
        <f t="shared" si="24"/>
        <v>10.095</v>
      </c>
      <c r="H306" s="11" t="str">
        <f t="shared" si="25"/>
        <v>3.563E-2</v>
      </c>
      <c r="I306" s="2">
        <f t="shared" si="26"/>
        <v>119.3</v>
      </c>
      <c r="J306" s="4">
        <f t="shared" si="27"/>
        <v>10.095</v>
      </c>
      <c r="K306" s="9">
        <f t="shared" si="28"/>
        <v>21.1</v>
      </c>
      <c r="L306" s="1">
        <f t="shared" si="29"/>
        <v>-0.300000000000022</v>
      </c>
    </row>
    <row r="307" s="1" customFormat="1" spans="1:12">
      <c r="A307" s="2">
        <v>10.162</v>
      </c>
      <c r="B307" s="10" t="s">
        <v>184</v>
      </c>
      <c r="C307" s="4">
        <v>10.162</v>
      </c>
      <c r="D307" s="5">
        <v>118.3</v>
      </c>
      <c r="E307" s="4"/>
      <c r="F307" s="4"/>
      <c r="G307" s="2">
        <f t="shared" si="24"/>
        <v>10.128</v>
      </c>
      <c r="H307" s="11" t="str">
        <f t="shared" si="25"/>
        <v>3.556E-2</v>
      </c>
      <c r="I307" s="2">
        <f t="shared" si="26"/>
        <v>119.3</v>
      </c>
      <c r="J307" s="4">
        <f t="shared" si="27"/>
        <v>10.128</v>
      </c>
      <c r="K307" s="9">
        <f t="shared" si="28"/>
        <v>20.4</v>
      </c>
      <c r="L307" s="1">
        <f t="shared" si="29"/>
        <v>-0.300000000000022</v>
      </c>
    </row>
    <row r="308" s="1" customFormat="1" spans="1:12">
      <c r="A308" s="2">
        <v>10.195</v>
      </c>
      <c r="B308" s="10" t="s">
        <v>122</v>
      </c>
      <c r="C308" s="4">
        <v>10.195</v>
      </c>
      <c r="D308" s="5">
        <v>115.9</v>
      </c>
      <c r="E308" s="4"/>
      <c r="F308" s="4"/>
      <c r="G308" s="2">
        <f t="shared" si="24"/>
        <v>10.162</v>
      </c>
      <c r="H308" s="11" t="str">
        <f t="shared" si="25"/>
        <v>3.553E-2</v>
      </c>
      <c r="I308" s="2">
        <f t="shared" si="26"/>
        <v>118.3</v>
      </c>
      <c r="J308" s="4">
        <f t="shared" si="27"/>
        <v>10.162</v>
      </c>
      <c r="K308" s="9">
        <f t="shared" si="28"/>
        <v>20.1</v>
      </c>
      <c r="L308" s="1">
        <f t="shared" si="29"/>
        <v>-0.300000000000022</v>
      </c>
    </row>
    <row r="309" s="1" customFormat="1" spans="1:12">
      <c r="A309" s="2">
        <v>10.228</v>
      </c>
      <c r="B309" s="10" t="s">
        <v>122</v>
      </c>
      <c r="C309" s="4">
        <v>10.228</v>
      </c>
      <c r="D309" s="5">
        <v>115.2</v>
      </c>
      <c r="E309" s="4"/>
      <c r="F309" s="4"/>
      <c r="G309" s="2">
        <f t="shared" si="24"/>
        <v>10.195</v>
      </c>
      <c r="H309" s="11" t="str">
        <f t="shared" si="25"/>
        <v>3.549E-2</v>
      </c>
      <c r="I309" s="2">
        <f t="shared" si="26"/>
        <v>115.9</v>
      </c>
      <c r="J309" s="4">
        <f t="shared" si="27"/>
        <v>10.195</v>
      </c>
      <c r="K309" s="9">
        <f t="shared" si="28"/>
        <v>19.7</v>
      </c>
      <c r="L309" s="1">
        <f t="shared" si="29"/>
        <v>-0.300000000000022</v>
      </c>
    </row>
    <row r="310" s="1" customFormat="1" spans="1:12">
      <c r="A310" s="2">
        <v>10.262</v>
      </c>
      <c r="B310" s="10" t="s">
        <v>91</v>
      </c>
      <c r="C310" s="4">
        <v>10.262</v>
      </c>
      <c r="D310" s="5">
        <v>113.7</v>
      </c>
      <c r="E310" s="4"/>
      <c r="F310" s="4"/>
      <c r="G310" s="2">
        <f t="shared" si="24"/>
        <v>10.228</v>
      </c>
      <c r="H310" s="11" t="str">
        <f t="shared" si="25"/>
        <v>3.549E-2</v>
      </c>
      <c r="I310" s="2">
        <f t="shared" si="26"/>
        <v>115.2</v>
      </c>
      <c r="J310" s="4">
        <f t="shared" si="27"/>
        <v>10.228</v>
      </c>
      <c r="K310" s="9">
        <f t="shared" si="28"/>
        <v>19.7</v>
      </c>
      <c r="L310" s="1">
        <f t="shared" si="29"/>
        <v>-0.300000000000022</v>
      </c>
    </row>
    <row r="311" s="1" customFormat="1" spans="1:12">
      <c r="A311" s="2">
        <v>10.295</v>
      </c>
      <c r="B311" s="10" t="s">
        <v>164</v>
      </c>
      <c r="C311" s="4">
        <v>10.295</v>
      </c>
      <c r="D311" s="5">
        <v>111.4</v>
      </c>
      <c r="E311" s="4"/>
      <c r="F311" s="4"/>
      <c r="G311" s="2">
        <f t="shared" si="24"/>
        <v>10.262</v>
      </c>
      <c r="H311" s="11" t="str">
        <f t="shared" si="25"/>
        <v>3.539E-2</v>
      </c>
      <c r="I311" s="2">
        <f t="shared" si="26"/>
        <v>113.7</v>
      </c>
      <c r="J311" s="4">
        <f t="shared" si="27"/>
        <v>10.262</v>
      </c>
      <c r="K311" s="9">
        <f t="shared" si="28"/>
        <v>18.7</v>
      </c>
      <c r="L311" s="1">
        <f t="shared" si="29"/>
        <v>-0.300000000000022</v>
      </c>
    </row>
    <row r="312" s="1" customFormat="1" spans="1:12">
      <c r="A312" s="2">
        <v>10.329</v>
      </c>
      <c r="B312" s="10" t="s">
        <v>121</v>
      </c>
      <c r="C312" s="4">
        <v>10.329</v>
      </c>
      <c r="D312" s="5">
        <v>226.3</v>
      </c>
      <c r="E312" s="4"/>
      <c r="F312" s="4"/>
      <c r="G312" s="2">
        <f t="shared" si="24"/>
        <v>10.295</v>
      </c>
      <c r="H312" s="11" t="str">
        <f t="shared" si="25"/>
        <v>3.532E-2</v>
      </c>
      <c r="I312" s="2">
        <f t="shared" si="26"/>
        <v>111.4</v>
      </c>
      <c r="J312" s="4">
        <f t="shared" si="27"/>
        <v>10.295</v>
      </c>
      <c r="K312" s="9">
        <f t="shared" si="28"/>
        <v>18</v>
      </c>
      <c r="L312" s="1">
        <f t="shared" si="29"/>
        <v>-0.300000000000022</v>
      </c>
    </row>
    <row r="313" s="1" customFormat="1" spans="1:12">
      <c r="A313" s="2">
        <v>10.362</v>
      </c>
      <c r="B313" s="10" t="s">
        <v>121</v>
      </c>
      <c r="C313" s="4">
        <v>10.362</v>
      </c>
      <c r="D313" s="5">
        <v>253.7</v>
      </c>
      <c r="E313" s="4"/>
      <c r="F313" s="4"/>
      <c r="G313" s="2">
        <f t="shared" si="24"/>
        <v>10.329</v>
      </c>
      <c r="H313" s="11" t="str">
        <f t="shared" si="25"/>
        <v>3.530E-2</v>
      </c>
      <c r="I313" s="2">
        <f t="shared" si="26"/>
        <v>226.3</v>
      </c>
      <c r="J313" s="4">
        <f t="shared" si="27"/>
        <v>10.329</v>
      </c>
      <c r="K313" s="9">
        <f t="shared" si="28"/>
        <v>17.8</v>
      </c>
      <c r="L313" s="1">
        <f t="shared" si="29"/>
        <v>-0.300000000000022</v>
      </c>
    </row>
    <row r="314" s="1" customFormat="1" spans="1:12">
      <c r="A314" s="2">
        <v>10.396</v>
      </c>
      <c r="B314" s="10" t="s">
        <v>147</v>
      </c>
      <c r="C314" s="4">
        <v>10.396</v>
      </c>
      <c r="D314" s="5">
        <v>253.7</v>
      </c>
      <c r="E314" s="4"/>
      <c r="F314" s="4"/>
      <c r="G314" s="2">
        <f t="shared" si="24"/>
        <v>10.362</v>
      </c>
      <c r="H314" s="11" t="str">
        <f t="shared" si="25"/>
        <v>3.530E-2</v>
      </c>
      <c r="I314" s="2">
        <f t="shared" si="26"/>
        <v>253.7</v>
      </c>
      <c r="J314" s="4">
        <f t="shared" si="27"/>
        <v>10.362</v>
      </c>
      <c r="K314" s="9">
        <f t="shared" si="28"/>
        <v>17.8</v>
      </c>
      <c r="L314" s="1">
        <f t="shared" si="29"/>
        <v>28.4</v>
      </c>
    </row>
    <row r="315" s="1" customFormat="1" spans="1:12">
      <c r="A315" s="2">
        <v>10.429</v>
      </c>
      <c r="B315" s="10" t="s">
        <v>164</v>
      </c>
      <c r="C315" s="4">
        <v>10.429</v>
      </c>
      <c r="D315" s="5">
        <v>253.7</v>
      </c>
      <c r="E315" s="4"/>
      <c r="F315" s="4"/>
      <c r="G315" s="2">
        <f t="shared" si="24"/>
        <v>10.396</v>
      </c>
      <c r="H315" s="11" t="str">
        <f t="shared" si="25"/>
        <v>3.531E-2</v>
      </c>
      <c r="I315" s="2">
        <f t="shared" si="26"/>
        <v>253.7</v>
      </c>
      <c r="J315" s="4">
        <f t="shared" si="27"/>
        <v>10.396</v>
      </c>
      <c r="K315" s="9">
        <f t="shared" si="28"/>
        <v>17.9</v>
      </c>
      <c r="L315" s="1">
        <f t="shared" si="29"/>
        <v>28.4</v>
      </c>
    </row>
    <row r="316" s="1" customFormat="1" spans="1:12">
      <c r="A316" s="2">
        <v>10.462</v>
      </c>
      <c r="B316" s="10" t="s">
        <v>206</v>
      </c>
      <c r="C316" s="4">
        <v>10.462</v>
      </c>
      <c r="D316" s="5">
        <v>253.7</v>
      </c>
      <c r="E316" s="4"/>
      <c r="F316" s="4"/>
      <c r="G316" s="2">
        <f t="shared" si="24"/>
        <v>10.429</v>
      </c>
      <c r="H316" s="11" t="str">
        <f t="shared" si="25"/>
        <v>3.532E-2</v>
      </c>
      <c r="I316" s="2">
        <f t="shared" si="26"/>
        <v>253.7</v>
      </c>
      <c r="J316" s="4">
        <f t="shared" si="27"/>
        <v>10.429</v>
      </c>
      <c r="K316" s="9">
        <f t="shared" si="28"/>
        <v>18</v>
      </c>
      <c r="L316" s="1">
        <f t="shared" si="29"/>
        <v>28.4</v>
      </c>
    </row>
    <row r="317" s="1" customFormat="1" spans="1:12">
      <c r="A317" s="2">
        <v>10.496</v>
      </c>
      <c r="B317" s="10" t="s">
        <v>106</v>
      </c>
      <c r="C317" s="4">
        <v>10.496</v>
      </c>
      <c r="D317" s="5">
        <v>253.7</v>
      </c>
      <c r="E317" s="4"/>
      <c r="F317" s="4"/>
      <c r="G317" s="2">
        <f t="shared" si="24"/>
        <v>10.462</v>
      </c>
      <c r="H317" s="11" t="str">
        <f t="shared" si="25"/>
        <v>3.534E-2</v>
      </c>
      <c r="I317" s="2">
        <f t="shared" si="26"/>
        <v>253.7</v>
      </c>
      <c r="J317" s="4">
        <f t="shared" si="27"/>
        <v>10.462</v>
      </c>
      <c r="K317" s="9">
        <f t="shared" si="28"/>
        <v>18.2</v>
      </c>
      <c r="L317" s="1">
        <f t="shared" si="29"/>
        <v>28.4</v>
      </c>
    </row>
    <row r="318" s="1" customFormat="1" spans="1:12">
      <c r="A318" s="2">
        <v>10.529</v>
      </c>
      <c r="B318" s="10" t="s">
        <v>91</v>
      </c>
      <c r="C318" s="4">
        <v>10.529</v>
      </c>
      <c r="D318" s="5">
        <v>253.7</v>
      </c>
      <c r="E318" s="4"/>
      <c r="F318" s="4"/>
      <c r="G318" s="2">
        <f t="shared" si="24"/>
        <v>10.496</v>
      </c>
      <c r="H318" s="11" t="str">
        <f t="shared" si="25"/>
        <v>3.537E-2</v>
      </c>
      <c r="I318" s="2">
        <f t="shared" si="26"/>
        <v>253.7</v>
      </c>
      <c r="J318" s="4">
        <f t="shared" si="27"/>
        <v>10.496</v>
      </c>
      <c r="K318" s="9">
        <f t="shared" si="28"/>
        <v>18.5</v>
      </c>
      <c r="L318" s="1">
        <f t="shared" si="29"/>
        <v>28.4</v>
      </c>
    </row>
    <row r="319" s="1" customFormat="1" spans="1:12">
      <c r="A319" s="2">
        <v>10.563</v>
      </c>
      <c r="B319" s="10" t="s">
        <v>136</v>
      </c>
      <c r="C319" s="4">
        <v>10.563</v>
      </c>
      <c r="D319" s="5">
        <v>253.7</v>
      </c>
      <c r="E319" s="4"/>
      <c r="F319" s="4"/>
      <c r="G319" s="2">
        <f t="shared" si="24"/>
        <v>10.529</v>
      </c>
      <c r="H319" s="11" t="str">
        <f t="shared" si="25"/>
        <v>3.539E-2</v>
      </c>
      <c r="I319" s="2">
        <f t="shared" si="26"/>
        <v>253.7</v>
      </c>
      <c r="J319" s="4">
        <f t="shared" si="27"/>
        <v>10.529</v>
      </c>
      <c r="K319" s="9">
        <f t="shared" si="28"/>
        <v>18.7</v>
      </c>
      <c r="L319" s="1">
        <f t="shared" si="29"/>
        <v>28.4</v>
      </c>
    </row>
    <row r="320" s="1" customFormat="1" spans="1:12">
      <c r="A320" s="2">
        <v>10.596</v>
      </c>
      <c r="B320" s="10" t="s">
        <v>185</v>
      </c>
      <c r="C320" s="4">
        <v>10.596</v>
      </c>
      <c r="D320" s="5">
        <v>253.7</v>
      </c>
      <c r="E320" s="4"/>
      <c r="F320" s="4"/>
      <c r="G320" s="2">
        <f t="shared" si="24"/>
        <v>10.563</v>
      </c>
      <c r="H320" s="11" t="str">
        <f t="shared" si="25"/>
        <v>3.540E-2</v>
      </c>
      <c r="I320" s="2">
        <f t="shared" si="26"/>
        <v>253.7</v>
      </c>
      <c r="J320" s="4">
        <f t="shared" si="27"/>
        <v>10.563</v>
      </c>
      <c r="K320" s="9">
        <f t="shared" si="28"/>
        <v>18.8</v>
      </c>
      <c r="L320" s="1">
        <f t="shared" si="29"/>
        <v>28.4</v>
      </c>
    </row>
    <row r="321" s="1" customFormat="1" spans="1:12">
      <c r="A321" s="2">
        <v>10.63</v>
      </c>
      <c r="B321" s="10" t="s">
        <v>175</v>
      </c>
      <c r="C321" s="4">
        <v>10.63</v>
      </c>
      <c r="D321" s="5">
        <v>253.7</v>
      </c>
      <c r="E321" s="4"/>
      <c r="F321" s="4"/>
      <c r="G321" s="2">
        <f t="shared" si="24"/>
        <v>10.596</v>
      </c>
      <c r="H321" s="11" t="str">
        <f t="shared" si="25"/>
        <v>3.543E-2</v>
      </c>
      <c r="I321" s="2">
        <f t="shared" si="26"/>
        <v>253.7</v>
      </c>
      <c r="J321" s="4">
        <f t="shared" si="27"/>
        <v>10.596</v>
      </c>
      <c r="K321" s="9">
        <f t="shared" si="28"/>
        <v>19.1</v>
      </c>
      <c r="L321" s="1">
        <f t="shared" si="29"/>
        <v>28.4</v>
      </c>
    </row>
    <row r="322" s="1" customFormat="1" spans="1:12">
      <c r="A322" s="2">
        <v>10.663</v>
      </c>
      <c r="B322" s="10" t="s">
        <v>299</v>
      </c>
      <c r="C322" s="4">
        <v>10.663</v>
      </c>
      <c r="D322" s="5">
        <v>253.7</v>
      </c>
      <c r="E322" s="4"/>
      <c r="F322" s="4"/>
      <c r="G322" s="2">
        <f t="shared" si="24"/>
        <v>10.63</v>
      </c>
      <c r="H322" s="11" t="str">
        <f t="shared" si="25"/>
        <v>3.545E-2</v>
      </c>
      <c r="I322" s="2">
        <f t="shared" si="26"/>
        <v>253.7</v>
      </c>
      <c r="J322" s="4">
        <f t="shared" si="27"/>
        <v>10.63</v>
      </c>
      <c r="K322" s="9">
        <f t="shared" si="28"/>
        <v>19.3</v>
      </c>
      <c r="L322" s="1">
        <f t="shared" si="29"/>
        <v>28.4</v>
      </c>
    </row>
    <row r="323" s="1" customFormat="1" spans="1:12">
      <c r="A323" s="2">
        <v>10.696</v>
      </c>
      <c r="B323" s="10" t="s">
        <v>75</v>
      </c>
      <c r="C323" s="4">
        <v>10.696</v>
      </c>
      <c r="D323" s="5">
        <v>253.7</v>
      </c>
      <c r="E323" s="4"/>
      <c r="F323" s="4"/>
      <c r="G323" s="2">
        <f t="shared" si="24"/>
        <v>10.663</v>
      </c>
      <c r="H323" s="11" t="str">
        <f t="shared" si="25"/>
        <v>3.546E-2</v>
      </c>
      <c r="I323" s="2">
        <f t="shared" si="26"/>
        <v>253.7</v>
      </c>
      <c r="J323" s="4">
        <f t="shared" si="27"/>
        <v>10.663</v>
      </c>
      <c r="K323" s="9">
        <f t="shared" si="28"/>
        <v>19.4</v>
      </c>
      <c r="L323" s="1">
        <f t="shared" si="29"/>
        <v>28.4</v>
      </c>
    </row>
    <row r="324" s="1" customFormat="1" spans="1:12">
      <c r="A324" s="2">
        <v>10.73</v>
      </c>
      <c r="B324" s="10" t="s">
        <v>225</v>
      </c>
      <c r="C324" s="4">
        <v>10.73</v>
      </c>
      <c r="D324" s="5">
        <v>253.7</v>
      </c>
      <c r="E324" s="4"/>
      <c r="F324" s="4"/>
      <c r="G324" s="2">
        <f t="shared" ref="G324:G387" si="30">A323</f>
        <v>10.696</v>
      </c>
      <c r="H324" s="11" t="str">
        <f t="shared" ref="H324:H387" si="31">B323</f>
        <v>3.548E-2</v>
      </c>
      <c r="I324" s="2">
        <f t="shared" ref="I324:I387" si="32">D323</f>
        <v>253.7</v>
      </c>
      <c r="J324" s="4">
        <f t="shared" ref="J324:J387" si="33">G324</f>
        <v>10.696</v>
      </c>
      <c r="K324" s="9">
        <f t="shared" ref="K324:K387" si="34">(H324-$H$4)*10000</f>
        <v>19.6</v>
      </c>
      <c r="L324" s="1">
        <f t="shared" si="29"/>
        <v>28.4</v>
      </c>
    </row>
    <row r="325" s="1" customFormat="1" spans="1:12">
      <c r="A325" s="2">
        <v>10.763</v>
      </c>
      <c r="B325" s="10" t="s">
        <v>149</v>
      </c>
      <c r="C325" s="4">
        <v>10.763</v>
      </c>
      <c r="D325" s="5">
        <v>253.7</v>
      </c>
      <c r="E325" s="4"/>
      <c r="F325" s="4"/>
      <c r="G325" s="2">
        <f t="shared" si="30"/>
        <v>10.73</v>
      </c>
      <c r="H325" s="11" t="str">
        <f t="shared" si="31"/>
        <v>3.550E-2</v>
      </c>
      <c r="I325" s="2">
        <f t="shared" si="32"/>
        <v>253.7</v>
      </c>
      <c r="J325" s="4">
        <f t="shared" si="33"/>
        <v>10.73</v>
      </c>
      <c r="K325" s="9">
        <f t="shared" si="34"/>
        <v>19.8</v>
      </c>
      <c r="L325" s="1">
        <f t="shared" ref="L325:L388" si="35">IF(I325&lt;230,MIN(K:K),MAX(K:K))</f>
        <v>28.4</v>
      </c>
    </row>
    <row r="326" s="1" customFormat="1" spans="1:12">
      <c r="A326" s="2">
        <v>10.797</v>
      </c>
      <c r="B326" s="10" t="s">
        <v>73</v>
      </c>
      <c r="C326" s="4">
        <v>10.797</v>
      </c>
      <c r="D326" s="5">
        <v>253.7</v>
      </c>
      <c r="E326" s="4"/>
      <c r="F326" s="4"/>
      <c r="G326" s="2">
        <f t="shared" si="30"/>
        <v>10.763</v>
      </c>
      <c r="H326" s="11" t="str">
        <f t="shared" si="31"/>
        <v>3.564E-2</v>
      </c>
      <c r="I326" s="2">
        <f t="shared" si="32"/>
        <v>253.7</v>
      </c>
      <c r="J326" s="4">
        <f t="shared" si="33"/>
        <v>10.763</v>
      </c>
      <c r="K326" s="9">
        <f t="shared" si="34"/>
        <v>21.2</v>
      </c>
      <c r="L326" s="1">
        <f t="shared" si="35"/>
        <v>28.4</v>
      </c>
    </row>
    <row r="327" s="1" customFormat="1" spans="1:12">
      <c r="A327" s="2">
        <v>10.83</v>
      </c>
      <c r="B327" s="10" t="s">
        <v>183</v>
      </c>
      <c r="C327" s="4">
        <v>10.83</v>
      </c>
      <c r="D327" s="5">
        <v>253.7</v>
      </c>
      <c r="E327" s="4"/>
      <c r="F327" s="4"/>
      <c r="G327" s="2">
        <f t="shared" si="30"/>
        <v>10.797</v>
      </c>
      <c r="H327" s="11" t="str">
        <f t="shared" si="31"/>
        <v>3.571E-2</v>
      </c>
      <c r="I327" s="2">
        <f t="shared" si="32"/>
        <v>253.7</v>
      </c>
      <c r="J327" s="4">
        <f t="shared" si="33"/>
        <v>10.797</v>
      </c>
      <c r="K327" s="9">
        <f t="shared" si="34"/>
        <v>21.9</v>
      </c>
      <c r="L327" s="1">
        <f t="shared" si="35"/>
        <v>28.4</v>
      </c>
    </row>
    <row r="328" s="1" customFormat="1" spans="1:12">
      <c r="A328" s="2">
        <v>10.864</v>
      </c>
      <c r="B328" s="10" t="s">
        <v>72</v>
      </c>
      <c r="C328" s="4">
        <v>10.864</v>
      </c>
      <c r="D328" s="5">
        <v>253.7</v>
      </c>
      <c r="E328" s="4"/>
      <c r="F328" s="4"/>
      <c r="G328" s="2">
        <f t="shared" si="30"/>
        <v>10.83</v>
      </c>
      <c r="H328" s="11" t="str">
        <f t="shared" si="31"/>
        <v>3.576E-2</v>
      </c>
      <c r="I328" s="2">
        <f t="shared" si="32"/>
        <v>253.7</v>
      </c>
      <c r="J328" s="4">
        <f t="shared" si="33"/>
        <v>10.83</v>
      </c>
      <c r="K328" s="9">
        <f t="shared" si="34"/>
        <v>22.4</v>
      </c>
      <c r="L328" s="1">
        <f t="shared" si="35"/>
        <v>28.4</v>
      </c>
    </row>
    <row r="329" s="1" customFormat="1" spans="1:12">
      <c r="A329" s="2">
        <v>10.897</v>
      </c>
      <c r="B329" s="10" t="s">
        <v>182</v>
      </c>
      <c r="C329" s="4">
        <v>10.897</v>
      </c>
      <c r="D329" s="5">
        <v>253.7</v>
      </c>
      <c r="E329" s="4"/>
      <c r="F329" s="4"/>
      <c r="G329" s="2">
        <f t="shared" si="30"/>
        <v>10.864</v>
      </c>
      <c r="H329" s="11" t="str">
        <f t="shared" si="31"/>
        <v>3.577E-2</v>
      </c>
      <c r="I329" s="2">
        <f t="shared" si="32"/>
        <v>253.7</v>
      </c>
      <c r="J329" s="4">
        <f t="shared" si="33"/>
        <v>10.864</v>
      </c>
      <c r="K329" s="9">
        <f t="shared" si="34"/>
        <v>22.5</v>
      </c>
      <c r="L329" s="1">
        <f t="shared" si="35"/>
        <v>28.4</v>
      </c>
    </row>
    <row r="330" s="1" customFormat="1" spans="1:12">
      <c r="A330" s="2">
        <v>10.93</v>
      </c>
      <c r="B330" s="10" t="s">
        <v>150</v>
      </c>
      <c r="C330" s="4">
        <v>10.93</v>
      </c>
      <c r="D330" s="5">
        <v>253.7</v>
      </c>
      <c r="E330" s="4"/>
      <c r="F330" s="4"/>
      <c r="G330" s="2">
        <f t="shared" si="30"/>
        <v>10.897</v>
      </c>
      <c r="H330" s="11" t="str">
        <f t="shared" si="31"/>
        <v>3.578E-2</v>
      </c>
      <c r="I330" s="2">
        <f t="shared" si="32"/>
        <v>253.7</v>
      </c>
      <c r="J330" s="4">
        <f t="shared" si="33"/>
        <v>10.897</v>
      </c>
      <c r="K330" s="9">
        <f t="shared" si="34"/>
        <v>22.6</v>
      </c>
      <c r="L330" s="1">
        <f t="shared" si="35"/>
        <v>28.4</v>
      </c>
    </row>
    <row r="331" s="1" customFormat="1" spans="1:12">
      <c r="A331" s="2">
        <v>10.964</v>
      </c>
      <c r="B331" s="10" t="s">
        <v>70</v>
      </c>
      <c r="C331" s="4">
        <v>10.964</v>
      </c>
      <c r="D331" s="5">
        <v>253.7</v>
      </c>
      <c r="E331" s="4"/>
      <c r="F331" s="4"/>
      <c r="G331" s="2">
        <f t="shared" si="30"/>
        <v>10.93</v>
      </c>
      <c r="H331" s="11" t="str">
        <f t="shared" si="31"/>
        <v>3.579E-2</v>
      </c>
      <c r="I331" s="2">
        <f t="shared" si="32"/>
        <v>253.7</v>
      </c>
      <c r="J331" s="4">
        <f t="shared" si="33"/>
        <v>10.93</v>
      </c>
      <c r="K331" s="9">
        <f t="shared" si="34"/>
        <v>22.7</v>
      </c>
      <c r="L331" s="1">
        <f t="shared" si="35"/>
        <v>28.4</v>
      </c>
    </row>
    <row r="332" s="1" customFormat="1" spans="1:12">
      <c r="A332" s="2">
        <v>10.997</v>
      </c>
      <c r="B332" s="10" t="s">
        <v>295</v>
      </c>
      <c r="C332" s="4">
        <v>10.997</v>
      </c>
      <c r="D332" s="5">
        <v>253.7</v>
      </c>
      <c r="E332" s="4"/>
      <c r="F332" s="4"/>
      <c r="G332" s="2">
        <f t="shared" si="30"/>
        <v>10.964</v>
      </c>
      <c r="H332" s="11" t="str">
        <f t="shared" si="31"/>
        <v>3.589E-2</v>
      </c>
      <c r="I332" s="2">
        <f t="shared" si="32"/>
        <v>253.7</v>
      </c>
      <c r="J332" s="4">
        <f t="shared" si="33"/>
        <v>10.964</v>
      </c>
      <c r="K332" s="9">
        <f t="shared" si="34"/>
        <v>23.7</v>
      </c>
      <c r="L332" s="1">
        <f t="shared" si="35"/>
        <v>28.4</v>
      </c>
    </row>
    <row r="333" s="1" customFormat="1" spans="1:12">
      <c r="A333" s="2">
        <v>11.031</v>
      </c>
      <c r="B333" s="10" t="s">
        <v>318</v>
      </c>
      <c r="C333" s="4">
        <v>11.031</v>
      </c>
      <c r="D333" s="5">
        <v>253.8</v>
      </c>
      <c r="E333" s="4"/>
      <c r="F333" s="4"/>
      <c r="G333" s="2">
        <f t="shared" si="30"/>
        <v>10.997</v>
      </c>
      <c r="H333" s="11" t="str">
        <f t="shared" si="31"/>
        <v>3.596E-2</v>
      </c>
      <c r="I333" s="2">
        <f t="shared" si="32"/>
        <v>253.7</v>
      </c>
      <c r="J333" s="4">
        <f t="shared" si="33"/>
        <v>10.997</v>
      </c>
      <c r="K333" s="9">
        <f t="shared" si="34"/>
        <v>24.4</v>
      </c>
      <c r="L333" s="1">
        <f t="shared" si="35"/>
        <v>28.4</v>
      </c>
    </row>
    <row r="334" s="1" customFormat="1" spans="1:12">
      <c r="A334" s="2">
        <v>11.064</v>
      </c>
      <c r="B334" s="10" t="s">
        <v>285</v>
      </c>
      <c r="C334" s="4">
        <v>11.064</v>
      </c>
      <c r="D334" s="5">
        <v>253.8</v>
      </c>
      <c r="E334" s="4"/>
      <c r="F334" s="4"/>
      <c r="G334" s="2">
        <f t="shared" si="30"/>
        <v>11.031</v>
      </c>
      <c r="H334" s="11" t="str">
        <f t="shared" si="31"/>
        <v>3.599E-2</v>
      </c>
      <c r="I334" s="2">
        <f t="shared" si="32"/>
        <v>253.8</v>
      </c>
      <c r="J334" s="4">
        <f t="shared" si="33"/>
        <v>11.031</v>
      </c>
      <c r="K334" s="9">
        <f t="shared" si="34"/>
        <v>24.7</v>
      </c>
      <c r="L334" s="1">
        <f t="shared" si="35"/>
        <v>28.4</v>
      </c>
    </row>
    <row r="335" s="1" customFormat="1" spans="1:12">
      <c r="A335" s="2">
        <v>11.098</v>
      </c>
      <c r="B335" s="10" t="s">
        <v>152</v>
      </c>
      <c r="C335" s="4">
        <v>11.098</v>
      </c>
      <c r="D335" s="5">
        <v>253.8</v>
      </c>
      <c r="E335" s="4"/>
      <c r="F335" s="4"/>
      <c r="G335" s="2">
        <f t="shared" si="30"/>
        <v>11.064</v>
      </c>
      <c r="H335" s="11" t="str">
        <f t="shared" si="31"/>
        <v>3.600E-2</v>
      </c>
      <c r="I335" s="2">
        <f t="shared" si="32"/>
        <v>253.8</v>
      </c>
      <c r="J335" s="4">
        <f t="shared" si="33"/>
        <v>11.064</v>
      </c>
      <c r="K335" s="9">
        <f t="shared" si="34"/>
        <v>24.8</v>
      </c>
      <c r="L335" s="1">
        <f t="shared" si="35"/>
        <v>28.4</v>
      </c>
    </row>
    <row r="336" s="1" customFormat="1" spans="1:12">
      <c r="A336" s="2">
        <v>11.131</v>
      </c>
      <c r="B336" s="10" t="s">
        <v>316</v>
      </c>
      <c r="C336" s="4">
        <v>11.131</v>
      </c>
      <c r="D336" s="5">
        <v>253.8</v>
      </c>
      <c r="E336" s="4"/>
      <c r="F336" s="4"/>
      <c r="G336" s="2">
        <f t="shared" si="30"/>
        <v>11.098</v>
      </c>
      <c r="H336" s="11" t="str">
        <f t="shared" si="31"/>
        <v>3.603E-2</v>
      </c>
      <c r="I336" s="2">
        <f t="shared" si="32"/>
        <v>253.8</v>
      </c>
      <c r="J336" s="4">
        <f t="shared" si="33"/>
        <v>11.098</v>
      </c>
      <c r="K336" s="9">
        <f t="shared" si="34"/>
        <v>25.1</v>
      </c>
      <c r="L336" s="1">
        <f t="shared" si="35"/>
        <v>28.4</v>
      </c>
    </row>
    <row r="337" s="1" customFormat="1" spans="1:12">
      <c r="A337" s="2">
        <v>11.164</v>
      </c>
      <c r="B337" s="10" t="s">
        <v>287</v>
      </c>
      <c r="C337" s="4">
        <v>11.164</v>
      </c>
      <c r="D337" s="5">
        <v>253.8</v>
      </c>
      <c r="E337" s="4"/>
      <c r="F337" s="4"/>
      <c r="G337" s="2">
        <f t="shared" si="30"/>
        <v>11.131</v>
      </c>
      <c r="H337" s="11" t="str">
        <f t="shared" si="31"/>
        <v>3.602E-2</v>
      </c>
      <c r="I337" s="2">
        <f t="shared" si="32"/>
        <v>253.8</v>
      </c>
      <c r="J337" s="4">
        <f t="shared" si="33"/>
        <v>11.131</v>
      </c>
      <c r="K337" s="9">
        <f t="shared" si="34"/>
        <v>25</v>
      </c>
      <c r="L337" s="1">
        <f t="shared" si="35"/>
        <v>28.4</v>
      </c>
    </row>
    <row r="338" s="1" customFormat="1" spans="1:12">
      <c r="A338" s="2">
        <v>11.198</v>
      </c>
      <c r="B338" s="10" t="s">
        <v>287</v>
      </c>
      <c r="C338" s="4">
        <v>11.198</v>
      </c>
      <c r="D338" s="5">
        <v>131.3</v>
      </c>
      <c r="E338" s="4"/>
      <c r="F338" s="4"/>
      <c r="G338" s="2">
        <f t="shared" si="30"/>
        <v>11.164</v>
      </c>
      <c r="H338" s="11" t="str">
        <f t="shared" si="31"/>
        <v>3.601E-2</v>
      </c>
      <c r="I338" s="2">
        <f t="shared" si="32"/>
        <v>253.8</v>
      </c>
      <c r="J338" s="4">
        <f t="shared" si="33"/>
        <v>11.164</v>
      </c>
      <c r="K338" s="9">
        <f t="shared" si="34"/>
        <v>24.9</v>
      </c>
      <c r="L338" s="1">
        <f t="shared" si="35"/>
        <v>28.4</v>
      </c>
    </row>
    <row r="339" s="1" customFormat="1" spans="1:12">
      <c r="A339" s="2">
        <v>11.231</v>
      </c>
      <c r="B339" s="10" t="s">
        <v>318</v>
      </c>
      <c r="C339" s="4">
        <v>11.231</v>
      </c>
      <c r="D339" s="5">
        <v>155.8</v>
      </c>
      <c r="E339" s="4"/>
      <c r="F339" s="4"/>
      <c r="G339" s="2">
        <f t="shared" si="30"/>
        <v>11.198</v>
      </c>
      <c r="H339" s="11" t="str">
        <f t="shared" si="31"/>
        <v>3.601E-2</v>
      </c>
      <c r="I339" s="2">
        <f t="shared" si="32"/>
        <v>131.3</v>
      </c>
      <c r="J339" s="4">
        <f t="shared" si="33"/>
        <v>11.198</v>
      </c>
      <c r="K339" s="9">
        <f t="shared" si="34"/>
        <v>24.9</v>
      </c>
      <c r="L339" s="1">
        <f t="shared" si="35"/>
        <v>-0.300000000000022</v>
      </c>
    </row>
    <row r="340" s="1" customFormat="1" spans="1:12">
      <c r="A340" s="2">
        <v>11.265</v>
      </c>
      <c r="B340" s="10" t="s">
        <v>304</v>
      </c>
      <c r="C340" s="4">
        <v>11.265</v>
      </c>
      <c r="D340" s="5">
        <v>153.8</v>
      </c>
      <c r="E340" s="4"/>
      <c r="F340" s="4"/>
      <c r="G340" s="2">
        <f t="shared" si="30"/>
        <v>11.231</v>
      </c>
      <c r="H340" s="11" t="str">
        <f t="shared" si="31"/>
        <v>3.599E-2</v>
      </c>
      <c r="I340" s="2">
        <f t="shared" si="32"/>
        <v>155.8</v>
      </c>
      <c r="J340" s="4">
        <f t="shared" si="33"/>
        <v>11.231</v>
      </c>
      <c r="K340" s="9">
        <f t="shared" si="34"/>
        <v>24.7</v>
      </c>
      <c r="L340" s="1">
        <f t="shared" si="35"/>
        <v>-0.300000000000022</v>
      </c>
    </row>
    <row r="341" s="1" customFormat="1" spans="1:12">
      <c r="A341" s="2">
        <v>11.298</v>
      </c>
      <c r="B341" s="10" t="s">
        <v>292</v>
      </c>
      <c r="C341" s="4">
        <v>11.298</v>
      </c>
      <c r="D341" s="5">
        <v>154.2</v>
      </c>
      <c r="E341" s="4"/>
      <c r="F341" s="4"/>
      <c r="G341" s="2">
        <f t="shared" si="30"/>
        <v>11.265</v>
      </c>
      <c r="H341" s="11" t="str">
        <f t="shared" si="31"/>
        <v>3.598E-2</v>
      </c>
      <c r="I341" s="2">
        <f t="shared" si="32"/>
        <v>153.8</v>
      </c>
      <c r="J341" s="4">
        <f t="shared" si="33"/>
        <v>11.265</v>
      </c>
      <c r="K341" s="9">
        <f t="shared" si="34"/>
        <v>24.6</v>
      </c>
      <c r="L341" s="1">
        <f t="shared" si="35"/>
        <v>-0.300000000000022</v>
      </c>
    </row>
    <row r="342" s="1" customFormat="1" spans="1:12">
      <c r="A342" s="2">
        <v>11.331</v>
      </c>
      <c r="B342" s="10" t="s">
        <v>295</v>
      </c>
      <c r="C342" s="4">
        <v>11.331</v>
      </c>
      <c r="D342" s="5">
        <v>152.4</v>
      </c>
      <c r="E342" s="4"/>
      <c r="F342" s="4"/>
      <c r="G342" s="2">
        <f t="shared" si="30"/>
        <v>11.298</v>
      </c>
      <c r="H342" s="11" t="str">
        <f t="shared" si="31"/>
        <v>3.597E-2</v>
      </c>
      <c r="I342" s="2">
        <f t="shared" si="32"/>
        <v>154.2</v>
      </c>
      <c r="J342" s="4">
        <f t="shared" si="33"/>
        <v>11.298</v>
      </c>
      <c r="K342" s="9">
        <f t="shared" si="34"/>
        <v>24.5</v>
      </c>
      <c r="L342" s="1">
        <f t="shared" si="35"/>
        <v>-0.300000000000022</v>
      </c>
    </row>
    <row r="343" s="1" customFormat="1" spans="1:12">
      <c r="A343" s="2">
        <v>11.365</v>
      </c>
      <c r="B343" s="10" t="s">
        <v>134</v>
      </c>
      <c r="C343" s="4">
        <v>11.365</v>
      </c>
      <c r="D343" s="5">
        <v>151.4</v>
      </c>
      <c r="E343" s="4"/>
      <c r="F343" s="4"/>
      <c r="G343" s="2">
        <f t="shared" si="30"/>
        <v>11.331</v>
      </c>
      <c r="H343" s="11" t="str">
        <f t="shared" si="31"/>
        <v>3.596E-2</v>
      </c>
      <c r="I343" s="2">
        <f t="shared" si="32"/>
        <v>152.4</v>
      </c>
      <c r="J343" s="4">
        <f t="shared" si="33"/>
        <v>11.331</v>
      </c>
      <c r="K343" s="9">
        <f t="shared" si="34"/>
        <v>24.4</v>
      </c>
      <c r="L343" s="1">
        <f t="shared" si="35"/>
        <v>-0.300000000000022</v>
      </c>
    </row>
    <row r="344" s="1" customFormat="1" spans="1:12">
      <c r="A344" s="2">
        <v>11.398</v>
      </c>
      <c r="B344" s="10" t="s">
        <v>151</v>
      </c>
      <c r="C344" s="4">
        <v>11.398</v>
      </c>
      <c r="D344" s="5">
        <v>150.6</v>
      </c>
      <c r="E344" s="4"/>
      <c r="F344" s="4"/>
      <c r="G344" s="2">
        <f t="shared" si="30"/>
        <v>11.365</v>
      </c>
      <c r="H344" s="11" t="str">
        <f t="shared" si="31"/>
        <v>3.595E-2</v>
      </c>
      <c r="I344" s="2">
        <f t="shared" si="32"/>
        <v>151.4</v>
      </c>
      <c r="J344" s="4">
        <f t="shared" si="33"/>
        <v>11.365</v>
      </c>
      <c r="K344" s="9">
        <f t="shared" si="34"/>
        <v>24.3</v>
      </c>
      <c r="L344" s="1">
        <f t="shared" si="35"/>
        <v>-0.300000000000022</v>
      </c>
    </row>
    <row r="345" s="1" customFormat="1" spans="1:12">
      <c r="A345" s="2">
        <v>11.432</v>
      </c>
      <c r="B345" s="10" t="s">
        <v>280</v>
      </c>
      <c r="C345" s="4">
        <v>11.432</v>
      </c>
      <c r="D345" s="5">
        <v>149.7</v>
      </c>
      <c r="E345" s="4"/>
      <c r="F345" s="4"/>
      <c r="G345" s="2">
        <f t="shared" si="30"/>
        <v>11.398</v>
      </c>
      <c r="H345" s="11" t="str">
        <f t="shared" si="31"/>
        <v>3.594E-2</v>
      </c>
      <c r="I345" s="2">
        <f t="shared" si="32"/>
        <v>150.6</v>
      </c>
      <c r="J345" s="4">
        <f t="shared" si="33"/>
        <v>11.398</v>
      </c>
      <c r="K345" s="9">
        <f t="shared" si="34"/>
        <v>24.2</v>
      </c>
      <c r="L345" s="1">
        <f t="shared" si="35"/>
        <v>-0.300000000000022</v>
      </c>
    </row>
    <row r="346" s="1" customFormat="1" spans="1:12">
      <c r="A346" s="2">
        <v>11.465</v>
      </c>
      <c r="B346" s="10" t="s">
        <v>69</v>
      </c>
      <c r="C346" s="4">
        <v>11.465</v>
      </c>
      <c r="D346" s="5">
        <v>147.6</v>
      </c>
      <c r="E346" s="4"/>
      <c r="F346" s="4"/>
      <c r="G346" s="2">
        <f t="shared" si="30"/>
        <v>11.432</v>
      </c>
      <c r="H346" s="11" t="str">
        <f t="shared" si="31"/>
        <v>3.593E-2</v>
      </c>
      <c r="I346" s="2">
        <f t="shared" si="32"/>
        <v>149.7</v>
      </c>
      <c r="J346" s="4">
        <f t="shared" si="33"/>
        <v>11.432</v>
      </c>
      <c r="K346" s="9">
        <f t="shared" si="34"/>
        <v>24.1</v>
      </c>
      <c r="L346" s="1">
        <f t="shared" si="35"/>
        <v>-0.300000000000022</v>
      </c>
    </row>
    <row r="347" s="1" customFormat="1" spans="1:12">
      <c r="A347" s="2">
        <v>11.499</v>
      </c>
      <c r="B347" s="10" t="s">
        <v>69</v>
      </c>
      <c r="C347" s="4">
        <v>11.499</v>
      </c>
      <c r="D347" s="5">
        <v>147.1</v>
      </c>
      <c r="E347" s="4"/>
      <c r="F347" s="4"/>
      <c r="G347" s="2">
        <f t="shared" si="30"/>
        <v>11.465</v>
      </c>
      <c r="H347" s="11" t="str">
        <f t="shared" si="31"/>
        <v>3.592E-2</v>
      </c>
      <c r="I347" s="2">
        <f t="shared" si="32"/>
        <v>147.6</v>
      </c>
      <c r="J347" s="4">
        <f t="shared" si="33"/>
        <v>11.465</v>
      </c>
      <c r="K347" s="9">
        <f t="shared" si="34"/>
        <v>24</v>
      </c>
      <c r="L347" s="1">
        <f t="shared" si="35"/>
        <v>-0.300000000000022</v>
      </c>
    </row>
    <row r="348" s="1" customFormat="1" spans="1:12">
      <c r="A348" s="2">
        <v>11.532</v>
      </c>
      <c r="B348" s="10" t="s">
        <v>94</v>
      </c>
      <c r="C348" s="4">
        <v>11.532</v>
      </c>
      <c r="D348" s="5">
        <v>146.2</v>
      </c>
      <c r="E348" s="4"/>
      <c r="F348" s="4"/>
      <c r="G348" s="2">
        <f t="shared" si="30"/>
        <v>11.499</v>
      </c>
      <c r="H348" s="11" t="str">
        <f t="shared" si="31"/>
        <v>3.592E-2</v>
      </c>
      <c r="I348" s="2">
        <f t="shared" si="32"/>
        <v>147.1</v>
      </c>
      <c r="J348" s="4">
        <f t="shared" si="33"/>
        <v>11.499</v>
      </c>
      <c r="K348" s="9">
        <f t="shared" si="34"/>
        <v>24</v>
      </c>
      <c r="L348" s="1">
        <f t="shared" si="35"/>
        <v>-0.300000000000022</v>
      </c>
    </row>
    <row r="349" s="1" customFormat="1" spans="1:12">
      <c r="A349" s="2">
        <v>11.565</v>
      </c>
      <c r="B349" s="10" t="s">
        <v>70</v>
      </c>
      <c r="C349" s="4">
        <v>11.565</v>
      </c>
      <c r="D349" s="5">
        <v>144.7</v>
      </c>
      <c r="E349" s="4"/>
      <c r="F349" s="4"/>
      <c r="G349" s="2">
        <f t="shared" si="30"/>
        <v>11.532</v>
      </c>
      <c r="H349" s="11" t="str">
        <f t="shared" si="31"/>
        <v>3.590E-2</v>
      </c>
      <c r="I349" s="2">
        <f t="shared" si="32"/>
        <v>146.2</v>
      </c>
      <c r="J349" s="4">
        <f t="shared" si="33"/>
        <v>11.532</v>
      </c>
      <c r="K349" s="9">
        <f t="shared" si="34"/>
        <v>23.8</v>
      </c>
      <c r="L349" s="1">
        <f t="shared" si="35"/>
        <v>-0.300000000000022</v>
      </c>
    </row>
    <row r="350" s="1" customFormat="1" spans="1:12">
      <c r="A350" s="2">
        <v>11.599</v>
      </c>
      <c r="B350" s="10" t="s">
        <v>70</v>
      </c>
      <c r="C350" s="4">
        <v>11.599</v>
      </c>
      <c r="D350" s="5">
        <v>143.6</v>
      </c>
      <c r="E350" s="4"/>
      <c r="F350" s="4"/>
      <c r="G350" s="2">
        <f t="shared" si="30"/>
        <v>11.565</v>
      </c>
      <c r="H350" s="11" t="str">
        <f t="shared" si="31"/>
        <v>3.589E-2</v>
      </c>
      <c r="I350" s="2">
        <f t="shared" si="32"/>
        <v>144.7</v>
      </c>
      <c r="J350" s="4">
        <f t="shared" si="33"/>
        <v>11.565</v>
      </c>
      <c r="K350" s="9">
        <f t="shared" si="34"/>
        <v>23.7</v>
      </c>
      <c r="L350" s="1">
        <f t="shared" si="35"/>
        <v>-0.300000000000022</v>
      </c>
    </row>
    <row r="351" s="1" customFormat="1" spans="1:12">
      <c r="A351" s="2">
        <v>11.632</v>
      </c>
      <c r="B351" s="10" t="s">
        <v>70</v>
      </c>
      <c r="C351" s="4">
        <v>11.632</v>
      </c>
      <c r="D351" s="5">
        <v>142.4</v>
      </c>
      <c r="E351" s="4"/>
      <c r="F351" s="4"/>
      <c r="G351" s="2">
        <f t="shared" si="30"/>
        <v>11.599</v>
      </c>
      <c r="H351" s="11" t="str">
        <f t="shared" si="31"/>
        <v>3.589E-2</v>
      </c>
      <c r="I351" s="2">
        <f t="shared" si="32"/>
        <v>143.6</v>
      </c>
      <c r="J351" s="4">
        <f t="shared" si="33"/>
        <v>11.599</v>
      </c>
      <c r="K351" s="9">
        <f t="shared" si="34"/>
        <v>23.7</v>
      </c>
      <c r="L351" s="1">
        <f t="shared" si="35"/>
        <v>-0.300000000000022</v>
      </c>
    </row>
    <row r="352" s="1" customFormat="1" spans="1:12">
      <c r="A352" s="2">
        <v>11.666</v>
      </c>
      <c r="B352" s="10" t="s">
        <v>178</v>
      </c>
      <c r="C352" s="4">
        <v>11.666</v>
      </c>
      <c r="D352" s="5">
        <v>141.8</v>
      </c>
      <c r="E352" s="4"/>
      <c r="F352" s="4"/>
      <c r="G352" s="2">
        <f t="shared" si="30"/>
        <v>11.632</v>
      </c>
      <c r="H352" s="11" t="str">
        <f t="shared" si="31"/>
        <v>3.589E-2</v>
      </c>
      <c r="I352" s="2">
        <f t="shared" si="32"/>
        <v>142.4</v>
      </c>
      <c r="J352" s="4">
        <f t="shared" si="33"/>
        <v>11.632</v>
      </c>
      <c r="K352" s="9">
        <f t="shared" si="34"/>
        <v>23.7</v>
      </c>
      <c r="L352" s="1">
        <f t="shared" si="35"/>
        <v>-0.300000000000022</v>
      </c>
    </row>
    <row r="353" s="1" customFormat="1" spans="1:12">
      <c r="A353" s="2">
        <v>11.699</v>
      </c>
      <c r="B353" s="10" t="s">
        <v>178</v>
      </c>
      <c r="C353" s="4">
        <v>11.699</v>
      </c>
      <c r="D353" s="5">
        <v>139.9</v>
      </c>
      <c r="E353" s="4"/>
      <c r="F353" s="4"/>
      <c r="G353" s="2">
        <f t="shared" si="30"/>
        <v>11.666</v>
      </c>
      <c r="H353" s="11" t="str">
        <f t="shared" si="31"/>
        <v>3.588E-2</v>
      </c>
      <c r="I353" s="2">
        <f t="shared" si="32"/>
        <v>141.8</v>
      </c>
      <c r="J353" s="4">
        <f t="shared" si="33"/>
        <v>11.666</v>
      </c>
      <c r="K353" s="9">
        <f t="shared" si="34"/>
        <v>23.6</v>
      </c>
      <c r="L353" s="1">
        <f t="shared" si="35"/>
        <v>-0.300000000000022</v>
      </c>
    </row>
    <row r="354" s="1" customFormat="1" spans="1:12">
      <c r="A354" s="2">
        <v>11.733</v>
      </c>
      <c r="B354" s="10" t="s">
        <v>67</v>
      </c>
      <c r="C354" s="4">
        <v>11.733</v>
      </c>
      <c r="D354" s="5">
        <v>138.5</v>
      </c>
      <c r="E354" s="4"/>
      <c r="F354" s="4"/>
      <c r="G354" s="2">
        <f t="shared" si="30"/>
        <v>11.699</v>
      </c>
      <c r="H354" s="11" t="str">
        <f t="shared" si="31"/>
        <v>3.588E-2</v>
      </c>
      <c r="I354" s="2">
        <f t="shared" si="32"/>
        <v>139.9</v>
      </c>
      <c r="J354" s="4">
        <f t="shared" si="33"/>
        <v>11.699</v>
      </c>
      <c r="K354" s="9">
        <f t="shared" si="34"/>
        <v>23.6</v>
      </c>
      <c r="L354" s="1">
        <f t="shared" si="35"/>
        <v>-0.300000000000022</v>
      </c>
    </row>
    <row r="355" s="1" customFormat="1" spans="1:12">
      <c r="A355" s="2">
        <v>11.766</v>
      </c>
      <c r="B355" s="10" t="s">
        <v>179</v>
      </c>
      <c r="C355" s="4">
        <v>11.766</v>
      </c>
      <c r="D355" s="5">
        <v>138.1</v>
      </c>
      <c r="E355" s="4"/>
      <c r="F355" s="4"/>
      <c r="G355" s="2">
        <f t="shared" si="30"/>
        <v>11.733</v>
      </c>
      <c r="H355" s="11" t="str">
        <f t="shared" si="31"/>
        <v>3.587E-2</v>
      </c>
      <c r="I355" s="2">
        <f t="shared" si="32"/>
        <v>138.5</v>
      </c>
      <c r="J355" s="4">
        <f t="shared" si="33"/>
        <v>11.733</v>
      </c>
      <c r="K355" s="9">
        <f t="shared" si="34"/>
        <v>23.5</v>
      </c>
      <c r="L355" s="1">
        <f t="shared" si="35"/>
        <v>-0.300000000000022</v>
      </c>
    </row>
    <row r="356" s="1" customFormat="1" spans="1:12">
      <c r="A356" s="2">
        <v>11.799</v>
      </c>
      <c r="B356" s="10" t="s">
        <v>180</v>
      </c>
      <c r="C356" s="4">
        <v>11.799</v>
      </c>
      <c r="D356" s="5">
        <v>136.1</v>
      </c>
      <c r="E356" s="4"/>
      <c r="F356" s="4"/>
      <c r="G356" s="2">
        <f t="shared" si="30"/>
        <v>11.766</v>
      </c>
      <c r="H356" s="11" t="str">
        <f t="shared" si="31"/>
        <v>3.586E-2</v>
      </c>
      <c r="I356" s="2">
        <f t="shared" si="32"/>
        <v>138.1</v>
      </c>
      <c r="J356" s="4">
        <f t="shared" si="33"/>
        <v>11.766</v>
      </c>
      <c r="K356" s="9">
        <f t="shared" si="34"/>
        <v>23.4</v>
      </c>
      <c r="L356" s="1">
        <f t="shared" si="35"/>
        <v>-0.300000000000022</v>
      </c>
    </row>
    <row r="357" s="1" customFormat="1" spans="1:12">
      <c r="A357" s="2">
        <v>11.833</v>
      </c>
      <c r="B357" s="10" t="s">
        <v>179</v>
      </c>
      <c r="C357" s="4">
        <v>11.833</v>
      </c>
      <c r="D357" s="5">
        <v>134.9</v>
      </c>
      <c r="E357" s="4"/>
      <c r="F357" s="4"/>
      <c r="G357" s="2">
        <f t="shared" si="30"/>
        <v>11.799</v>
      </c>
      <c r="H357" s="11" t="str">
        <f t="shared" si="31"/>
        <v>3.584E-2</v>
      </c>
      <c r="I357" s="2">
        <f t="shared" si="32"/>
        <v>136.1</v>
      </c>
      <c r="J357" s="4">
        <f t="shared" si="33"/>
        <v>11.799</v>
      </c>
      <c r="K357" s="9">
        <f t="shared" si="34"/>
        <v>23.2</v>
      </c>
      <c r="L357" s="1">
        <f t="shared" si="35"/>
        <v>-0.300000000000022</v>
      </c>
    </row>
    <row r="358" s="1" customFormat="1" spans="1:12">
      <c r="A358" s="2">
        <v>11.866</v>
      </c>
      <c r="B358" s="10" t="s">
        <v>180</v>
      </c>
      <c r="C358" s="4">
        <v>11.866</v>
      </c>
      <c r="D358" s="5">
        <v>134.6</v>
      </c>
      <c r="E358" s="4"/>
      <c r="F358" s="4"/>
      <c r="G358" s="2">
        <f t="shared" si="30"/>
        <v>11.833</v>
      </c>
      <c r="H358" s="11" t="str">
        <f t="shared" si="31"/>
        <v>3.586E-2</v>
      </c>
      <c r="I358" s="2">
        <f t="shared" si="32"/>
        <v>134.9</v>
      </c>
      <c r="J358" s="4">
        <f t="shared" si="33"/>
        <v>11.833</v>
      </c>
      <c r="K358" s="9">
        <f t="shared" si="34"/>
        <v>23.4</v>
      </c>
      <c r="L358" s="1">
        <f t="shared" si="35"/>
        <v>-0.300000000000022</v>
      </c>
    </row>
    <row r="359" s="1" customFormat="1" spans="1:12">
      <c r="A359" s="2">
        <v>11.9</v>
      </c>
      <c r="B359" s="10" t="s">
        <v>180</v>
      </c>
      <c r="C359" s="4">
        <v>11.9</v>
      </c>
      <c r="D359" s="5">
        <v>133.5</v>
      </c>
      <c r="E359" s="4"/>
      <c r="F359" s="4"/>
      <c r="G359" s="2">
        <f t="shared" si="30"/>
        <v>11.866</v>
      </c>
      <c r="H359" s="11" t="str">
        <f t="shared" si="31"/>
        <v>3.584E-2</v>
      </c>
      <c r="I359" s="2">
        <f t="shared" si="32"/>
        <v>134.6</v>
      </c>
      <c r="J359" s="4">
        <f t="shared" si="33"/>
        <v>11.866</v>
      </c>
      <c r="K359" s="9">
        <f t="shared" si="34"/>
        <v>23.2</v>
      </c>
      <c r="L359" s="1">
        <f t="shared" si="35"/>
        <v>-0.300000000000022</v>
      </c>
    </row>
    <row r="360" s="1" customFormat="1" spans="1:12">
      <c r="A360" s="2">
        <v>11.933</v>
      </c>
      <c r="B360" s="10" t="s">
        <v>179</v>
      </c>
      <c r="C360" s="4">
        <v>11.933</v>
      </c>
      <c r="D360" s="5">
        <v>131.5</v>
      </c>
      <c r="E360" s="4"/>
      <c r="F360" s="4"/>
      <c r="G360" s="2">
        <f t="shared" si="30"/>
        <v>11.9</v>
      </c>
      <c r="H360" s="11" t="str">
        <f t="shared" si="31"/>
        <v>3.584E-2</v>
      </c>
      <c r="I360" s="2">
        <f t="shared" si="32"/>
        <v>133.5</v>
      </c>
      <c r="J360" s="4">
        <f t="shared" si="33"/>
        <v>11.9</v>
      </c>
      <c r="K360" s="9">
        <f t="shared" si="34"/>
        <v>23.2</v>
      </c>
      <c r="L360" s="1">
        <f t="shared" si="35"/>
        <v>-0.300000000000022</v>
      </c>
    </row>
    <row r="361" s="1" customFormat="1" spans="1:12">
      <c r="A361" s="2">
        <v>11.967</v>
      </c>
      <c r="B361" s="10" t="s">
        <v>301</v>
      </c>
      <c r="C361" s="4">
        <v>11.967</v>
      </c>
      <c r="D361" s="5">
        <v>130.7</v>
      </c>
      <c r="E361" s="4"/>
      <c r="F361" s="4"/>
      <c r="G361" s="2">
        <f t="shared" si="30"/>
        <v>11.933</v>
      </c>
      <c r="H361" s="11" t="str">
        <f t="shared" si="31"/>
        <v>3.586E-2</v>
      </c>
      <c r="I361" s="2">
        <f t="shared" si="32"/>
        <v>131.5</v>
      </c>
      <c r="J361" s="4">
        <f t="shared" si="33"/>
        <v>11.933</v>
      </c>
      <c r="K361" s="9">
        <f t="shared" si="34"/>
        <v>23.4</v>
      </c>
      <c r="L361" s="1">
        <f t="shared" si="35"/>
        <v>-0.300000000000022</v>
      </c>
    </row>
    <row r="362" s="1" customFormat="1" spans="1:12">
      <c r="A362" s="2">
        <v>12</v>
      </c>
      <c r="B362" s="10" t="s">
        <v>179</v>
      </c>
      <c r="C362" s="4">
        <v>12</v>
      </c>
      <c r="D362" s="5">
        <v>236.4</v>
      </c>
      <c r="E362" s="4"/>
      <c r="F362" s="4"/>
      <c r="G362" s="2">
        <f t="shared" si="30"/>
        <v>11.967</v>
      </c>
      <c r="H362" s="11" t="str">
        <f t="shared" si="31"/>
        <v>3.585E-2</v>
      </c>
      <c r="I362" s="2">
        <f t="shared" si="32"/>
        <v>130.7</v>
      </c>
      <c r="J362" s="4">
        <f t="shared" si="33"/>
        <v>11.967</v>
      </c>
      <c r="K362" s="9">
        <f t="shared" si="34"/>
        <v>23.3</v>
      </c>
      <c r="L362" s="1">
        <f t="shared" si="35"/>
        <v>-0.300000000000022</v>
      </c>
    </row>
    <row r="363" s="1" customFormat="1" spans="1:12">
      <c r="A363" s="2">
        <v>12.033</v>
      </c>
      <c r="B363" s="10" t="s">
        <v>67</v>
      </c>
      <c r="C363" s="4">
        <v>12.033</v>
      </c>
      <c r="D363" s="5">
        <v>253.8</v>
      </c>
      <c r="E363" s="4"/>
      <c r="F363" s="4"/>
      <c r="G363" s="2">
        <f t="shared" si="30"/>
        <v>12</v>
      </c>
      <c r="H363" s="11" t="str">
        <f t="shared" si="31"/>
        <v>3.586E-2</v>
      </c>
      <c r="I363" s="2">
        <f t="shared" si="32"/>
        <v>236.4</v>
      </c>
      <c r="J363" s="4">
        <f t="shared" si="33"/>
        <v>12</v>
      </c>
      <c r="K363" s="9">
        <f t="shared" si="34"/>
        <v>23.4</v>
      </c>
      <c r="L363" s="1">
        <f t="shared" si="35"/>
        <v>28.4</v>
      </c>
    </row>
    <row r="364" s="1" customFormat="1" spans="1:12">
      <c r="A364" s="2">
        <v>12.067</v>
      </c>
      <c r="B364" s="10" t="s">
        <v>67</v>
      </c>
      <c r="C364" s="4">
        <v>12.067</v>
      </c>
      <c r="D364" s="5">
        <v>253.8</v>
      </c>
      <c r="E364" s="4"/>
      <c r="F364" s="4"/>
      <c r="G364" s="2">
        <f t="shared" si="30"/>
        <v>12.033</v>
      </c>
      <c r="H364" s="11" t="str">
        <f t="shared" si="31"/>
        <v>3.587E-2</v>
      </c>
      <c r="I364" s="2">
        <f t="shared" si="32"/>
        <v>253.8</v>
      </c>
      <c r="J364" s="4">
        <f t="shared" si="33"/>
        <v>12.033</v>
      </c>
      <c r="K364" s="9">
        <f t="shared" si="34"/>
        <v>23.5</v>
      </c>
      <c r="L364" s="1">
        <f t="shared" si="35"/>
        <v>28.4</v>
      </c>
    </row>
    <row r="365" s="1" customFormat="1" spans="1:12">
      <c r="A365" s="2">
        <v>12.1</v>
      </c>
      <c r="B365" s="10" t="s">
        <v>94</v>
      </c>
      <c r="C365" s="4">
        <v>12.1</v>
      </c>
      <c r="D365" s="5">
        <v>253.8</v>
      </c>
      <c r="E365" s="4"/>
      <c r="F365" s="4"/>
      <c r="G365" s="2">
        <f t="shared" si="30"/>
        <v>12.067</v>
      </c>
      <c r="H365" s="11" t="str">
        <f t="shared" si="31"/>
        <v>3.587E-2</v>
      </c>
      <c r="I365" s="2">
        <f t="shared" si="32"/>
        <v>253.8</v>
      </c>
      <c r="J365" s="4">
        <f t="shared" si="33"/>
        <v>12.067</v>
      </c>
      <c r="K365" s="9">
        <f t="shared" si="34"/>
        <v>23.5</v>
      </c>
      <c r="L365" s="1">
        <f t="shared" si="35"/>
        <v>28.4</v>
      </c>
    </row>
    <row r="366" s="1" customFormat="1" spans="1:12">
      <c r="A366" s="2">
        <v>12.134</v>
      </c>
      <c r="B366" s="10" t="s">
        <v>94</v>
      </c>
      <c r="C366" s="4">
        <v>12.134</v>
      </c>
      <c r="D366" s="5">
        <v>253.8</v>
      </c>
      <c r="E366" s="4"/>
      <c r="F366" s="4"/>
      <c r="G366" s="2">
        <f t="shared" si="30"/>
        <v>12.1</v>
      </c>
      <c r="H366" s="11" t="str">
        <f t="shared" si="31"/>
        <v>3.590E-2</v>
      </c>
      <c r="I366" s="2">
        <f t="shared" si="32"/>
        <v>253.8</v>
      </c>
      <c r="J366" s="4">
        <f t="shared" si="33"/>
        <v>12.1</v>
      </c>
      <c r="K366" s="9">
        <f t="shared" si="34"/>
        <v>23.8</v>
      </c>
      <c r="L366" s="1">
        <f t="shared" si="35"/>
        <v>28.4</v>
      </c>
    </row>
    <row r="367" s="1" customFormat="1" spans="1:12">
      <c r="A367" s="2">
        <v>12.167</v>
      </c>
      <c r="B367" s="10" t="s">
        <v>94</v>
      </c>
      <c r="C367" s="4">
        <v>12.167</v>
      </c>
      <c r="D367" s="5">
        <v>253.8</v>
      </c>
      <c r="E367" s="4"/>
      <c r="F367" s="4"/>
      <c r="G367" s="2">
        <f t="shared" si="30"/>
        <v>12.134</v>
      </c>
      <c r="H367" s="11" t="str">
        <f t="shared" si="31"/>
        <v>3.590E-2</v>
      </c>
      <c r="I367" s="2">
        <f t="shared" si="32"/>
        <v>253.8</v>
      </c>
      <c r="J367" s="4">
        <f t="shared" si="33"/>
        <v>12.134</v>
      </c>
      <c r="K367" s="9">
        <f t="shared" si="34"/>
        <v>23.8</v>
      </c>
      <c r="L367" s="1">
        <f t="shared" si="35"/>
        <v>28.4</v>
      </c>
    </row>
    <row r="368" s="1" customFormat="1" spans="1:12">
      <c r="A368" s="2">
        <v>12.201</v>
      </c>
      <c r="B368" s="10" t="s">
        <v>69</v>
      </c>
      <c r="C368" s="4">
        <v>12.201</v>
      </c>
      <c r="D368" s="5">
        <v>253.8</v>
      </c>
      <c r="E368" s="4"/>
      <c r="F368" s="4"/>
      <c r="G368" s="2">
        <f t="shared" si="30"/>
        <v>12.167</v>
      </c>
      <c r="H368" s="11" t="str">
        <f t="shared" si="31"/>
        <v>3.590E-2</v>
      </c>
      <c r="I368" s="2">
        <f t="shared" si="32"/>
        <v>253.8</v>
      </c>
      <c r="J368" s="4">
        <f t="shared" si="33"/>
        <v>12.167</v>
      </c>
      <c r="K368" s="9">
        <f t="shared" si="34"/>
        <v>23.8</v>
      </c>
      <c r="L368" s="1">
        <f t="shared" si="35"/>
        <v>28.4</v>
      </c>
    </row>
    <row r="369" s="1" customFormat="1" spans="1:12">
      <c r="A369" s="2">
        <v>12.234</v>
      </c>
      <c r="B369" s="10" t="s">
        <v>68</v>
      </c>
      <c r="C369" s="4">
        <v>12.234</v>
      </c>
      <c r="D369" s="5">
        <v>253.8</v>
      </c>
      <c r="E369" s="4"/>
      <c r="F369" s="4"/>
      <c r="G369" s="2">
        <f t="shared" si="30"/>
        <v>12.201</v>
      </c>
      <c r="H369" s="11" t="str">
        <f t="shared" si="31"/>
        <v>3.592E-2</v>
      </c>
      <c r="I369" s="2">
        <f t="shared" si="32"/>
        <v>253.8</v>
      </c>
      <c r="J369" s="4">
        <f t="shared" si="33"/>
        <v>12.201</v>
      </c>
      <c r="K369" s="9">
        <f t="shared" si="34"/>
        <v>24</v>
      </c>
      <c r="L369" s="1">
        <f t="shared" si="35"/>
        <v>28.4</v>
      </c>
    </row>
    <row r="370" s="1" customFormat="1" spans="1:12">
      <c r="A370" s="2">
        <v>12.267</v>
      </c>
      <c r="B370" s="10" t="s">
        <v>280</v>
      </c>
      <c r="C370" s="4">
        <v>12.267</v>
      </c>
      <c r="D370" s="5">
        <v>253.8</v>
      </c>
      <c r="E370" s="4"/>
      <c r="F370" s="4"/>
      <c r="G370" s="2">
        <f t="shared" si="30"/>
        <v>12.234</v>
      </c>
      <c r="H370" s="11" t="str">
        <f t="shared" si="31"/>
        <v>3.591E-2</v>
      </c>
      <c r="I370" s="2">
        <f t="shared" si="32"/>
        <v>253.8</v>
      </c>
      <c r="J370" s="4">
        <f t="shared" si="33"/>
        <v>12.234</v>
      </c>
      <c r="K370" s="9">
        <f t="shared" si="34"/>
        <v>23.9</v>
      </c>
      <c r="L370" s="1">
        <f t="shared" si="35"/>
        <v>28.4</v>
      </c>
    </row>
    <row r="371" s="1" customFormat="1" spans="1:12">
      <c r="A371" s="2">
        <v>12.301</v>
      </c>
      <c r="B371" s="10" t="s">
        <v>280</v>
      </c>
      <c r="C371" s="4">
        <v>12.301</v>
      </c>
      <c r="D371" s="5">
        <v>253.8</v>
      </c>
      <c r="E371" s="4"/>
      <c r="F371" s="4"/>
      <c r="G371" s="2">
        <f t="shared" si="30"/>
        <v>12.267</v>
      </c>
      <c r="H371" s="11" t="str">
        <f t="shared" si="31"/>
        <v>3.593E-2</v>
      </c>
      <c r="I371" s="2">
        <f t="shared" si="32"/>
        <v>253.8</v>
      </c>
      <c r="J371" s="4">
        <f t="shared" si="33"/>
        <v>12.267</v>
      </c>
      <c r="K371" s="9">
        <f t="shared" si="34"/>
        <v>24.1</v>
      </c>
      <c r="L371" s="1">
        <f t="shared" si="35"/>
        <v>28.4</v>
      </c>
    </row>
    <row r="372" s="1" customFormat="1" spans="1:12">
      <c r="A372" s="2">
        <v>12.334</v>
      </c>
      <c r="B372" s="10" t="s">
        <v>151</v>
      </c>
      <c r="C372" s="4">
        <v>12.334</v>
      </c>
      <c r="D372" s="5">
        <v>253.8</v>
      </c>
      <c r="E372" s="4"/>
      <c r="F372" s="4"/>
      <c r="G372" s="2">
        <f t="shared" si="30"/>
        <v>12.301</v>
      </c>
      <c r="H372" s="11" t="str">
        <f t="shared" si="31"/>
        <v>3.593E-2</v>
      </c>
      <c r="I372" s="2">
        <f t="shared" si="32"/>
        <v>253.8</v>
      </c>
      <c r="J372" s="4">
        <f t="shared" si="33"/>
        <v>12.301</v>
      </c>
      <c r="K372" s="9">
        <f t="shared" si="34"/>
        <v>24.1</v>
      </c>
      <c r="L372" s="1">
        <f t="shared" si="35"/>
        <v>28.4</v>
      </c>
    </row>
    <row r="373" s="1" customFormat="1" spans="1:12">
      <c r="A373" s="2">
        <v>12.368</v>
      </c>
      <c r="B373" s="10" t="s">
        <v>151</v>
      </c>
      <c r="C373" s="4">
        <v>12.368</v>
      </c>
      <c r="D373" s="5">
        <v>253.8</v>
      </c>
      <c r="E373" s="4"/>
      <c r="F373" s="4"/>
      <c r="G373" s="2">
        <f t="shared" si="30"/>
        <v>12.334</v>
      </c>
      <c r="H373" s="11" t="str">
        <f t="shared" si="31"/>
        <v>3.594E-2</v>
      </c>
      <c r="I373" s="2">
        <f t="shared" si="32"/>
        <v>253.8</v>
      </c>
      <c r="J373" s="4">
        <f t="shared" si="33"/>
        <v>12.334</v>
      </c>
      <c r="K373" s="9">
        <f t="shared" si="34"/>
        <v>24.2</v>
      </c>
      <c r="L373" s="1">
        <f t="shared" si="35"/>
        <v>28.4</v>
      </c>
    </row>
    <row r="374" s="1" customFormat="1" spans="1:12">
      <c r="A374" s="2">
        <v>12.401</v>
      </c>
      <c r="B374" s="10" t="s">
        <v>151</v>
      </c>
      <c r="C374" s="4">
        <v>12.401</v>
      </c>
      <c r="D374" s="5">
        <v>253.8</v>
      </c>
      <c r="E374" s="4"/>
      <c r="F374" s="4"/>
      <c r="G374" s="2">
        <f t="shared" si="30"/>
        <v>12.368</v>
      </c>
      <c r="H374" s="11" t="str">
        <f t="shared" si="31"/>
        <v>3.594E-2</v>
      </c>
      <c r="I374" s="2">
        <f t="shared" si="32"/>
        <v>253.8</v>
      </c>
      <c r="J374" s="4">
        <f t="shared" si="33"/>
        <v>12.368</v>
      </c>
      <c r="K374" s="9">
        <f t="shared" si="34"/>
        <v>24.2</v>
      </c>
      <c r="L374" s="1">
        <f t="shared" si="35"/>
        <v>28.4</v>
      </c>
    </row>
    <row r="375" s="1" customFormat="1" spans="1:12">
      <c r="A375" s="2">
        <v>12.435</v>
      </c>
      <c r="B375" s="10" t="s">
        <v>134</v>
      </c>
      <c r="C375" s="4">
        <v>12.435</v>
      </c>
      <c r="D375" s="5">
        <v>253.8</v>
      </c>
      <c r="E375" s="4"/>
      <c r="F375" s="4"/>
      <c r="G375" s="2">
        <f t="shared" si="30"/>
        <v>12.401</v>
      </c>
      <c r="H375" s="11" t="str">
        <f t="shared" si="31"/>
        <v>3.594E-2</v>
      </c>
      <c r="I375" s="2">
        <f t="shared" si="32"/>
        <v>253.8</v>
      </c>
      <c r="J375" s="4">
        <f t="shared" si="33"/>
        <v>12.401</v>
      </c>
      <c r="K375" s="9">
        <f t="shared" si="34"/>
        <v>24.2</v>
      </c>
      <c r="L375" s="1">
        <f t="shared" si="35"/>
        <v>28.4</v>
      </c>
    </row>
    <row r="376" s="1" customFormat="1" spans="1:12">
      <c r="A376" s="2">
        <v>12.468</v>
      </c>
      <c r="B376" s="10" t="s">
        <v>134</v>
      </c>
      <c r="C376" s="4">
        <v>12.468</v>
      </c>
      <c r="D376" s="5">
        <v>253.8</v>
      </c>
      <c r="E376" s="4"/>
      <c r="F376" s="4"/>
      <c r="G376" s="2">
        <f t="shared" si="30"/>
        <v>12.435</v>
      </c>
      <c r="H376" s="11" t="str">
        <f t="shared" si="31"/>
        <v>3.595E-2</v>
      </c>
      <c r="I376" s="2">
        <f t="shared" si="32"/>
        <v>253.8</v>
      </c>
      <c r="J376" s="4">
        <f t="shared" si="33"/>
        <v>12.435</v>
      </c>
      <c r="K376" s="9">
        <f t="shared" si="34"/>
        <v>24.3</v>
      </c>
      <c r="L376" s="1">
        <f t="shared" si="35"/>
        <v>28.4</v>
      </c>
    </row>
    <row r="377" s="1" customFormat="1" spans="1:12">
      <c r="A377" s="2">
        <v>12.501</v>
      </c>
      <c r="B377" s="10" t="s">
        <v>292</v>
      </c>
      <c r="C377" s="4">
        <v>12.501</v>
      </c>
      <c r="D377" s="5">
        <v>253.8</v>
      </c>
      <c r="E377" s="4"/>
      <c r="F377" s="4"/>
      <c r="G377" s="2">
        <f t="shared" si="30"/>
        <v>12.468</v>
      </c>
      <c r="H377" s="11" t="str">
        <f t="shared" si="31"/>
        <v>3.595E-2</v>
      </c>
      <c r="I377" s="2">
        <f t="shared" si="32"/>
        <v>253.8</v>
      </c>
      <c r="J377" s="4">
        <f t="shared" si="33"/>
        <v>12.468</v>
      </c>
      <c r="K377" s="9">
        <f t="shared" si="34"/>
        <v>24.3</v>
      </c>
      <c r="L377" s="1">
        <f t="shared" si="35"/>
        <v>28.4</v>
      </c>
    </row>
    <row r="378" s="1" customFormat="1" spans="1:12">
      <c r="A378" s="2">
        <v>12.535</v>
      </c>
      <c r="B378" s="10" t="s">
        <v>318</v>
      </c>
      <c r="C378" s="4">
        <v>12.535</v>
      </c>
      <c r="D378" s="5">
        <v>253.8</v>
      </c>
      <c r="E378" s="4"/>
      <c r="F378" s="4"/>
      <c r="G378" s="2">
        <f t="shared" si="30"/>
        <v>12.501</v>
      </c>
      <c r="H378" s="11" t="str">
        <f t="shared" si="31"/>
        <v>3.597E-2</v>
      </c>
      <c r="I378" s="2">
        <f t="shared" si="32"/>
        <v>253.8</v>
      </c>
      <c r="J378" s="4">
        <f t="shared" si="33"/>
        <v>12.501</v>
      </c>
      <c r="K378" s="9">
        <f t="shared" si="34"/>
        <v>24.5</v>
      </c>
      <c r="L378" s="1">
        <f t="shared" si="35"/>
        <v>28.4</v>
      </c>
    </row>
    <row r="379" s="1" customFormat="1" spans="1:12">
      <c r="A379" s="2">
        <v>12.568</v>
      </c>
      <c r="B379" s="10" t="s">
        <v>304</v>
      </c>
      <c r="C379" s="4">
        <v>12.568</v>
      </c>
      <c r="D379" s="5">
        <v>253.8</v>
      </c>
      <c r="E379" s="4"/>
      <c r="F379" s="4"/>
      <c r="G379" s="2">
        <f t="shared" si="30"/>
        <v>12.535</v>
      </c>
      <c r="H379" s="11" t="str">
        <f t="shared" si="31"/>
        <v>3.599E-2</v>
      </c>
      <c r="I379" s="2">
        <f t="shared" si="32"/>
        <v>253.8</v>
      </c>
      <c r="J379" s="4">
        <f t="shared" si="33"/>
        <v>12.535</v>
      </c>
      <c r="K379" s="9">
        <f t="shared" si="34"/>
        <v>24.7</v>
      </c>
      <c r="L379" s="1">
        <f t="shared" si="35"/>
        <v>28.4</v>
      </c>
    </row>
    <row r="380" s="1" customFormat="1" spans="1:12">
      <c r="A380" s="2">
        <v>12.602</v>
      </c>
      <c r="B380" s="10" t="s">
        <v>318</v>
      </c>
      <c r="C380" s="4">
        <v>12.602</v>
      </c>
      <c r="D380" s="5">
        <v>253.8</v>
      </c>
      <c r="E380" s="4"/>
      <c r="F380" s="4"/>
      <c r="G380" s="2">
        <f t="shared" si="30"/>
        <v>12.568</v>
      </c>
      <c r="H380" s="11" t="str">
        <f t="shared" si="31"/>
        <v>3.598E-2</v>
      </c>
      <c r="I380" s="2">
        <f t="shared" si="32"/>
        <v>253.8</v>
      </c>
      <c r="J380" s="4">
        <f t="shared" si="33"/>
        <v>12.568</v>
      </c>
      <c r="K380" s="9">
        <f t="shared" si="34"/>
        <v>24.6</v>
      </c>
      <c r="L380" s="1">
        <f t="shared" si="35"/>
        <v>28.4</v>
      </c>
    </row>
    <row r="381" s="1" customFormat="1" spans="1:12">
      <c r="A381" s="2">
        <v>12.635</v>
      </c>
      <c r="B381" s="10" t="s">
        <v>318</v>
      </c>
      <c r="C381" s="4">
        <v>12.635</v>
      </c>
      <c r="D381" s="5">
        <v>253.8</v>
      </c>
      <c r="E381" s="4"/>
      <c r="F381" s="4"/>
      <c r="G381" s="2">
        <f t="shared" si="30"/>
        <v>12.602</v>
      </c>
      <c r="H381" s="11" t="str">
        <f t="shared" si="31"/>
        <v>3.599E-2</v>
      </c>
      <c r="I381" s="2">
        <f t="shared" si="32"/>
        <v>253.8</v>
      </c>
      <c r="J381" s="4">
        <f t="shared" si="33"/>
        <v>12.602</v>
      </c>
      <c r="K381" s="9">
        <f t="shared" si="34"/>
        <v>24.7</v>
      </c>
      <c r="L381" s="1">
        <f t="shared" si="35"/>
        <v>28.4</v>
      </c>
    </row>
    <row r="382" s="1" customFormat="1" spans="1:12">
      <c r="A382" s="2">
        <v>12.669</v>
      </c>
      <c r="B382" s="10" t="s">
        <v>318</v>
      </c>
      <c r="C382" s="4">
        <v>12.669</v>
      </c>
      <c r="D382" s="5">
        <v>253.8</v>
      </c>
      <c r="E382" s="4"/>
      <c r="F382" s="4"/>
      <c r="G382" s="2">
        <f t="shared" si="30"/>
        <v>12.635</v>
      </c>
      <c r="H382" s="11" t="str">
        <f t="shared" si="31"/>
        <v>3.599E-2</v>
      </c>
      <c r="I382" s="2">
        <f t="shared" si="32"/>
        <v>253.8</v>
      </c>
      <c r="J382" s="4">
        <f t="shared" si="33"/>
        <v>12.635</v>
      </c>
      <c r="K382" s="9">
        <f t="shared" si="34"/>
        <v>24.7</v>
      </c>
      <c r="L382" s="1">
        <f t="shared" si="35"/>
        <v>28.4</v>
      </c>
    </row>
    <row r="383" s="1" customFormat="1" spans="1:12">
      <c r="A383" s="2">
        <v>12.702</v>
      </c>
      <c r="B383" s="10" t="s">
        <v>285</v>
      </c>
      <c r="C383" s="4">
        <v>12.702</v>
      </c>
      <c r="D383" s="5">
        <v>253.8</v>
      </c>
      <c r="E383" s="4"/>
      <c r="F383" s="4"/>
      <c r="G383" s="2">
        <f t="shared" si="30"/>
        <v>12.669</v>
      </c>
      <c r="H383" s="11" t="str">
        <f t="shared" si="31"/>
        <v>3.599E-2</v>
      </c>
      <c r="I383" s="2">
        <f t="shared" si="32"/>
        <v>253.8</v>
      </c>
      <c r="J383" s="4">
        <f t="shared" si="33"/>
        <v>12.669</v>
      </c>
      <c r="K383" s="9">
        <f t="shared" si="34"/>
        <v>24.7</v>
      </c>
      <c r="L383" s="1">
        <f t="shared" si="35"/>
        <v>28.4</v>
      </c>
    </row>
    <row r="384" s="1" customFormat="1" spans="1:12">
      <c r="A384" s="2">
        <v>12.735</v>
      </c>
      <c r="B384" s="10" t="s">
        <v>287</v>
      </c>
      <c r="C384" s="4">
        <v>12.735</v>
      </c>
      <c r="D384" s="5">
        <v>253.8</v>
      </c>
      <c r="E384" s="4"/>
      <c r="F384" s="4"/>
      <c r="G384" s="2">
        <f t="shared" si="30"/>
        <v>12.702</v>
      </c>
      <c r="H384" s="11" t="str">
        <f t="shared" si="31"/>
        <v>3.600E-2</v>
      </c>
      <c r="I384" s="2">
        <f t="shared" si="32"/>
        <v>253.8</v>
      </c>
      <c r="J384" s="4">
        <f t="shared" si="33"/>
        <v>12.702</v>
      </c>
      <c r="K384" s="9">
        <f t="shared" si="34"/>
        <v>24.8</v>
      </c>
      <c r="L384" s="1">
        <f t="shared" si="35"/>
        <v>28.4</v>
      </c>
    </row>
    <row r="385" s="1" customFormat="1" spans="1:12">
      <c r="A385" s="2">
        <v>12.769</v>
      </c>
      <c r="B385" s="10" t="s">
        <v>287</v>
      </c>
      <c r="C385" s="4">
        <v>12.769</v>
      </c>
      <c r="D385" s="5">
        <v>253.8</v>
      </c>
      <c r="E385" s="4"/>
      <c r="F385" s="4"/>
      <c r="G385" s="2">
        <f t="shared" si="30"/>
        <v>12.735</v>
      </c>
      <c r="H385" s="11" t="str">
        <f t="shared" si="31"/>
        <v>3.601E-2</v>
      </c>
      <c r="I385" s="2">
        <f t="shared" si="32"/>
        <v>253.8</v>
      </c>
      <c r="J385" s="4">
        <f t="shared" si="33"/>
        <v>12.735</v>
      </c>
      <c r="K385" s="9">
        <f t="shared" si="34"/>
        <v>24.9</v>
      </c>
      <c r="L385" s="1">
        <f t="shared" si="35"/>
        <v>28.4</v>
      </c>
    </row>
    <row r="386" s="1" customFormat="1" spans="1:12">
      <c r="A386" s="2">
        <v>12.802</v>
      </c>
      <c r="B386" s="10" t="s">
        <v>152</v>
      </c>
      <c r="C386" s="4">
        <v>12.802</v>
      </c>
      <c r="D386" s="5">
        <v>253.8</v>
      </c>
      <c r="E386" s="4"/>
      <c r="F386" s="4"/>
      <c r="G386" s="2">
        <f t="shared" si="30"/>
        <v>12.769</v>
      </c>
      <c r="H386" s="11" t="str">
        <f t="shared" si="31"/>
        <v>3.601E-2</v>
      </c>
      <c r="I386" s="2">
        <f t="shared" si="32"/>
        <v>253.8</v>
      </c>
      <c r="J386" s="4">
        <f t="shared" si="33"/>
        <v>12.769</v>
      </c>
      <c r="K386" s="9">
        <f t="shared" si="34"/>
        <v>24.9</v>
      </c>
      <c r="L386" s="1">
        <f t="shared" si="35"/>
        <v>28.4</v>
      </c>
    </row>
    <row r="387" s="1" customFormat="1" spans="1:12">
      <c r="A387" s="2">
        <v>12.836</v>
      </c>
      <c r="B387" s="10" t="s">
        <v>152</v>
      </c>
      <c r="C387" s="4">
        <v>12.836</v>
      </c>
      <c r="D387" s="5">
        <v>249.1</v>
      </c>
      <c r="E387" s="4"/>
      <c r="F387" s="4"/>
      <c r="G387" s="2">
        <f t="shared" si="30"/>
        <v>12.802</v>
      </c>
      <c r="H387" s="11" t="str">
        <f t="shared" si="31"/>
        <v>3.603E-2</v>
      </c>
      <c r="I387" s="2">
        <f t="shared" si="32"/>
        <v>253.8</v>
      </c>
      <c r="J387" s="4">
        <f t="shared" si="33"/>
        <v>12.802</v>
      </c>
      <c r="K387" s="9">
        <f t="shared" si="34"/>
        <v>25.1</v>
      </c>
      <c r="L387" s="1">
        <f t="shared" si="35"/>
        <v>28.4</v>
      </c>
    </row>
    <row r="388" s="1" customFormat="1" spans="1:12">
      <c r="A388" s="2">
        <v>12.869</v>
      </c>
      <c r="B388" s="10" t="s">
        <v>281</v>
      </c>
      <c r="C388" s="4">
        <v>12.869</v>
      </c>
      <c r="D388" s="5">
        <v>144.9</v>
      </c>
      <c r="E388" s="4"/>
      <c r="F388" s="4"/>
      <c r="G388" s="2">
        <f t="shared" ref="G388:G451" si="36">A387</f>
        <v>12.836</v>
      </c>
      <c r="H388" s="11" t="str">
        <f t="shared" ref="H388:H451" si="37">B387</f>
        <v>3.603E-2</v>
      </c>
      <c r="I388" s="2">
        <f t="shared" ref="I388:I451" si="38">D387</f>
        <v>249.1</v>
      </c>
      <c r="J388" s="4">
        <f t="shared" ref="J388:J451" si="39">G388</f>
        <v>12.836</v>
      </c>
      <c r="K388" s="9">
        <f t="shared" ref="K388:K451" si="40">(H388-$H$4)*10000</f>
        <v>25.1</v>
      </c>
      <c r="L388" s="1">
        <f t="shared" si="35"/>
        <v>28.4</v>
      </c>
    </row>
    <row r="389" s="1" customFormat="1" spans="1:12">
      <c r="A389" s="2">
        <v>12.903</v>
      </c>
      <c r="B389" s="10" t="s">
        <v>316</v>
      </c>
      <c r="C389" s="4">
        <v>12.903</v>
      </c>
      <c r="D389" s="5">
        <v>163.1</v>
      </c>
      <c r="E389" s="4"/>
      <c r="F389" s="4"/>
      <c r="G389" s="2">
        <f t="shared" si="36"/>
        <v>12.869</v>
      </c>
      <c r="H389" s="11" t="str">
        <f t="shared" si="37"/>
        <v>3.604E-2</v>
      </c>
      <c r="I389" s="2">
        <f t="shared" si="38"/>
        <v>144.9</v>
      </c>
      <c r="J389" s="4">
        <f t="shared" si="39"/>
        <v>12.869</v>
      </c>
      <c r="K389" s="9">
        <f t="shared" si="40"/>
        <v>25.2</v>
      </c>
      <c r="L389" s="1">
        <f t="shared" ref="L389:L452" si="41">IF(I389&lt;230,MIN(K:K),MAX(K:K))</f>
        <v>-0.300000000000022</v>
      </c>
    </row>
    <row r="390" s="1" customFormat="1" spans="1:12">
      <c r="A390" s="2">
        <v>12.936</v>
      </c>
      <c r="B390" s="10" t="s">
        <v>316</v>
      </c>
      <c r="C390" s="4">
        <v>12.936</v>
      </c>
      <c r="D390" s="5">
        <v>161.8</v>
      </c>
      <c r="E390" s="4"/>
      <c r="F390" s="4"/>
      <c r="G390" s="2">
        <f t="shared" si="36"/>
        <v>12.903</v>
      </c>
      <c r="H390" s="11" t="str">
        <f t="shared" si="37"/>
        <v>3.602E-2</v>
      </c>
      <c r="I390" s="2">
        <f t="shared" si="38"/>
        <v>163.1</v>
      </c>
      <c r="J390" s="4">
        <f t="shared" si="39"/>
        <v>12.903</v>
      </c>
      <c r="K390" s="9">
        <f t="shared" si="40"/>
        <v>25</v>
      </c>
      <c r="L390" s="1">
        <f t="shared" si="41"/>
        <v>-0.300000000000022</v>
      </c>
    </row>
    <row r="391" s="1" customFormat="1" spans="1:12">
      <c r="A391" s="2">
        <v>12.969</v>
      </c>
      <c r="B391" s="10" t="s">
        <v>281</v>
      </c>
      <c r="C391" s="4">
        <v>12.969</v>
      </c>
      <c r="D391" s="5">
        <v>160.8</v>
      </c>
      <c r="E391" s="4"/>
      <c r="F391" s="4"/>
      <c r="G391" s="2">
        <f t="shared" si="36"/>
        <v>12.936</v>
      </c>
      <c r="H391" s="11" t="str">
        <f t="shared" si="37"/>
        <v>3.602E-2</v>
      </c>
      <c r="I391" s="2">
        <f t="shared" si="38"/>
        <v>161.8</v>
      </c>
      <c r="J391" s="4">
        <f t="shared" si="39"/>
        <v>12.936</v>
      </c>
      <c r="K391" s="9">
        <f t="shared" si="40"/>
        <v>25</v>
      </c>
      <c r="L391" s="1">
        <f t="shared" si="41"/>
        <v>-0.300000000000022</v>
      </c>
    </row>
    <row r="392" s="1" customFormat="1" spans="1:12">
      <c r="A392" s="2">
        <v>13.003</v>
      </c>
      <c r="B392" s="10" t="s">
        <v>152</v>
      </c>
      <c r="C392" s="4">
        <v>13.003</v>
      </c>
      <c r="D392" s="5">
        <v>159.7</v>
      </c>
      <c r="E392" s="4"/>
      <c r="F392" s="4"/>
      <c r="G392" s="2">
        <f t="shared" si="36"/>
        <v>12.969</v>
      </c>
      <c r="H392" s="11" t="str">
        <f t="shared" si="37"/>
        <v>3.604E-2</v>
      </c>
      <c r="I392" s="2">
        <f t="shared" si="38"/>
        <v>160.8</v>
      </c>
      <c r="J392" s="4">
        <f t="shared" si="39"/>
        <v>12.969</v>
      </c>
      <c r="K392" s="9">
        <f t="shared" si="40"/>
        <v>25.2</v>
      </c>
      <c r="L392" s="1">
        <f t="shared" si="41"/>
        <v>-0.300000000000022</v>
      </c>
    </row>
    <row r="393" s="1" customFormat="1" spans="1:12">
      <c r="A393" s="2">
        <v>13.036</v>
      </c>
      <c r="B393" s="10" t="s">
        <v>152</v>
      </c>
      <c r="C393" s="4">
        <v>13.036</v>
      </c>
      <c r="D393" s="5">
        <v>159</v>
      </c>
      <c r="E393" s="4"/>
      <c r="F393" s="4"/>
      <c r="G393" s="2">
        <f t="shared" si="36"/>
        <v>13.003</v>
      </c>
      <c r="H393" s="11" t="str">
        <f t="shared" si="37"/>
        <v>3.603E-2</v>
      </c>
      <c r="I393" s="2">
        <f t="shared" si="38"/>
        <v>159.7</v>
      </c>
      <c r="J393" s="4">
        <f t="shared" si="39"/>
        <v>13.003</v>
      </c>
      <c r="K393" s="9">
        <f t="shared" si="40"/>
        <v>25.1</v>
      </c>
      <c r="L393" s="1">
        <f t="shared" si="41"/>
        <v>-0.300000000000022</v>
      </c>
    </row>
    <row r="394" s="1" customFormat="1" spans="1:12">
      <c r="A394" s="2">
        <v>13.07</v>
      </c>
      <c r="B394" s="10" t="s">
        <v>287</v>
      </c>
      <c r="C394" s="4">
        <v>13.07</v>
      </c>
      <c r="D394" s="5">
        <v>158</v>
      </c>
      <c r="E394" s="4"/>
      <c r="F394" s="4"/>
      <c r="G394" s="2">
        <f t="shared" si="36"/>
        <v>13.036</v>
      </c>
      <c r="H394" s="11" t="str">
        <f t="shared" si="37"/>
        <v>3.603E-2</v>
      </c>
      <c r="I394" s="2">
        <f t="shared" si="38"/>
        <v>159</v>
      </c>
      <c r="J394" s="4">
        <f t="shared" si="39"/>
        <v>13.036</v>
      </c>
      <c r="K394" s="9">
        <f t="shared" si="40"/>
        <v>25.1</v>
      </c>
      <c r="L394" s="1">
        <f t="shared" si="41"/>
        <v>-0.300000000000022</v>
      </c>
    </row>
    <row r="395" s="1" customFormat="1" spans="1:12">
      <c r="A395" s="2">
        <v>13.103</v>
      </c>
      <c r="B395" s="10" t="s">
        <v>316</v>
      </c>
      <c r="C395" s="4">
        <v>13.103</v>
      </c>
      <c r="D395" s="5">
        <v>156.7</v>
      </c>
      <c r="E395" s="4"/>
      <c r="F395" s="4"/>
      <c r="G395" s="2">
        <f t="shared" si="36"/>
        <v>13.07</v>
      </c>
      <c r="H395" s="11" t="str">
        <f t="shared" si="37"/>
        <v>3.601E-2</v>
      </c>
      <c r="I395" s="2">
        <f t="shared" si="38"/>
        <v>158</v>
      </c>
      <c r="J395" s="4">
        <f t="shared" si="39"/>
        <v>13.07</v>
      </c>
      <c r="K395" s="9">
        <f t="shared" si="40"/>
        <v>24.9</v>
      </c>
      <c r="L395" s="1">
        <f t="shared" si="41"/>
        <v>-0.300000000000022</v>
      </c>
    </row>
    <row r="396" s="1" customFormat="1" spans="1:12">
      <c r="A396" s="2">
        <v>13.137</v>
      </c>
      <c r="B396" s="10" t="s">
        <v>287</v>
      </c>
      <c r="C396" s="4">
        <v>13.137</v>
      </c>
      <c r="D396" s="5">
        <v>156.8</v>
      </c>
      <c r="E396" s="4"/>
      <c r="F396" s="4"/>
      <c r="G396" s="2">
        <f t="shared" si="36"/>
        <v>13.103</v>
      </c>
      <c r="H396" s="11" t="str">
        <f t="shared" si="37"/>
        <v>3.602E-2</v>
      </c>
      <c r="I396" s="2">
        <f t="shared" si="38"/>
        <v>156.7</v>
      </c>
      <c r="J396" s="4">
        <f t="shared" si="39"/>
        <v>13.103</v>
      </c>
      <c r="K396" s="9">
        <f t="shared" si="40"/>
        <v>25</v>
      </c>
      <c r="L396" s="1">
        <f t="shared" si="41"/>
        <v>-0.300000000000022</v>
      </c>
    </row>
    <row r="397" s="1" customFormat="1" spans="1:12">
      <c r="A397" s="2">
        <v>13.17</v>
      </c>
      <c r="B397" s="10" t="s">
        <v>318</v>
      </c>
      <c r="C397" s="4">
        <v>13.17</v>
      </c>
      <c r="D397" s="5">
        <v>154.8</v>
      </c>
      <c r="E397" s="4"/>
      <c r="F397" s="4"/>
      <c r="G397" s="2">
        <f t="shared" si="36"/>
        <v>13.137</v>
      </c>
      <c r="H397" s="11" t="str">
        <f t="shared" si="37"/>
        <v>3.601E-2</v>
      </c>
      <c r="I397" s="2">
        <f t="shared" si="38"/>
        <v>156.8</v>
      </c>
      <c r="J397" s="4">
        <f t="shared" si="39"/>
        <v>13.137</v>
      </c>
      <c r="K397" s="9">
        <f t="shared" si="40"/>
        <v>24.9</v>
      </c>
      <c r="L397" s="1">
        <f t="shared" si="41"/>
        <v>-0.300000000000022</v>
      </c>
    </row>
    <row r="398" s="1" customFormat="1" spans="1:12">
      <c r="A398" s="2">
        <v>13.203</v>
      </c>
      <c r="B398" s="10" t="s">
        <v>318</v>
      </c>
      <c r="C398" s="4">
        <v>13.203</v>
      </c>
      <c r="D398" s="5">
        <v>154.1</v>
      </c>
      <c r="E398" s="4"/>
      <c r="F398" s="4"/>
      <c r="G398" s="2">
        <f t="shared" si="36"/>
        <v>13.17</v>
      </c>
      <c r="H398" s="11" t="str">
        <f t="shared" si="37"/>
        <v>3.599E-2</v>
      </c>
      <c r="I398" s="2">
        <f t="shared" si="38"/>
        <v>154.8</v>
      </c>
      <c r="J398" s="4">
        <f t="shared" si="39"/>
        <v>13.17</v>
      </c>
      <c r="K398" s="9">
        <f t="shared" si="40"/>
        <v>24.7</v>
      </c>
      <c r="L398" s="1">
        <f t="shared" si="41"/>
        <v>-0.300000000000022</v>
      </c>
    </row>
    <row r="399" s="1" customFormat="1" spans="1:12">
      <c r="A399" s="2">
        <v>13.237</v>
      </c>
      <c r="B399" s="10" t="s">
        <v>292</v>
      </c>
      <c r="C399" s="4">
        <v>13.237</v>
      </c>
      <c r="D399" s="5">
        <v>153.6</v>
      </c>
      <c r="E399" s="4"/>
      <c r="F399" s="4"/>
      <c r="G399" s="2">
        <f t="shared" si="36"/>
        <v>13.203</v>
      </c>
      <c r="H399" s="11" t="str">
        <f t="shared" si="37"/>
        <v>3.599E-2</v>
      </c>
      <c r="I399" s="2">
        <f t="shared" si="38"/>
        <v>154.1</v>
      </c>
      <c r="J399" s="4">
        <f t="shared" si="39"/>
        <v>13.203</v>
      </c>
      <c r="K399" s="9">
        <f t="shared" si="40"/>
        <v>24.7</v>
      </c>
      <c r="L399" s="1">
        <f t="shared" si="41"/>
        <v>-0.300000000000022</v>
      </c>
    </row>
    <row r="400" s="1" customFormat="1" spans="1:12">
      <c r="A400" s="2">
        <v>13.27</v>
      </c>
      <c r="B400" s="10" t="s">
        <v>304</v>
      </c>
      <c r="C400" s="4">
        <v>13.27</v>
      </c>
      <c r="D400" s="5">
        <v>153</v>
      </c>
      <c r="E400" s="4"/>
      <c r="F400" s="4"/>
      <c r="G400" s="2">
        <f t="shared" si="36"/>
        <v>13.237</v>
      </c>
      <c r="H400" s="11" t="str">
        <f t="shared" si="37"/>
        <v>3.597E-2</v>
      </c>
      <c r="I400" s="2">
        <f t="shared" si="38"/>
        <v>153.6</v>
      </c>
      <c r="J400" s="4">
        <f t="shared" si="39"/>
        <v>13.237</v>
      </c>
      <c r="K400" s="9">
        <f t="shared" si="40"/>
        <v>24.5</v>
      </c>
      <c r="L400" s="1">
        <f t="shared" si="41"/>
        <v>-0.300000000000022</v>
      </c>
    </row>
    <row r="401" s="1" customFormat="1" spans="1:12">
      <c r="A401" s="2">
        <v>13.304</v>
      </c>
      <c r="B401" s="10" t="s">
        <v>295</v>
      </c>
      <c r="C401" s="4">
        <v>13.304</v>
      </c>
      <c r="D401" s="5">
        <v>150.3</v>
      </c>
      <c r="E401" s="4"/>
      <c r="F401" s="4"/>
      <c r="G401" s="2">
        <f t="shared" si="36"/>
        <v>13.27</v>
      </c>
      <c r="H401" s="11" t="str">
        <f t="shared" si="37"/>
        <v>3.598E-2</v>
      </c>
      <c r="I401" s="2">
        <f t="shared" si="38"/>
        <v>153</v>
      </c>
      <c r="J401" s="4">
        <f t="shared" si="39"/>
        <v>13.27</v>
      </c>
      <c r="K401" s="9">
        <f t="shared" si="40"/>
        <v>24.6</v>
      </c>
      <c r="L401" s="1">
        <f t="shared" si="41"/>
        <v>-0.300000000000022</v>
      </c>
    </row>
    <row r="402" s="1" customFormat="1" spans="1:12">
      <c r="A402" s="2">
        <v>13.337</v>
      </c>
      <c r="B402" s="10" t="s">
        <v>134</v>
      </c>
      <c r="C402" s="4">
        <v>13.337</v>
      </c>
      <c r="D402" s="5">
        <v>149.8</v>
      </c>
      <c r="E402" s="4"/>
      <c r="F402" s="4"/>
      <c r="G402" s="2">
        <f t="shared" si="36"/>
        <v>13.304</v>
      </c>
      <c r="H402" s="11" t="str">
        <f t="shared" si="37"/>
        <v>3.596E-2</v>
      </c>
      <c r="I402" s="2">
        <f t="shared" si="38"/>
        <v>150.3</v>
      </c>
      <c r="J402" s="4">
        <f t="shared" si="39"/>
        <v>13.304</v>
      </c>
      <c r="K402" s="9">
        <f t="shared" si="40"/>
        <v>24.4</v>
      </c>
      <c r="L402" s="1">
        <f t="shared" si="41"/>
        <v>-0.300000000000022</v>
      </c>
    </row>
    <row r="403" s="1" customFormat="1" spans="1:12">
      <c r="A403" s="2">
        <v>13.37</v>
      </c>
      <c r="B403" s="10" t="s">
        <v>69</v>
      </c>
      <c r="C403" s="4">
        <v>13.37</v>
      </c>
      <c r="D403" s="5">
        <v>149.4</v>
      </c>
      <c r="E403" s="4"/>
      <c r="F403" s="4"/>
      <c r="G403" s="2">
        <f t="shared" si="36"/>
        <v>13.337</v>
      </c>
      <c r="H403" s="11" t="str">
        <f t="shared" si="37"/>
        <v>3.595E-2</v>
      </c>
      <c r="I403" s="2">
        <f t="shared" si="38"/>
        <v>149.8</v>
      </c>
      <c r="J403" s="4">
        <f t="shared" si="39"/>
        <v>13.337</v>
      </c>
      <c r="K403" s="9">
        <f t="shared" si="40"/>
        <v>24.3</v>
      </c>
      <c r="L403" s="1">
        <f t="shared" si="41"/>
        <v>-0.300000000000022</v>
      </c>
    </row>
    <row r="404" s="1" customFormat="1" spans="1:12">
      <c r="A404" s="2">
        <v>13.404</v>
      </c>
      <c r="B404" s="10" t="s">
        <v>69</v>
      </c>
      <c r="C404" s="4">
        <v>13.404</v>
      </c>
      <c r="D404" s="5">
        <v>148.3</v>
      </c>
      <c r="E404" s="4"/>
      <c r="F404" s="4"/>
      <c r="G404" s="2">
        <f t="shared" si="36"/>
        <v>13.37</v>
      </c>
      <c r="H404" s="11" t="str">
        <f t="shared" si="37"/>
        <v>3.592E-2</v>
      </c>
      <c r="I404" s="2">
        <f t="shared" si="38"/>
        <v>149.4</v>
      </c>
      <c r="J404" s="4">
        <f t="shared" si="39"/>
        <v>13.37</v>
      </c>
      <c r="K404" s="9">
        <f t="shared" si="40"/>
        <v>24</v>
      </c>
      <c r="L404" s="1">
        <f t="shared" si="41"/>
        <v>-0.300000000000022</v>
      </c>
    </row>
    <row r="405" s="1" customFormat="1" spans="1:12">
      <c r="A405" s="2">
        <v>13.437</v>
      </c>
      <c r="B405" s="10" t="s">
        <v>94</v>
      </c>
      <c r="C405" s="4">
        <v>13.437</v>
      </c>
      <c r="D405" s="5">
        <v>147.6</v>
      </c>
      <c r="E405" s="4"/>
      <c r="F405" s="4"/>
      <c r="G405" s="2">
        <f t="shared" si="36"/>
        <v>13.404</v>
      </c>
      <c r="H405" s="11" t="str">
        <f t="shared" si="37"/>
        <v>3.592E-2</v>
      </c>
      <c r="I405" s="2">
        <f t="shared" si="38"/>
        <v>148.3</v>
      </c>
      <c r="J405" s="4">
        <f t="shared" si="39"/>
        <v>13.404</v>
      </c>
      <c r="K405" s="9">
        <f t="shared" si="40"/>
        <v>24</v>
      </c>
      <c r="L405" s="1">
        <f t="shared" si="41"/>
        <v>-0.300000000000022</v>
      </c>
    </row>
    <row r="406" s="1" customFormat="1" spans="1:12">
      <c r="A406" s="2">
        <v>13.471</v>
      </c>
      <c r="B406" s="10" t="s">
        <v>70</v>
      </c>
      <c r="C406" s="4">
        <v>13.471</v>
      </c>
      <c r="D406" s="5">
        <v>145.6</v>
      </c>
      <c r="E406" s="4"/>
      <c r="F406" s="4"/>
      <c r="G406" s="2">
        <f t="shared" si="36"/>
        <v>13.437</v>
      </c>
      <c r="H406" s="11" t="str">
        <f t="shared" si="37"/>
        <v>3.590E-2</v>
      </c>
      <c r="I406" s="2">
        <f t="shared" si="38"/>
        <v>147.6</v>
      </c>
      <c r="J406" s="4">
        <f t="shared" si="39"/>
        <v>13.437</v>
      </c>
      <c r="K406" s="9">
        <f t="shared" si="40"/>
        <v>23.8</v>
      </c>
      <c r="L406" s="1">
        <f t="shared" si="41"/>
        <v>-0.300000000000022</v>
      </c>
    </row>
    <row r="407" s="1" customFormat="1" spans="1:12">
      <c r="A407" s="2">
        <v>13.504</v>
      </c>
      <c r="B407" s="10" t="s">
        <v>67</v>
      </c>
      <c r="C407" s="4">
        <v>13.504</v>
      </c>
      <c r="D407" s="5">
        <v>145.2</v>
      </c>
      <c r="E407" s="4"/>
      <c r="F407" s="4"/>
      <c r="G407" s="2">
        <f t="shared" si="36"/>
        <v>13.471</v>
      </c>
      <c r="H407" s="11" t="str">
        <f t="shared" si="37"/>
        <v>3.589E-2</v>
      </c>
      <c r="I407" s="2">
        <f t="shared" si="38"/>
        <v>145.6</v>
      </c>
      <c r="J407" s="4">
        <f t="shared" si="39"/>
        <v>13.471</v>
      </c>
      <c r="K407" s="9">
        <f t="shared" si="40"/>
        <v>23.7</v>
      </c>
      <c r="L407" s="1">
        <f t="shared" si="41"/>
        <v>-0.300000000000022</v>
      </c>
    </row>
    <row r="408" s="1" customFormat="1" spans="1:12">
      <c r="A408" s="2">
        <v>13.538</v>
      </c>
      <c r="B408" s="10" t="s">
        <v>179</v>
      </c>
      <c r="C408" s="4">
        <v>13.538</v>
      </c>
      <c r="D408" s="5">
        <v>143.3</v>
      </c>
      <c r="E408" s="4"/>
      <c r="F408" s="4"/>
      <c r="G408" s="2">
        <f t="shared" si="36"/>
        <v>13.504</v>
      </c>
      <c r="H408" s="11" t="str">
        <f t="shared" si="37"/>
        <v>3.587E-2</v>
      </c>
      <c r="I408" s="2">
        <f t="shared" si="38"/>
        <v>145.2</v>
      </c>
      <c r="J408" s="4">
        <f t="shared" si="39"/>
        <v>13.504</v>
      </c>
      <c r="K408" s="9">
        <f t="shared" si="40"/>
        <v>23.5</v>
      </c>
      <c r="L408" s="1">
        <f t="shared" si="41"/>
        <v>-0.300000000000022</v>
      </c>
    </row>
    <row r="409" s="1" customFormat="1" spans="1:12">
      <c r="A409" s="2">
        <v>13.571</v>
      </c>
      <c r="B409" s="10" t="s">
        <v>180</v>
      </c>
      <c r="C409" s="4">
        <v>13.571</v>
      </c>
      <c r="D409" s="5">
        <v>144</v>
      </c>
      <c r="E409" s="4"/>
      <c r="F409" s="4"/>
      <c r="G409" s="2">
        <f t="shared" si="36"/>
        <v>13.538</v>
      </c>
      <c r="H409" s="11" t="str">
        <f t="shared" si="37"/>
        <v>3.586E-2</v>
      </c>
      <c r="I409" s="2">
        <f t="shared" si="38"/>
        <v>143.3</v>
      </c>
      <c r="J409" s="4">
        <f t="shared" si="39"/>
        <v>13.538</v>
      </c>
      <c r="K409" s="9">
        <f t="shared" si="40"/>
        <v>23.4</v>
      </c>
      <c r="L409" s="1">
        <f t="shared" si="41"/>
        <v>-0.300000000000022</v>
      </c>
    </row>
    <row r="410" s="1" customFormat="1" spans="1:12">
      <c r="A410" s="2">
        <v>13.604</v>
      </c>
      <c r="B410" s="10" t="s">
        <v>179</v>
      </c>
      <c r="C410" s="4">
        <v>13.604</v>
      </c>
      <c r="D410" s="5">
        <v>141</v>
      </c>
      <c r="E410" s="4"/>
      <c r="F410" s="4"/>
      <c r="G410" s="2">
        <f t="shared" si="36"/>
        <v>13.571</v>
      </c>
      <c r="H410" s="11" t="str">
        <f t="shared" si="37"/>
        <v>3.584E-2</v>
      </c>
      <c r="I410" s="2">
        <f t="shared" si="38"/>
        <v>144</v>
      </c>
      <c r="J410" s="4">
        <f t="shared" si="39"/>
        <v>13.571</v>
      </c>
      <c r="K410" s="9">
        <f t="shared" si="40"/>
        <v>23.2</v>
      </c>
      <c r="L410" s="1">
        <f t="shared" si="41"/>
        <v>-0.300000000000022</v>
      </c>
    </row>
    <row r="411" s="1" customFormat="1" spans="1:12">
      <c r="A411" s="2">
        <v>13.638</v>
      </c>
      <c r="B411" s="10" t="s">
        <v>177</v>
      </c>
      <c r="C411" s="4">
        <v>13.638</v>
      </c>
      <c r="D411" s="5">
        <v>141</v>
      </c>
      <c r="E411" s="4"/>
      <c r="F411" s="4"/>
      <c r="G411" s="2">
        <f t="shared" si="36"/>
        <v>13.604</v>
      </c>
      <c r="H411" s="11" t="str">
        <f t="shared" si="37"/>
        <v>3.586E-2</v>
      </c>
      <c r="I411" s="2">
        <f t="shared" si="38"/>
        <v>141</v>
      </c>
      <c r="J411" s="4">
        <f t="shared" si="39"/>
        <v>13.604</v>
      </c>
      <c r="K411" s="9">
        <f t="shared" si="40"/>
        <v>23.4</v>
      </c>
      <c r="L411" s="1">
        <f t="shared" si="41"/>
        <v>-0.300000000000022</v>
      </c>
    </row>
    <row r="412" s="1" customFormat="1" spans="1:12">
      <c r="A412" s="2">
        <v>13.671</v>
      </c>
      <c r="B412" s="10" t="s">
        <v>177</v>
      </c>
      <c r="C412" s="4">
        <v>13.671</v>
      </c>
      <c r="D412" s="5">
        <v>253.7</v>
      </c>
      <c r="E412" s="4"/>
      <c r="F412" s="4"/>
      <c r="G412" s="2">
        <f t="shared" si="36"/>
        <v>13.638</v>
      </c>
      <c r="H412" s="11" t="str">
        <f t="shared" si="37"/>
        <v>3.582E-2</v>
      </c>
      <c r="I412" s="2">
        <f t="shared" si="38"/>
        <v>141</v>
      </c>
      <c r="J412" s="4">
        <f t="shared" si="39"/>
        <v>13.638</v>
      </c>
      <c r="K412" s="9">
        <f t="shared" si="40"/>
        <v>23</v>
      </c>
      <c r="L412" s="1">
        <f t="shared" si="41"/>
        <v>-0.300000000000022</v>
      </c>
    </row>
    <row r="413" s="1" customFormat="1" spans="1:12">
      <c r="A413" s="2">
        <v>13.705</v>
      </c>
      <c r="B413" s="10" t="s">
        <v>177</v>
      </c>
      <c r="C413" s="4">
        <v>13.705</v>
      </c>
      <c r="D413" s="5">
        <v>253.7</v>
      </c>
      <c r="E413" s="4"/>
      <c r="F413" s="4"/>
      <c r="G413" s="2">
        <f t="shared" si="36"/>
        <v>13.671</v>
      </c>
      <c r="H413" s="11" t="str">
        <f t="shared" si="37"/>
        <v>3.582E-2</v>
      </c>
      <c r="I413" s="2">
        <f t="shared" si="38"/>
        <v>253.7</v>
      </c>
      <c r="J413" s="4">
        <f t="shared" si="39"/>
        <v>13.671</v>
      </c>
      <c r="K413" s="9">
        <f t="shared" si="40"/>
        <v>23</v>
      </c>
      <c r="L413" s="1">
        <f t="shared" si="41"/>
        <v>28.4</v>
      </c>
    </row>
    <row r="414" s="1" customFormat="1" spans="1:12">
      <c r="A414" s="2">
        <v>13.738</v>
      </c>
      <c r="B414" s="10" t="s">
        <v>150</v>
      </c>
      <c r="C414" s="4">
        <v>13.738</v>
      </c>
      <c r="D414" s="5">
        <v>253.7</v>
      </c>
      <c r="E414" s="4"/>
      <c r="F414" s="4"/>
      <c r="G414" s="2">
        <f t="shared" si="36"/>
        <v>13.705</v>
      </c>
      <c r="H414" s="11" t="str">
        <f t="shared" si="37"/>
        <v>3.582E-2</v>
      </c>
      <c r="I414" s="2">
        <f t="shared" si="38"/>
        <v>253.7</v>
      </c>
      <c r="J414" s="4">
        <f t="shared" si="39"/>
        <v>13.705</v>
      </c>
      <c r="K414" s="9">
        <f t="shared" si="40"/>
        <v>23</v>
      </c>
      <c r="L414" s="1">
        <f t="shared" si="41"/>
        <v>28.4</v>
      </c>
    </row>
    <row r="415" s="1" customFormat="1" spans="1:12">
      <c r="A415" s="2">
        <v>13.772</v>
      </c>
      <c r="B415" s="10" t="s">
        <v>73</v>
      </c>
      <c r="C415" s="4">
        <v>13.772</v>
      </c>
      <c r="D415" s="5">
        <v>253.7</v>
      </c>
      <c r="E415" s="4"/>
      <c r="F415" s="4"/>
      <c r="G415" s="2">
        <f t="shared" si="36"/>
        <v>13.738</v>
      </c>
      <c r="H415" s="11" t="str">
        <f t="shared" si="37"/>
        <v>3.579E-2</v>
      </c>
      <c r="I415" s="2">
        <f t="shared" si="38"/>
        <v>253.7</v>
      </c>
      <c r="J415" s="4">
        <f t="shared" si="39"/>
        <v>13.738</v>
      </c>
      <c r="K415" s="9">
        <f t="shared" si="40"/>
        <v>22.7</v>
      </c>
      <c r="L415" s="1">
        <f t="shared" si="41"/>
        <v>28.4</v>
      </c>
    </row>
    <row r="416" s="1" customFormat="1" spans="1:12">
      <c r="A416" s="2">
        <v>13.805</v>
      </c>
      <c r="B416" s="10" t="s">
        <v>210</v>
      </c>
      <c r="C416" s="4">
        <v>13.805</v>
      </c>
      <c r="D416" s="5">
        <v>253.7</v>
      </c>
      <c r="E416" s="4"/>
      <c r="F416" s="4"/>
      <c r="G416" s="2">
        <f t="shared" si="36"/>
        <v>13.772</v>
      </c>
      <c r="H416" s="11" t="str">
        <f t="shared" si="37"/>
        <v>3.571E-2</v>
      </c>
      <c r="I416" s="2">
        <f t="shared" si="38"/>
        <v>253.7</v>
      </c>
      <c r="J416" s="4">
        <f t="shared" si="39"/>
        <v>13.772</v>
      </c>
      <c r="K416" s="9">
        <f t="shared" si="40"/>
        <v>21.9</v>
      </c>
      <c r="L416" s="1">
        <f t="shared" si="41"/>
        <v>28.4</v>
      </c>
    </row>
    <row r="417" s="1" customFormat="1" spans="1:12">
      <c r="A417" s="2">
        <v>13.838</v>
      </c>
      <c r="B417" s="10" t="s">
        <v>74</v>
      </c>
      <c r="C417" s="4">
        <v>13.838</v>
      </c>
      <c r="D417" s="5">
        <v>253.7</v>
      </c>
      <c r="E417" s="4"/>
      <c r="F417" s="4"/>
      <c r="G417" s="2">
        <f t="shared" si="36"/>
        <v>13.805</v>
      </c>
      <c r="H417" s="11" t="str">
        <f t="shared" si="37"/>
        <v>3.566E-2</v>
      </c>
      <c r="I417" s="2">
        <f t="shared" si="38"/>
        <v>253.7</v>
      </c>
      <c r="J417" s="4">
        <f t="shared" si="39"/>
        <v>13.805</v>
      </c>
      <c r="K417" s="9">
        <f t="shared" si="40"/>
        <v>21.4</v>
      </c>
      <c r="L417" s="1">
        <f t="shared" si="41"/>
        <v>28.4</v>
      </c>
    </row>
    <row r="418" s="1" customFormat="1" spans="1:12">
      <c r="A418" s="2">
        <v>13.872</v>
      </c>
      <c r="B418" s="10" t="s">
        <v>209</v>
      </c>
      <c r="C418" s="4">
        <v>13.872</v>
      </c>
      <c r="D418" s="5">
        <v>253.7</v>
      </c>
      <c r="E418" s="4"/>
      <c r="F418" s="4"/>
      <c r="G418" s="2">
        <f t="shared" si="36"/>
        <v>13.838</v>
      </c>
      <c r="H418" s="11" t="str">
        <f t="shared" si="37"/>
        <v>3.563E-2</v>
      </c>
      <c r="I418" s="2">
        <f t="shared" si="38"/>
        <v>253.7</v>
      </c>
      <c r="J418" s="4">
        <f t="shared" si="39"/>
        <v>13.838</v>
      </c>
      <c r="K418" s="9">
        <f t="shared" si="40"/>
        <v>21.1</v>
      </c>
      <c r="L418" s="1">
        <f t="shared" si="41"/>
        <v>28.4</v>
      </c>
    </row>
    <row r="419" s="1" customFormat="1" spans="1:12">
      <c r="A419" s="2">
        <v>13.905</v>
      </c>
      <c r="B419" s="10" t="s">
        <v>209</v>
      </c>
      <c r="C419" s="4">
        <v>13.905</v>
      </c>
      <c r="D419" s="5">
        <v>253.7</v>
      </c>
      <c r="E419" s="4"/>
      <c r="F419" s="4"/>
      <c r="G419" s="2">
        <f t="shared" si="36"/>
        <v>13.872</v>
      </c>
      <c r="H419" s="11" t="str">
        <f t="shared" si="37"/>
        <v>3.561E-2</v>
      </c>
      <c r="I419" s="2">
        <f t="shared" si="38"/>
        <v>253.7</v>
      </c>
      <c r="J419" s="4">
        <f t="shared" si="39"/>
        <v>13.872</v>
      </c>
      <c r="K419" s="9">
        <f t="shared" si="40"/>
        <v>20.9</v>
      </c>
      <c r="L419" s="1">
        <f t="shared" si="41"/>
        <v>28.4</v>
      </c>
    </row>
    <row r="420" s="1" customFormat="1" spans="1:12">
      <c r="A420" s="2">
        <v>13.939</v>
      </c>
      <c r="B420" s="10" t="s">
        <v>209</v>
      </c>
      <c r="C420" s="4">
        <v>13.939</v>
      </c>
      <c r="D420" s="5">
        <v>253.7</v>
      </c>
      <c r="E420" s="4"/>
      <c r="F420" s="4"/>
      <c r="G420" s="2">
        <f t="shared" si="36"/>
        <v>13.905</v>
      </c>
      <c r="H420" s="11" t="str">
        <f t="shared" si="37"/>
        <v>3.561E-2</v>
      </c>
      <c r="I420" s="2">
        <f t="shared" si="38"/>
        <v>253.7</v>
      </c>
      <c r="J420" s="4">
        <f t="shared" si="39"/>
        <v>13.905</v>
      </c>
      <c r="K420" s="9">
        <f t="shared" si="40"/>
        <v>20.9</v>
      </c>
      <c r="L420" s="1">
        <f t="shared" si="41"/>
        <v>28.4</v>
      </c>
    </row>
    <row r="421" s="1" customFormat="1" spans="1:12">
      <c r="A421" s="2">
        <v>13.972</v>
      </c>
      <c r="B421" s="10" t="s">
        <v>135</v>
      </c>
      <c r="C421" s="4">
        <v>13.972</v>
      </c>
      <c r="D421" s="5">
        <v>253.7</v>
      </c>
      <c r="E421" s="4"/>
      <c r="F421" s="4"/>
      <c r="G421" s="2">
        <f t="shared" si="36"/>
        <v>13.939</v>
      </c>
      <c r="H421" s="11" t="str">
        <f t="shared" si="37"/>
        <v>3.561E-2</v>
      </c>
      <c r="I421" s="2">
        <f t="shared" si="38"/>
        <v>253.7</v>
      </c>
      <c r="J421" s="4">
        <f t="shared" si="39"/>
        <v>13.939</v>
      </c>
      <c r="K421" s="9">
        <f t="shared" si="40"/>
        <v>20.9</v>
      </c>
      <c r="L421" s="1">
        <f t="shared" si="41"/>
        <v>28.4</v>
      </c>
    </row>
    <row r="422" s="1" customFormat="1" spans="1:12">
      <c r="A422" s="2">
        <v>14.006</v>
      </c>
      <c r="B422" s="10" t="s">
        <v>135</v>
      </c>
      <c r="C422" s="4">
        <v>14.006</v>
      </c>
      <c r="D422" s="5">
        <v>253.7</v>
      </c>
      <c r="E422" s="4"/>
      <c r="F422" s="4"/>
      <c r="G422" s="2">
        <f t="shared" si="36"/>
        <v>13.972</v>
      </c>
      <c r="H422" s="11" t="str">
        <f t="shared" si="37"/>
        <v>3.560E-2</v>
      </c>
      <c r="I422" s="2">
        <f t="shared" si="38"/>
        <v>253.7</v>
      </c>
      <c r="J422" s="4">
        <f t="shared" si="39"/>
        <v>13.972</v>
      </c>
      <c r="K422" s="9">
        <f t="shared" si="40"/>
        <v>20.8</v>
      </c>
      <c r="L422" s="1">
        <f t="shared" si="41"/>
        <v>28.4</v>
      </c>
    </row>
    <row r="423" s="1" customFormat="1" spans="1:12">
      <c r="A423" s="2">
        <v>14.039</v>
      </c>
      <c r="B423" s="10" t="s">
        <v>212</v>
      </c>
      <c r="C423" s="4">
        <v>14.039</v>
      </c>
      <c r="D423" s="5">
        <v>253.8</v>
      </c>
      <c r="E423" s="4"/>
      <c r="F423" s="4"/>
      <c r="G423" s="2">
        <f t="shared" si="36"/>
        <v>14.006</v>
      </c>
      <c r="H423" s="11" t="str">
        <f t="shared" si="37"/>
        <v>3.560E-2</v>
      </c>
      <c r="I423" s="2">
        <f t="shared" si="38"/>
        <v>253.7</v>
      </c>
      <c r="J423" s="4">
        <f t="shared" si="39"/>
        <v>14.006</v>
      </c>
      <c r="K423" s="9">
        <f t="shared" si="40"/>
        <v>20.8</v>
      </c>
      <c r="L423" s="1">
        <f t="shared" si="41"/>
        <v>28.4</v>
      </c>
    </row>
    <row r="424" s="1" customFormat="1" spans="1:12">
      <c r="A424" s="2">
        <v>14.072</v>
      </c>
      <c r="B424" s="10" t="s">
        <v>74</v>
      </c>
      <c r="C424" s="4">
        <v>14.072</v>
      </c>
      <c r="D424" s="5">
        <v>253.8</v>
      </c>
      <c r="E424" s="4"/>
      <c r="F424" s="4"/>
      <c r="G424" s="2">
        <f t="shared" si="36"/>
        <v>14.039</v>
      </c>
      <c r="H424" s="11" t="str">
        <f t="shared" si="37"/>
        <v>3.562E-2</v>
      </c>
      <c r="I424" s="2">
        <f t="shared" si="38"/>
        <v>253.8</v>
      </c>
      <c r="J424" s="4">
        <f t="shared" si="39"/>
        <v>14.039</v>
      </c>
      <c r="K424" s="9">
        <f t="shared" si="40"/>
        <v>21</v>
      </c>
      <c r="L424" s="1">
        <f t="shared" si="41"/>
        <v>28.4</v>
      </c>
    </row>
    <row r="425" s="1" customFormat="1" spans="1:12">
      <c r="A425" s="2">
        <v>14.106</v>
      </c>
      <c r="B425" s="10" t="s">
        <v>210</v>
      </c>
      <c r="C425" s="4">
        <v>14.106</v>
      </c>
      <c r="D425" s="5">
        <v>253.8</v>
      </c>
      <c r="E425" s="4"/>
      <c r="F425" s="4"/>
      <c r="G425" s="2">
        <f t="shared" si="36"/>
        <v>14.072</v>
      </c>
      <c r="H425" s="11" t="str">
        <f t="shared" si="37"/>
        <v>3.563E-2</v>
      </c>
      <c r="I425" s="2">
        <f t="shared" si="38"/>
        <v>253.8</v>
      </c>
      <c r="J425" s="4">
        <f t="shared" si="39"/>
        <v>14.072</v>
      </c>
      <c r="K425" s="9">
        <f t="shared" si="40"/>
        <v>21.1</v>
      </c>
      <c r="L425" s="1">
        <f t="shared" si="41"/>
        <v>28.4</v>
      </c>
    </row>
    <row r="426" s="1" customFormat="1" spans="1:12">
      <c r="A426" s="2">
        <v>14.139</v>
      </c>
      <c r="B426" s="10" t="s">
        <v>65</v>
      </c>
      <c r="C426" s="4">
        <v>14.139</v>
      </c>
      <c r="D426" s="5">
        <v>253.8</v>
      </c>
      <c r="E426" s="4"/>
      <c r="F426" s="4"/>
      <c r="G426" s="2">
        <f t="shared" si="36"/>
        <v>14.106</v>
      </c>
      <c r="H426" s="11" t="str">
        <f t="shared" si="37"/>
        <v>3.566E-2</v>
      </c>
      <c r="I426" s="2">
        <f t="shared" si="38"/>
        <v>253.8</v>
      </c>
      <c r="J426" s="4">
        <f t="shared" si="39"/>
        <v>14.106</v>
      </c>
      <c r="K426" s="9">
        <f t="shared" si="40"/>
        <v>21.4</v>
      </c>
      <c r="L426" s="1">
        <f t="shared" si="41"/>
        <v>28.4</v>
      </c>
    </row>
    <row r="427" s="1" customFormat="1" spans="1:12">
      <c r="A427" s="2">
        <v>14.173</v>
      </c>
      <c r="B427" s="10" t="s">
        <v>286</v>
      </c>
      <c r="C427" s="4">
        <v>14.173</v>
      </c>
      <c r="D427" s="5">
        <v>253.8</v>
      </c>
      <c r="E427" s="4"/>
      <c r="F427" s="4"/>
      <c r="G427" s="2">
        <f t="shared" si="36"/>
        <v>14.139</v>
      </c>
      <c r="H427" s="11" t="str">
        <f t="shared" si="37"/>
        <v>3.567E-2</v>
      </c>
      <c r="I427" s="2">
        <f t="shared" si="38"/>
        <v>253.8</v>
      </c>
      <c r="J427" s="4">
        <f t="shared" si="39"/>
        <v>14.139</v>
      </c>
      <c r="K427" s="9">
        <f t="shared" si="40"/>
        <v>21.5</v>
      </c>
      <c r="L427" s="1">
        <f t="shared" si="41"/>
        <v>28.4</v>
      </c>
    </row>
    <row r="428" s="1" customFormat="1" spans="1:12">
      <c r="A428" s="2">
        <v>14.206</v>
      </c>
      <c r="B428" s="10" t="s">
        <v>73</v>
      </c>
      <c r="C428" s="4">
        <v>14.206</v>
      </c>
      <c r="D428" s="5">
        <v>253.8</v>
      </c>
      <c r="E428" s="4"/>
      <c r="F428" s="4"/>
      <c r="G428" s="2">
        <f t="shared" si="36"/>
        <v>14.173</v>
      </c>
      <c r="H428" s="11" t="str">
        <f t="shared" si="37"/>
        <v>3.570E-2</v>
      </c>
      <c r="I428" s="2">
        <f t="shared" si="38"/>
        <v>253.8</v>
      </c>
      <c r="J428" s="4">
        <f t="shared" si="39"/>
        <v>14.173</v>
      </c>
      <c r="K428" s="9">
        <f t="shared" si="40"/>
        <v>21.8</v>
      </c>
      <c r="L428" s="1">
        <f t="shared" si="41"/>
        <v>28.4</v>
      </c>
    </row>
    <row r="429" s="1" customFormat="1" spans="1:12">
      <c r="A429" s="2">
        <v>14.24</v>
      </c>
      <c r="B429" s="10" t="s">
        <v>66</v>
      </c>
      <c r="C429" s="4">
        <v>14.24</v>
      </c>
      <c r="D429" s="5">
        <v>253.8</v>
      </c>
      <c r="E429" s="4"/>
      <c r="F429" s="4"/>
      <c r="G429" s="2">
        <f t="shared" si="36"/>
        <v>14.206</v>
      </c>
      <c r="H429" s="11" t="str">
        <f t="shared" si="37"/>
        <v>3.571E-2</v>
      </c>
      <c r="I429" s="2">
        <f t="shared" si="38"/>
        <v>253.8</v>
      </c>
      <c r="J429" s="4">
        <f t="shared" si="39"/>
        <v>14.206</v>
      </c>
      <c r="K429" s="9">
        <f t="shared" si="40"/>
        <v>21.9</v>
      </c>
      <c r="L429" s="1">
        <f t="shared" si="41"/>
        <v>28.4</v>
      </c>
    </row>
    <row r="430" s="1" customFormat="1" spans="1:12">
      <c r="A430" s="2">
        <v>14.273</v>
      </c>
      <c r="B430" s="10" t="s">
        <v>182</v>
      </c>
      <c r="C430" s="4">
        <v>14.273</v>
      </c>
      <c r="D430" s="5">
        <v>253.8</v>
      </c>
      <c r="E430" s="4"/>
      <c r="F430" s="4"/>
      <c r="G430" s="2">
        <f t="shared" si="36"/>
        <v>14.24</v>
      </c>
      <c r="H430" s="11" t="str">
        <f t="shared" si="37"/>
        <v>3.575E-2</v>
      </c>
      <c r="I430" s="2">
        <f t="shared" si="38"/>
        <v>253.8</v>
      </c>
      <c r="J430" s="4">
        <f t="shared" si="39"/>
        <v>14.24</v>
      </c>
      <c r="K430" s="9">
        <f t="shared" si="40"/>
        <v>22.3</v>
      </c>
      <c r="L430" s="1">
        <f t="shared" si="41"/>
        <v>28.4</v>
      </c>
    </row>
    <row r="431" s="1" customFormat="1" spans="1:12">
      <c r="A431" s="2">
        <v>14.306</v>
      </c>
      <c r="B431" s="10" t="s">
        <v>162</v>
      </c>
      <c r="C431" s="4">
        <v>14.306</v>
      </c>
      <c r="D431" s="5">
        <v>253.8</v>
      </c>
      <c r="E431" s="4"/>
      <c r="F431" s="4"/>
      <c r="G431" s="2">
        <f t="shared" si="36"/>
        <v>14.273</v>
      </c>
      <c r="H431" s="11" t="str">
        <f t="shared" si="37"/>
        <v>3.578E-2</v>
      </c>
      <c r="I431" s="2">
        <f t="shared" si="38"/>
        <v>253.8</v>
      </c>
      <c r="J431" s="4">
        <f t="shared" si="39"/>
        <v>14.273</v>
      </c>
      <c r="K431" s="9">
        <f t="shared" si="40"/>
        <v>22.6</v>
      </c>
      <c r="L431" s="1">
        <f t="shared" si="41"/>
        <v>28.4</v>
      </c>
    </row>
    <row r="432" s="1" customFormat="1" spans="1:12">
      <c r="A432" s="2">
        <v>14.34</v>
      </c>
      <c r="B432" s="10" t="s">
        <v>68</v>
      </c>
      <c r="C432" s="4">
        <v>14.34</v>
      </c>
      <c r="D432" s="5">
        <v>253.8</v>
      </c>
      <c r="E432" s="4"/>
      <c r="F432" s="4"/>
      <c r="G432" s="2">
        <f t="shared" si="36"/>
        <v>14.306</v>
      </c>
      <c r="H432" s="11" t="str">
        <f t="shared" si="37"/>
        <v>3.580E-2</v>
      </c>
      <c r="I432" s="2">
        <f t="shared" si="38"/>
        <v>253.8</v>
      </c>
      <c r="J432" s="4">
        <f t="shared" si="39"/>
        <v>14.306</v>
      </c>
      <c r="K432" s="9">
        <f t="shared" si="40"/>
        <v>22.8</v>
      </c>
      <c r="L432" s="1">
        <f t="shared" si="41"/>
        <v>28.4</v>
      </c>
    </row>
    <row r="433" s="1" customFormat="1" spans="1:12">
      <c r="A433" s="2">
        <v>14.373</v>
      </c>
      <c r="B433" s="10" t="s">
        <v>292</v>
      </c>
      <c r="C433" s="4">
        <v>14.373</v>
      </c>
      <c r="D433" s="5">
        <v>253.8</v>
      </c>
      <c r="E433" s="4"/>
      <c r="F433" s="4"/>
      <c r="G433" s="2">
        <f t="shared" si="36"/>
        <v>14.34</v>
      </c>
      <c r="H433" s="11" t="str">
        <f t="shared" si="37"/>
        <v>3.591E-2</v>
      </c>
      <c r="I433" s="2">
        <f t="shared" si="38"/>
        <v>253.8</v>
      </c>
      <c r="J433" s="4">
        <f t="shared" si="39"/>
        <v>14.34</v>
      </c>
      <c r="K433" s="9">
        <f t="shared" si="40"/>
        <v>23.9</v>
      </c>
      <c r="L433" s="1">
        <f t="shared" si="41"/>
        <v>28.4</v>
      </c>
    </row>
    <row r="434" s="1" customFormat="1" spans="1:12">
      <c r="A434" s="2">
        <v>14.407</v>
      </c>
      <c r="B434" s="10" t="s">
        <v>281</v>
      </c>
      <c r="C434" s="4">
        <v>14.407</v>
      </c>
      <c r="D434" s="5">
        <v>253.8</v>
      </c>
      <c r="E434" s="4"/>
      <c r="F434" s="4"/>
      <c r="G434" s="2">
        <f t="shared" si="36"/>
        <v>14.373</v>
      </c>
      <c r="H434" s="11" t="str">
        <f t="shared" si="37"/>
        <v>3.597E-2</v>
      </c>
      <c r="I434" s="2">
        <f t="shared" si="38"/>
        <v>253.8</v>
      </c>
      <c r="J434" s="4">
        <f t="shared" si="39"/>
        <v>14.373</v>
      </c>
      <c r="K434" s="9">
        <f t="shared" si="40"/>
        <v>24.5</v>
      </c>
      <c r="L434" s="1">
        <f t="shared" si="41"/>
        <v>28.4</v>
      </c>
    </row>
    <row r="435" s="1" customFormat="1" spans="1:12">
      <c r="A435" s="2">
        <v>14.44</v>
      </c>
      <c r="B435" s="10" t="s">
        <v>294</v>
      </c>
      <c r="C435" s="4">
        <v>14.44</v>
      </c>
      <c r="D435" s="5">
        <v>253.8</v>
      </c>
      <c r="E435" s="4"/>
      <c r="F435" s="4"/>
      <c r="G435" s="2">
        <f t="shared" si="36"/>
        <v>14.407</v>
      </c>
      <c r="H435" s="11" t="str">
        <f t="shared" si="37"/>
        <v>3.604E-2</v>
      </c>
      <c r="I435" s="2">
        <f t="shared" si="38"/>
        <v>253.8</v>
      </c>
      <c r="J435" s="4">
        <f t="shared" si="39"/>
        <v>14.407</v>
      </c>
      <c r="K435" s="9">
        <f t="shared" si="40"/>
        <v>25.2</v>
      </c>
      <c r="L435" s="1">
        <f t="shared" si="41"/>
        <v>28.4</v>
      </c>
    </row>
    <row r="436" s="1" customFormat="1" spans="1:12">
      <c r="A436" s="2">
        <v>14.474</v>
      </c>
      <c r="B436" s="10" t="s">
        <v>104</v>
      </c>
      <c r="C436" s="4">
        <v>14.474</v>
      </c>
      <c r="D436" s="5">
        <v>253.8</v>
      </c>
      <c r="E436" s="4"/>
      <c r="F436" s="4"/>
      <c r="G436" s="2">
        <f t="shared" si="36"/>
        <v>14.44</v>
      </c>
      <c r="H436" s="11" t="str">
        <f t="shared" si="37"/>
        <v>3.606E-2</v>
      </c>
      <c r="I436" s="2">
        <f t="shared" si="38"/>
        <v>253.8</v>
      </c>
      <c r="J436" s="4">
        <f t="shared" si="39"/>
        <v>14.44</v>
      </c>
      <c r="K436" s="9">
        <f t="shared" si="40"/>
        <v>25.4</v>
      </c>
      <c r="L436" s="1">
        <f t="shared" si="41"/>
        <v>28.4</v>
      </c>
    </row>
    <row r="437" s="1" customFormat="1" spans="1:12">
      <c r="A437" s="2">
        <v>14.507</v>
      </c>
      <c r="B437" s="10" t="s">
        <v>282</v>
      </c>
      <c r="C437" s="4">
        <v>14.507</v>
      </c>
      <c r="D437" s="5">
        <v>146.3</v>
      </c>
      <c r="E437" s="4"/>
      <c r="F437" s="4"/>
      <c r="G437" s="2">
        <f t="shared" si="36"/>
        <v>14.474</v>
      </c>
      <c r="H437" s="11" t="str">
        <f t="shared" si="37"/>
        <v>3.608E-2</v>
      </c>
      <c r="I437" s="2">
        <f t="shared" si="38"/>
        <v>253.8</v>
      </c>
      <c r="J437" s="4">
        <f t="shared" si="39"/>
        <v>14.474</v>
      </c>
      <c r="K437" s="9">
        <f t="shared" si="40"/>
        <v>25.6</v>
      </c>
      <c r="L437" s="1">
        <f t="shared" si="41"/>
        <v>28.4</v>
      </c>
    </row>
    <row r="438" s="1" customFormat="1" spans="1:12">
      <c r="A438" s="2">
        <v>14.54</v>
      </c>
      <c r="B438" s="10" t="s">
        <v>319</v>
      </c>
      <c r="C438" s="4">
        <v>14.54</v>
      </c>
      <c r="D438" s="5">
        <v>169</v>
      </c>
      <c r="E438" s="4"/>
      <c r="F438" s="4"/>
      <c r="G438" s="2">
        <f t="shared" si="36"/>
        <v>14.507</v>
      </c>
      <c r="H438" s="11" t="str">
        <f t="shared" si="37"/>
        <v>3.611E-2</v>
      </c>
      <c r="I438" s="2">
        <f t="shared" si="38"/>
        <v>146.3</v>
      </c>
      <c r="J438" s="4">
        <f t="shared" si="39"/>
        <v>14.507</v>
      </c>
      <c r="K438" s="9">
        <f t="shared" si="40"/>
        <v>25.9</v>
      </c>
      <c r="L438" s="1">
        <f t="shared" si="41"/>
        <v>-0.300000000000022</v>
      </c>
    </row>
    <row r="439" s="1" customFormat="1" spans="1:12">
      <c r="A439" s="2">
        <v>14.574</v>
      </c>
      <c r="B439" s="10" t="s">
        <v>154</v>
      </c>
      <c r="C439" s="4">
        <v>14.574</v>
      </c>
      <c r="D439" s="5">
        <v>168.4</v>
      </c>
      <c r="E439" s="4"/>
      <c r="F439" s="4"/>
      <c r="G439" s="2">
        <f t="shared" si="36"/>
        <v>14.54</v>
      </c>
      <c r="H439" s="11" t="str">
        <f t="shared" si="37"/>
        <v>3.620E-2</v>
      </c>
      <c r="I439" s="2">
        <f t="shared" si="38"/>
        <v>169</v>
      </c>
      <c r="J439" s="4">
        <f t="shared" si="39"/>
        <v>14.54</v>
      </c>
      <c r="K439" s="9">
        <f t="shared" si="40"/>
        <v>26.8</v>
      </c>
      <c r="L439" s="1">
        <f t="shared" si="41"/>
        <v>-0.300000000000022</v>
      </c>
    </row>
    <row r="440" s="1" customFormat="1" spans="1:12">
      <c r="A440" s="2">
        <v>14.607</v>
      </c>
      <c r="B440" s="10" t="s">
        <v>320</v>
      </c>
      <c r="C440" s="4">
        <v>14.607</v>
      </c>
      <c r="D440" s="5">
        <v>167.5</v>
      </c>
      <c r="E440" s="4"/>
      <c r="F440" s="4"/>
      <c r="G440" s="2">
        <f t="shared" si="36"/>
        <v>14.574</v>
      </c>
      <c r="H440" s="11" t="str">
        <f t="shared" si="37"/>
        <v>3.625E-2</v>
      </c>
      <c r="I440" s="2">
        <f t="shared" si="38"/>
        <v>168.4</v>
      </c>
      <c r="J440" s="4">
        <f t="shared" si="39"/>
        <v>14.574</v>
      </c>
      <c r="K440" s="9">
        <f t="shared" si="40"/>
        <v>27.3</v>
      </c>
      <c r="L440" s="1">
        <f t="shared" si="41"/>
        <v>-0.300000000000022</v>
      </c>
    </row>
    <row r="441" s="1" customFormat="1" spans="1:12">
      <c r="A441" s="2">
        <v>14.641</v>
      </c>
      <c r="B441" s="10" t="s">
        <v>124</v>
      </c>
      <c r="C441" s="4">
        <v>14.641</v>
      </c>
      <c r="D441" s="5">
        <v>165.9</v>
      </c>
      <c r="E441" s="4"/>
      <c r="F441" s="4"/>
      <c r="G441" s="2">
        <f t="shared" si="36"/>
        <v>14.607</v>
      </c>
      <c r="H441" s="11" t="str">
        <f t="shared" si="37"/>
        <v>3.627E-2</v>
      </c>
      <c r="I441" s="2">
        <f t="shared" si="38"/>
        <v>167.5</v>
      </c>
      <c r="J441" s="4">
        <f t="shared" si="39"/>
        <v>14.607</v>
      </c>
      <c r="K441" s="9">
        <f t="shared" si="40"/>
        <v>27.5</v>
      </c>
      <c r="L441" s="1">
        <f t="shared" si="41"/>
        <v>-0.300000000000022</v>
      </c>
    </row>
    <row r="442" s="1" customFormat="1" spans="1:12">
      <c r="A442" s="2">
        <v>14.674</v>
      </c>
      <c r="B442" s="10" t="s">
        <v>124</v>
      </c>
      <c r="C442" s="4">
        <v>14.674</v>
      </c>
      <c r="D442" s="5">
        <v>165.4</v>
      </c>
      <c r="E442" s="4"/>
      <c r="F442" s="4"/>
      <c r="G442" s="2">
        <f t="shared" si="36"/>
        <v>14.641</v>
      </c>
      <c r="H442" s="11" t="str">
        <f t="shared" si="37"/>
        <v>3.631E-2</v>
      </c>
      <c r="I442" s="2">
        <f t="shared" si="38"/>
        <v>165.9</v>
      </c>
      <c r="J442" s="4">
        <f t="shared" si="39"/>
        <v>14.641</v>
      </c>
      <c r="K442" s="9">
        <f t="shared" si="40"/>
        <v>27.9</v>
      </c>
      <c r="L442" s="1">
        <f t="shared" si="41"/>
        <v>-0.300000000000022</v>
      </c>
    </row>
    <row r="443" s="1" customFormat="1" spans="1:12">
      <c r="A443" s="2">
        <v>14.708</v>
      </c>
      <c r="B443" s="10" t="s">
        <v>290</v>
      </c>
      <c r="C443" s="4">
        <v>14.708</v>
      </c>
      <c r="D443" s="5">
        <v>164.3</v>
      </c>
      <c r="E443" s="4"/>
      <c r="F443" s="4"/>
      <c r="G443" s="2">
        <f t="shared" si="36"/>
        <v>14.674</v>
      </c>
      <c r="H443" s="11" t="str">
        <f t="shared" si="37"/>
        <v>3.631E-2</v>
      </c>
      <c r="I443" s="2">
        <f t="shared" si="38"/>
        <v>165.4</v>
      </c>
      <c r="J443" s="4">
        <f t="shared" si="39"/>
        <v>14.674</v>
      </c>
      <c r="K443" s="9">
        <f t="shared" si="40"/>
        <v>27.9</v>
      </c>
      <c r="L443" s="1">
        <f t="shared" si="41"/>
        <v>-0.300000000000022</v>
      </c>
    </row>
    <row r="444" s="1" customFormat="1" spans="1:12">
      <c r="A444" s="2">
        <v>14.741</v>
      </c>
      <c r="B444" s="10" t="s">
        <v>155</v>
      </c>
      <c r="C444" s="4">
        <v>14.741</v>
      </c>
      <c r="D444" s="5">
        <v>163.3</v>
      </c>
      <c r="E444" s="4"/>
      <c r="F444" s="4"/>
      <c r="G444" s="2">
        <f t="shared" si="36"/>
        <v>14.708</v>
      </c>
      <c r="H444" s="11" t="str">
        <f t="shared" si="37"/>
        <v>3.632E-2</v>
      </c>
      <c r="I444" s="2">
        <f t="shared" si="38"/>
        <v>164.3</v>
      </c>
      <c r="J444" s="4">
        <f t="shared" si="39"/>
        <v>14.708</v>
      </c>
      <c r="K444" s="9">
        <f t="shared" si="40"/>
        <v>28</v>
      </c>
      <c r="L444" s="1">
        <f t="shared" si="41"/>
        <v>-0.300000000000022</v>
      </c>
    </row>
    <row r="445" s="1" customFormat="1" spans="1:12">
      <c r="A445" s="2">
        <v>14.774</v>
      </c>
      <c r="B445" s="10" t="s">
        <v>155</v>
      </c>
      <c r="C445" s="4">
        <v>14.774</v>
      </c>
      <c r="D445" s="5">
        <v>162</v>
      </c>
      <c r="E445" s="4"/>
      <c r="F445" s="4"/>
      <c r="G445" s="2">
        <f t="shared" si="36"/>
        <v>14.741</v>
      </c>
      <c r="H445" s="11" t="str">
        <f t="shared" si="37"/>
        <v>3.630E-2</v>
      </c>
      <c r="I445" s="2">
        <f t="shared" si="38"/>
        <v>163.3</v>
      </c>
      <c r="J445" s="4">
        <f t="shared" si="39"/>
        <v>14.741</v>
      </c>
      <c r="K445" s="9">
        <f t="shared" si="40"/>
        <v>27.8</v>
      </c>
      <c r="L445" s="1">
        <f t="shared" si="41"/>
        <v>-0.300000000000022</v>
      </c>
    </row>
    <row r="446" s="1" customFormat="1" spans="1:12">
      <c r="A446" s="2">
        <v>14.808</v>
      </c>
      <c r="B446" s="10" t="s">
        <v>291</v>
      </c>
      <c r="C446" s="4">
        <v>14.808</v>
      </c>
      <c r="D446" s="5">
        <v>161.5</v>
      </c>
      <c r="E446" s="4"/>
      <c r="F446" s="4"/>
      <c r="G446" s="2">
        <f t="shared" si="36"/>
        <v>14.774</v>
      </c>
      <c r="H446" s="11" t="str">
        <f t="shared" si="37"/>
        <v>3.630E-2</v>
      </c>
      <c r="I446" s="2">
        <f t="shared" si="38"/>
        <v>162</v>
      </c>
      <c r="J446" s="4">
        <f t="shared" si="39"/>
        <v>14.774</v>
      </c>
      <c r="K446" s="9">
        <f t="shared" si="40"/>
        <v>27.8</v>
      </c>
      <c r="L446" s="1">
        <f t="shared" si="41"/>
        <v>-0.300000000000022</v>
      </c>
    </row>
    <row r="447" s="1" customFormat="1" spans="1:12">
      <c r="A447" s="2">
        <v>14.841</v>
      </c>
      <c r="B447" s="10" t="s">
        <v>132</v>
      </c>
      <c r="C447" s="4">
        <v>14.841</v>
      </c>
      <c r="D447" s="5">
        <v>161.4</v>
      </c>
      <c r="E447" s="4"/>
      <c r="F447" s="4"/>
      <c r="G447" s="2">
        <f t="shared" si="36"/>
        <v>14.808</v>
      </c>
      <c r="H447" s="11" t="str">
        <f t="shared" si="37"/>
        <v>3.628E-2</v>
      </c>
      <c r="I447" s="2">
        <f t="shared" si="38"/>
        <v>161.5</v>
      </c>
      <c r="J447" s="4">
        <f t="shared" si="39"/>
        <v>14.808</v>
      </c>
      <c r="K447" s="9">
        <f t="shared" si="40"/>
        <v>27.6</v>
      </c>
      <c r="L447" s="1">
        <f t="shared" si="41"/>
        <v>-0.300000000000022</v>
      </c>
    </row>
    <row r="448" s="1" customFormat="1" spans="1:12">
      <c r="A448" s="2">
        <v>14.875</v>
      </c>
      <c r="B448" s="10" t="s">
        <v>154</v>
      </c>
      <c r="C448" s="4">
        <v>14.875</v>
      </c>
      <c r="D448" s="5">
        <v>160.5</v>
      </c>
      <c r="E448" s="4"/>
      <c r="F448" s="4"/>
      <c r="G448" s="2">
        <f t="shared" si="36"/>
        <v>14.841</v>
      </c>
      <c r="H448" s="11" t="str">
        <f t="shared" si="37"/>
        <v>3.626E-2</v>
      </c>
      <c r="I448" s="2">
        <f t="shared" si="38"/>
        <v>161.4</v>
      </c>
      <c r="J448" s="4">
        <f t="shared" si="39"/>
        <v>14.841</v>
      </c>
      <c r="K448" s="9">
        <f t="shared" si="40"/>
        <v>27.4</v>
      </c>
      <c r="L448" s="1">
        <f t="shared" si="41"/>
        <v>-0.300000000000022</v>
      </c>
    </row>
    <row r="449" s="1" customFormat="1" spans="1:12">
      <c r="A449" s="2">
        <v>14.908</v>
      </c>
      <c r="B449" s="10" t="s">
        <v>123</v>
      </c>
      <c r="C449" s="4">
        <v>14.908</v>
      </c>
      <c r="D449" s="5">
        <v>158.7</v>
      </c>
      <c r="E449" s="4"/>
      <c r="F449" s="4"/>
      <c r="G449" s="2">
        <f t="shared" si="36"/>
        <v>14.875</v>
      </c>
      <c r="H449" s="11" t="str">
        <f t="shared" si="37"/>
        <v>3.625E-2</v>
      </c>
      <c r="I449" s="2">
        <f t="shared" si="38"/>
        <v>160.5</v>
      </c>
      <c r="J449" s="4">
        <f t="shared" si="39"/>
        <v>14.875</v>
      </c>
      <c r="K449" s="9">
        <f t="shared" si="40"/>
        <v>27.3</v>
      </c>
      <c r="L449" s="1">
        <f t="shared" si="41"/>
        <v>-0.300000000000022</v>
      </c>
    </row>
    <row r="450" s="1" customFormat="1" spans="1:12">
      <c r="A450" s="2">
        <v>14.942</v>
      </c>
      <c r="B450" s="10" t="s">
        <v>123</v>
      </c>
      <c r="C450" s="4">
        <v>14.942</v>
      </c>
      <c r="D450" s="5">
        <v>157.6</v>
      </c>
      <c r="E450" s="4"/>
      <c r="F450" s="4"/>
      <c r="G450" s="2">
        <f t="shared" si="36"/>
        <v>14.908</v>
      </c>
      <c r="H450" s="11" t="str">
        <f t="shared" si="37"/>
        <v>3.622E-2</v>
      </c>
      <c r="I450" s="2">
        <f t="shared" si="38"/>
        <v>158.7</v>
      </c>
      <c r="J450" s="4">
        <f t="shared" si="39"/>
        <v>14.908</v>
      </c>
      <c r="K450" s="9">
        <f t="shared" si="40"/>
        <v>27</v>
      </c>
      <c r="L450" s="1">
        <f t="shared" si="41"/>
        <v>-0.300000000000022</v>
      </c>
    </row>
    <row r="451" s="1" customFormat="1" spans="1:12">
      <c r="A451" s="2">
        <v>14.975</v>
      </c>
      <c r="B451" s="10" t="s">
        <v>153</v>
      </c>
      <c r="C451" s="4">
        <v>14.975</v>
      </c>
      <c r="D451" s="5">
        <v>157</v>
      </c>
      <c r="E451" s="4"/>
      <c r="F451" s="4"/>
      <c r="G451" s="2">
        <f t="shared" si="36"/>
        <v>14.942</v>
      </c>
      <c r="H451" s="11" t="str">
        <f t="shared" si="37"/>
        <v>3.622E-2</v>
      </c>
      <c r="I451" s="2">
        <f t="shared" si="38"/>
        <v>157.6</v>
      </c>
      <c r="J451" s="4">
        <f t="shared" si="39"/>
        <v>14.942</v>
      </c>
      <c r="K451" s="9">
        <f t="shared" si="40"/>
        <v>27</v>
      </c>
      <c r="L451" s="1">
        <f t="shared" si="41"/>
        <v>-0.300000000000022</v>
      </c>
    </row>
    <row r="452" s="1" customFormat="1" spans="1:12">
      <c r="A452" s="2">
        <v>15.008</v>
      </c>
      <c r="B452" s="10" t="s">
        <v>317</v>
      </c>
      <c r="C452" s="4">
        <v>15.008</v>
      </c>
      <c r="D452" s="5">
        <v>156.3</v>
      </c>
      <c r="E452" s="4"/>
      <c r="F452" s="4"/>
      <c r="G452" s="2">
        <f t="shared" ref="G452:G515" si="42">A451</f>
        <v>14.975</v>
      </c>
      <c r="H452" s="11" t="str">
        <f t="shared" ref="H452:H515" si="43">B451</f>
        <v>3.619E-2</v>
      </c>
      <c r="I452" s="2">
        <f t="shared" ref="I452:I515" si="44">D451</f>
        <v>157</v>
      </c>
      <c r="J452" s="4">
        <f t="shared" ref="J452:J515" si="45">G452</f>
        <v>14.975</v>
      </c>
      <c r="K452" s="9">
        <f t="shared" ref="K452:K515" si="46">(H452-$H$4)*10000</f>
        <v>26.7</v>
      </c>
      <c r="L452" s="1">
        <f t="shared" si="41"/>
        <v>-0.300000000000022</v>
      </c>
    </row>
    <row r="453" s="1" customFormat="1" spans="1:12">
      <c r="A453" s="2">
        <v>15.042</v>
      </c>
      <c r="B453" s="10" t="s">
        <v>283</v>
      </c>
      <c r="C453" s="4">
        <v>15.042</v>
      </c>
      <c r="D453" s="5">
        <v>155</v>
      </c>
      <c r="E453" s="4"/>
      <c r="F453" s="4"/>
      <c r="G453" s="2">
        <f t="shared" si="42"/>
        <v>15.008</v>
      </c>
      <c r="H453" s="11" t="str">
        <f t="shared" si="43"/>
        <v>3.615E-2</v>
      </c>
      <c r="I453" s="2">
        <f t="shared" si="44"/>
        <v>156.3</v>
      </c>
      <c r="J453" s="4">
        <f t="shared" si="45"/>
        <v>15.008</v>
      </c>
      <c r="K453" s="9">
        <f t="shared" si="46"/>
        <v>26.3</v>
      </c>
      <c r="L453" s="1">
        <f t="shared" ref="L453:L516" si="47">IF(I453&lt;230,MIN(K:K),MAX(K:K))</f>
        <v>-0.300000000000022</v>
      </c>
    </row>
    <row r="454" s="1" customFormat="1" spans="1:12">
      <c r="A454" s="2">
        <v>15.075</v>
      </c>
      <c r="B454" s="10" t="s">
        <v>133</v>
      </c>
      <c r="C454" s="4">
        <v>15.075</v>
      </c>
      <c r="D454" s="5">
        <v>153.5</v>
      </c>
      <c r="E454" s="4"/>
      <c r="F454" s="4"/>
      <c r="G454" s="2">
        <f t="shared" si="42"/>
        <v>15.042</v>
      </c>
      <c r="H454" s="11" t="str">
        <f t="shared" si="43"/>
        <v>3.613E-2</v>
      </c>
      <c r="I454" s="2">
        <f t="shared" si="44"/>
        <v>155</v>
      </c>
      <c r="J454" s="4">
        <f t="shared" si="45"/>
        <v>15.042</v>
      </c>
      <c r="K454" s="9">
        <f t="shared" si="46"/>
        <v>26.1</v>
      </c>
      <c r="L454" s="1">
        <f t="shared" si="47"/>
        <v>-0.300000000000022</v>
      </c>
    </row>
    <row r="455" s="1" customFormat="1" spans="1:12">
      <c r="A455" s="2">
        <v>15.109</v>
      </c>
      <c r="B455" s="10" t="s">
        <v>294</v>
      </c>
      <c r="C455" s="4">
        <v>15.109</v>
      </c>
      <c r="D455" s="5">
        <v>153.6</v>
      </c>
      <c r="E455" s="4"/>
      <c r="F455" s="4"/>
      <c r="G455" s="2">
        <f t="shared" si="42"/>
        <v>15.075</v>
      </c>
      <c r="H455" s="11" t="str">
        <f t="shared" si="43"/>
        <v>3.610E-2</v>
      </c>
      <c r="I455" s="2">
        <f t="shared" si="44"/>
        <v>153.5</v>
      </c>
      <c r="J455" s="4">
        <f t="shared" si="45"/>
        <v>15.075</v>
      </c>
      <c r="K455" s="9">
        <f t="shared" si="46"/>
        <v>25.8</v>
      </c>
      <c r="L455" s="1">
        <f t="shared" si="47"/>
        <v>-0.300000000000022</v>
      </c>
    </row>
    <row r="456" s="1" customFormat="1" spans="1:12">
      <c r="A456" s="2">
        <v>15.142</v>
      </c>
      <c r="B456" s="10" t="s">
        <v>134</v>
      </c>
      <c r="C456" s="4">
        <v>15.142</v>
      </c>
      <c r="D456" s="5">
        <v>153</v>
      </c>
      <c r="E456" s="4"/>
      <c r="F456" s="4"/>
      <c r="G456" s="2">
        <f t="shared" si="42"/>
        <v>15.109</v>
      </c>
      <c r="H456" s="11" t="str">
        <f t="shared" si="43"/>
        <v>3.606E-2</v>
      </c>
      <c r="I456" s="2">
        <f t="shared" si="44"/>
        <v>153.6</v>
      </c>
      <c r="J456" s="4">
        <f t="shared" si="45"/>
        <v>15.109</v>
      </c>
      <c r="K456" s="9">
        <f t="shared" si="46"/>
        <v>25.4</v>
      </c>
      <c r="L456" s="1">
        <f t="shared" si="47"/>
        <v>-0.300000000000022</v>
      </c>
    </row>
    <row r="457" s="1" customFormat="1" spans="1:12">
      <c r="A457" s="2">
        <v>15.176</v>
      </c>
      <c r="B457" s="10" t="s">
        <v>70</v>
      </c>
      <c r="C457" s="4">
        <v>15.176</v>
      </c>
      <c r="D457" s="5">
        <v>150.8</v>
      </c>
      <c r="E457" s="4"/>
      <c r="F457" s="4"/>
      <c r="G457" s="2">
        <f t="shared" si="42"/>
        <v>15.142</v>
      </c>
      <c r="H457" s="11" t="str">
        <f t="shared" si="43"/>
        <v>3.595E-2</v>
      </c>
      <c r="I457" s="2">
        <f t="shared" si="44"/>
        <v>153</v>
      </c>
      <c r="J457" s="4">
        <f t="shared" si="45"/>
        <v>15.142</v>
      </c>
      <c r="K457" s="9">
        <f t="shared" si="46"/>
        <v>24.3</v>
      </c>
      <c r="L457" s="1">
        <f t="shared" si="47"/>
        <v>-0.300000000000022</v>
      </c>
    </row>
    <row r="458" s="1" customFormat="1" spans="1:12">
      <c r="A458" s="2">
        <v>15.209</v>
      </c>
      <c r="B458" s="10" t="s">
        <v>177</v>
      </c>
      <c r="C458" s="4">
        <v>15.209</v>
      </c>
      <c r="D458" s="5">
        <v>151.1</v>
      </c>
      <c r="E458" s="4"/>
      <c r="F458" s="4"/>
      <c r="G458" s="2">
        <f t="shared" si="42"/>
        <v>15.176</v>
      </c>
      <c r="H458" s="11" t="str">
        <f t="shared" si="43"/>
        <v>3.589E-2</v>
      </c>
      <c r="I458" s="2">
        <f t="shared" si="44"/>
        <v>150.8</v>
      </c>
      <c r="J458" s="4">
        <f t="shared" si="45"/>
        <v>15.176</v>
      </c>
      <c r="K458" s="9">
        <f t="shared" si="46"/>
        <v>23.7</v>
      </c>
      <c r="L458" s="1">
        <f t="shared" si="47"/>
        <v>-0.300000000000022</v>
      </c>
    </row>
    <row r="459" s="1" customFormat="1" spans="1:12">
      <c r="A459" s="2">
        <v>15.242</v>
      </c>
      <c r="B459" s="10" t="s">
        <v>150</v>
      </c>
      <c r="C459" s="4">
        <v>15.242</v>
      </c>
      <c r="D459" s="5">
        <v>149.3</v>
      </c>
      <c r="E459" s="4"/>
      <c r="F459" s="4"/>
      <c r="G459" s="2">
        <f t="shared" si="42"/>
        <v>15.209</v>
      </c>
      <c r="H459" s="11" t="str">
        <f t="shared" si="43"/>
        <v>3.582E-2</v>
      </c>
      <c r="I459" s="2">
        <f t="shared" si="44"/>
        <v>151.1</v>
      </c>
      <c r="J459" s="4">
        <f t="shared" si="45"/>
        <v>15.209</v>
      </c>
      <c r="K459" s="9">
        <f t="shared" si="46"/>
        <v>23</v>
      </c>
      <c r="L459" s="1">
        <f t="shared" si="47"/>
        <v>-0.300000000000022</v>
      </c>
    </row>
    <row r="460" s="1" customFormat="1" spans="1:12">
      <c r="A460" s="2">
        <v>15.276</v>
      </c>
      <c r="B460" s="10" t="s">
        <v>65</v>
      </c>
      <c r="C460" s="4">
        <v>15.276</v>
      </c>
      <c r="D460" s="5">
        <v>148.5</v>
      </c>
      <c r="E460" s="4"/>
      <c r="F460" s="4"/>
      <c r="G460" s="2">
        <f t="shared" si="42"/>
        <v>15.242</v>
      </c>
      <c r="H460" s="11" t="str">
        <f t="shared" si="43"/>
        <v>3.579E-2</v>
      </c>
      <c r="I460" s="2">
        <f t="shared" si="44"/>
        <v>149.3</v>
      </c>
      <c r="J460" s="4">
        <f t="shared" si="45"/>
        <v>15.242</v>
      </c>
      <c r="K460" s="9">
        <f t="shared" si="46"/>
        <v>22.7</v>
      </c>
      <c r="L460" s="1">
        <f t="shared" si="47"/>
        <v>-0.300000000000022</v>
      </c>
    </row>
    <row r="461" s="1" customFormat="1" spans="1:12">
      <c r="A461" s="2">
        <v>15.309</v>
      </c>
      <c r="B461" s="10" t="s">
        <v>135</v>
      </c>
      <c r="C461" s="4">
        <v>15.309</v>
      </c>
      <c r="D461" s="5">
        <v>222</v>
      </c>
      <c r="E461" s="4"/>
      <c r="F461" s="4"/>
      <c r="G461" s="2">
        <f t="shared" si="42"/>
        <v>15.276</v>
      </c>
      <c r="H461" s="11" t="str">
        <f t="shared" si="43"/>
        <v>3.567E-2</v>
      </c>
      <c r="I461" s="2">
        <f t="shared" si="44"/>
        <v>148.5</v>
      </c>
      <c r="J461" s="4">
        <f t="shared" si="45"/>
        <v>15.276</v>
      </c>
      <c r="K461" s="9">
        <f t="shared" si="46"/>
        <v>21.5</v>
      </c>
      <c r="L461" s="1">
        <f t="shared" si="47"/>
        <v>-0.300000000000022</v>
      </c>
    </row>
    <row r="462" s="1" customFormat="1" spans="1:12">
      <c r="A462" s="2">
        <v>15.343</v>
      </c>
      <c r="B462" s="10" t="s">
        <v>64</v>
      </c>
      <c r="C462" s="4">
        <v>15.343</v>
      </c>
      <c r="D462" s="5">
        <v>253.8</v>
      </c>
      <c r="E462" s="4"/>
      <c r="F462" s="4"/>
      <c r="G462" s="2">
        <f t="shared" si="42"/>
        <v>15.309</v>
      </c>
      <c r="H462" s="11" t="str">
        <f t="shared" si="43"/>
        <v>3.560E-2</v>
      </c>
      <c r="I462" s="2">
        <f t="shared" si="44"/>
        <v>222</v>
      </c>
      <c r="J462" s="4">
        <f t="shared" si="45"/>
        <v>15.309</v>
      </c>
      <c r="K462" s="9">
        <f t="shared" si="46"/>
        <v>20.8</v>
      </c>
      <c r="L462" s="1">
        <f t="shared" si="47"/>
        <v>-0.300000000000022</v>
      </c>
    </row>
    <row r="463" s="1" customFormat="1" spans="1:12">
      <c r="A463" s="2">
        <v>15.376</v>
      </c>
      <c r="B463" s="10" t="s">
        <v>296</v>
      </c>
      <c r="C463" s="4">
        <v>15.376</v>
      </c>
      <c r="D463" s="5">
        <v>253.8</v>
      </c>
      <c r="E463" s="4"/>
      <c r="F463" s="4"/>
      <c r="G463" s="2">
        <f t="shared" si="42"/>
        <v>15.343</v>
      </c>
      <c r="H463" s="11" t="str">
        <f t="shared" si="43"/>
        <v>3.557E-2</v>
      </c>
      <c r="I463" s="2">
        <f t="shared" si="44"/>
        <v>253.8</v>
      </c>
      <c r="J463" s="4">
        <f t="shared" si="45"/>
        <v>15.343</v>
      </c>
      <c r="K463" s="9">
        <f t="shared" si="46"/>
        <v>20.5</v>
      </c>
      <c r="L463" s="1">
        <f t="shared" si="47"/>
        <v>28.4</v>
      </c>
    </row>
    <row r="464" s="1" customFormat="1" spans="1:12">
      <c r="A464" s="2">
        <v>15.409</v>
      </c>
      <c r="B464" s="10" t="s">
        <v>92</v>
      </c>
      <c r="C464" s="4">
        <v>15.409</v>
      </c>
      <c r="D464" s="5">
        <v>253.8</v>
      </c>
      <c r="E464" s="4"/>
      <c r="F464" s="4"/>
      <c r="G464" s="2">
        <f t="shared" si="42"/>
        <v>15.376</v>
      </c>
      <c r="H464" s="11" t="str">
        <f t="shared" si="43"/>
        <v>3.556E-2</v>
      </c>
      <c r="I464" s="2">
        <f t="shared" si="44"/>
        <v>253.8</v>
      </c>
      <c r="J464" s="4">
        <f t="shared" si="45"/>
        <v>15.376</v>
      </c>
      <c r="K464" s="9">
        <f t="shared" si="46"/>
        <v>20.4</v>
      </c>
      <c r="L464" s="1">
        <f t="shared" si="47"/>
        <v>28.4</v>
      </c>
    </row>
    <row r="465" s="1" customFormat="1" spans="1:12">
      <c r="A465" s="2">
        <v>15.443</v>
      </c>
      <c r="B465" s="10" t="s">
        <v>208</v>
      </c>
      <c r="C465" s="4">
        <v>15.443</v>
      </c>
      <c r="D465" s="5">
        <v>253.8</v>
      </c>
      <c r="E465" s="4"/>
      <c r="F465" s="4"/>
      <c r="G465" s="2">
        <f t="shared" si="42"/>
        <v>15.409</v>
      </c>
      <c r="H465" s="11" t="str">
        <f t="shared" si="43"/>
        <v>3.554E-2</v>
      </c>
      <c r="I465" s="2">
        <f t="shared" si="44"/>
        <v>253.8</v>
      </c>
      <c r="J465" s="4">
        <f t="shared" si="45"/>
        <v>15.409</v>
      </c>
      <c r="K465" s="9">
        <f t="shared" si="46"/>
        <v>20.2</v>
      </c>
      <c r="L465" s="1">
        <f t="shared" si="47"/>
        <v>28.4</v>
      </c>
    </row>
    <row r="466" s="1" customFormat="1" spans="1:12">
      <c r="A466" s="2">
        <v>15.476</v>
      </c>
      <c r="B466" s="10" t="s">
        <v>64</v>
      </c>
      <c r="C466" s="4">
        <v>15.476</v>
      </c>
      <c r="D466" s="5">
        <v>253.8</v>
      </c>
      <c r="E466" s="4"/>
      <c r="F466" s="4"/>
      <c r="G466" s="2">
        <f t="shared" si="42"/>
        <v>15.443</v>
      </c>
      <c r="H466" s="11" t="str">
        <f t="shared" si="43"/>
        <v>3.555E-2</v>
      </c>
      <c r="I466" s="2">
        <f t="shared" si="44"/>
        <v>253.8</v>
      </c>
      <c r="J466" s="4">
        <f t="shared" si="45"/>
        <v>15.443</v>
      </c>
      <c r="K466" s="9">
        <f t="shared" si="46"/>
        <v>20.3</v>
      </c>
      <c r="L466" s="1">
        <f t="shared" si="47"/>
        <v>28.4</v>
      </c>
    </row>
    <row r="467" s="1" customFormat="1" spans="1:12">
      <c r="A467" s="2">
        <v>15.51</v>
      </c>
      <c r="B467" s="10" t="s">
        <v>296</v>
      </c>
      <c r="C467" s="4">
        <v>15.51</v>
      </c>
      <c r="D467" s="5">
        <v>253.8</v>
      </c>
      <c r="E467" s="4"/>
      <c r="F467" s="4"/>
      <c r="G467" s="2">
        <f t="shared" si="42"/>
        <v>15.476</v>
      </c>
      <c r="H467" s="11" t="str">
        <f t="shared" si="43"/>
        <v>3.557E-2</v>
      </c>
      <c r="I467" s="2">
        <f t="shared" si="44"/>
        <v>253.8</v>
      </c>
      <c r="J467" s="4">
        <f t="shared" si="45"/>
        <v>15.476</v>
      </c>
      <c r="K467" s="9">
        <f t="shared" si="46"/>
        <v>20.5</v>
      </c>
      <c r="L467" s="1">
        <f t="shared" si="47"/>
        <v>28.4</v>
      </c>
    </row>
    <row r="468" s="1" customFormat="1" spans="1:12">
      <c r="A468" s="2">
        <v>15.543</v>
      </c>
      <c r="B468" s="10" t="s">
        <v>306</v>
      </c>
      <c r="C468" s="4">
        <v>15.543</v>
      </c>
      <c r="D468" s="5">
        <v>253.8</v>
      </c>
      <c r="E468" s="4"/>
      <c r="F468" s="4"/>
      <c r="G468" s="2">
        <f t="shared" si="42"/>
        <v>15.51</v>
      </c>
      <c r="H468" s="11" t="str">
        <f t="shared" si="43"/>
        <v>3.556E-2</v>
      </c>
      <c r="I468" s="2">
        <f t="shared" si="44"/>
        <v>253.8</v>
      </c>
      <c r="J468" s="4">
        <f t="shared" si="45"/>
        <v>15.51</v>
      </c>
      <c r="K468" s="9">
        <f t="shared" si="46"/>
        <v>20.4</v>
      </c>
      <c r="L468" s="1">
        <f t="shared" si="47"/>
        <v>28.4</v>
      </c>
    </row>
    <row r="469" s="1" customFormat="1" spans="1:12">
      <c r="A469" s="2">
        <v>15.577</v>
      </c>
      <c r="B469" s="10" t="s">
        <v>135</v>
      </c>
      <c r="C469" s="4">
        <v>15.577</v>
      </c>
      <c r="D469" s="5">
        <v>253.8</v>
      </c>
      <c r="E469" s="4"/>
      <c r="F469" s="4"/>
      <c r="G469" s="2">
        <f t="shared" si="42"/>
        <v>15.543</v>
      </c>
      <c r="H469" s="11" t="str">
        <f t="shared" si="43"/>
        <v>3.558E-2</v>
      </c>
      <c r="I469" s="2">
        <f t="shared" si="44"/>
        <v>253.8</v>
      </c>
      <c r="J469" s="4">
        <f t="shared" si="45"/>
        <v>15.543</v>
      </c>
      <c r="K469" s="9">
        <f t="shared" si="46"/>
        <v>20.6</v>
      </c>
      <c r="L469" s="1">
        <f t="shared" si="47"/>
        <v>28.4</v>
      </c>
    </row>
    <row r="470" s="1" customFormat="1" spans="1:12">
      <c r="A470" s="2">
        <v>15.61</v>
      </c>
      <c r="B470" s="10" t="s">
        <v>212</v>
      </c>
      <c r="C470" s="4">
        <v>15.61</v>
      </c>
      <c r="D470" s="5">
        <v>253.8</v>
      </c>
      <c r="E470" s="4"/>
      <c r="F470" s="4"/>
      <c r="G470" s="2">
        <f t="shared" si="42"/>
        <v>15.577</v>
      </c>
      <c r="H470" s="11" t="str">
        <f t="shared" si="43"/>
        <v>3.560E-2</v>
      </c>
      <c r="I470" s="2">
        <f t="shared" si="44"/>
        <v>253.8</v>
      </c>
      <c r="J470" s="4">
        <f t="shared" si="45"/>
        <v>15.577</v>
      </c>
      <c r="K470" s="9">
        <f t="shared" si="46"/>
        <v>20.8</v>
      </c>
      <c r="L470" s="1">
        <f t="shared" si="47"/>
        <v>28.4</v>
      </c>
    </row>
    <row r="471" s="1" customFormat="1" spans="1:12">
      <c r="A471" s="2">
        <v>15.643</v>
      </c>
      <c r="B471" s="10" t="s">
        <v>74</v>
      </c>
      <c r="C471" s="4">
        <v>15.643</v>
      </c>
      <c r="D471" s="5">
        <v>253.8</v>
      </c>
      <c r="E471" s="4"/>
      <c r="F471" s="4"/>
      <c r="G471" s="2">
        <f t="shared" si="42"/>
        <v>15.61</v>
      </c>
      <c r="H471" s="11" t="str">
        <f t="shared" si="43"/>
        <v>3.562E-2</v>
      </c>
      <c r="I471" s="2">
        <f t="shared" si="44"/>
        <v>253.8</v>
      </c>
      <c r="J471" s="4">
        <f t="shared" si="45"/>
        <v>15.61</v>
      </c>
      <c r="K471" s="9">
        <f t="shared" si="46"/>
        <v>21</v>
      </c>
      <c r="L471" s="1">
        <f t="shared" si="47"/>
        <v>28.4</v>
      </c>
    </row>
    <row r="472" s="1" customFormat="1" spans="1:12">
      <c r="A472" s="2">
        <v>15.677</v>
      </c>
      <c r="B472" s="10" t="s">
        <v>210</v>
      </c>
      <c r="C472" s="4">
        <v>15.677</v>
      </c>
      <c r="D472" s="5">
        <v>253.8</v>
      </c>
      <c r="E472" s="4"/>
      <c r="F472" s="4"/>
      <c r="G472" s="2">
        <f t="shared" si="42"/>
        <v>15.643</v>
      </c>
      <c r="H472" s="11" t="str">
        <f t="shared" si="43"/>
        <v>3.563E-2</v>
      </c>
      <c r="I472" s="2">
        <f t="shared" si="44"/>
        <v>253.8</v>
      </c>
      <c r="J472" s="4">
        <f t="shared" si="45"/>
        <v>15.643</v>
      </c>
      <c r="K472" s="9">
        <f t="shared" si="46"/>
        <v>21.1</v>
      </c>
      <c r="L472" s="1">
        <f t="shared" si="47"/>
        <v>28.4</v>
      </c>
    </row>
    <row r="473" s="1" customFormat="1" spans="1:12">
      <c r="A473" s="2">
        <v>15.71</v>
      </c>
      <c r="B473" s="10" t="s">
        <v>211</v>
      </c>
      <c r="C473" s="4">
        <v>15.71</v>
      </c>
      <c r="D473" s="5">
        <v>253.8</v>
      </c>
      <c r="E473" s="4"/>
      <c r="F473" s="4"/>
      <c r="G473" s="2">
        <f t="shared" si="42"/>
        <v>15.677</v>
      </c>
      <c r="H473" s="11" t="str">
        <f t="shared" si="43"/>
        <v>3.566E-2</v>
      </c>
      <c r="I473" s="2">
        <f t="shared" si="44"/>
        <v>253.8</v>
      </c>
      <c r="J473" s="4">
        <f t="shared" si="45"/>
        <v>15.677</v>
      </c>
      <c r="K473" s="9">
        <f t="shared" si="46"/>
        <v>21.4</v>
      </c>
      <c r="L473" s="1">
        <f t="shared" si="47"/>
        <v>28.4</v>
      </c>
    </row>
    <row r="474" s="1" customFormat="1" spans="1:12">
      <c r="A474" s="2">
        <v>15.744</v>
      </c>
      <c r="B474" s="10" t="s">
        <v>302</v>
      </c>
      <c r="C474" s="4">
        <v>15.744</v>
      </c>
      <c r="D474" s="5">
        <v>253.8</v>
      </c>
      <c r="E474" s="4"/>
      <c r="F474" s="4"/>
      <c r="G474" s="2">
        <f t="shared" si="42"/>
        <v>15.71</v>
      </c>
      <c r="H474" s="11" t="str">
        <f t="shared" si="43"/>
        <v>3.568E-2</v>
      </c>
      <c r="I474" s="2">
        <f t="shared" si="44"/>
        <v>253.8</v>
      </c>
      <c r="J474" s="4">
        <f t="shared" si="45"/>
        <v>15.71</v>
      </c>
      <c r="K474" s="9">
        <f t="shared" si="46"/>
        <v>21.6</v>
      </c>
      <c r="L474" s="1">
        <f t="shared" si="47"/>
        <v>28.4</v>
      </c>
    </row>
    <row r="475" s="1" customFormat="1" spans="1:12">
      <c r="A475" s="2">
        <v>15.777</v>
      </c>
      <c r="B475" s="10" t="s">
        <v>219</v>
      </c>
      <c r="C475" s="4">
        <v>15.777</v>
      </c>
      <c r="D475" s="5">
        <v>253.8</v>
      </c>
      <c r="E475" s="4"/>
      <c r="F475" s="4"/>
      <c r="G475" s="2">
        <f t="shared" si="42"/>
        <v>15.744</v>
      </c>
      <c r="H475" s="11" t="str">
        <f t="shared" si="43"/>
        <v>3.569E-2</v>
      </c>
      <c r="I475" s="2">
        <f t="shared" si="44"/>
        <v>253.8</v>
      </c>
      <c r="J475" s="4">
        <f t="shared" si="45"/>
        <v>15.744</v>
      </c>
      <c r="K475" s="9">
        <f t="shared" si="46"/>
        <v>21.7</v>
      </c>
      <c r="L475" s="1">
        <f t="shared" si="47"/>
        <v>28.4</v>
      </c>
    </row>
    <row r="476" s="1" customFormat="1" spans="1:12">
      <c r="A476" s="2">
        <v>15.811</v>
      </c>
      <c r="B476" s="10" t="s">
        <v>72</v>
      </c>
      <c r="C476" s="4">
        <v>15.811</v>
      </c>
      <c r="D476" s="5">
        <v>253.8</v>
      </c>
      <c r="E476" s="4"/>
      <c r="F476" s="4"/>
      <c r="G476" s="2">
        <f t="shared" si="42"/>
        <v>15.777</v>
      </c>
      <c r="H476" s="11" t="str">
        <f t="shared" si="43"/>
        <v>3.574E-2</v>
      </c>
      <c r="I476" s="2">
        <f t="shared" si="44"/>
        <v>253.8</v>
      </c>
      <c r="J476" s="4">
        <f t="shared" si="45"/>
        <v>15.777</v>
      </c>
      <c r="K476" s="9">
        <f t="shared" si="46"/>
        <v>22.2</v>
      </c>
      <c r="L476" s="1">
        <f t="shared" si="47"/>
        <v>28.4</v>
      </c>
    </row>
    <row r="477" s="1" customFormat="1" spans="1:12">
      <c r="A477" s="2">
        <v>15.844</v>
      </c>
      <c r="B477" s="10" t="s">
        <v>71</v>
      </c>
      <c r="C477" s="4">
        <v>15.844</v>
      </c>
      <c r="D477" s="5">
        <v>253.8</v>
      </c>
      <c r="E477" s="4"/>
      <c r="F477" s="4"/>
      <c r="G477" s="2">
        <f t="shared" si="42"/>
        <v>15.811</v>
      </c>
      <c r="H477" s="11" t="str">
        <f t="shared" si="43"/>
        <v>3.577E-2</v>
      </c>
      <c r="I477" s="2">
        <f t="shared" si="44"/>
        <v>253.8</v>
      </c>
      <c r="J477" s="4">
        <f t="shared" si="45"/>
        <v>15.811</v>
      </c>
      <c r="K477" s="9">
        <f t="shared" si="46"/>
        <v>22.5</v>
      </c>
      <c r="L477" s="1">
        <f t="shared" si="47"/>
        <v>28.4</v>
      </c>
    </row>
    <row r="478" s="1" customFormat="1" spans="1:12">
      <c r="A478" s="2">
        <v>15.877</v>
      </c>
      <c r="B478" s="10" t="s">
        <v>280</v>
      </c>
      <c r="C478" s="4">
        <v>15.877</v>
      </c>
      <c r="D478" s="5">
        <v>253.8</v>
      </c>
      <c r="E478" s="4"/>
      <c r="F478" s="4"/>
      <c r="G478" s="2">
        <f t="shared" si="42"/>
        <v>15.844</v>
      </c>
      <c r="H478" s="11" t="str">
        <f t="shared" si="43"/>
        <v>3.583E-2</v>
      </c>
      <c r="I478" s="2">
        <f t="shared" si="44"/>
        <v>253.8</v>
      </c>
      <c r="J478" s="4">
        <f t="shared" si="45"/>
        <v>15.844</v>
      </c>
      <c r="K478" s="9">
        <f t="shared" si="46"/>
        <v>23.1</v>
      </c>
      <c r="L478" s="1">
        <f t="shared" si="47"/>
        <v>28.4</v>
      </c>
    </row>
    <row r="479" s="1" customFormat="1" spans="1:12">
      <c r="A479" s="2">
        <v>15.911</v>
      </c>
      <c r="B479" s="10" t="s">
        <v>285</v>
      </c>
      <c r="C479" s="4">
        <v>15.911</v>
      </c>
      <c r="D479" s="5">
        <v>253.8</v>
      </c>
      <c r="E479" s="4"/>
      <c r="F479" s="4"/>
      <c r="G479" s="2">
        <f t="shared" si="42"/>
        <v>15.877</v>
      </c>
      <c r="H479" s="11" t="str">
        <f t="shared" si="43"/>
        <v>3.593E-2</v>
      </c>
      <c r="I479" s="2">
        <f t="shared" si="44"/>
        <v>253.8</v>
      </c>
      <c r="J479" s="4">
        <f t="shared" si="45"/>
        <v>15.877</v>
      </c>
      <c r="K479" s="9">
        <f t="shared" si="46"/>
        <v>24.1</v>
      </c>
      <c r="L479" s="1">
        <f t="shared" si="47"/>
        <v>28.4</v>
      </c>
    </row>
    <row r="480" s="1" customFormat="1" spans="1:12">
      <c r="A480" s="2">
        <v>15.944</v>
      </c>
      <c r="B480" s="10" t="s">
        <v>95</v>
      </c>
      <c r="C480" s="4">
        <v>15.944</v>
      </c>
      <c r="D480" s="5">
        <v>253.8</v>
      </c>
      <c r="E480" s="4"/>
      <c r="F480" s="4"/>
      <c r="G480" s="2">
        <f t="shared" si="42"/>
        <v>15.911</v>
      </c>
      <c r="H480" s="11" t="str">
        <f t="shared" si="43"/>
        <v>3.600E-2</v>
      </c>
      <c r="I480" s="2">
        <f t="shared" si="44"/>
        <v>253.8</v>
      </c>
      <c r="J480" s="4">
        <f t="shared" si="45"/>
        <v>15.911</v>
      </c>
      <c r="K480" s="9">
        <f t="shared" si="46"/>
        <v>24.8</v>
      </c>
      <c r="L480" s="1">
        <f t="shared" si="47"/>
        <v>28.4</v>
      </c>
    </row>
    <row r="481" s="1" customFormat="1" spans="1:12">
      <c r="A481" s="2">
        <v>15.978</v>
      </c>
      <c r="B481" s="10" t="s">
        <v>298</v>
      </c>
      <c r="C481" s="4">
        <v>15.978</v>
      </c>
      <c r="D481" s="5">
        <v>253.8</v>
      </c>
      <c r="E481" s="4"/>
      <c r="F481" s="4"/>
      <c r="G481" s="2">
        <f t="shared" si="42"/>
        <v>15.944</v>
      </c>
      <c r="H481" s="11" t="str">
        <f t="shared" si="43"/>
        <v>3.605E-2</v>
      </c>
      <c r="I481" s="2">
        <f t="shared" si="44"/>
        <v>253.8</v>
      </c>
      <c r="J481" s="4">
        <f t="shared" si="45"/>
        <v>15.944</v>
      </c>
      <c r="K481" s="9">
        <f t="shared" si="46"/>
        <v>25.3</v>
      </c>
      <c r="L481" s="1">
        <f t="shared" si="47"/>
        <v>28.4</v>
      </c>
    </row>
    <row r="482" s="1" customFormat="1" spans="1:12">
      <c r="A482" s="2">
        <v>16.011</v>
      </c>
      <c r="B482" s="10" t="s">
        <v>317</v>
      </c>
      <c r="C482" s="4">
        <v>16.011</v>
      </c>
      <c r="D482" s="5">
        <v>253.8</v>
      </c>
      <c r="E482" s="4"/>
      <c r="F482" s="4"/>
      <c r="G482" s="2">
        <f t="shared" si="42"/>
        <v>15.978</v>
      </c>
      <c r="H482" s="11" t="str">
        <f t="shared" si="43"/>
        <v>3.609E-2</v>
      </c>
      <c r="I482" s="2">
        <f t="shared" si="44"/>
        <v>253.8</v>
      </c>
      <c r="J482" s="4">
        <f t="shared" si="45"/>
        <v>15.978</v>
      </c>
      <c r="K482" s="9">
        <f t="shared" si="46"/>
        <v>25.7</v>
      </c>
      <c r="L482" s="1">
        <f t="shared" si="47"/>
        <v>28.4</v>
      </c>
    </row>
    <row r="483" s="1" customFormat="1" spans="1:12">
      <c r="A483" s="2">
        <v>16.045</v>
      </c>
      <c r="B483" s="10" t="s">
        <v>123</v>
      </c>
      <c r="C483" s="4">
        <v>16.045</v>
      </c>
      <c r="D483" s="5">
        <v>253.8</v>
      </c>
      <c r="E483" s="4"/>
      <c r="F483" s="4"/>
      <c r="G483" s="2">
        <f t="shared" si="42"/>
        <v>16.011</v>
      </c>
      <c r="H483" s="11" t="str">
        <f t="shared" si="43"/>
        <v>3.615E-2</v>
      </c>
      <c r="I483" s="2">
        <f t="shared" si="44"/>
        <v>253.8</v>
      </c>
      <c r="J483" s="4">
        <f t="shared" si="45"/>
        <v>16.011</v>
      </c>
      <c r="K483" s="9">
        <f t="shared" si="46"/>
        <v>26.3</v>
      </c>
      <c r="L483" s="1">
        <f t="shared" si="47"/>
        <v>28.4</v>
      </c>
    </row>
    <row r="484" s="1" customFormat="1" spans="1:12">
      <c r="A484" s="2">
        <v>16.078</v>
      </c>
      <c r="B484" s="10" t="s">
        <v>97</v>
      </c>
      <c r="C484" s="4">
        <v>16.078</v>
      </c>
      <c r="D484" s="5">
        <v>253.8</v>
      </c>
      <c r="E484" s="4"/>
      <c r="F484" s="4"/>
      <c r="G484" s="2">
        <f t="shared" si="42"/>
        <v>16.045</v>
      </c>
      <c r="H484" s="11" t="str">
        <f t="shared" si="43"/>
        <v>3.622E-2</v>
      </c>
      <c r="I484" s="2">
        <f t="shared" si="44"/>
        <v>253.8</v>
      </c>
      <c r="J484" s="4">
        <f t="shared" si="45"/>
        <v>16.045</v>
      </c>
      <c r="K484" s="9">
        <f t="shared" si="46"/>
        <v>27</v>
      </c>
      <c r="L484" s="1">
        <f t="shared" si="47"/>
        <v>28.4</v>
      </c>
    </row>
    <row r="485" s="1" customFormat="1" spans="1:12">
      <c r="A485" s="2">
        <v>16.111</v>
      </c>
      <c r="B485" s="10" t="s">
        <v>155</v>
      </c>
      <c r="C485" s="4">
        <v>16.111</v>
      </c>
      <c r="D485" s="5">
        <v>253.8</v>
      </c>
      <c r="E485" s="4"/>
      <c r="F485" s="4"/>
      <c r="G485" s="2">
        <f t="shared" si="42"/>
        <v>16.078</v>
      </c>
      <c r="H485" s="11" t="str">
        <f t="shared" si="43"/>
        <v>3.629E-2</v>
      </c>
      <c r="I485" s="2">
        <f t="shared" si="44"/>
        <v>253.8</v>
      </c>
      <c r="J485" s="4">
        <f t="shared" si="45"/>
        <v>16.078</v>
      </c>
      <c r="K485" s="9">
        <f t="shared" si="46"/>
        <v>27.7</v>
      </c>
      <c r="L485" s="1">
        <f t="shared" si="47"/>
        <v>28.4</v>
      </c>
    </row>
    <row r="486" s="1" customFormat="1" spans="1:12">
      <c r="A486" s="2">
        <v>16.145</v>
      </c>
      <c r="B486" s="10" t="s">
        <v>98</v>
      </c>
      <c r="C486" s="4">
        <v>16.145</v>
      </c>
      <c r="D486" s="5">
        <v>252.3</v>
      </c>
      <c r="E486" s="4"/>
      <c r="F486" s="4"/>
      <c r="G486" s="2">
        <f t="shared" si="42"/>
        <v>16.111</v>
      </c>
      <c r="H486" s="11" t="str">
        <f t="shared" si="43"/>
        <v>3.630E-2</v>
      </c>
      <c r="I486" s="2">
        <f t="shared" si="44"/>
        <v>253.8</v>
      </c>
      <c r="J486" s="4">
        <f t="shared" si="45"/>
        <v>16.111</v>
      </c>
      <c r="K486" s="9">
        <f t="shared" si="46"/>
        <v>27.8</v>
      </c>
      <c r="L486" s="1">
        <f t="shared" si="47"/>
        <v>28.4</v>
      </c>
    </row>
    <row r="487" s="1" customFormat="1" spans="1:12">
      <c r="A487" s="2">
        <v>16.178</v>
      </c>
      <c r="B487" s="10" t="s">
        <v>160</v>
      </c>
      <c r="C487" s="4">
        <v>16.178</v>
      </c>
      <c r="D487" s="5">
        <v>152.7</v>
      </c>
      <c r="E487" s="4"/>
      <c r="F487" s="4"/>
      <c r="G487" s="2">
        <f t="shared" si="42"/>
        <v>16.145</v>
      </c>
      <c r="H487" s="11" t="str">
        <f t="shared" si="43"/>
        <v>3.633E-2</v>
      </c>
      <c r="I487" s="2">
        <f t="shared" si="44"/>
        <v>252.3</v>
      </c>
      <c r="J487" s="4">
        <f t="shared" si="45"/>
        <v>16.145</v>
      </c>
      <c r="K487" s="9">
        <f t="shared" si="46"/>
        <v>28.1</v>
      </c>
      <c r="L487" s="1">
        <f t="shared" si="47"/>
        <v>28.4</v>
      </c>
    </row>
    <row r="488" s="1" customFormat="1" spans="1:12">
      <c r="A488" s="2">
        <v>16.212</v>
      </c>
      <c r="B488" s="10" t="s">
        <v>98</v>
      </c>
      <c r="C488" s="4">
        <v>16.212</v>
      </c>
      <c r="D488" s="5">
        <v>172.8</v>
      </c>
      <c r="E488" s="4"/>
      <c r="F488" s="4"/>
      <c r="G488" s="2">
        <f t="shared" si="42"/>
        <v>16.178</v>
      </c>
      <c r="H488" s="11" t="str">
        <f t="shared" si="43"/>
        <v>3.636E-2</v>
      </c>
      <c r="I488" s="2">
        <f t="shared" si="44"/>
        <v>152.7</v>
      </c>
      <c r="J488" s="4">
        <f t="shared" si="45"/>
        <v>16.178</v>
      </c>
      <c r="K488" s="9">
        <f t="shared" si="46"/>
        <v>28.4</v>
      </c>
      <c r="L488" s="1">
        <f t="shared" si="47"/>
        <v>-0.300000000000022</v>
      </c>
    </row>
    <row r="489" s="1" customFormat="1" spans="1:12">
      <c r="A489" s="2">
        <v>16.245</v>
      </c>
      <c r="B489" s="10" t="s">
        <v>98</v>
      </c>
      <c r="C489" s="4">
        <v>16.245</v>
      </c>
      <c r="D489" s="5">
        <v>172.3</v>
      </c>
      <c r="E489" s="4"/>
      <c r="F489" s="4"/>
      <c r="G489" s="2">
        <f t="shared" si="42"/>
        <v>16.212</v>
      </c>
      <c r="H489" s="11" t="str">
        <f t="shared" si="43"/>
        <v>3.633E-2</v>
      </c>
      <c r="I489" s="2">
        <f t="shared" si="44"/>
        <v>172.8</v>
      </c>
      <c r="J489" s="4">
        <f t="shared" si="45"/>
        <v>16.212</v>
      </c>
      <c r="K489" s="9">
        <f t="shared" si="46"/>
        <v>28.1</v>
      </c>
      <c r="L489" s="1">
        <f t="shared" si="47"/>
        <v>-0.300000000000022</v>
      </c>
    </row>
    <row r="490" s="1" customFormat="1" spans="1:12">
      <c r="A490" s="2">
        <v>16.279</v>
      </c>
      <c r="B490" s="10" t="s">
        <v>290</v>
      </c>
      <c r="C490" s="4">
        <v>16.279</v>
      </c>
      <c r="D490" s="5">
        <v>170.4</v>
      </c>
      <c r="E490" s="4"/>
      <c r="F490" s="4"/>
      <c r="G490" s="2">
        <f t="shared" si="42"/>
        <v>16.245</v>
      </c>
      <c r="H490" s="11" t="str">
        <f t="shared" si="43"/>
        <v>3.633E-2</v>
      </c>
      <c r="I490" s="2">
        <f t="shared" si="44"/>
        <v>172.3</v>
      </c>
      <c r="J490" s="4">
        <f t="shared" si="45"/>
        <v>16.245</v>
      </c>
      <c r="K490" s="9">
        <f t="shared" si="46"/>
        <v>28.1</v>
      </c>
      <c r="L490" s="1">
        <f t="shared" si="47"/>
        <v>-0.300000000000022</v>
      </c>
    </row>
    <row r="491" s="1" customFormat="1" spans="1:12">
      <c r="A491" s="2">
        <v>16.312</v>
      </c>
      <c r="B491" s="10" t="s">
        <v>155</v>
      </c>
      <c r="C491" s="4">
        <v>16.312</v>
      </c>
      <c r="D491" s="5">
        <v>170</v>
      </c>
      <c r="E491" s="4"/>
      <c r="F491" s="4"/>
      <c r="G491" s="2">
        <f t="shared" si="42"/>
        <v>16.279</v>
      </c>
      <c r="H491" s="11" t="str">
        <f t="shared" si="43"/>
        <v>3.632E-2</v>
      </c>
      <c r="I491" s="2">
        <f t="shared" si="44"/>
        <v>170.4</v>
      </c>
      <c r="J491" s="4">
        <f t="shared" si="45"/>
        <v>16.279</v>
      </c>
      <c r="K491" s="9">
        <f t="shared" si="46"/>
        <v>28</v>
      </c>
      <c r="L491" s="1">
        <f t="shared" si="47"/>
        <v>-0.300000000000022</v>
      </c>
    </row>
    <row r="492" s="1" customFormat="1" spans="1:12">
      <c r="A492" s="2">
        <v>16.345</v>
      </c>
      <c r="B492" s="10" t="s">
        <v>97</v>
      </c>
      <c r="C492" s="4">
        <v>16.345</v>
      </c>
      <c r="D492" s="5">
        <v>169.3</v>
      </c>
      <c r="E492" s="4"/>
      <c r="F492" s="4"/>
      <c r="G492" s="2">
        <f t="shared" si="42"/>
        <v>16.312</v>
      </c>
      <c r="H492" s="11" t="str">
        <f t="shared" si="43"/>
        <v>3.630E-2</v>
      </c>
      <c r="I492" s="2">
        <f t="shared" si="44"/>
        <v>170</v>
      </c>
      <c r="J492" s="4">
        <f t="shared" si="45"/>
        <v>16.312</v>
      </c>
      <c r="K492" s="9">
        <f t="shared" si="46"/>
        <v>27.8</v>
      </c>
      <c r="L492" s="1">
        <f t="shared" si="47"/>
        <v>-0.300000000000022</v>
      </c>
    </row>
    <row r="493" s="1" customFormat="1" spans="1:12">
      <c r="A493" s="2">
        <v>16.379</v>
      </c>
      <c r="B493" s="10" t="s">
        <v>320</v>
      </c>
      <c r="C493" s="4">
        <v>16.379</v>
      </c>
      <c r="D493" s="5">
        <v>167.8</v>
      </c>
      <c r="E493" s="4"/>
      <c r="F493" s="4"/>
      <c r="G493" s="2">
        <f t="shared" si="42"/>
        <v>16.345</v>
      </c>
      <c r="H493" s="11" t="str">
        <f t="shared" si="43"/>
        <v>3.629E-2</v>
      </c>
      <c r="I493" s="2">
        <f t="shared" si="44"/>
        <v>169.3</v>
      </c>
      <c r="J493" s="4">
        <f t="shared" si="45"/>
        <v>16.345</v>
      </c>
      <c r="K493" s="9">
        <f t="shared" si="46"/>
        <v>27.7</v>
      </c>
      <c r="L493" s="1">
        <f t="shared" si="47"/>
        <v>-0.300000000000022</v>
      </c>
    </row>
    <row r="494" s="1" customFormat="1" spans="1:12">
      <c r="A494" s="2">
        <v>16.412</v>
      </c>
      <c r="B494" s="10" t="s">
        <v>154</v>
      </c>
      <c r="C494" s="4">
        <v>16.412</v>
      </c>
      <c r="D494" s="5">
        <v>166.7</v>
      </c>
      <c r="E494" s="4"/>
      <c r="F494" s="4"/>
      <c r="G494" s="2">
        <f t="shared" si="42"/>
        <v>16.379</v>
      </c>
      <c r="H494" s="11" t="str">
        <f t="shared" si="43"/>
        <v>3.627E-2</v>
      </c>
      <c r="I494" s="2">
        <f t="shared" si="44"/>
        <v>167.8</v>
      </c>
      <c r="J494" s="4">
        <f t="shared" si="45"/>
        <v>16.379</v>
      </c>
      <c r="K494" s="9">
        <f t="shared" si="46"/>
        <v>27.5</v>
      </c>
      <c r="L494" s="1">
        <f t="shared" si="47"/>
        <v>-0.300000000000022</v>
      </c>
    </row>
    <row r="495" s="1" customFormat="1" spans="1:12">
      <c r="A495" s="2">
        <v>16.446</v>
      </c>
      <c r="B495" s="10" t="s">
        <v>123</v>
      </c>
      <c r="C495" s="4">
        <v>16.446</v>
      </c>
      <c r="D495" s="5">
        <v>166</v>
      </c>
      <c r="E495" s="4"/>
      <c r="F495" s="4"/>
      <c r="G495" s="2">
        <f t="shared" si="42"/>
        <v>16.412</v>
      </c>
      <c r="H495" s="11" t="str">
        <f t="shared" si="43"/>
        <v>3.625E-2</v>
      </c>
      <c r="I495" s="2">
        <f t="shared" si="44"/>
        <v>166.7</v>
      </c>
      <c r="J495" s="4">
        <f t="shared" si="45"/>
        <v>16.412</v>
      </c>
      <c r="K495" s="9">
        <f t="shared" si="46"/>
        <v>27.3</v>
      </c>
      <c r="L495" s="1">
        <f t="shared" si="47"/>
        <v>-0.300000000000022</v>
      </c>
    </row>
    <row r="496" s="1" customFormat="1" spans="1:12">
      <c r="A496" s="2">
        <v>16.479</v>
      </c>
      <c r="B496" s="10" t="s">
        <v>319</v>
      </c>
      <c r="C496" s="4">
        <v>16.479</v>
      </c>
      <c r="D496" s="5">
        <v>165.2</v>
      </c>
      <c r="E496" s="4"/>
      <c r="F496" s="4"/>
      <c r="G496" s="2">
        <f t="shared" si="42"/>
        <v>16.446</v>
      </c>
      <c r="H496" s="11" t="str">
        <f t="shared" si="43"/>
        <v>3.622E-2</v>
      </c>
      <c r="I496" s="2">
        <f t="shared" si="44"/>
        <v>166</v>
      </c>
      <c r="J496" s="4">
        <f t="shared" si="45"/>
        <v>16.446</v>
      </c>
      <c r="K496" s="9">
        <f t="shared" si="46"/>
        <v>27</v>
      </c>
      <c r="L496" s="1">
        <f t="shared" si="47"/>
        <v>-0.300000000000022</v>
      </c>
    </row>
    <row r="497" s="1" customFormat="1" spans="1:12">
      <c r="A497" s="2">
        <v>16.513</v>
      </c>
      <c r="B497" s="10" t="s">
        <v>96</v>
      </c>
      <c r="C497" s="4">
        <v>16.513</v>
      </c>
      <c r="D497" s="5">
        <v>164.1</v>
      </c>
      <c r="E497" s="4"/>
      <c r="F497" s="4"/>
      <c r="G497" s="2">
        <f t="shared" si="42"/>
        <v>16.479</v>
      </c>
      <c r="H497" s="11" t="str">
        <f t="shared" si="43"/>
        <v>3.620E-2</v>
      </c>
      <c r="I497" s="2">
        <f t="shared" si="44"/>
        <v>165.2</v>
      </c>
      <c r="J497" s="4">
        <f t="shared" si="45"/>
        <v>16.479</v>
      </c>
      <c r="K497" s="9">
        <f t="shared" si="46"/>
        <v>26.8</v>
      </c>
      <c r="L497" s="1">
        <f t="shared" si="47"/>
        <v>-0.300000000000022</v>
      </c>
    </row>
    <row r="498" s="1" customFormat="1" spans="1:12">
      <c r="A498" s="2">
        <v>16.546</v>
      </c>
      <c r="B498" s="10" t="s">
        <v>321</v>
      </c>
      <c r="C498" s="4">
        <v>16.546</v>
      </c>
      <c r="D498" s="5">
        <v>163.5</v>
      </c>
      <c r="E498" s="4"/>
      <c r="F498" s="4"/>
      <c r="G498" s="2">
        <f t="shared" si="42"/>
        <v>16.513</v>
      </c>
      <c r="H498" s="11" t="str">
        <f t="shared" si="43"/>
        <v>3.618E-2</v>
      </c>
      <c r="I498" s="2">
        <f t="shared" si="44"/>
        <v>164.1</v>
      </c>
      <c r="J498" s="4">
        <f t="shared" si="45"/>
        <v>16.513</v>
      </c>
      <c r="K498" s="9">
        <f t="shared" si="46"/>
        <v>26.6</v>
      </c>
      <c r="L498" s="1">
        <f t="shared" si="47"/>
        <v>-0.300000000000022</v>
      </c>
    </row>
    <row r="499" s="1" customFormat="1" spans="1:12">
      <c r="A499" s="2">
        <v>16.579</v>
      </c>
      <c r="B499" s="10" t="s">
        <v>317</v>
      </c>
      <c r="C499" s="4">
        <v>16.579</v>
      </c>
      <c r="D499" s="5">
        <v>162.2</v>
      </c>
      <c r="E499" s="4"/>
      <c r="F499" s="4"/>
      <c r="G499" s="2">
        <f t="shared" si="42"/>
        <v>16.546</v>
      </c>
      <c r="H499" s="11" t="str">
        <f t="shared" si="43"/>
        <v>3.617E-2</v>
      </c>
      <c r="I499" s="2">
        <f t="shared" si="44"/>
        <v>163.5</v>
      </c>
      <c r="J499" s="4">
        <f t="shared" si="45"/>
        <v>16.546</v>
      </c>
      <c r="K499" s="9">
        <f t="shared" si="46"/>
        <v>26.5</v>
      </c>
      <c r="L499" s="1">
        <f t="shared" si="47"/>
        <v>-0.300000000000022</v>
      </c>
    </row>
    <row r="500" s="1" customFormat="1" spans="1:12">
      <c r="A500" s="2">
        <v>16.613</v>
      </c>
      <c r="B500" s="10" t="s">
        <v>133</v>
      </c>
      <c r="C500" s="4">
        <v>16.613</v>
      </c>
      <c r="D500" s="5">
        <v>162.1</v>
      </c>
      <c r="E500" s="4"/>
      <c r="F500" s="4"/>
      <c r="G500" s="2">
        <f t="shared" si="42"/>
        <v>16.579</v>
      </c>
      <c r="H500" s="11" t="str">
        <f t="shared" si="43"/>
        <v>3.615E-2</v>
      </c>
      <c r="I500" s="2">
        <f t="shared" si="44"/>
        <v>162.2</v>
      </c>
      <c r="J500" s="4">
        <f t="shared" si="45"/>
        <v>16.579</v>
      </c>
      <c r="K500" s="9">
        <f t="shared" si="46"/>
        <v>26.3</v>
      </c>
      <c r="L500" s="1">
        <f t="shared" si="47"/>
        <v>-0.300000000000022</v>
      </c>
    </row>
    <row r="501" s="1" customFormat="1" spans="1:12">
      <c r="A501" s="2">
        <v>16.646</v>
      </c>
      <c r="B501" s="10" t="s">
        <v>294</v>
      </c>
      <c r="C501" s="4">
        <v>16.646</v>
      </c>
      <c r="D501" s="5">
        <v>161</v>
      </c>
      <c r="E501" s="4"/>
      <c r="F501" s="4"/>
      <c r="G501" s="2">
        <f t="shared" si="42"/>
        <v>16.613</v>
      </c>
      <c r="H501" s="11" t="str">
        <f t="shared" si="43"/>
        <v>3.610E-2</v>
      </c>
      <c r="I501" s="2">
        <f t="shared" si="44"/>
        <v>162.1</v>
      </c>
      <c r="J501" s="4">
        <f t="shared" si="45"/>
        <v>16.613</v>
      </c>
      <c r="K501" s="9">
        <f t="shared" si="46"/>
        <v>25.8</v>
      </c>
      <c r="L501" s="1">
        <f t="shared" si="47"/>
        <v>-0.300000000000022</v>
      </c>
    </row>
    <row r="502" s="1" customFormat="1" spans="1:12">
      <c r="A502" s="2">
        <v>16.68</v>
      </c>
      <c r="B502" s="10" t="s">
        <v>295</v>
      </c>
      <c r="C502" s="4">
        <v>16.68</v>
      </c>
      <c r="D502" s="5">
        <v>159.9</v>
      </c>
      <c r="E502" s="4"/>
      <c r="F502" s="4"/>
      <c r="G502" s="2">
        <f t="shared" si="42"/>
        <v>16.646</v>
      </c>
      <c r="H502" s="11" t="str">
        <f t="shared" si="43"/>
        <v>3.606E-2</v>
      </c>
      <c r="I502" s="2">
        <f t="shared" si="44"/>
        <v>161</v>
      </c>
      <c r="J502" s="4">
        <f t="shared" si="45"/>
        <v>16.646</v>
      </c>
      <c r="K502" s="9">
        <f t="shared" si="46"/>
        <v>25.4</v>
      </c>
      <c r="L502" s="1">
        <f t="shared" si="47"/>
        <v>-0.300000000000022</v>
      </c>
    </row>
    <row r="503" s="1" customFormat="1" spans="1:12">
      <c r="A503" s="2">
        <v>16.713</v>
      </c>
      <c r="B503" s="10" t="s">
        <v>94</v>
      </c>
      <c r="C503" s="4">
        <v>16.713</v>
      </c>
      <c r="D503" s="5">
        <v>159.1</v>
      </c>
      <c r="E503" s="4"/>
      <c r="F503" s="4"/>
      <c r="G503" s="2">
        <f t="shared" si="42"/>
        <v>16.68</v>
      </c>
      <c r="H503" s="11" t="str">
        <f t="shared" si="43"/>
        <v>3.596E-2</v>
      </c>
      <c r="I503" s="2">
        <f t="shared" si="44"/>
        <v>159.9</v>
      </c>
      <c r="J503" s="4">
        <f t="shared" si="45"/>
        <v>16.68</v>
      </c>
      <c r="K503" s="9">
        <f t="shared" si="46"/>
        <v>24.4</v>
      </c>
      <c r="L503" s="1">
        <f t="shared" si="47"/>
        <v>-0.300000000000022</v>
      </c>
    </row>
    <row r="504" s="1" customFormat="1" spans="1:12">
      <c r="A504" s="2">
        <v>16.747</v>
      </c>
      <c r="B504" s="10" t="s">
        <v>301</v>
      </c>
      <c r="C504" s="4">
        <v>16.747</v>
      </c>
      <c r="D504" s="5">
        <v>157.9</v>
      </c>
      <c r="E504" s="4"/>
      <c r="F504" s="4"/>
      <c r="G504" s="2">
        <f t="shared" si="42"/>
        <v>16.713</v>
      </c>
      <c r="H504" s="11" t="str">
        <f t="shared" si="43"/>
        <v>3.590E-2</v>
      </c>
      <c r="I504" s="2">
        <f t="shared" si="44"/>
        <v>159.1</v>
      </c>
      <c r="J504" s="4">
        <f t="shared" si="45"/>
        <v>16.713</v>
      </c>
      <c r="K504" s="9">
        <f t="shared" si="46"/>
        <v>23.8</v>
      </c>
      <c r="L504" s="1">
        <f t="shared" si="47"/>
        <v>-0.300000000000022</v>
      </c>
    </row>
    <row r="505" s="1" customFormat="1" spans="1:12">
      <c r="A505" s="2">
        <v>16.78</v>
      </c>
      <c r="B505" s="10" t="s">
        <v>150</v>
      </c>
      <c r="C505" s="4">
        <v>16.78</v>
      </c>
      <c r="D505" s="5">
        <v>157</v>
      </c>
      <c r="E505" s="4"/>
      <c r="F505" s="4"/>
      <c r="G505" s="2">
        <f t="shared" si="42"/>
        <v>16.747</v>
      </c>
      <c r="H505" s="11" t="str">
        <f t="shared" si="43"/>
        <v>3.585E-2</v>
      </c>
      <c r="I505" s="2">
        <f t="shared" si="44"/>
        <v>157.9</v>
      </c>
      <c r="J505" s="4">
        <f t="shared" si="45"/>
        <v>16.747</v>
      </c>
      <c r="K505" s="9">
        <f t="shared" si="46"/>
        <v>23.3</v>
      </c>
      <c r="L505" s="1">
        <f t="shared" si="47"/>
        <v>-0.300000000000022</v>
      </c>
    </row>
    <row r="506" s="1" customFormat="1" spans="1:12">
      <c r="A506" s="2">
        <v>16.813</v>
      </c>
      <c r="B506" s="10" t="s">
        <v>211</v>
      </c>
      <c r="C506" s="4">
        <v>16.813</v>
      </c>
      <c r="D506" s="5">
        <v>156.2</v>
      </c>
      <c r="E506" s="4"/>
      <c r="F506" s="4"/>
      <c r="G506" s="2">
        <f t="shared" si="42"/>
        <v>16.78</v>
      </c>
      <c r="H506" s="11" t="str">
        <f t="shared" si="43"/>
        <v>3.579E-2</v>
      </c>
      <c r="I506" s="2">
        <f t="shared" si="44"/>
        <v>157</v>
      </c>
      <c r="J506" s="4">
        <f t="shared" si="45"/>
        <v>16.78</v>
      </c>
      <c r="K506" s="9">
        <f t="shared" si="46"/>
        <v>22.7</v>
      </c>
      <c r="L506" s="1">
        <f t="shared" si="47"/>
        <v>-0.300000000000022</v>
      </c>
    </row>
    <row r="507" s="1" customFormat="1" spans="1:12">
      <c r="A507" s="2">
        <v>16.847</v>
      </c>
      <c r="B507" s="10" t="s">
        <v>209</v>
      </c>
      <c r="C507" s="4">
        <v>16.847</v>
      </c>
      <c r="D507" s="5">
        <v>155.4</v>
      </c>
      <c r="E507" s="4"/>
      <c r="F507" s="4"/>
      <c r="G507" s="2">
        <f t="shared" si="42"/>
        <v>16.813</v>
      </c>
      <c r="H507" s="11" t="str">
        <f t="shared" si="43"/>
        <v>3.568E-2</v>
      </c>
      <c r="I507" s="2">
        <f t="shared" si="44"/>
        <v>156.2</v>
      </c>
      <c r="J507" s="4">
        <f t="shared" si="45"/>
        <v>16.813</v>
      </c>
      <c r="K507" s="9">
        <f t="shared" si="46"/>
        <v>21.6</v>
      </c>
      <c r="L507" s="1">
        <f t="shared" si="47"/>
        <v>-0.300000000000022</v>
      </c>
    </row>
    <row r="508" s="1" customFormat="1" spans="1:12">
      <c r="A508" s="2">
        <v>16.88</v>
      </c>
      <c r="B508" s="10" t="s">
        <v>306</v>
      </c>
      <c r="C508" s="4">
        <v>16.88</v>
      </c>
      <c r="D508" s="5">
        <v>155.8</v>
      </c>
      <c r="E508" s="4"/>
      <c r="F508" s="4"/>
      <c r="G508" s="2">
        <f t="shared" si="42"/>
        <v>16.847</v>
      </c>
      <c r="H508" s="11" t="str">
        <f t="shared" si="43"/>
        <v>3.561E-2</v>
      </c>
      <c r="I508" s="2">
        <f t="shared" si="44"/>
        <v>155.4</v>
      </c>
      <c r="J508" s="4">
        <f t="shared" si="45"/>
        <v>16.847</v>
      </c>
      <c r="K508" s="9">
        <f t="shared" si="46"/>
        <v>20.9</v>
      </c>
      <c r="L508" s="1">
        <f t="shared" si="47"/>
        <v>-0.300000000000022</v>
      </c>
    </row>
    <row r="509" s="1" customFormat="1" spans="1:12">
      <c r="A509" s="2">
        <v>16.914</v>
      </c>
      <c r="B509" s="10" t="s">
        <v>64</v>
      </c>
      <c r="C509" s="4">
        <v>16.914</v>
      </c>
      <c r="D509" s="5">
        <v>154.6</v>
      </c>
      <c r="E509" s="4"/>
      <c r="F509" s="4"/>
      <c r="G509" s="2">
        <f t="shared" si="42"/>
        <v>16.88</v>
      </c>
      <c r="H509" s="11" t="str">
        <f t="shared" si="43"/>
        <v>3.558E-2</v>
      </c>
      <c r="I509" s="2">
        <f t="shared" si="44"/>
        <v>155.8</v>
      </c>
      <c r="J509" s="4">
        <f t="shared" si="45"/>
        <v>16.88</v>
      </c>
      <c r="K509" s="9">
        <f t="shared" si="46"/>
        <v>20.6</v>
      </c>
      <c r="L509" s="1">
        <f t="shared" si="47"/>
        <v>-0.300000000000022</v>
      </c>
    </row>
    <row r="510" s="1" customFormat="1" spans="1:12">
      <c r="A510" s="2">
        <v>16.947</v>
      </c>
      <c r="B510" s="10" t="s">
        <v>306</v>
      </c>
      <c r="C510" s="4">
        <v>16.947</v>
      </c>
      <c r="D510" s="5">
        <v>153.3</v>
      </c>
      <c r="E510" s="4"/>
      <c r="F510" s="4"/>
      <c r="G510" s="2">
        <f t="shared" si="42"/>
        <v>16.914</v>
      </c>
      <c r="H510" s="11" t="str">
        <f t="shared" si="43"/>
        <v>3.557E-2</v>
      </c>
      <c r="I510" s="2">
        <f t="shared" si="44"/>
        <v>154.6</v>
      </c>
      <c r="J510" s="4">
        <f t="shared" si="45"/>
        <v>16.914</v>
      </c>
      <c r="K510" s="9">
        <f t="shared" si="46"/>
        <v>20.5</v>
      </c>
      <c r="L510" s="1">
        <f t="shared" si="47"/>
        <v>-0.300000000000022</v>
      </c>
    </row>
    <row r="511" s="1" customFormat="1" spans="1:12">
      <c r="A511" s="2">
        <v>16.981</v>
      </c>
      <c r="B511" s="10" t="s">
        <v>64</v>
      </c>
      <c r="C511" s="4">
        <v>16.981</v>
      </c>
      <c r="D511" s="5">
        <v>253.7</v>
      </c>
      <c r="E511" s="4"/>
      <c r="F511" s="4"/>
      <c r="G511" s="2">
        <f t="shared" si="42"/>
        <v>16.947</v>
      </c>
      <c r="H511" s="11" t="str">
        <f t="shared" si="43"/>
        <v>3.558E-2</v>
      </c>
      <c r="I511" s="2">
        <f t="shared" si="44"/>
        <v>153.3</v>
      </c>
      <c r="J511" s="4">
        <f t="shared" si="45"/>
        <v>16.947</v>
      </c>
      <c r="K511" s="9">
        <f t="shared" si="46"/>
        <v>20.6</v>
      </c>
      <c r="L511" s="1">
        <f t="shared" si="47"/>
        <v>-0.300000000000022</v>
      </c>
    </row>
    <row r="512" s="1" customFormat="1" spans="1:12">
      <c r="A512" s="2">
        <v>17.014</v>
      </c>
      <c r="B512" s="10" t="s">
        <v>306</v>
      </c>
      <c r="C512" s="4">
        <v>17.014</v>
      </c>
      <c r="D512" s="5">
        <v>253.8</v>
      </c>
      <c r="E512" s="4"/>
      <c r="F512" s="4"/>
      <c r="G512" s="2">
        <f t="shared" si="42"/>
        <v>16.981</v>
      </c>
      <c r="H512" s="11" t="str">
        <f t="shared" si="43"/>
        <v>3.557E-2</v>
      </c>
      <c r="I512" s="2">
        <f t="shared" si="44"/>
        <v>253.7</v>
      </c>
      <c r="J512" s="4">
        <f t="shared" si="45"/>
        <v>16.981</v>
      </c>
      <c r="K512" s="9">
        <f t="shared" si="46"/>
        <v>20.5</v>
      </c>
      <c r="L512" s="1">
        <f t="shared" si="47"/>
        <v>28.4</v>
      </c>
    </row>
    <row r="513" s="1" customFormat="1" spans="1:12">
      <c r="A513" s="2">
        <v>17.047</v>
      </c>
      <c r="B513" s="10" t="s">
        <v>64</v>
      </c>
      <c r="C513" s="4">
        <v>17.047</v>
      </c>
      <c r="D513" s="5">
        <v>253.8</v>
      </c>
      <c r="E513" s="4"/>
      <c r="F513" s="4"/>
      <c r="G513" s="2">
        <f t="shared" si="42"/>
        <v>17.014</v>
      </c>
      <c r="H513" s="11" t="str">
        <f t="shared" si="43"/>
        <v>3.558E-2</v>
      </c>
      <c r="I513" s="2">
        <f t="shared" si="44"/>
        <v>253.8</v>
      </c>
      <c r="J513" s="4">
        <f t="shared" si="45"/>
        <v>17.014</v>
      </c>
      <c r="K513" s="9">
        <f t="shared" si="46"/>
        <v>20.6</v>
      </c>
      <c r="L513" s="1">
        <f t="shared" si="47"/>
        <v>28.4</v>
      </c>
    </row>
    <row r="514" s="1" customFormat="1" spans="1:12">
      <c r="A514" s="2">
        <v>17.081</v>
      </c>
      <c r="B514" s="10" t="s">
        <v>135</v>
      </c>
      <c r="C514" s="4">
        <v>17.081</v>
      </c>
      <c r="D514" s="5">
        <v>253.8</v>
      </c>
      <c r="E514" s="4"/>
      <c r="F514" s="4"/>
      <c r="G514" s="2">
        <f t="shared" si="42"/>
        <v>17.047</v>
      </c>
      <c r="H514" s="11" t="str">
        <f t="shared" si="43"/>
        <v>3.557E-2</v>
      </c>
      <c r="I514" s="2">
        <f t="shared" si="44"/>
        <v>253.8</v>
      </c>
      <c r="J514" s="4">
        <f t="shared" si="45"/>
        <v>17.047</v>
      </c>
      <c r="K514" s="9">
        <f t="shared" si="46"/>
        <v>20.5</v>
      </c>
      <c r="L514" s="1">
        <f t="shared" si="47"/>
        <v>28.4</v>
      </c>
    </row>
    <row r="515" s="1" customFormat="1" spans="1:12">
      <c r="A515" s="2">
        <v>17.114</v>
      </c>
      <c r="B515" s="10" t="s">
        <v>212</v>
      </c>
      <c r="C515" s="4">
        <v>17.114</v>
      </c>
      <c r="D515" s="5">
        <v>253.8</v>
      </c>
      <c r="E515" s="4"/>
      <c r="F515" s="4"/>
      <c r="G515" s="2">
        <f t="shared" si="42"/>
        <v>17.081</v>
      </c>
      <c r="H515" s="11" t="str">
        <f t="shared" si="43"/>
        <v>3.560E-2</v>
      </c>
      <c r="I515" s="2">
        <f t="shared" si="44"/>
        <v>253.8</v>
      </c>
      <c r="J515" s="4">
        <f t="shared" si="45"/>
        <v>17.081</v>
      </c>
      <c r="K515" s="9">
        <f t="shared" si="46"/>
        <v>20.8</v>
      </c>
      <c r="L515" s="1">
        <f t="shared" si="47"/>
        <v>28.4</v>
      </c>
    </row>
    <row r="516" s="1" customFormat="1" spans="1:12">
      <c r="A516" s="2">
        <v>17.148</v>
      </c>
      <c r="B516" s="10" t="s">
        <v>74</v>
      </c>
      <c r="C516" s="4">
        <v>17.148</v>
      </c>
      <c r="D516" s="5">
        <v>253.8</v>
      </c>
      <c r="E516" s="4"/>
      <c r="F516" s="4"/>
      <c r="G516" s="2">
        <f t="shared" ref="G516:G579" si="48">A515</f>
        <v>17.114</v>
      </c>
      <c r="H516" s="11" t="str">
        <f t="shared" ref="H516:H579" si="49">B515</f>
        <v>3.562E-2</v>
      </c>
      <c r="I516" s="2">
        <f t="shared" ref="I516:I579" si="50">D515</f>
        <v>253.8</v>
      </c>
      <c r="J516" s="4">
        <f t="shared" ref="J516:J579" si="51">G516</f>
        <v>17.114</v>
      </c>
      <c r="K516" s="9">
        <f t="shared" ref="K516:K579" si="52">(H516-$H$4)*10000</f>
        <v>21</v>
      </c>
      <c r="L516" s="1">
        <f t="shared" si="47"/>
        <v>28.4</v>
      </c>
    </row>
    <row r="517" s="1" customFormat="1" spans="1:12">
      <c r="A517" s="2">
        <v>17.181</v>
      </c>
      <c r="B517" s="10" t="s">
        <v>149</v>
      </c>
      <c r="C517" s="4">
        <v>17.181</v>
      </c>
      <c r="D517" s="5">
        <v>253.8</v>
      </c>
      <c r="E517" s="4"/>
      <c r="F517" s="4"/>
      <c r="G517" s="2">
        <f t="shared" si="48"/>
        <v>17.148</v>
      </c>
      <c r="H517" s="11" t="str">
        <f t="shared" si="49"/>
        <v>3.563E-2</v>
      </c>
      <c r="I517" s="2">
        <f t="shared" si="50"/>
        <v>253.8</v>
      </c>
      <c r="J517" s="4">
        <f t="shared" si="51"/>
        <v>17.148</v>
      </c>
      <c r="K517" s="9">
        <f t="shared" si="52"/>
        <v>21.1</v>
      </c>
      <c r="L517" s="1">
        <f t="shared" ref="L517:L580" si="53">IF(I517&lt;230,MIN(K:K),MAX(K:K))</f>
        <v>28.4</v>
      </c>
    </row>
    <row r="518" s="1" customFormat="1" spans="1:12">
      <c r="A518" s="2">
        <v>17.215</v>
      </c>
      <c r="B518" s="10" t="s">
        <v>163</v>
      </c>
      <c r="C518" s="4">
        <v>17.215</v>
      </c>
      <c r="D518" s="5">
        <v>253.8</v>
      </c>
      <c r="E518" s="4"/>
      <c r="F518" s="4"/>
      <c r="G518" s="2">
        <f t="shared" si="48"/>
        <v>17.181</v>
      </c>
      <c r="H518" s="11" t="str">
        <f t="shared" si="49"/>
        <v>3.564E-2</v>
      </c>
      <c r="I518" s="2">
        <f t="shared" si="50"/>
        <v>253.8</v>
      </c>
      <c r="J518" s="4">
        <f t="shared" si="51"/>
        <v>17.181</v>
      </c>
      <c r="K518" s="9">
        <f t="shared" si="52"/>
        <v>21.2</v>
      </c>
      <c r="L518" s="1">
        <f t="shared" si="53"/>
        <v>28.4</v>
      </c>
    </row>
    <row r="519" s="1" customFormat="1" spans="1:12">
      <c r="A519" s="2">
        <v>17.248</v>
      </c>
      <c r="B519" s="10" t="s">
        <v>211</v>
      </c>
      <c r="C519" s="4">
        <v>17.248</v>
      </c>
      <c r="D519" s="5">
        <v>253.8</v>
      </c>
      <c r="E519" s="4"/>
      <c r="F519" s="4"/>
      <c r="G519" s="2">
        <f t="shared" si="48"/>
        <v>17.215</v>
      </c>
      <c r="H519" s="11" t="str">
        <f t="shared" si="49"/>
        <v>3.565E-2</v>
      </c>
      <c r="I519" s="2">
        <f t="shared" si="50"/>
        <v>253.8</v>
      </c>
      <c r="J519" s="4">
        <f t="shared" si="51"/>
        <v>17.215</v>
      </c>
      <c r="K519" s="9">
        <f t="shared" si="52"/>
        <v>21.3</v>
      </c>
      <c r="L519" s="1">
        <f t="shared" si="53"/>
        <v>28.4</v>
      </c>
    </row>
    <row r="520" s="1" customFormat="1" spans="1:12">
      <c r="A520" s="2">
        <v>17.281</v>
      </c>
      <c r="B520" s="10" t="s">
        <v>302</v>
      </c>
      <c r="C520" s="4">
        <v>17.281</v>
      </c>
      <c r="D520" s="5">
        <v>253.8</v>
      </c>
      <c r="E520" s="4"/>
      <c r="F520" s="4"/>
      <c r="G520" s="2">
        <f t="shared" si="48"/>
        <v>17.248</v>
      </c>
      <c r="H520" s="11" t="str">
        <f t="shared" si="49"/>
        <v>3.568E-2</v>
      </c>
      <c r="I520" s="2">
        <f t="shared" si="50"/>
        <v>253.8</v>
      </c>
      <c r="J520" s="4">
        <f t="shared" si="51"/>
        <v>17.248</v>
      </c>
      <c r="K520" s="9">
        <f t="shared" si="52"/>
        <v>21.6</v>
      </c>
      <c r="L520" s="1">
        <f t="shared" si="53"/>
        <v>28.4</v>
      </c>
    </row>
    <row r="521" s="1" customFormat="1" spans="1:12">
      <c r="A521" s="2">
        <v>17.315</v>
      </c>
      <c r="B521" s="10" t="s">
        <v>176</v>
      </c>
      <c r="C521" s="4">
        <v>17.315</v>
      </c>
      <c r="D521" s="5">
        <v>253.8</v>
      </c>
      <c r="E521" s="4"/>
      <c r="F521" s="4"/>
      <c r="G521" s="2">
        <f t="shared" si="48"/>
        <v>17.281</v>
      </c>
      <c r="H521" s="11" t="str">
        <f t="shared" si="49"/>
        <v>3.569E-2</v>
      </c>
      <c r="I521" s="2">
        <f t="shared" si="50"/>
        <v>253.8</v>
      </c>
      <c r="J521" s="4">
        <f t="shared" si="51"/>
        <v>17.281</v>
      </c>
      <c r="K521" s="9">
        <f t="shared" si="52"/>
        <v>21.7</v>
      </c>
      <c r="L521" s="1">
        <f t="shared" si="53"/>
        <v>28.4</v>
      </c>
    </row>
    <row r="522" s="1" customFormat="1" spans="1:12">
      <c r="A522" s="2">
        <v>17.348</v>
      </c>
      <c r="B522" s="10" t="s">
        <v>72</v>
      </c>
      <c r="C522" s="4">
        <v>17.348</v>
      </c>
      <c r="D522" s="5">
        <v>253.8</v>
      </c>
      <c r="E522" s="4"/>
      <c r="F522" s="4"/>
      <c r="G522" s="2">
        <f t="shared" si="48"/>
        <v>17.315</v>
      </c>
      <c r="H522" s="11" t="str">
        <f t="shared" si="49"/>
        <v>3.572E-2</v>
      </c>
      <c r="I522" s="2">
        <f t="shared" si="50"/>
        <v>253.8</v>
      </c>
      <c r="J522" s="4">
        <f t="shared" si="51"/>
        <v>17.315</v>
      </c>
      <c r="K522" s="9">
        <f t="shared" si="52"/>
        <v>22</v>
      </c>
      <c r="L522" s="1">
        <f t="shared" si="53"/>
        <v>28.4</v>
      </c>
    </row>
    <row r="523" s="1" customFormat="1" spans="1:12">
      <c r="A523" s="2">
        <v>17.382</v>
      </c>
      <c r="B523" s="10" t="s">
        <v>150</v>
      </c>
      <c r="C523" s="4">
        <v>17.382</v>
      </c>
      <c r="D523" s="5">
        <v>253.8</v>
      </c>
      <c r="E523" s="4"/>
      <c r="F523" s="4"/>
      <c r="G523" s="2">
        <f t="shared" si="48"/>
        <v>17.348</v>
      </c>
      <c r="H523" s="11" t="str">
        <f t="shared" si="49"/>
        <v>3.577E-2</v>
      </c>
      <c r="I523" s="2">
        <f t="shared" si="50"/>
        <v>253.8</v>
      </c>
      <c r="J523" s="4">
        <f t="shared" si="51"/>
        <v>17.348</v>
      </c>
      <c r="K523" s="9">
        <f t="shared" si="52"/>
        <v>22.5</v>
      </c>
      <c r="L523" s="1">
        <f t="shared" si="53"/>
        <v>28.4</v>
      </c>
    </row>
    <row r="524" s="1" customFormat="1" spans="1:12">
      <c r="A524" s="2">
        <v>17.415</v>
      </c>
      <c r="B524" s="10" t="s">
        <v>177</v>
      </c>
      <c r="C524" s="4">
        <v>17.415</v>
      </c>
      <c r="D524" s="5">
        <v>253.8</v>
      </c>
      <c r="E524" s="4"/>
      <c r="F524" s="4"/>
      <c r="G524" s="2">
        <f t="shared" si="48"/>
        <v>17.382</v>
      </c>
      <c r="H524" s="11" t="str">
        <f t="shared" si="49"/>
        <v>3.579E-2</v>
      </c>
      <c r="I524" s="2">
        <f t="shared" si="50"/>
        <v>253.8</v>
      </c>
      <c r="J524" s="4">
        <f t="shared" si="51"/>
        <v>17.382</v>
      </c>
      <c r="K524" s="9">
        <f t="shared" si="52"/>
        <v>22.7</v>
      </c>
      <c r="L524" s="1">
        <f t="shared" si="53"/>
        <v>28.4</v>
      </c>
    </row>
    <row r="525" s="1" customFormat="1" spans="1:12">
      <c r="A525" s="2">
        <v>17.449</v>
      </c>
      <c r="B525" s="10" t="s">
        <v>94</v>
      </c>
      <c r="C525" s="4">
        <v>17.449</v>
      </c>
      <c r="D525" s="5">
        <v>253.8</v>
      </c>
      <c r="E525" s="4"/>
      <c r="F525" s="4"/>
      <c r="G525" s="2">
        <f t="shared" si="48"/>
        <v>17.415</v>
      </c>
      <c r="H525" s="11" t="str">
        <f t="shared" si="49"/>
        <v>3.582E-2</v>
      </c>
      <c r="I525" s="2">
        <f t="shared" si="50"/>
        <v>253.8</v>
      </c>
      <c r="J525" s="4">
        <f t="shared" si="51"/>
        <v>17.415</v>
      </c>
      <c r="K525" s="9">
        <f t="shared" si="52"/>
        <v>23</v>
      </c>
      <c r="L525" s="1">
        <f t="shared" si="53"/>
        <v>28.4</v>
      </c>
    </row>
    <row r="526" s="1" customFormat="1" spans="1:12">
      <c r="A526" s="2">
        <v>17.482</v>
      </c>
      <c r="B526" s="10" t="s">
        <v>292</v>
      </c>
      <c r="C526" s="4">
        <v>17.482</v>
      </c>
      <c r="D526" s="5">
        <v>253.8</v>
      </c>
      <c r="E526" s="4"/>
      <c r="F526" s="4"/>
      <c r="G526" s="2">
        <f t="shared" si="48"/>
        <v>17.449</v>
      </c>
      <c r="H526" s="11" t="str">
        <f t="shared" si="49"/>
        <v>3.590E-2</v>
      </c>
      <c r="I526" s="2">
        <f t="shared" si="50"/>
        <v>253.8</v>
      </c>
      <c r="J526" s="4">
        <f t="shared" si="51"/>
        <v>17.449</v>
      </c>
      <c r="K526" s="9">
        <f t="shared" si="52"/>
        <v>23.8</v>
      </c>
      <c r="L526" s="1">
        <f t="shared" si="53"/>
        <v>28.4</v>
      </c>
    </row>
    <row r="527" s="1" customFormat="1" spans="1:12">
      <c r="A527" s="2">
        <v>17.515</v>
      </c>
      <c r="B527" s="10" t="s">
        <v>287</v>
      </c>
      <c r="C527" s="4">
        <v>17.515</v>
      </c>
      <c r="D527" s="5">
        <v>253.8</v>
      </c>
      <c r="E527" s="4"/>
      <c r="F527" s="4"/>
      <c r="G527" s="2">
        <f t="shared" si="48"/>
        <v>17.482</v>
      </c>
      <c r="H527" s="11" t="str">
        <f t="shared" si="49"/>
        <v>3.597E-2</v>
      </c>
      <c r="I527" s="2">
        <f t="shared" si="50"/>
        <v>253.8</v>
      </c>
      <c r="J527" s="4">
        <f t="shared" si="51"/>
        <v>17.482</v>
      </c>
      <c r="K527" s="9">
        <f t="shared" si="52"/>
        <v>24.5</v>
      </c>
      <c r="L527" s="1">
        <f t="shared" si="53"/>
        <v>28.4</v>
      </c>
    </row>
    <row r="528" s="1" customFormat="1" spans="1:12">
      <c r="A528" s="2">
        <v>17.549</v>
      </c>
      <c r="B528" s="10" t="s">
        <v>152</v>
      </c>
      <c r="C528" s="4">
        <v>17.549</v>
      </c>
      <c r="D528" s="5">
        <v>253.8</v>
      </c>
      <c r="E528" s="4"/>
      <c r="F528" s="4"/>
      <c r="G528" s="2">
        <f t="shared" si="48"/>
        <v>17.515</v>
      </c>
      <c r="H528" s="11" t="str">
        <f t="shared" si="49"/>
        <v>3.601E-2</v>
      </c>
      <c r="I528" s="2">
        <f t="shared" si="50"/>
        <v>253.8</v>
      </c>
      <c r="J528" s="4">
        <f t="shared" si="51"/>
        <v>17.515</v>
      </c>
      <c r="K528" s="9">
        <f t="shared" si="52"/>
        <v>24.9</v>
      </c>
      <c r="L528" s="1">
        <f t="shared" si="53"/>
        <v>28.4</v>
      </c>
    </row>
    <row r="529" s="1" customFormat="1" spans="1:12">
      <c r="A529" s="2">
        <v>17.582</v>
      </c>
      <c r="B529" s="10" t="s">
        <v>294</v>
      </c>
      <c r="C529" s="4">
        <v>17.582</v>
      </c>
      <c r="D529" s="5">
        <v>253.8</v>
      </c>
      <c r="E529" s="4"/>
      <c r="F529" s="4"/>
      <c r="G529" s="2">
        <f t="shared" si="48"/>
        <v>17.549</v>
      </c>
      <c r="H529" s="11" t="str">
        <f t="shared" si="49"/>
        <v>3.603E-2</v>
      </c>
      <c r="I529" s="2">
        <f t="shared" si="50"/>
        <v>253.8</v>
      </c>
      <c r="J529" s="4">
        <f t="shared" si="51"/>
        <v>17.549</v>
      </c>
      <c r="K529" s="9">
        <f t="shared" si="52"/>
        <v>25.1</v>
      </c>
      <c r="L529" s="1">
        <f t="shared" si="53"/>
        <v>28.4</v>
      </c>
    </row>
    <row r="530" s="1" customFormat="1" spans="1:12">
      <c r="A530" s="2">
        <v>17.616</v>
      </c>
      <c r="B530" s="10" t="s">
        <v>298</v>
      </c>
      <c r="C530" s="4">
        <v>17.616</v>
      </c>
      <c r="D530" s="5">
        <v>253.8</v>
      </c>
      <c r="E530" s="4"/>
      <c r="F530" s="4"/>
      <c r="G530" s="2">
        <f t="shared" si="48"/>
        <v>17.582</v>
      </c>
      <c r="H530" s="11" t="str">
        <f t="shared" si="49"/>
        <v>3.606E-2</v>
      </c>
      <c r="I530" s="2">
        <f t="shared" si="50"/>
        <v>253.8</v>
      </c>
      <c r="J530" s="4">
        <f t="shared" si="51"/>
        <v>17.582</v>
      </c>
      <c r="K530" s="9">
        <f t="shared" si="52"/>
        <v>25.4</v>
      </c>
      <c r="L530" s="1">
        <f t="shared" si="53"/>
        <v>28.4</v>
      </c>
    </row>
    <row r="531" s="1" customFormat="1" spans="1:12">
      <c r="A531" s="2">
        <v>17.649</v>
      </c>
      <c r="B531" s="10" t="s">
        <v>104</v>
      </c>
      <c r="C531" s="4">
        <v>17.649</v>
      </c>
      <c r="D531" s="5">
        <v>253.8</v>
      </c>
      <c r="E531" s="4"/>
      <c r="F531" s="4"/>
      <c r="G531" s="2">
        <f t="shared" si="48"/>
        <v>17.616</v>
      </c>
      <c r="H531" s="11" t="str">
        <f t="shared" si="49"/>
        <v>3.609E-2</v>
      </c>
      <c r="I531" s="2">
        <f t="shared" si="50"/>
        <v>253.8</v>
      </c>
      <c r="J531" s="4">
        <f t="shared" si="51"/>
        <v>17.616</v>
      </c>
      <c r="K531" s="9">
        <f t="shared" si="52"/>
        <v>25.7</v>
      </c>
      <c r="L531" s="1">
        <f t="shared" si="53"/>
        <v>28.4</v>
      </c>
    </row>
    <row r="532" s="1" customFormat="1" spans="1:12">
      <c r="A532" s="2">
        <v>17.682</v>
      </c>
      <c r="B532" s="10" t="s">
        <v>297</v>
      </c>
      <c r="C532" s="4">
        <v>17.682</v>
      </c>
      <c r="D532" s="5">
        <v>253.8</v>
      </c>
      <c r="E532" s="4"/>
      <c r="F532" s="4"/>
      <c r="G532" s="2">
        <f t="shared" si="48"/>
        <v>17.649</v>
      </c>
      <c r="H532" s="11" t="str">
        <f t="shared" si="49"/>
        <v>3.608E-2</v>
      </c>
      <c r="I532" s="2">
        <f t="shared" si="50"/>
        <v>253.8</v>
      </c>
      <c r="J532" s="4">
        <f t="shared" si="51"/>
        <v>17.649</v>
      </c>
      <c r="K532" s="9">
        <f t="shared" si="52"/>
        <v>25.6</v>
      </c>
      <c r="L532" s="1">
        <f t="shared" si="53"/>
        <v>28.4</v>
      </c>
    </row>
    <row r="533" s="1" customFormat="1" spans="1:12">
      <c r="A533" s="2">
        <v>17.716</v>
      </c>
      <c r="B533" s="10" t="s">
        <v>294</v>
      </c>
      <c r="C533" s="4">
        <v>17.716</v>
      </c>
      <c r="D533" s="5">
        <v>253.8</v>
      </c>
      <c r="E533" s="4"/>
      <c r="F533" s="4"/>
      <c r="G533" s="2">
        <f t="shared" si="48"/>
        <v>17.682</v>
      </c>
      <c r="H533" s="11" t="str">
        <f t="shared" si="49"/>
        <v>3.607E-2</v>
      </c>
      <c r="I533" s="2">
        <f t="shared" si="50"/>
        <v>253.8</v>
      </c>
      <c r="J533" s="4">
        <f t="shared" si="51"/>
        <v>17.682</v>
      </c>
      <c r="K533" s="9">
        <f t="shared" si="52"/>
        <v>25.5</v>
      </c>
      <c r="L533" s="1">
        <f t="shared" si="53"/>
        <v>28.4</v>
      </c>
    </row>
    <row r="534" s="1" customFormat="1" spans="1:12">
      <c r="A534" s="2">
        <v>17.749</v>
      </c>
      <c r="B534" s="10" t="s">
        <v>95</v>
      </c>
      <c r="C534" s="4">
        <v>17.749</v>
      </c>
      <c r="D534" s="5">
        <v>253.8</v>
      </c>
      <c r="E534" s="4"/>
      <c r="F534" s="4"/>
      <c r="G534" s="2">
        <f t="shared" si="48"/>
        <v>17.716</v>
      </c>
      <c r="H534" s="11" t="str">
        <f t="shared" si="49"/>
        <v>3.606E-2</v>
      </c>
      <c r="I534" s="2">
        <f t="shared" si="50"/>
        <v>253.8</v>
      </c>
      <c r="J534" s="4">
        <f t="shared" si="51"/>
        <v>17.716</v>
      </c>
      <c r="K534" s="9">
        <f t="shared" si="52"/>
        <v>25.4</v>
      </c>
      <c r="L534" s="1">
        <f t="shared" si="53"/>
        <v>28.4</v>
      </c>
    </row>
    <row r="535" s="1" customFormat="1" spans="1:12">
      <c r="A535" s="2">
        <v>17.783</v>
      </c>
      <c r="B535" s="10" t="s">
        <v>152</v>
      </c>
      <c r="C535" s="4">
        <v>17.783</v>
      </c>
      <c r="D535" s="5">
        <v>253.8</v>
      </c>
      <c r="E535" s="4"/>
      <c r="F535" s="4"/>
      <c r="G535" s="2">
        <f t="shared" si="48"/>
        <v>17.749</v>
      </c>
      <c r="H535" s="11" t="str">
        <f t="shared" si="49"/>
        <v>3.605E-2</v>
      </c>
      <c r="I535" s="2">
        <f t="shared" si="50"/>
        <v>253.8</v>
      </c>
      <c r="J535" s="4">
        <f t="shared" si="51"/>
        <v>17.749</v>
      </c>
      <c r="K535" s="9">
        <f t="shared" si="52"/>
        <v>25.3</v>
      </c>
      <c r="L535" s="1">
        <f t="shared" si="53"/>
        <v>28.4</v>
      </c>
    </row>
    <row r="536" s="1" customFormat="1" spans="1:12">
      <c r="A536" s="2">
        <v>17.816</v>
      </c>
      <c r="B536" s="10" t="s">
        <v>316</v>
      </c>
      <c r="C536" s="4">
        <v>17.816</v>
      </c>
      <c r="D536" s="5">
        <v>251.3</v>
      </c>
      <c r="E536" s="4"/>
      <c r="F536" s="4"/>
      <c r="G536" s="2">
        <f t="shared" si="48"/>
        <v>17.783</v>
      </c>
      <c r="H536" s="11" t="str">
        <f t="shared" si="49"/>
        <v>3.603E-2</v>
      </c>
      <c r="I536" s="2">
        <f t="shared" si="50"/>
        <v>253.8</v>
      </c>
      <c r="J536" s="4">
        <f t="shared" si="51"/>
        <v>17.783</v>
      </c>
      <c r="K536" s="9">
        <f t="shared" si="52"/>
        <v>25.1</v>
      </c>
      <c r="L536" s="1">
        <f t="shared" si="53"/>
        <v>28.4</v>
      </c>
    </row>
    <row r="537" s="1" customFormat="1" spans="1:12">
      <c r="A537" s="2">
        <v>17.85</v>
      </c>
      <c r="B537" s="10" t="s">
        <v>285</v>
      </c>
      <c r="C537" s="4">
        <v>17.85</v>
      </c>
      <c r="D537" s="5">
        <v>157.5</v>
      </c>
      <c r="E537" s="4"/>
      <c r="F537" s="4"/>
      <c r="G537" s="2">
        <f t="shared" si="48"/>
        <v>17.816</v>
      </c>
      <c r="H537" s="11" t="str">
        <f t="shared" si="49"/>
        <v>3.602E-2</v>
      </c>
      <c r="I537" s="2">
        <f t="shared" si="50"/>
        <v>251.3</v>
      </c>
      <c r="J537" s="4">
        <f t="shared" si="51"/>
        <v>17.816</v>
      </c>
      <c r="K537" s="9">
        <f t="shared" si="52"/>
        <v>25</v>
      </c>
      <c r="L537" s="1">
        <f t="shared" si="53"/>
        <v>28.4</v>
      </c>
    </row>
    <row r="538" s="1" customFormat="1" spans="1:12">
      <c r="A538" s="2">
        <v>17.883</v>
      </c>
      <c r="B538" s="10" t="s">
        <v>318</v>
      </c>
      <c r="C538" s="4">
        <v>17.883</v>
      </c>
      <c r="D538" s="5">
        <v>176.3</v>
      </c>
      <c r="E538" s="4"/>
      <c r="F538" s="4"/>
      <c r="G538" s="2">
        <f t="shared" si="48"/>
        <v>17.85</v>
      </c>
      <c r="H538" s="11" t="str">
        <f t="shared" si="49"/>
        <v>3.600E-2</v>
      </c>
      <c r="I538" s="2">
        <f t="shared" si="50"/>
        <v>157.5</v>
      </c>
      <c r="J538" s="4">
        <f t="shared" si="51"/>
        <v>17.85</v>
      </c>
      <c r="K538" s="9">
        <f t="shared" si="52"/>
        <v>24.8</v>
      </c>
      <c r="L538" s="1">
        <f t="shared" si="53"/>
        <v>-0.300000000000022</v>
      </c>
    </row>
    <row r="539" s="1" customFormat="1" spans="1:12">
      <c r="A539" s="2">
        <v>17.916</v>
      </c>
      <c r="B539" s="10" t="s">
        <v>304</v>
      </c>
      <c r="C539" s="4">
        <v>17.916</v>
      </c>
      <c r="D539" s="5">
        <v>174.4</v>
      </c>
      <c r="E539" s="4"/>
      <c r="F539" s="4"/>
      <c r="G539" s="2">
        <f t="shared" si="48"/>
        <v>17.883</v>
      </c>
      <c r="H539" s="11" t="str">
        <f t="shared" si="49"/>
        <v>3.599E-2</v>
      </c>
      <c r="I539" s="2">
        <f t="shared" si="50"/>
        <v>176.3</v>
      </c>
      <c r="J539" s="4">
        <f t="shared" si="51"/>
        <v>17.883</v>
      </c>
      <c r="K539" s="9">
        <f t="shared" si="52"/>
        <v>24.7</v>
      </c>
      <c r="L539" s="1">
        <f t="shared" si="53"/>
        <v>-0.300000000000022</v>
      </c>
    </row>
    <row r="540" s="1" customFormat="1" spans="1:12">
      <c r="A540" s="2">
        <v>17.95</v>
      </c>
      <c r="B540" s="10" t="s">
        <v>134</v>
      </c>
      <c r="C540" s="4">
        <v>17.95</v>
      </c>
      <c r="D540" s="5">
        <v>172.6</v>
      </c>
      <c r="E540" s="4"/>
      <c r="F540" s="4"/>
      <c r="G540" s="2">
        <f t="shared" si="48"/>
        <v>17.916</v>
      </c>
      <c r="H540" s="11" t="str">
        <f t="shared" si="49"/>
        <v>3.598E-2</v>
      </c>
      <c r="I540" s="2">
        <f t="shared" si="50"/>
        <v>174.4</v>
      </c>
      <c r="J540" s="4">
        <f t="shared" si="51"/>
        <v>17.916</v>
      </c>
      <c r="K540" s="9">
        <f t="shared" si="52"/>
        <v>24.6</v>
      </c>
      <c r="L540" s="1">
        <f t="shared" si="53"/>
        <v>-0.300000000000022</v>
      </c>
    </row>
    <row r="541" s="1" customFormat="1" spans="1:12">
      <c r="A541" s="2">
        <v>17.983</v>
      </c>
      <c r="B541" s="10" t="s">
        <v>295</v>
      </c>
      <c r="C541" s="4">
        <v>17.983</v>
      </c>
      <c r="D541" s="5">
        <v>172.6</v>
      </c>
      <c r="E541" s="4"/>
      <c r="F541" s="4"/>
      <c r="G541" s="2">
        <f t="shared" si="48"/>
        <v>17.95</v>
      </c>
      <c r="H541" s="11" t="str">
        <f t="shared" si="49"/>
        <v>3.595E-2</v>
      </c>
      <c r="I541" s="2">
        <f t="shared" si="50"/>
        <v>172.6</v>
      </c>
      <c r="J541" s="4">
        <f t="shared" si="51"/>
        <v>17.95</v>
      </c>
      <c r="K541" s="9">
        <f t="shared" si="52"/>
        <v>24.3</v>
      </c>
      <c r="L541" s="1">
        <f t="shared" si="53"/>
        <v>-0.300000000000022</v>
      </c>
    </row>
    <row r="542" s="1" customFormat="1" spans="1:12">
      <c r="A542" s="2">
        <v>18.017</v>
      </c>
      <c r="B542" s="10" t="s">
        <v>134</v>
      </c>
      <c r="C542" s="4">
        <v>18.017</v>
      </c>
      <c r="D542" s="5">
        <v>172.2</v>
      </c>
      <c r="E542" s="4"/>
      <c r="F542" s="4"/>
      <c r="G542" s="2">
        <f t="shared" si="48"/>
        <v>17.983</v>
      </c>
      <c r="H542" s="11" t="str">
        <f t="shared" si="49"/>
        <v>3.596E-2</v>
      </c>
      <c r="I542" s="2">
        <f t="shared" si="50"/>
        <v>172.6</v>
      </c>
      <c r="J542" s="4">
        <f t="shared" si="51"/>
        <v>17.983</v>
      </c>
      <c r="K542" s="9">
        <f t="shared" si="52"/>
        <v>24.4</v>
      </c>
      <c r="L542" s="1">
        <f t="shared" si="53"/>
        <v>-0.300000000000022</v>
      </c>
    </row>
    <row r="543" s="1" customFormat="1" spans="1:12">
      <c r="A543" s="2">
        <v>18.05</v>
      </c>
      <c r="B543" s="10" t="s">
        <v>69</v>
      </c>
      <c r="C543" s="4">
        <v>18.05</v>
      </c>
      <c r="D543" s="5">
        <v>171.3</v>
      </c>
      <c r="E543" s="4"/>
      <c r="F543" s="4"/>
      <c r="G543" s="2">
        <f t="shared" si="48"/>
        <v>18.017</v>
      </c>
      <c r="H543" s="11" t="str">
        <f t="shared" si="49"/>
        <v>3.595E-2</v>
      </c>
      <c r="I543" s="2">
        <f t="shared" si="50"/>
        <v>172.2</v>
      </c>
      <c r="J543" s="4">
        <f t="shared" si="51"/>
        <v>18.017</v>
      </c>
      <c r="K543" s="9">
        <f t="shared" si="52"/>
        <v>24.3</v>
      </c>
      <c r="L543" s="1">
        <f t="shared" si="53"/>
        <v>-0.300000000000022</v>
      </c>
    </row>
    <row r="544" s="1" customFormat="1" spans="1:12">
      <c r="A544" s="2">
        <v>18.084</v>
      </c>
      <c r="B544" s="10" t="s">
        <v>68</v>
      </c>
      <c r="C544" s="4">
        <v>18.084</v>
      </c>
      <c r="D544" s="5">
        <v>170.2</v>
      </c>
      <c r="E544" s="4"/>
      <c r="F544" s="4"/>
      <c r="G544" s="2">
        <f t="shared" si="48"/>
        <v>18.05</v>
      </c>
      <c r="H544" s="11" t="str">
        <f t="shared" si="49"/>
        <v>3.592E-2</v>
      </c>
      <c r="I544" s="2">
        <f t="shared" si="50"/>
        <v>171.3</v>
      </c>
      <c r="J544" s="4">
        <f t="shared" si="51"/>
        <v>18.05</v>
      </c>
      <c r="K544" s="9">
        <f t="shared" si="52"/>
        <v>24</v>
      </c>
      <c r="L544" s="1">
        <f t="shared" si="53"/>
        <v>-0.300000000000022</v>
      </c>
    </row>
    <row r="545" s="1" customFormat="1" spans="1:12">
      <c r="A545" s="2">
        <v>18.117</v>
      </c>
      <c r="B545" s="10" t="s">
        <v>94</v>
      </c>
      <c r="C545" s="4">
        <v>18.117</v>
      </c>
      <c r="D545" s="5">
        <v>170.3</v>
      </c>
      <c r="E545" s="4"/>
      <c r="F545" s="4"/>
      <c r="G545" s="2">
        <f t="shared" si="48"/>
        <v>18.084</v>
      </c>
      <c r="H545" s="11" t="str">
        <f t="shared" si="49"/>
        <v>3.591E-2</v>
      </c>
      <c r="I545" s="2">
        <f t="shared" si="50"/>
        <v>170.2</v>
      </c>
      <c r="J545" s="4">
        <f t="shared" si="51"/>
        <v>18.084</v>
      </c>
      <c r="K545" s="9">
        <f t="shared" si="52"/>
        <v>23.9</v>
      </c>
      <c r="L545" s="1">
        <f t="shared" si="53"/>
        <v>-0.300000000000022</v>
      </c>
    </row>
    <row r="546" s="1" customFormat="1" spans="1:12">
      <c r="A546" s="2">
        <v>18.15</v>
      </c>
      <c r="B546" s="10" t="s">
        <v>178</v>
      </c>
      <c r="C546" s="4">
        <v>18.15</v>
      </c>
      <c r="D546" s="5">
        <v>168.9</v>
      </c>
      <c r="E546" s="4"/>
      <c r="F546" s="4"/>
      <c r="G546" s="2">
        <f t="shared" si="48"/>
        <v>18.117</v>
      </c>
      <c r="H546" s="11" t="str">
        <f t="shared" si="49"/>
        <v>3.590E-2</v>
      </c>
      <c r="I546" s="2">
        <f t="shared" si="50"/>
        <v>170.3</v>
      </c>
      <c r="J546" s="4">
        <f t="shared" si="51"/>
        <v>18.117</v>
      </c>
      <c r="K546" s="9">
        <f t="shared" si="52"/>
        <v>23.8</v>
      </c>
      <c r="L546" s="1">
        <f t="shared" si="53"/>
        <v>-0.300000000000022</v>
      </c>
    </row>
    <row r="547" s="1" customFormat="1" spans="1:12">
      <c r="A547" s="2">
        <v>18.184</v>
      </c>
      <c r="B547" s="10" t="s">
        <v>178</v>
      </c>
      <c r="C547" s="4">
        <v>18.184</v>
      </c>
      <c r="D547" s="5">
        <v>167.6</v>
      </c>
      <c r="E547" s="4"/>
      <c r="F547" s="4"/>
      <c r="G547" s="2">
        <f t="shared" si="48"/>
        <v>18.15</v>
      </c>
      <c r="H547" s="11" t="str">
        <f t="shared" si="49"/>
        <v>3.588E-2</v>
      </c>
      <c r="I547" s="2">
        <f t="shared" si="50"/>
        <v>168.9</v>
      </c>
      <c r="J547" s="4">
        <f t="shared" si="51"/>
        <v>18.15</v>
      </c>
      <c r="K547" s="9">
        <f t="shared" si="52"/>
        <v>23.6</v>
      </c>
      <c r="L547" s="1">
        <f t="shared" si="53"/>
        <v>-0.300000000000022</v>
      </c>
    </row>
    <row r="548" s="1" customFormat="1" spans="1:12">
      <c r="A548" s="2">
        <v>18.217</v>
      </c>
      <c r="B548" s="10" t="s">
        <v>179</v>
      </c>
      <c r="C548" s="4">
        <v>18.217</v>
      </c>
      <c r="D548" s="5">
        <v>167.3</v>
      </c>
      <c r="E548" s="4"/>
      <c r="F548" s="4"/>
      <c r="G548" s="2">
        <f t="shared" si="48"/>
        <v>18.184</v>
      </c>
      <c r="H548" s="11" t="str">
        <f t="shared" si="49"/>
        <v>3.588E-2</v>
      </c>
      <c r="I548" s="2">
        <f t="shared" si="50"/>
        <v>167.6</v>
      </c>
      <c r="J548" s="4">
        <f t="shared" si="51"/>
        <v>18.184</v>
      </c>
      <c r="K548" s="9">
        <f t="shared" si="52"/>
        <v>23.6</v>
      </c>
      <c r="L548" s="1">
        <f t="shared" si="53"/>
        <v>-0.300000000000022</v>
      </c>
    </row>
    <row r="549" s="1" customFormat="1" spans="1:12">
      <c r="A549" s="2">
        <v>18.251</v>
      </c>
      <c r="B549" s="10" t="s">
        <v>67</v>
      </c>
      <c r="C549" s="4">
        <v>18.251</v>
      </c>
      <c r="D549" s="5">
        <v>165.8</v>
      </c>
      <c r="E549" s="4"/>
      <c r="F549" s="4"/>
      <c r="G549" s="2">
        <f t="shared" si="48"/>
        <v>18.217</v>
      </c>
      <c r="H549" s="11" t="str">
        <f t="shared" si="49"/>
        <v>3.586E-2</v>
      </c>
      <c r="I549" s="2">
        <f t="shared" si="50"/>
        <v>167.3</v>
      </c>
      <c r="J549" s="4">
        <f t="shared" si="51"/>
        <v>18.217</v>
      </c>
      <c r="K549" s="9">
        <f t="shared" si="52"/>
        <v>23.4</v>
      </c>
      <c r="L549" s="1">
        <f t="shared" si="53"/>
        <v>-0.300000000000022</v>
      </c>
    </row>
    <row r="550" s="1" customFormat="1" spans="1:12">
      <c r="A550" s="2">
        <v>18.284</v>
      </c>
      <c r="B550" s="10" t="s">
        <v>301</v>
      </c>
      <c r="C550" s="4">
        <v>18.284</v>
      </c>
      <c r="D550" s="5">
        <v>165.1</v>
      </c>
      <c r="E550" s="4"/>
      <c r="F550" s="4"/>
      <c r="G550" s="2">
        <f t="shared" si="48"/>
        <v>18.251</v>
      </c>
      <c r="H550" s="11" t="str">
        <f t="shared" si="49"/>
        <v>3.587E-2</v>
      </c>
      <c r="I550" s="2">
        <f t="shared" si="50"/>
        <v>165.8</v>
      </c>
      <c r="J550" s="4">
        <f t="shared" si="51"/>
        <v>18.251</v>
      </c>
      <c r="K550" s="9">
        <f t="shared" si="52"/>
        <v>23.5</v>
      </c>
      <c r="L550" s="1">
        <f t="shared" si="53"/>
        <v>-0.300000000000022</v>
      </c>
    </row>
    <row r="551" s="1" customFormat="1" spans="1:12">
      <c r="A551" s="2">
        <v>18.318</v>
      </c>
      <c r="B551" s="10" t="s">
        <v>301</v>
      </c>
      <c r="C551" s="4">
        <v>18.318</v>
      </c>
      <c r="D551" s="5">
        <v>163.8</v>
      </c>
      <c r="E551" s="4"/>
      <c r="F551" s="4"/>
      <c r="G551" s="2">
        <f t="shared" si="48"/>
        <v>18.284</v>
      </c>
      <c r="H551" s="11" t="str">
        <f t="shared" si="49"/>
        <v>3.585E-2</v>
      </c>
      <c r="I551" s="2">
        <f t="shared" si="50"/>
        <v>165.1</v>
      </c>
      <c r="J551" s="4">
        <f t="shared" si="51"/>
        <v>18.284</v>
      </c>
      <c r="K551" s="9">
        <f t="shared" si="52"/>
        <v>23.3</v>
      </c>
      <c r="L551" s="1">
        <f t="shared" si="53"/>
        <v>-0.300000000000022</v>
      </c>
    </row>
    <row r="552" s="1" customFormat="1" spans="1:12">
      <c r="A552" s="2">
        <v>18.351</v>
      </c>
      <c r="B552" s="10" t="s">
        <v>180</v>
      </c>
      <c r="C552" s="4">
        <v>18.351</v>
      </c>
      <c r="D552" s="5">
        <v>163.4</v>
      </c>
      <c r="E552" s="4"/>
      <c r="F552" s="4"/>
      <c r="G552" s="2">
        <f t="shared" si="48"/>
        <v>18.318</v>
      </c>
      <c r="H552" s="11" t="str">
        <f t="shared" si="49"/>
        <v>3.585E-2</v>
      </c>
      <c r="I552" s="2">
        <f t="shared" si="50"/>
        <v>163.8</v>
      </c>
      <c r="J552" s="4">
        <f t="shared" si="51"/>
        <v>18.318</v>
      </c>
      <c r="K552" s="9">
        <f t="shared" si="52"/>
        <v>23.3</v>
      </c>
      <c r="L552" s="1">
        <f t="shared" si="53"/>
        <v>-0.300000000000022</v>
      </c>
    </row>
    <row r="553" s="1" customFormat="1" spans="1:12">
      <c r="A553" s="2">
        <v>18.384</v>
      </c>
      <c r="B553" s="10" t="s">
        <v>180</v>
      </c>
      <c r="C553" s="4">
        <v>18.384</v>
      </c>
      <c r="D553" s="5">
        <v>162.6</v>
      </c>
      <c r="E553" s="4"/>
      <c r="F553" s="4"/>
      <c r="G553" s="2">
        <f t="shared" si="48"/>
        <v>18.351</v>
      </c>
      <c r="H553" s="11" t="str">
        <f t="shared" si="49"/>
        <v>3.584E-2</v>
      </c>
      <c r="I553" s="2">
        <f t="shared" si="50"/>
        <v>163.4</v>
      </c>
      <c r="J553" s="4">
        <f t="shared" si="51"/>
        <v>18.351</v>
      </c>
      <c r="K553" s="9">
        <f t="shared" si="52"/>
        <v>23.2</v>
      </c>
      <c r="L553" s="1">
        <f t="shared" si="53"/>
        <v>-0.300000000000022</v>
      </c>
    </row>
    <row r="554" s="1" customFormat="1" spans="1:12">
      <c r="A554" s="2">
        <v>18.418</v>
      </c>
      <c r="B554" s="10" t="s">
        <v>180</v>
      </c>
      <c r="C554" s="4">
        <v>18.418</v>
      </c>
      <c r="D554" s="5">
        <v>162.4</v>
      </c>
      <c r="E554" s="4"/>
      <c r="F554" s="4"/>
      <c r="G554" s="2">
        <f t="shared" si="48"/>
        <v>18.384</v>
      </c>
      <c r="H554" s="11" t="str">
        <f t="shared" si="49"/>
        <v>3.584E-2</v>
      </c>
      <c r="I554" s="2">
        <f t="shared" si="50"/>
        <v>162.6</v>
      </c>
      <c r="J554" s="4">
        <f t="shared" si="51"/>
        <v>18.384</v>
      </c>
      <c r="K554" s="9">
        <f t="shared" si="52"/>
        <v>23.2</v>
      </c>
      <c r="L554" s="1">
        <f t="shared" si="53"/>
        <v>-0.300000000000022</v>
      </c>
    </row>
    <row r="555" s="1" customFormat="1" spans="1:12">
      <c r="A555" s="2">
        <v>18.451</v>
      </c>
      <c r="B555" s="10" t="s">
        <v>180</v>
      </c>
      <c r="C555" s="4">
        <v>18.451</v>
      </c>
      <c r="D555" s="5">
        <v>161</v>
      </c>
      <c r="E555" s="4"/>
      <c r="F555" s="4"/>
      <c r="G555" s="2">
        <f t="shared" si="48"/>
        <v>18.418</v>
      </c>
      <c r="H555" s="11" t="str">
        <f t="shared" si="49"/>
        <v>3.584E-2</v>
      </c>
      <c r="I555" s="2">
        <f t="shared" si="50"/>
        <v>162.4</v>
      </c>
      <c r="J555" s="4">
        <f t="shared" si="51"/>
        <v>18.418</v>
      </c>
      <c r="K555" s="9">
        <f t="shared" si="52"/>
        <v>23.2</v>
      </c>
      <c r="L555" s="1">
        <f t="shared" si="53"/>
        <v>-0.300000000000022</v>
      </c>
    </row>
    <row r="556" s="1" customFormat="1" spans="1:12">
      <c r="A556" s="2">
        <v>18.485</v>
      </c>
      <c r="B556" s="10" t="s">
        <v>301</v>
      </c>
      <c r="C556" s="4">
        <v>18.485</v>
      </c>
      <c r="D556" s="5">
        <v>160.4</v>
      </c>
      <c r="E556" s="4"/>
      <c r="F556" s="4"/>
      <c r="G556" s="2">
        <f t="shared" si="48"/>
        <v>18.451</v>
      </c>
      <c r="H556" s="11" t="str">
        <f t="shared" si="49"/>
        <v>3.584E-2</v>
      </c>
      <c r="I556" s="2">
        <f t="shared" si="50"/>
        <v>161</v>
      </c>
      <c r="J556" s="4">
        <f t="shared" si="51"/>
        <v>18.451</v>
      </c>
      <c r="K556" s="9">
        <f t="shared" si="52"/>
        <v>23.2</v>
      </c>
      <c r="L556" s="1">
        <f t="shared" si="53"/>
        <v>-0.300000000000022</v>
      </c>
    </row>
    <row r="557" s="1" customFormat="1" spans="1:12">
      <c r="A557" s="2">
        <v>18.518</v>
      </c>
      <c r="B557" s="10" t="s">
        <v>301</v>
      </c>
      <c r="C557" s="4">
        <v>18.518</v>
      </c>
      <c r="D557" s="5">
        <v>159.2</v>
      </c>
      <c r="E557" s="4"/>
      <c r="F557" s="4"/>
      <c r="G557" s="2">
        <f t="shared" si="48"/>
        <v>18.485</v>
      </c>
      <c r="H557" s="11" t="str">
        <f t="shared" si="49"/>
        <v>3.585E-2</v>
      </c>
      <c r="I557" s="2">
        <f t="shared" si="50"/>
        <v>160.4</v>
      </c>
      <c r="J557" s="4">
        <f t="shared" si="51"/>
        <v>18.485</v>
      </c>
      <c r="K557" s="9">
        <f t="shared" si="52"/>
        <v>23.3</v>
      </c>
      <c r="L557" s="1">
        <f t="shared" si="53"/>
        <v>-0.300000000000022</v>
      </c>
    </row>
    <row r="558" s="1" customFormat="1" spans="1:12">
      <c r="A558" s="2">
        <v>18.552</v>
      </c>
      <c r="B558" s="10" t="s">
        <v>67</v>
      </c>
      <c r="C558" s="4">
        <v>18.552</v>
      </c>
      <c r="D558" s="5">
        <v>158</v>
      </c>
      <c r="E558" s="4"/>
      <c r="F558" s="4"/>
      <c r="G558" s="2">
        <f t="shared" si="48"/>
        <v>18.518</v>
      </c>
      <c r="H558" s="11" t="str">
        <f t="shared" si="49"/>
        <v>3.585E-2</v>
      </c>
      <c r="I558" s="2">
        <f t="shared" si="50"/>
        <v>159.2</v>
      </c>
      <c r="J558" s="4">
        <f t="shared" si="51"/>
        <v>18.518</v>
      </c>
      <c r="K558" s="9">
        <f t="shared" si="52"/>
        <v>23.3</v>
      </c>
      <c r="L558" s="1">
        <f t="shared" si="53"/>
        <v>-0.300000000000022</v>
      </c>
    </row>
    <row r="559" s="1" customFormat="1" spans="1:12">
      <c r="A559" s="2">
        <v>18.585</v>
      </c>
      <c r="B559" s="10" t="s">
        <v>67</v>
      </c>
      <c r="C559" s="4">
        <v>18.585</v>
      </c>
      <c r="D559" s="5">
        <v>157.3</v>
      </c>
      <c r="E559" s="4"/>
      <c r="F559" s="4"/>
      <c r="G559" s="2">
        <f t="shared" si="48"/>
        <v>18.552</v>
      </c>
      <c r="H559" s="11" t="str">
        <f t="shared" si="49"/>
        <v>3.587E-2</v>
      </c>
      <c r="I559" s="2">
        <f t="shared" si="50"/>
        <v>158</v>
      </c>
      <c r="J559" s="4">
        <f t="shared" si="51"/>
        <v>18.552</v>
      </c>
      <c r="K559" s="9">
        <f t="shared" si="52"/>
        <v>23.5</v>
      </c>
      <c r="L559" s="1">
        <f t="shared" si="53"/>
        <v>-0.300000000000022</v>
      </c>
    </row>
    <row r="560" s="1" customFormat="1" spans="1:12">
      <c r="A560" s="2">
        <v>18.618</v>
      </c>
      <c r="B560" s="10" t="s">
        <v>178</v>
      </c>
      <c r="C560" s="4">
        <v>18.618</v>
      </c>
      <c r="D560" s="5">
        <v>191.5</v>
      </c>
      <c r="E560" s="4"/>
      <c r="F560" s="4"/>
      <c r="G560" s="2">
        <f t="shared" si="48"/>
        <v>18.585</v>
      </c>
      <c r="H560" s="11" t="str">
        <f t="shared" si="49"/>
        <v>3.587E-2</v>
      </c>
      <c r="I560" s="2">
        <f t="shared" si="50"/>
        <v>157.3</v>
      </c>
      <c r="J560" s="4">
        <f t="shared" si="51"/>
        <v>18.585</v>
      </c>
      <c r="K560" s="9">
        <f t="shared" si="52"/>
        <v>23.5</v>
      </c>
      <c r="L560" s="1">
        <f t="shared" si="53"/>
        <v>-0.300000000000022</v>
      </c>
    </row>
    <row r="561" s="1" customFormat="1" spans="1:12">
      <c r="A561" s="2">
        <v>18.652</v>
      </c>
      <c r="B561" s="10" t="s">
        <v>70</v>
      </c>
      <c r="C561" s="4">
        <v>18.652</v>
      </c>
      <c r="D561" s="5">
        <v>253.8</v>
      </c>
      <c r="E561" s="4"/>
      <c r="F561" s="4"/>
      <c r="G561" s="2">
        <f t="shared" si="48"/>
        <v>18.618</v>
      </c>
      <c r="H561" s="11" t="str">
        <f t="shared" si="49"/>
        <v>3.588E-2</v>
      </c>
      <c r="I561" s="2">
        <f t="shared" si="50"/>
        <v>191.5</v>
      </c>
      <c r="J561" s="4">
        <f t="shared" si="51"/>
        <v>18.618</v>
      </c>
      <c r="K561" s="9">
        <f t="shared" si="52"/>
        <v>23.6</v>
      </c>
      <c r="L561" s="1">
        <f t="shared" si="53"/>
        <v>-0.300000000000022</v>
      </c>
    </row>
    <row r="562" s="1" customFormat="1" spans="1:12">
      <c r="A562" s="2">
        <v>18.685</v>
      </c>
      <c r="B562" s="10" t="s">
        <v>68</v>
      </c>
      <c r="C562" s="4">
        <v>18.685</v>
      </c>
      <c r="D562" s="5">
        <v>253.8</v>
      </c>
      <c r="E562" s="4"/>
      <c r="F562" s="4"/>
      <c r="G562" s="2">
        <f t="shared" si="48"/>
        <v>18.652</v>
      </c>
      <c r="H562" s="11" t="str">
        <f t="shared" si="49"/>
        <v>3.589E-2</v>
      </c>
      <c r="I562" s="2">
        <f t="shared" si="50"/>
        <v>253.8</v>
      </c>
      <c r="J562" s="4">
        <f t="shared" si="51"/>
        <v>18.652</v>
      </c>
      <c r="K562" s="9">
        <f t="shared" si="52"/>
        <v>23.7</v>
      </c>
      <c r="L562" s="1">
        <f t="shared" si="53"/>
        <v>28.4</v>
      </c>
    </row>
    <row r="563" s="1" customFormat="1" spans="1:12">
      <c r="A563" s="2">
        <v>18.719</v>
      </c>
      <c r="B563" s="10" t="s">
        <v>68</v>
      </c>
      <c r="C563" s="4">
        <v>18.719</v>
      </c>
      <c r="D563" s="5">
        <v>253.8</v>
      </c>
      <c r="E563" s="4"/>
      <c r="F563" s="4"/>
      <c r="G563" s="2">
        <f t="shared" si="48"/>
        <v>18.685</v>
      </c>
      <c r="H563" s="11" t="str">
        <f t="shared" si="49"/>
        <v>3.591E-2</v>
      </c>
      <c r="I563" s="2">
        <f t="shared" si="50"/>
        <v>253.8</v>
      </c>
      <c r="J563" s="4">
        <f t="shared" si="51"/>
        <v>18.685</v>
      </c>
      <c r="K563" s="9">
        <f t="shared" si="52"/>
        <v>23.9</v>
      </c>
      <c r="L563" s="1">
        <f t="shared" si="53"/>
        <v>28.4</v>
      </c>
    </row>
    <row r="564" s="1" customFormat="1" spans="1:12">
      <c r="A564" s="2">
        <v>18.752</v>
      </c>
      <c r="B564" s="10" t="s">
        <v>69</v>
      </c>
      <c r="C564" s="4">
        <v>18.752</v>
      </c>
      <c r="D564" s="5">
        <v>253.8</v>
      </c>
      <c r="E564" s="4"/>
      <c r="F564" s="4"/>
      <c r="G564" s="2">
        <f t="shared" si="48"/>
        <v>18.719</v>
      </c>
      <c r="H564" s="11" t="str">
        <f t="shared" si="49"/>
        <v>3.591E-2</v>
      </c>
      <c r="I564" s="2">
        <f t="shared" si="50"/>
        <v>253.8</v>
      </c>
      <c r="J564" s="4">
        <f t="shared" si="51"/>
        <v>18.719</v>
      </c>
      <c r="K564" s="9">
        <f t="shared" si="52"/>
        <v>23.9</v>
      </c>
      <c r="L564" s="1">
        <f t="shared" si="53"/>
        <v>28.4</v>
      </c>
    </row>
    <row r="565" s="1" customFormat="1" spans="1:12">
      <c r="A565" s="2">
        <v>18.786</v>
      </c>
      <c r="B565" s="10" t="s">
        <v>280</v>
      </c>
      <c r="C565" s="4">
        <v>18.786</v>
      </c>
      <c r="D565" s="5">
        <v>253.8</v>
      </c>
      <c r="E565" s="4"/>
      <c r="F565" s="4"/>
      <c r="G565" s="2">
        <f t="shared" si="48"/>
        <v>18.752</v>
      </c>
      <c r="H565" s="11" t="str">
        <f t="shared" si="49"/>
        <v>3.592E-2</v>
      </c>
      <c r="I565" s="2">
        <f t="shared" si="50"/>
        <v>253.8</v>
      </c>
      <c r="J565" s="4">
        <f t="shared" si="51"/>
        <v>18.752</v>
      </c>
      <c r="K565" s="9">
        <f t="shared" si="52"/>
        <v>24</v>
      </c>
      <c r="L565" s="1">
        <f t="shared" si="53"/>
        <v>28.4</v>
      </c>
    </row>
    <row r="566" s="1" customFormat="1" spans="1:12">
      <c r="A566" s="2">
        <v>18.819</v>
      </c>
      <c r="B566" s="10" t="s">
        <v>151</v>
      </c>
      <c r="C566" s="4">
        <v>18.819</v>
      </c>
      <c r="D566" s="5">
        <v>253.8</v>
      </c>
      <c r="E566" s="4"/>
      <c r="F566" s="4"/>
      <c r="G566" s="2">
        <f t="shared" si="48"/>
        <v>18.786</v>
      </c>
      <c r="H566" s="11" t="str">
        <f t="shared" si="49"/>
        <v>3.593E-2</v>
      </c>
      <c r="I566" s="2">
        <f t="shared" si="50"/>
        <v>253.8</v>
      </c>
      <c r="J566" s="4">
        <f t="shared" si="51"/>
        <v>18.786</v>
      </c>
      <c r="K566" s="9">
        <f t="shared" si="52"/>
        <v>24.1</v>
      </c>
      <c r="L566" s="1">
        <f t="shared" si="53"/>
        <v>28.4</v>
      </c>
    </row>
    <row r="567" s="1" customFormat="1" spans="1:12">
      <c r="A567" s="2">
        <v>18.852</v>
      </c>
      <c r="B567" s="10" t="s">
        <v>134</v>
      </c>
      <c r="C567" s="4">
        <v>18.852</v>
      </c>
      <c r="D567" s="5">
        <v>253.8</v>
      </c>
      <c r="E567" s="4"/>
      <c r="F567" s="4"/>
      <c r="G567" s="2">
        <f t="shared" si="48"/>
        <v>18.819</v>
      </c>
      <c r="H567" s="11" t="str">
        <f t="shared" si="49"/>
        <v>3.594E-2</v>
      </c>
      <c r="I567" s="2">
        <f t="shared" si="50"/>
        <v>253.8</v>
      </c>
      <c r="J567" s="4">
        <f t="shared" si="51"/>
        <v>18.819</v>
      </c>
      <c r="K567" s="9">
        <f t="shared" si="52"/>
        <v>24.2</v>
      </c>
      <c r="L567" s="1">
        <f t="shared" si="53"/>
        <v>28.4</v>
      </c>
    </row>
    <row r="568" s="1" customFormat="1" spans="1:12">
      <c r="A568" s="2">
        <v>18.886</v>
      </c>
      <c r="B568" s="10" t="s">
        <v>295</v>
      </c>
      <c r="C568" s="4">
        <v>18.886</v>
      </c>
      <c r="D568" s="5">
        <v>253.8</v>
      </c>
      <c r="E568" s="4"/>
      <c r="F568" s="4"/>
      <c r="G568" s="2">
        <f t="shared" si="48"/>
        <v>18.852</v>
      </c>
      <c r="H568" s="11" t="str">
        <f t="shared" si="49"/>
        <v>3.595E-2</v>
      </c>
      <c r="I568" s="2">
        <f t="shared" si="50"/>
        <v>253.8</v>
      </c>
      <c r="J568" s="4">
        <f t="shared" si="51"/>
        <v>18.852</v>
      </c>
      <c r="K568" s="9">
        <f t="shared" si="52"/>
        <v>24.3</v>
      </c>
      <c r="L568" s="1">
        <f t="shared" si="53"/>
        <v>28.4</v>
      </c>
    </row>
    <row r="569" s="1" customFormat="1" spans="1:12">
      <c r="A569" s="2">
        <v>18.919</v>
      </c>
      <c r="B569" s="10" t="s">
        <v>295</v>
      </c>
      <c r="C569" s="4">
        <v>18.919</v>
      </c>
      <c r="D569" s="5">
        <v>253.8</v>
      </c>
      <c r="E569" s="4"/>
      <c r="F569" s="4"/>
      <c r="G569" s="2">
        <f t="shared" si="48"/>
        <v>18.886</v>
      </c>
      <c r="H569" s="11" t="str">
        <f t="shared" si="49"/>
        <v>3.596E-2</v>
      </c>
      <c r="I569" s="2">
        <f t="shared" si="50"/>
        <v>253.8</v>
      </c>
      <c r="J569" s="4">
        <f t="shared" si="51"/>
        <v>18.886</v>
      </c>
      <c r="K569" s="9">
        <f t="shared" si="52"/>
        <v>24.4</v>
      </c>
      <c r="L569" s="1">
        <f t="shared" si="53"/>
        <v>28.4</v>
      </c>
    </row>
    <row r="570" s="1" customFormat="1" spans="1:12">
      <c r="A570" s="2">
        <v>18.953</v>
      </c>
      <c r="B570" s="10" t="s">
        <v>304</v>
      </c>
      <c r="C570" s="4">
        <v>18.953</v>
      </c>
      <c r="D570" s="5">
        <v>253.8</v>
      </c>
      <c r="E570" s="4"/>
      <c r="F570" s="4"/>
      <c r="G570" s="2">
        <f t="shared" si="48"/>
        <v>18.919</v>
      </c>
      <c r="H570" s="11" t="str">
        <f t="shared" si="49"/>
        <v>3.596E-2</v>
      </c>
      <c r="I570" s="2">
        <f t="shared" si="50"/>
        <v>253.8</v>
      </c>
      <c r="J570" s="4">
        <f t="shared" si="51"/>
        <v>18.919</v>
      </c>
      <c r="K570" s="9">
        <f t="shared" si="52"/>
        <v>24.4</v>
      </c>
      <c r="L570" s="1">
        <f t="shared" si="53"/>
        <v>28.4</v>
      </c>
    </row>
    <row r="571" s="1" customFormat="1" spans="1:12">
      <c r="A571" s="2">
        <v>18.986</v>
      </c>
      <c r="B571" s="10" t="s">
        <v>304</v>
      </c>
      <c r="C571" s="4">
        <v>18.986</v>
      </c>
      <c r="D571" s="5">
        <v>253.8</v>
      </c>
      <c r="E571" s="4"/>
      <c r="F571" s="4"/>
      <c r="G571" s="2">
        <f t="shared" si="48"/>
        <v>18.953</v>
      </c>
      <c r="H571" s="11" t="str">
        <f t="shared" si="49"/>
        <v>3.598E-2</v>
      </c>
      <c r="I571" s="2">
        <f t="shared" si="50"/>
        <v>253.8</v>
      </c>
      <c r="J571" s="4">
        <f t="shared" si="51"/>
        <v>18.953</v>
      </c>
      <c r="K571" s="9">
        <f t="shared" si="52"/>
        <v>24.6</v>
      </c>
      <c r="L571" s="1">
        <f t="shared" si="53"/>
        <v>28.4</v>
      </c>
    </row>
    <row r="572" s="1" customFormat="1" spans="1:12">
      <c r="A572" s="2">
        <v>19.02</v>
      </c>
      <c r="B572" s="10" t="s">
        <v>318</v>
      </c>
      <c r="C572" s="4">
        <v>19.02</v>
      </c>
      <c r="D572" s="5">
        <v>253.8</v>
      </c>
      <c r="E572" s="4"/>
      <c r="F572" s="4"/>
      <c r="G572" s="2">
        <f t="shared" si="48"/>
        <v>18.986</v>
      </c>
      <c r="H572" s="11" t="str">
        <f t="shared" si="49"/>
        <v>3.598E-2</v>
      </c>
      <c r="I572" s="2">
        <f t="shared" si="50"/>
        <v>253.8</v>
      </c>
      <c r="J572" s="4">
        <f t="shared" si="51"/>
        <v>18.986</v>
      </c>
      <c r="K572" s="9">
        <f t="shared" si="52"/>
        <v>24.6</v>
      </c>
      <c r="L572" s="1">
        <f t="shared" si="53"/>
        <v>28.4</v>
      </c>
    </row>
    <row r="573" s="1" customFormat="1" spans="1:12">
      <c r="A573" s="2">
        <v>19.053</v>
      </c>
      <c r="B573" s="10" t="s">
        <v>318</v>
      </c>
      <c r="C573" s="4">
        <v>19.053</v>
      </c>
      <c r="D573" s="5">
        <v>253.8</v>
      </c>
      <c r="E573" s="4"/>
      <c r="F573" s="4"/>
      <c r="G573" s="2">
        <f t="shared" si="48"/>
        <v>19.02</v>
      </c>
      <c r="H573" s="11" t="str">
        <f t="shared" si="49"/>
        <v>3.599E-2</v>
      </c>
      <c r="I573" s="2">
        <f t="shared" si="50"/>
        <v>253.8</v>
      </c>
      <c r="J573" s="4">
        <f t="shared" si="51"/>
        <v>19.02</v>
      </c>
      <c r="K573" s="9">
        <f t="shared" si="52"/>
        <v>24.7</v>
      </c>
      <c r="L573" s="1">
        <f t="shared" si="53"/>
        <v>28.4</v>
      </c>
    </row>
    <row r="574" s="1" customFormat="1" spans="1:12">
      <c r="A574" s="2">
        <v>19.086</v>
      </c>
      <c r="B574" s="10" t="s">
        <v>318</v>
      </c>
      <c r="C574" s="4">
        <v>19.086</v>
      </c>
      <c r="D574" s="5">
        <v>253.8</v>
      </c>
      <c r="E574" s="4"/>
      <c r="F574" s="4"/>
      <c r="G574" s="2">
        <f t="shared" si="48"/>
        <v>19.053</v>
      </c>
      <c r="H574" s="11" t="str">
        <f t="shared" si="49"/>
        <v>3.599E-2</v>
      </c>
      <c r="I574" s="2">
        <f t="shared" si="50"/>
        <v>253.8</v>
      </c>
      <c r="J574" s="4">
        <f t="shared" si="51"/>
        <v>19.053</v>
      </c>
      <c r="K574" s="9">
        <f t="shared" si="52"/>
        <v>24.7</v>
      </c>
      <c r="L574" s="1">
        <f t="shared" si="53"/>
        <v>28.4</v>
      </c>
    </row>
    <row r="575" s="1" customFormat="1" spans="1:12">
      <c r="A575" s="2">
        <v>19.12</v>
      </c>
      <c r="B575" s="10" t="s">
        <v>318</v>
      </c>
      <c r="C575" s="4">
        <v>19.12</v>
      </c>
      <c r="D575" s="5">
        <v>253.8</v>
      </c>
      <c r="E575" s="4"/>
      <c r="F575" s="4"/>
      <c r="G575" s="2">
        <f t="shared" si="48"/>
        <v>19.086</v>
      </c>
      <c r="H575" s="11" t="str">
        <f t="shared" si="49"/>
        <v>3.599E-2</v>
      </c>
      <c r="I575" s="2">
        <f t="shared" si="50"/>
        <v>253.8</v>
      </c>
      <c r="J575" s="4">
        <f t="shared" si="51"/>
        <v>19.086</v>
      </c>
      <c r="K575" s="9">
        <f t="shared" si="52"/>
        <v>24.7</v>
      </c>
      <c r="L575" s="1">
        <f t="shared" si="53"/>
        <v>28.4</v>
      </c>
    </row>
    <row r="576" s="1" customFormat="1" spans="1:12">
      <c r="A576" s="2">
        <v>19.153</v>
      </c>
      <c r="B576" s="10" t="s">
        <v>318</v>
      </c>
      <c r="C576" s="4">
        <v>19.153</v>
      </c>
      <c r="D576" s="5">
        <v>253.8</v>
      </c>
      <c r="E576" s="4"/>
      <c r="F576" s="4"/>
      <c r="G576" s="2">
        <f t="shared" si="48"/>
        <v>19.12</v>
      </c>
      <c r="H576" s="11" t="str">
        <f t="shared" si="49"/>
        <v>3.599E-2</v>
      </c>
      <c r="I576" s="2">
        <f t="shared" si="50"/>
        <v>253.8</v>
      </c>
      <c r="J576" s="4">
        <f t="shared" si="51"/>
        <v>19.12</v>
      </c>
      <c r="K576" s="9">
        <f t="shared" si="52"/>
        <v>24.7</v>
      </c>
      <c r="L576" s="1">
        <f t="shared" si="53"/>
        <v>28.4</v>
      </c>
    </row>
    <row r="577" s="1" customFormat="1" spans="1:12">
      <c r="A577" s="2">
        <v>19.187</v>
      </c>
      <c r="B577" s="10" t="s">
        <v>318</v>
      </c>
      <c r="C577" s="4">
        <v>19.187</v>
      </c>
      <c r="D577" s="5">
        <v>253.8</v>
      </c>
      <c r="E577" s="4"/>
      <c r="F577" s="4"/>
      <c r="G577" s="2">
        <f t="shared" si="48"/>
        <v>19.153</v>
      </c>
      <c r="H577" s="11" t="str">
        <f t="shared" si="49"/>
        <v>3.599E-2</v>
      </c>
      <c r="I577" s="2">
        <f t="shared" si="50"/>
        <v>253.8</v>
      </c>
      <c r="J577" s="4">
        <f t="shared" si="51"/>
        <v>19.153</v>
      </c>
      <c r="K577" s="9">
        <f t="shared" si="52"/>
        <v>24.7</v>
      </c>
      <c r="L577" s="1">
        <f t="shared" si="53"/>
        <v>28.4</v>
      </c>
    </row>
    <row r="578" s="1" customFormat="1" spans="1:12">
      <c r="A578" s="2">
        <v>19.22</v>
      </c>
      <c r="B578" s="10" t="s">
        <v>318</v>
      </c>
      <c r="C578" s="4">
        <v>19.22</v>
      </c>
      <c r="D578" s="5">
        <v>253.8</v>
      </c>
      <c r="E578" s="4"/>
      <c r="F578" s="4"/>
      <c r="G578" s="2">
        <f t="shared" si="48"/>
        <v>19.187</v>
      </c>
      <c r="H578" s="11" t="str">
        <f t="shared" si="49"/>
        <v>3.599E-2</v>
      </c>
      <c r="I578" s="2">
        <f t="shared" si="50"/>
        <v>253.8</v>
      </c>
      <c r="J578" s="4">
        <f t="shared" si="51"/>
        <v>19.187</v>
      </c>
      <c r="K578" s="9">
        <f t="shared" si="52"/>
        <v>24.7</v>
      </c>
      <c r="L578" s="1">
        <f t="shared" si="53"/>
        <v>28.4</v>
      </c>
    </row>
    <row r="579" s="1" customFormat="1" spans="1:12">
      <c r="A579" s="2">
        <v>19.254</v>
      </c>
      <c r="B579" s="10" t="s">
        <v>318</v>
      </c>
      <c r="C579" s="4">
        <v>19.254</v>
      </c>
      <c r="D579" s="5">
        <v>253.8</v>
      </c>
      <c r="E579" s="4"/>
      <c r="F579" s="4"/>
      <c r="G579" s="2">
        <f t="shared" si="48"/>
        <v>19.22</v>
      </c>
      <c r="H579" s="11" t="str">
        <f t="shared" si="49"/>
        <v>3.599E-2</v>
      </c>
      <c r="I579" s="2">
        <f t="shared" si="50"/>
        <v>253.8</v>
      </c>
      <c r="J579" s="4">
        <f t="shared" si="51"/>
        <v>19.22</v>
      </c>
      <c r="K579" s="9">
        <f t="shared" si="52"/>
        <v>24.7</v>
      </c>
      <c r="L579" s="1">
        <f t="shared" si="53"/>
        <v>28.4</v>
      </c>
    </row>
    <row r="580" s="1" customFormat="1" spans="1:12">
      <c r="A580" s="2">
        <v>19.287</v>
      </c>
      <c r="B580" s="10" t="s">
        <v>285</v>
      </c>
      <c r="C580" s="4">
        <v>19.287</v>
      </c>
      <c r="D580" s="5">
        <v>253.8</v>
      </c>
      <c r="E580" s="4"/>
      <c r="F580" s="4"/>
      <c r="G580" s="2">
        <f t="shared" ref="G580:G643" si="54">A579</f>
        <v>19.254</v>
      </c>
      <c r="H580" s="11" t="str">
        <f t="shared" ref="H580:H643" si="55">B579</f>
        <v>3.599E-2</v>
      </c>
      <c r="I580" s="2">
        <f t="shared" ref="I580:I643" si="56">D579</f>
        <v>253.8</v>
      </c>
      <c r="J580" s="4">
        <f t="shared" ref="J580:J643" si="57">G580</f>
        <v>19.254</v>
      </c>
      <c r="K580" s="9">
        <f t="shared" ref="K580:K643" si="58">(H580-$H$4)*10000</f>
        <v>24.7</v>
      </c>
      <c r="L580" s="1">
        <f t="shared" si="53"/>
        <v>28.4</v>
      </c>
    </row>
    <row r="581" s="1" customFormat="1" spans="1:12">
      <c r="A581" s="2">
        <v>19.32</v>
      </c>
      <c r="B581" s="10" t="s">
        <v>285</v>
      </c>
      <c r="C581" s="4">
        <v>19.32</v>
      </c>
      <c r="D581" s="5">
        <v>253.8</v>
      </c>
      <c r="E581" s="4"/>
      <c r="F581" s="4"/>
      <c r="G581" s="2">
        <f t="shared" si="54"/>
        <v>19.287</v>
      </c>
      <c r="H581" s="11" t="str">
        <f t="shared" si="55"/>
        <v>3.600E-2</v>
      </c>
      <c r="I581" s="2">
        <f t="shared" si="56"/>
        <v>253.8</v>
      </c>
      <c r="J581" s="4">
        <f t="shared" si="57"/>
        <v>19.287</v>
      </c>
      <c r="K581" s="9">
        <f t="shared" si="58"/>
        <v>24.8</v>
      </c>
      <c r="L581" s="1">
        <f t="shared" ref="L581:L644" si="59">IF(I581&lt;230,MIN(K:K),MAX(K:K))</f>
        <v>28.4</v>
      </c>
    </row>
    <row r="582" s="1" customFormat="1" spans="1:12">
      <c r="A582" s="2">
        <v>19.354</v>
      </c>
      <c r="B582" s="10" t="s">
        <v>285</v>
      </c>
      <c r="C582" s="4">
        <v>19.354</v>
      </c>
      <c r="D582" s="5">
        <v>253.8</v>
      </c>
      <c r="E582" s="4"/>
      <c r="F582" s="4"/>
      <c r="G582" s="2">
        <f t="shared" si="54"/>
        <v>19.32</v>
      </c>
      <c r="H582" s="11" t="str">
        <f t="shared" si="55"/>
        <v>3.600E-2</v>
      </c>
      <c r="I582" s="2">
        <f t="shared" si="56"/>
        <v>253.8</v>
      </c>
      <c r="J582" s="4">
        <f t="shared" si="57"/>
        <v>19.32</v>
      </c>
      <c r="K582" s="9">
        <f t="shared" si="58"/>
        <v>24.8</v>
      </c>
      <c r="L582" s="1">
        <f t="shared" si="59"/>
        <v>28.4</v>
      </c>
    </row>
    <row r="583" s="1" customFormat="1" spans="1:12">
      <c r="A583" s="2">
        <v>19.387</v>
      </c>
      <c r="B583" s="10" t="s">
        <v>285</v>
      </c>
      <c r="C583" s="4">
        <v>19.387</v>
      </c>
      <c r="D583" s="5">
        <v>253.8</v>
      </c>
      <c r="E583" s="4"/>
      <c r="F583" s="4"/>
      <c r="G583" s="2">
        <f t="shared" si="54"/>
        <v>19.354</v>
      </c>
      <c r="H583" s="11" t="str">
        <f t="shared" si="55"/>
        <v>3.600E-2</v>
      </c>
      <c r="I583" s="2">
        <f t="shared" si="56"/>
        <v>253.8</v>
      </c>
      <c r="J583" s="4">
        <f t="shared" si="57"/>
        <v>19.354</v>
      </c>
      <c r="K583" s="9">
        <f t="shared" si="58"/>
        <v>24.8</v>
      </c>
      <c r="L583" s="1">
        <f t="shared" si="59"/>
        <v>28.4</v>
      </c>
    </row>
    <row r="584" s="1" customFormat="1" spans="1:12">
      <c r="A584" s="2">
        <v>19.421</v>
      </c>
      <c r="B584" s="10" t="s">
        <v>318</v>
      </c>
      <c r="C584" s="4">
        <v>19.421</v>
      </c>
      <c r="D584" s="5">
        <v>253.8</v>
      </c>
      <c r="E584" s="4"/>
      <c r="F584" s="4"/>
      <c r="G584" s="2">
        <f t="shared" si="54"/>
        <v>19.387</v>
      </c>
      <c r="H584" s="11" t="str">
        <f t="shared" si="55"/>
        <v>3.600E-2</v>
      </c>
      <c r="I584" s="2">
        <f t="shared" si="56"/>
        <v>253.8</v>
      </c>
      <c r="J584" s="4">
        <f t="shared" si="57"/>
        <v>19.387</v>
      </c>
      <c r="K584" s="9">
        <f t="shared" si="58"/>
        <v>24.8</v>
      </c>
      <c r="L584" s="1">
        <f t="shared" si="59"/>
        <v>28.4</v>
      </c>
    </row>
    <row r="585" s="1" customFormat="1" spans="1:12">
      <c r="A585" s="2">
        <v>19.454</v>
      </c>
      <c r="B585" s="10" t="s">
        <v>318</v>
      </c>
      <c r="C585" s="4">
        <v>19.454</v>
      </c>
      <c r="D585" s="5">
        <v>253.8</v>
      </c>
      <c r="E585" s="4"/>
      <c r="F585" s="4"/>
      <c r="G585" s="2">
        <f t="shared" si="54"/>
        <v>19.421</v>
      </c>
      <c r="H585" s="11" t="str">
        <f t="shared" si="55"/>
        <v>3.599E-2</v>
      </c>
      <c r="I585" s="2">
        <f t="shared" si="56"/>
        <v>253.8</v>
      </c>
      <c r="J585" s="4">
        <f t="shared" si="57"/>
        <v>19.421</v>
      </c>
      <c r="K585" s="9">
        <f t="shared" si="58"/>
        <v>24.7</v>
      </c>
      <c r="L585" s="1">
        <f t="shared" si="59"/>
        <v>28.4</v>
      </c>
    </row>
    <row r="586" s="1" customFormat="1" spans="1:12">
      <c r="A586" s="2">
        <v>19.488</v>
      </c>
      <c r="B586" s="10" t="s">
        <v>318</v>
      </c>
      <c r="C586" s="4">
        <v>19.488</v>
      </c>
      <c r="D586" s="5">
        <v>160.1</v>
      </c>
      <c r="E586" s="4"/>
      <c r="F586" s="4"/>
      <c r="G586" s="2">
        <f t="shared" si="54"/>
        <v>19.454</v>
      </c>
      <c r="H586" s="11" t="str">
        <f t="shared" si="55"/>
        <v>3.599E-2</v>
      </c>
      <c r="I586" s="2">
        <f t="shared" si="56"/>
        <v>253.8</v>
      </c>
      <c r="J586" s="4">
        <f t="shared" si="57"/>
        <v>19.454</v>
      </c>
      <c r="K586" s="9">
        <f t="shared" si="58"/>
        <v>24.7</v>
      </c>
      <c r="L586" s="1">
        <f t="shared" si="59"/>
        <v>28.4</v>
      </c>
    </row>
    <row r="587" s="1" customFormat="1" spans="1:12">
      <c r="A587" s="2">
        <v>19.521</v>
      </c>
      <c r="B587" s="10" t="s">
        <v>304</v>
      </c>
      <c r="C587" s="4">
        <v>19.521</v>
      </c>
      <c r="D587" s="5">
        <v>177.3</v>
      </c>
      <c r="E587" s="4"/>
      <c r="F587" s="4"/>
      <c r="G587" s="2">
        <f t="shared" si="54"/>
        <v>19.488</v>
      </c>
      <c r="H587" s="11" t="str">
        <f t="shared" si="55"/>
        <v>3.599E-2</v>
      </c>
      <c r="I587" s="2">
        <f t="shared" si="56"/>
        <v>160.1</v>
      </c>
      <c r="J587" s="4">
        <f t="shared" si="57"/>
        <v>19.488</v>
      </c>
      <c r="K587" s="9">
        <f t="shared" si="58"/>
        <v>24.7</v>
      </c>
      <c r="L587" s="1">
        <f t="shared" si="59"/>
        <v>-0.300000000000022</v>
      </c>
    </row>
    <row r="588" s="1" customFormat="1" spans="1:12">
      <c r="A588" s="2">
        <v>19.554</v>
      </c>
      <c r="B588" s="10" t="s">
        <v>304</v>
      </c>
      <c r="C588" s="4">
        <v>19.554</v>
      </c>
      <c r="D588" s="5">
        <v>176.5</v>
      </c>
      <c r="E588" s="4"/>
      <c r="F588" s="4"/>
      <c r="G588" s="2">
        <f t="shared" si="54"/>
        <v>19.521</v>
      </c>
      <c r="H588" s="11" t="str">
        <f t="shared" si="55"/>
        <v>3.598E-2</v>
      </c>
      <c r="I588" s="2">
        <f t="shared" si="56"/>
        <v>177.3</v>
      </c>
      <c r="J588" s="4">
        <f t="shared" si="57"/>
        <v>19.521</v>
      </c>
      <c r="K588" s="9">
        <f t="shared" si="58"/>
        <v>24.6</v>
      </c>
      <c r="L588" s="1">
        <f t="shared" si="59"/>
        <v>-0.300000000000022</v>
      </c>
    </row>
    <row r="589" s="1" customFormat="1" spans="1:12">
      <c r="A589" s="2">
        <v>19.588</v>
      </c>
      <c r="B589" s="10" t="s">
        <v>292</v>
      </c>
      <c r="C589" s="4">
        <v>19.588</v>
      </c>
      <c r="D589" s="5">
        <v>175.8</v>
      </c>
      <c r="E589" s="4"/>
      <c r="F589" s="4"/>
      <c r="G589" s="2">
        <f t="shared" si="54"/>
        <v>19.554</v>
      </c>
      <c r="H589" s="11" t="str">
        <f t="shared" si="55"/>
        <v>3.598E-2</v>
      </c>
      <c r="I589" s="2">
        <f t="shared" si="56"/>
        <v>176.5</v>
      </c>
      <c r="J589" s="4">
        <f t="shared" si="57"/>
        <v>19.554</v>
      </c>
      <c r="K589" s="9">
        <f t="shared" si="58"/>
        <v>24.6</v>
      </c>
      <c r="L589" s="1">
        <f t="shared" si="59"/>
        <v>-0.300000000000022</v>
      </c>
    </row>
    <row r="590" s="1" customFormat="1" spans="1:12">
      <c r="A590" s="2">
        <v>19.621</v>
      </c>
      <c r="B590" s="10" t="s">
        <v>292</v>
      </c>
      <c r="C590" s="4">
        <v>19.621</v>
      </c>
      <c r="D590" s="5">
        <v>175.6</v>
      </c>
      <c r="E590" s="4"/>
      <c r="F590" s="4"/>
      <c r="G590" s="2">
        <f t="shared" si="54"/>
        <v>19.588</v>
      </c>
      <c r="H590" s="11" t="str">
        <f t="shared" si="55"/>
        <v>3.597E-2</v>
      </c>
      <c r="I590" s="2">
        <f t="shared" si="56"/>
        <v>175.8</v>
      </c>
      <c r="J590" s="4">
        <f t="shared" si="57"/>
        <v>19.588</v>
      </c>
      <c r="K590" s="9">
        <f t="shared" si="58"/>
        <v>24.5</v>
      </c>
      <c r="L590" s="1">
        <f t="shared" si="59"/>
        <v>-0.300000000000022</v>
      </c>
    </row>
    <row r="591" s="1" customFormat="1" spans="1:12">
      <c r="A591" s="2">
        <v>19.655</v>
      </c>
      <c r="B591" s="10" t="s">
        <v>292</v>
      </c>
      <c r="C591" s="4">
        <v>19.655</v>
      </c>
      <c r="D591" s="5">
        <v>175</v>
      </c>
      <c r="E591" s="4"/>
      <c r="F591" s="4"/>
      <c r="G591" s="2">
        <f t="shared" si="54"/>
        <v>19.621</v>
      </c>
      <c r="H591" s="11" t="str">
        <f t="shared" si="55"/>
        <v>3.597E-2</v>
      </c>
      <c r="I591" s="2">
        <f t="shared" si="56"/>
        <v>175.6</v>
      </c>
      <c r="J591" s="4">
        <f t="shared" si="57"/>
        <v>19.621</v>
      </c>
      <c r="K591" s="9">
        <f t="shared" si="58"/>
        <v>24.5</v>
      </c>
      <c r="L591" s="1">
        <f t="shared" si="59"/>
        <v>-0.300000000000022</v>
      </c>
    </row>
    <row r="592" s="1" customFormat="1" spans="1:12">
      <c r="A592" s="2">
        <v>19.688</v>
      </c>
      <c r="B592" s="10" t="s">
        <v>292</v>
      </c>
      <c r="C592" s="4">
        <v>19.688</v>
      </c>
      <c r="D592" s="5">
        <v>174.1</v>
      </c>
      <c r="E592" s="4"/>
      <c r="F592" s="4"/>
      <c r="G592" s="2">
        <f t="shared" si="54"/>
        <v>19.655</v>
      </c>
      <c r="H592" s="11" t="str">
        <f t="shared" si="55"/>
        <v>3.597E-2</v>
      </c>
      <c r="I592" s="2">
        <f t="shared" si="56"/>
        <v>175</v>
      </c>
      <c r="J592" s="4">
        <f t="shared" si="57"/>
        <v>19.655</v>
      </c>
      <c r="K592" s="9">
        <f t="shared" si="58"/>
        <v>24.5</v>
      </c>
      <c r="L592" s="1">
        <f t="shared" si="59"/>
        <v>-0.300000000000022</v>
      </c>
    </row>
    <row r="593" s="1" customFormat="1" spans="1:12">
      <c r="A593" s="2">
        <v>19.721</v>
      </c>
      <c r="B593" s="10" t="s">
        <v>292</v>
      </c>
      <c r="C593" s="4">
        <v>19.721</v>
      </c>
      <c r="D593" s="5">
        <v>172.9</v>
      </c>
      <c r="E593" s="4"/>
      <c r="F593" s="4"/>
      <c r="G593" s="2">
        <f t="shared" si="54"/>
        <v>19.688</v>
      </c>
      <c r="H593" s="11" t="str">
        <f t="shared" si="55"/>
        <v>3.597E-2</v>
      </c>
      <c r="I593" s="2">
        <f t="shared" si="56"/>
        <v>174.1</v>
      </c>
      <c r="J593" s="4">
        <f t="shared" si="57"/>
        <v>19.688</v>
      </c>
      <c r="K593" s="9">
        <f t="shared" si="58"/>
        <v>24.5</v>
      </c>
      <c r="L593" s="1">
        <f t="shared" si="59"/>
        <v>-0.300000000000022</v>
      </c>
    </row>
    <row r="594" s="1" customFormat="1" spans="1:12">
      <c r="A594" s="2">
        <v>19.755</v>
      </c>
      <c r="B594" s="10" t="s">
        <v>295</v>
      </c>
      <c r="C594" s="4">
        <v>19.755</v>
      </c>
      <c r="D594" s="5">
        <v>171</v>
      </c>
      <c r="E594" s="4"/>
      <c r="F594" s="4"/>
      <c r="G594" s="2">
        <f t="shared" si="54"/>
        <v>19.721</v>
      </c>
      <c r="H594" s="11" t="str">
        <f t="shared" si="55"/>
        <v>3.597E-2</v>
      </c>
      <c r="I594" s="2">
        <f t="shared" si="56"/>
        <v>172.9</v>
      </c>
      <c r="J594" s="4">
        <f t="shared" si="57"/>
        <v>19.721</v>
      </c>
      <c r="K594" s="9">
        <f t="shared" si="58"/>
        <v>24.5</v>
      </c>
      <c r="L594" s="1">
        <f t="shared" si="59"/>
        <v>-0.300000000000022</v>
      </c>
    </row>
    <row r="595" s="1" customFormat="1" spans="1:12">
      <c r="A595" s="2">
        <v>19.788</v>
      </c>
      <c r="B595" s="10" t="s">
        <v>295</v>
      </c>
      <c r="C595" s="4">
        <v>19.788</v>
      </c>
      <c r="D595" s="5">
        <v>171.4</v>
      </c>
      <c r="E595" s="4"/>
      <c r="F595" s="4"/>
      <c r="G595" s="2">
        <f t="shared" si="54"/>
        <v>19.755</v>
      </c>
      <c r="H595" s="11" t="str">
        <f t="shared" si="55"/>
        <v>3.596E-2</v>
      </c>
      <c r="I595" s="2">
        <f t="shared" si="56"/>
        <v>171</v>
      </c>
      <c r="J595" s="4">
        <f t="shared" si="57"/>
        <v>19.755</v>
      </c>
      <c r="K595" s="9">
        <f t="shared" si="58"/>
        <v>24.4</v>
      </c>
      <c r="L595" s="1">
        <f t="shared" si="59"/>
        <v>-0.300000000000022</v>
      </c>
    </row>
    <row r="596" s="1" customFormat="1" spans="1:12">
      <c r="A596" s="2">
        <v>19.822</v>
      </c>
      <c r="B596" s="10" t="s">
        <v>134</v>
      </c>
      <c r="C596" s="4">
        <v>19.822</v>
      </c>
      <c r="D596" s="5">
        <v>170.5</v>
      </c>
      <c r="E596" s="4"/>
      <c r="F596" s="4"/>
      <c r="G596" s="2">
        <f t="shared" si="54"/>
        <v>19.788</v>
      </c>
      <c r="H596" s="11" t="str">
        <f t="shared" si="55"/>
        <v>3.596E-2</v>
      </c>
      <c r="I596" s="2">
        <f t="shared" si="56"/>
        <v>171.4</v>
      </c>
      <c r="J596" s="4">
        <f t="shared" si="57"/>
        <v>19.788</v>
      </c>
      <c r="K596" s="9">
        <f t="shared" si="58"/>
        <v>24.4</v>
      </c>
      <c r="L596" s="1">
        <f t="shared" si="59"/>
        <v>-0.300000000000022</v>
      </c>
    </row>
    <row r="597" s="1" customFormat="1" spans="1:12">
      <c r="A597" s="2">
        <v>19.855</v>
      </c>
      <c r="B597" s="10" t="s">
        <v>134</v>
      </c>
      <c r="C597" s="4">
        <v>19.855</v>
      </c>
      <c r="D597" s="5">
        <v>169.9</v>
      </c>
      <c r="E597" s="4"/>
      <c r="F597" s="4"/>
      <c r="G597" s="2">
        <f t="shared" si="54"/>
        <v>19.822</v>
      </c>
      <c r="H597" s="11" t="str">
        <f t="shared" si="55"/>
        <v>3.595E-2</v>
      </c>
      <c r="I597" s="2">
        <f t="shared" si="56"/>
        <v>170.5</v>
      </c>
      <c r="J597" s="4">
        <f t="shared" si="57"/>
        <v>19.822</v>
      </c>
      <c r="K597" s="9">
        <f t="shared" si="58"/>
        <v>24.3</v>
      </c>
      <c r="L597" s="1">
        <f t="shared" si="59"/>
        <v>-0.300000000000022</v>
      </c>
    </row>
    <row r="598" s="1" customFormat="1" spans="1:12">
      <c r="A598" s="2">
        <v>19.889</v>
      </c>
      <c r="B598" s="10" t="s">
        <v>151</v>
      </c>
      <c r="C598" s="4">
        <v>19.889</v>
      </c>
      <c r="D598" s="5">
        <v>167.9</v>
      </c>
      <c r="E598" s="4"/>
      <c r="F598" s="4"/>
      <c r="G598" s="2">
        <f t="shared" si="54"/>
        <v>19.855</v>
      </c>
      <c r="H598" s="11" t="str">
        <f t="shared" si="55"/>
        <v>3.595E-2</v>
      </c>
      <c r="I598" s="2">
        <f t="shared" si="56"/>
        <v>169.9</v>
      </c>
      <c r="J598" s="4">
        <f t="shared" si="57"/>
        <v>19.855</v>
      </c>
      <c r="K598" s="9">
        <f t="shared" si="58"/>
        <v>24.3</v>
      </c>
      <c r="L598" s="1">
        <f t="shared" si="59"/>
        <v>-0.300000000000022</v>
      </c>
    </row>
    <row r="599" s="1" customFormat="1" spans="1:12">
      <c r="A599" s="2">
        <v>19.922</v>
      </c>
      <c r="B599" s="10" t="s">
        <v>151</v>
      </c>
      <c r="C599" s="4">
        <v>19.922</v>
      </c>
      <c r="D599" s="5">
        <v>168.2</v>
      </c>
      <c r="E599" s="4"/>
      <c r="F599" s="4"/>
      <c r="G599" s="2">
        <f t="shared" si="54"/>
        <v>19.889</v>
      </c>
      <c r="H599" s="11" t="str">
        <f t="shared" si="55"/>
        <v>3.594E-2</v>
      </c>
      <c r="I599" s="2">
        <f t="shared" si="56"/>
        <v>167.9</v>
      </c>
      <c r="J599" s="4">
        <f t="shared" si="57"/>
        <v>19.889</v>
      </c>
      <c r="K599" s="9">
        <f t="shared" si="58"/>
        <v>24.2</v>
      </c>
      <c r="L599" s="1">
        <f t="shared" si="59"/>
        <v>-0.300000000000022</v>
      </c>
    </row>
    <row r="600" s="1" customFormat="1" spans="1:12">
      <c r="A600" s="2">
        <v>19.955</v>
      </c>
      <c r="B600" s="10" t="s">
        <v>151</v>
      </c>
      <c r="C600" s="4">
        <v>19.955</v>
      </c>
      <c r="D600" s="5">
        <v>167.4</v>
      </c>
      <c r="E600" s="4"/>
      <c r="F600" s="4"/>
      <c r="G600" s="2">
        <f t="shared" si="54"/>
        <v>19.922</v>
      </c>
      <c r="H600" s="11" t="str">
        <f t="shared" si="55"/>
        <v>3.594E-2</v>
      </c>
      <c r="I600" s="2">
        <f t="shared" si="56"/>
        <v>168.2</v>
      </c>
      <c r="J600" s="4">
        <f t="shared" si="57"/>
        <v>19.922</v>
      </c>
      <c r="K600" s="9">
        <f t="shared" si="58"/>
        <v>24.2</v>
      </c>
      <c r="L600" s="1">
        <f t="shared" si="59"/>
        <v>-0.300000000000022</v>
      </c>
    </row>
    <row r="601" s="1" customFormat="1" spans="1:12">
      <c r="A601" s="2">
        <v>19.989</v>
      </c>
      <c r="B601" s="10" t="s">
        <v>280</v>
      </c>
      <c r="C601" s="4">
        <v>19.989</v>
      </c>
      <c r="D601" s="5">
        <v>166.4</v>
      </c>
      <c r="E601" s="4"/>
      <c r="F601" s="4"/>
      <c r="G601" s="2">
        <f t="shared" si="54"/>
        <v>19.955</v>
      </c>
      <c r="H601" s="11" t="str">
        <f t="shared" si="55"/>
        <v>3.594E-2</v>
      </c>
      <c r="I601" s="2">
        <f t="shared" si="56"/>
        <v>167.4</v>
      </c>
      <c r="J601" s="4">
        <f t="shared" si="57"/>
        <v>19.955</v>
      </c>
      <c r="K601" s="9">
        <f t="shared" si="58"/>
        <v>24.2</v>
      </c>
      <c r="L601" s="1">
        <f t="shared" si="59"/>
        <v>-0.300000000000022</v>
      </c>
    </row>
    <row r="602" s="1" customFormat="1" spans="1:12">
      <c r="A602" s="2">
        <v>20.022</v>
      </c>
      <c r="B602" s="10" t="s">
        <v>280</v>
      </c>
      <c r="C602" s="4">
        <v>20.022</v>
      </c>
      <c r="D602" s="5">
        <v>165.5</v>
      </c>
      <c r="E602" s="4"/>
      <c r="F602" s="4"/>
      <c r="G602" s="2">
        <f t="shared" si="54"/>
        <v>19.989</v>
      </c>
      <c r="H602" s="11" t="str">
        <f t="shared" si="55"/>
        <v>3.593E-2</v>
      </c>
      <c r="I602" s="2">
        <f t="shared" si="56"/>
        <v>166.4</v>
      </c>
      <c r="J602" s="4">
        <f t="shared" si="57"/>
        <v>19.989</v>
      </c>
      <c r="K602" s="9">
        <f t="shared" si="58"/>
        <v>24.1</v>
      </c>
      <c r="L602" s="1">
        <f t="shared" si="59"/>
        <v>-0.300000000000022</v>
      </c>
    </row>
    <row r="603" s="1" customFormat="1" spans="1:12">
      <c r="A603" s="2">
        <v>20.056</v>
      </c>
      <c r="B603" s="10" t="s">
        <v>69</v>
      </c>
      <c r="C603" s="4">
        <v>20.056</v>
      </c>
      <c r="D603" s="5">
        <v>164.6</v>
      </c>
      <c r="E603" s="4"/>
      <c r="F603" s="4"/>
      <c r="G603" s="2">
        <f t="shared" si="54"/>
        <v>20.022</v>
      </c>
      <c r="H603" s="11" t="str">
        <f t="shared" si="55"/>
        <v>3.593E-2</v>
      </c>
      <c r="I603" s="2">
        <f t="shared" si="56"/>
        <v>165.5</v>
      </c>
      <c r="J603" s="4">
        <f t="shared" si="57"/>
        <v>20.022</v>
      </c>
      <c r="K603" s="9">
        <f t="shared" si="58"/>
        <v>24.1</v>
      </c>
      <c r="L603" s="1">
        <f t="shared" si="59"/>
        <v>-0.300000000000022</v>
      </c>
    </row>
    <row r="604" s="1" customFormat="1" spans="1:12">
      <c r="A604" s="2">
        <v>20.089</v>
      </c>
      <c r="B604" s="10" t="s">
        <v>68</v>
      </c>
      <c r="C604" s="4">
        <v>20.089</v>
      </c>
      <c r="D604" s="5">
        <v>164.4</v>
      </c>
      <c r="E604" s="4"/>
      <c r="F604" s="4"/>
      <c r="G604" s="2">
        <f t="shared" si="54"/>
        <v>20.056</v>
      </c>
      <c r="H604" s="11" t="str">
        <f t="shared" si="55"/>
        <v>3.592E-2</v>
      </c>
      <c r="I604" s="2">
        <f t="shared" si="56"/>
        <v>164.6</v>
      </c>
      <c r="J604" s="4">
        <f t="shared" si="57"/>
        <v>20.056</v>
      </c>
      <c r="K604" s="9">
        <f t="shared" si="58"/>
        <v>24</v>
      </c>
      <c r="L604" s="1">
        <f t="shared" si="59"/>
        <v>-0.300000000000022</v>
      </c>
    </row>
    <row r="605" s="1" customFormat="1" spans="1:12">
      <c r="A605" s="2">
        <v>20.123</v>
      </c>
      <c r="B605" s="10" t="s">
        <v>68</v>
      </c>
      <c r="C605" s="4">
        <v>20.123</v>
      </c>
      <c r="D605" s="5">
        <v>163.7</v>
      </c>
      <c r="E605" s="4"/>
      <c r="F605" s="4"/>
      <c r="G605" s="2">
        <f t="shared" si="54"/>
        <v>20.089</v>
      </c>
      <c r="H605" s="11" t="str">
        <f t="shared" si="55"/>
        <v>3.591E-2</v>
      </c>
      <c r="I605" s="2">
        <f t="shared" si="56"/>
        <v>164.4</v>
      </c>
      <c r="J605" s="4">
        <f t="shared" si="57"/>
        <v>20.089</v>
      </c>
      <c r="K605" s="9">
        <f t="shared" si="58"/>
        <v>23.9</v>
      </c>
      <c r="L605" s="1">
        <f t="shared" si="59"/>
        <v>-0.300000000000022</v>
      </c>
    </row>
    <row r="606" s="1" customFormat="1" spans="1:12">
      <c r="A606" s="2">
        <v>20.156</v>
      </c>
      <c r="B606" s="10" t="s">
        <v>94</v>
      </c>
      <c r="C606" s="4">
        <v>20.156</v>
      </c>
      <c r="D606" s="5">
        <v>163.2</v>
      </c>
      <c r="E606" s="4"/>
      <c r="F606" s="4"/>
      <c r="G606" s="2">
        <f t="shared" si="54"/>
        <v>20.123</v>
      </c>
      <c r="H606" s="11" t="str">
        <f t="shared" si="55"/>
        <v>3.591E-2</v>
      </c>
      <c r="I606" s="2">
        <f t="shared" si="56"/>
        <v>163.7</v>
      </c>
      <c r="J606" s="4">
        <f t="shared" si="57"/>
        <v>20.123</v>
      </c>
      <c r="K606" s="9">
        <f t="shared" si="58"/>
        <v>23.9</v>
      </c>
      <c r="L606" s="1">
        <f t="shared" si="59"/>
        <v>-0.300000000000022</v>
      </c>
    </row>
    <row r="607" s="1" customFormat="1" spans="1:12">
      <c r="A607" s="2">
        <v>20.189</v>
      </c>
      <c r="B607" s="10" t="s">
        <v>70</v>
      </c>
      <c r="C607" s="4">
        <v>20.189</v>
      </c>
      <c r="D607" s="5">
        <v>161.3</v>
      </c>
      <c r="E607" s="4"/>
      <c r="F607" s="4"/>
      <c r="G607" s="2">
        <f t="shared" si="54"/>
        <v>20.156</v>
      </c>
      <c r="H607" s="11" t="str">
        <f t="shared" si="55"/>
        <v>3.590E-2</v>
      </c>
      <c r="I607" s="2">
        <f t="shared" si="56"/>
        <v>163.2</v>
      </c>
      <c r="J607" s="4">
        <f t="shared" si="57"/>
        <v>20.156</v>
      </c>
      <c r="K607" s="9">
        <f t="shared" si="58"/>
        <v>23.8</v>
      </c>
      <c r="L607" s="1">
        <f t="shared" si="59"/>
        <v>-0.300000000000022</v>
      </c>
    </row>
    <row r="608" s="1" customFormat="1" spans="1:12">
      <c r="A608" s="2">
        <v>20.223</v>
      </c>
      <c r="B608" s="10" t="s">
        <v>178</v>
      </c>
      <c r="C608" s="4">
        <v>20.223</v>
      </c>
      <c r="D608" s="5">
        <v>160.7</v>
      </c>
      <c r="E608" s="4"/>
      <c r="F608" s="4"/>
      <c r="G608" s="2">
        <f t="shared" si="54"/>
        <v>20.189</v>
      </c>
      <c r="H608" s="11" t="str">
        <f t="shared" si="55"/>
        <v>3.589E-2</v>
      </c>
      <c r="I608" s="2">
        <f t="shared" si="56"/>
        <v>161.3</v>
      </c>
      <c r="J608" s="4">
        <f t="shared" si="57"/>
        <v>20.189</v>
      </c>
      <c r="K608" s="9">
        <f t="shared" si="58"/>
        <v>23.7</v>
      </c>
      <c r="L608" s="1">
        <f t="shared" si="59"/>
        <v>-0.300000000000022</v>
      </c>
    </row>
    <row r="609" s="1" customFormat="1" spans="1:12">
      <c r="A609" s="2">
        <v>20.256</v>
      </c>
      <c r="B609" s="10" t="s">
        <v>67</v>
      </c>
      <c r="C609" s="4">
        <v>20.256</v>
      </c>
      <c r="D609" s="5">
        <v>160.6</v>
      </c>
      <c r="E609" s="4"/>
      <c r="F609" s="4"/>
      <c r="G609" s="2">
        <f t="shared" si="54"/>
        <v>20.223</v>
      </c>
      <c r="H609" s="11" t="str">
        <f t="shared" si="55"/>
        <v>3.588E-2</v>
      </c>
      <c r="I609" s="2">
        <f t="shared" si="56"/>
        <v>160.7</v>
      </c>
      <c r="J609" s="4">
        <f t="shared" si="57"/>
        <v>20.223</v>
      </c>
      <c r="K609" s="9">
        <f t="shared" si="58"/>
        <v>23.6</v>
      </c>
      <c r="L609" s="1">
        <f t="shared" si="59"/>
        <v>-0.300000000000022</v>
      </c>
    </row>
    <row r="610" s="1" customFormat="1" spans="1:12">
      <c r="A610" s="2">
        <v>20.29</v>
      </c>
      <c r="B610" s="10" t="s">
        <v>67</v>
      </c>
      <c r="C610" s="4">
        <v>20.29</v>
      </c>
      <c r="D610" s="5">
        <v>159.4</v>
      </c>
      <c r="E610" s="4"/>
      <c r="F610" s="4"/>
      <c r="G610" s="2">
        <f t="shared" si="54"/>
        <v>20.256</v>
      </c>
      <c r="H610" s="11" t="str">
        <f t="shared" si="55"/>
        <v>3.587E-2</v>
      </c>
      <c r="I610" s="2">
        <f t="shared" si="56"/>
        <v>160.6</v>
      </c>
      <c r="J610" s="4">
        <f t="shared" si="57"/>
        <v>20.256</v>
      </c>
      <c r="K610" s="9">
        <f t="shared" si="58"/>
        <v>23.5</v>
      </c>
      <c r="L610" s="1">
        <f t="shared" si="59"/>
        <v>-0.300000000000022</v>
      </c>
    </row>
    <row r="611" s="1" customFormat="1" spans="1:12">
      <c r="A611" s="2">
        <v>20.323</v>
      </c>
      <c r="B611" s="10" t="s">
        <v>67</v>
      </c>
      <c r="C611" s="4">
        <v>20.323</v>
      </c>
      <c r="D611" s="5">
        <v>158.4</v>
      </c>
      <c r="E611" s="4"/>
      <c r="F611" s="4"/>
      <c r="G611" s="2">
        <f t="shared" si="54"/>
        <v>20.29</v>
      </c>
      <c r="H611" s="11" t="str">
        <f t="shared" si="55"/>
        <v>3.587E-2</v>
      </c>
      <c r="I611" s="2">
        <f t="shared" si="56"/>
        <v>159.4</v>
      </c>
      <c r="J611" s="4">
        <f t="shared" si="57"/>
        <v>20.29</v>
      </c>
      <c r="K611" s="9">
        <f t="shared" si="58"/>
        <v>23.5</v>
      </c>
      <c r="L611" s="1">
        <f t="shared" si="59"/>
        <v>-0.300000000000022</v>
      </c>
    </row>
    <row r="612" s="1" customFormat="1" spans="1:12">
      <c r="A612" s="2">
        <v>20.357</v>
      </c>
      <c r="B612" s="10" t="s">
        <v>301</v>
      </c>
      <c r="C612" s="4">
        <v>20.357</v>
      </c>
      <c r="D612" s="5">
        <v>156.9</v>
      </c>
      <c r="E612" s="4"/>
      <c r="F612" s="4"/>
      <c r="G612" s="2">
        <f t="shared" si="54"/>
        <v>20.323</v>
      </c>
      <c r="H612" s="11" t="str">
        <f t="shared" si="55"/>
        <v>3.587E-2</v>
      </c>
      <c r="I612" s="2">
        <f t="shared" si="56"/>
        <v>158.4</v>
      </c>
      <c r="J612" s="4">
        <f t="shared" si="57"/>
        <v>20.323</v>
      </c>
      <c r="K612" s="9">
        <f t="shared" si="58"/>
        <v>23.5</v>
      </c>
      <c r="L612" s="1">
        <f t="shared" si="59"/>
        <v>-0.300000000000022</v>
      </c>
    </row>
    <row r="613" s="1" customFormat="1" spans="1:12">
      <c r="A613" s="2">
        <v>20.39</v>
      </c>
      <c r="B613" s="10" t="s">
        <v>179</v>
      </c>
      <c r="C613" s="4">
        <v>20.39</v>
      </c>
      <c r="D613" s="5">
        <v>157.5</v>
      </c>
      <c r="E613" s="4"/>
      <c r="F613" s="4"/>
      <c r="G613" s="2">
        <f t="shared" si="54"/>
        <v>20.357</v>
      </c>
      <c r="H613" s="11" t="str">
        <f t="shared" si="55"/>
        <v>3.585E-2</v>
      </c>
      <c r="I613" s="2">
        <f t="shared" si="56"/>
        <v>156.9</v>
      </c>
      <c r="J613" s="4">
        <f t="shared" si="57"/>
        <v>20.357</v>
      </c>
      <c r="K613" s="9">
        <f t="shared" si="58"/>
        <v>23.3</v>
      </c>
      <c r="L613" s="1">
        <f t="shared" si="59"/>
        <v>-0.300000000000022</v>
      </c>
    </row>
    <row r="614" s="1" customFormat="1" spans="1:12">
      <c r="A614" s="2">
        <v>20.423</v>
      </c>
      <c r="B614" s="10" t="s">
        <v>179</v>
      </c>
      <c r="C614" s="4">
        <v>20.423</v>
      </c>
      <c r="D614" s="5">
        <v>156.2</v>
      </c>
      <c r="E614" s="4"/>
      <c r="F614" s="4"/>
      <c r="G614" s="2">
        <f t="shared" si="54"/>
        <v>20.39</v>
      </c>
      <c r="H614" s="11" t="str">
        <f t="shared" si="55"/>
        <v>3.586E-2</v>
      </c>
      <c r="I614" s="2">
        <f t="shared" si="56"/>
        <v>157.5</v>
      </c>
      <c r="J614" s="4">
        <f t="shared" si="57"/>
        <v>20.39</v>
      </c>
      <c r="K614" s="9">
        <f t="shared" si="58"/>
        <v>23.4</v>
      </c>
      <c r="L614" s="1">
        <f t="shared" si="59"/>
        <v>-0.300000000000022</v>
      </c>
    </row>
    <row r="615" s="1" customFormat="1" spans="1:12">
      <c r="A615" s="2">
        <v>20.457</v>
      </c>
      <c r="B615" s="10" t="s">
        <v>179</v>
      </c>
      <c r="C615" s="4">
        <v>20.457</v>
      </c>
      <c r="D615" s="5">
        <v>154.9</v>
      </c>
      <c r="E615" s="4"/>
      <c r="F615" s="4"/>
      <c r="G615" s="2">
        <f t="shared" si="54"/>
        <v>20.423</v>
      </c>
      <c r="H615" s="11" t="str">
        <f t="shared" si="55"/>
        <v>3.586E-2</v>
      </c>
      <c r="I615" s="2">
        <f t="shared" si="56"/>
        <v>156.2</v>
      </c>
      <c r="J615" s="4">
        <f t="shared" si="57"/>
        <v>20.423</v>
      </c>
      <c r="K615" s="9">
        <f t="shared" si="58"/>
        <v>23.4</v>
      </c>
      <c r="L615" s="1">
        <f t="shared" si="59"/>
        <v>-0.300000000000022</v>
      </c>
    </row>
    <row r="616" s="1" customFormat="1" spans="1:12">
      <c r="A616" s="2">
        <v>20.49</v>
      </c>
      <c r="B616" s="10" t="s">
        <v>67</v>
      </c>
      <c r="C616" s="4">
        <v>20.49</v>
      </c>
      <c r="D616" s="5">
        <v>154.2</v>
      </c>
      <c r="E616" s="4"/>
      <c r="F616" s="4"/>
      <c r="G616" s="2">
        <f t="shared" si="54"/>
        <v>20.457</v>
      </c>
      <c r="H616" s="11" t="str">
        <f t="shared" si="55"/>
        <v>3.586E-2</v>
      </c>
      <c r="I616" s="2">
        <f t="shared" si="56"/>
        <v>154.9</v>
      </c>
      <c r="J616" s="4">
        <f t="shared" si="57"/>
        <v>20.457</v>
      </c>
      <c r="K616" s="9">
        <f t="shared" si="58"/>
        <v>23.4</v>
      </c>
      <c r="L616" s="1">
        <f t="shared" si="59"/>
        <v>-0.300000000000022</v>
      </c>
    </row>
    <row r="617" s="1" customFormat="1" spans="1:12">
      <c r="A617" s="2">
        <v>20.524</v>
      </c>
      <c r="B617" s="10" t="s">
        <v>67</v>
      </c>
      <c r="C617" s="4">
        <v>20.524</v>
      </c>
      <c r="D617" s="5">
        <v>153.4</v>
      </c>
      <c r="E617" s="4"/>
      <c r="F617" s="4"/>
      <c r="G617" s="2">
        <f t="shared" si="54"/>
        <v>20.49</v>
      </c>
      <c r="H617" s="11" t="str">
        <f t="shared" si="55"/>
        <v>3.587E-2</v>
      </c>
      <c r="I617" s="2">
        <f t="shared" si="56"/>
        <v>154.2</v>
      </c>
      <c r="J617" s="4">
        <f t="shared" si="57"/>
        <v>20.49</v>
      </c>
      <c r="K617" s="9">
        <f t="shared" si="58"/>
        <v>23.5</v>
      </c>
      <c r="L617" s="1">
        <f t="shared" si="59"/>
        <v>-0.300000000000022</v>
      </c>
    </row>
    <row r="618" s="1" customFormat="1" spans="1:12">
      <c r="A618" s="2">
        <v>20.557</v>
      </c>
      <c r="B618" s="10" t="s">
        <v>67</v>
      </c>
      <c r="C618" s="4">
        <v>20.557</v>
      </c>
      <c r="D618" s="5">
        <v>152.9</v>
      </c>
      <c r="E618" s="4"/>
      <c r="F618" s="4"/>
      <c r="G618" s="2">
        <f t="shared" si="54"/>
        <v>20.524</v>
      </c>
      <c r="H618" s="11" t="str">
        <f t="shared" si="55"/>
        <v>3.587E-2</v>
      </c>
      <c r="I618" s="2">
        <f t="shared" si="56"/>
        <v>153.4</v>
      </c>
      <c r="J618" s="4">
        <f t="shared" si="57"/>
        <v>20.524</v>
      </c>
      <c r="K618" s="9">
        <f t="shared" si="58"/>
        <v>23.5</v>
      </c>
      <c r="L618" s="1">
        <f t="shared" si="59"/>
        <v>-0.300000000000022</v>
      </c>
    </row>
    <row r="619" s="1" customFormat="1" spans="1:12">
      <c r="A619" s="2">
        <v>20.591</v>
      </c>
      <c r="B619" s="10" t="s">
        <v>178</v>
      </c>
      <c r="C619" s="4">
        <v>20.591</v>
      </c>
      <c r="D619" s="5">
        <v>151.9</v>
      </c>
      <c r="E619" s="4"/>
      <c r="F619" s="4"/>
      <c r="G619" s="2">
        <f t="shared" si="54"/>
        <v>20.557</v>
      </c>
      <c r="H619" s="11" t="str">
        <f t="shared" si="55"/>
        <v>3.587E-2</v>
      </c>
      <c r="I619" s="2">
        <f t="shared" si="56"/>
        <v>152.9</v>
      </c>
      <c r="J619" s="4">
        <f t="shared" si="57"/>
        <v>20.557</v>
      </c>
      <c r="K619" s="9">
        <f t="shared" si="58"/>
        <v>23.5</v>
      </c>
      <c r="L619" s="1">
        <f t="shared" si="59"/>
        <v>-0.300000000000022</v>
      </c>
    </row>
    <row r="620" s="1" customFormat="1" spans="1:12">
      <c r="A620" s="2">
        <v>20.624</v>
      </c>
      <c r="B620" s="10" t="s">
        <v>67</v>
      </c>
      <c r="C620" s="4">
        <v>20.624</v>
      </c>
      <c r="D620" s="5">
        <v>151.8</v>
      </c>
      <c r="E620" s="4"/>
      <c r="F620" s="4"/>
      <c r="G620" s="2">
        <f t="shared" si="54"/>
        <v>20.591</v>
      </c>
      <c r="H620" s="11" t="str">
        <f t="shared" si="55"/>
        <v>3.588E-2</v>
      </c>
      <c r="I620" s="2">
        <f t="shared" si="56"/>
        <v>151.9</v>
      </c>
      <c r="J620" s="4">
        <f t="shared" si="57"/>
        <v>20.591</v>
      </c>
      <c r="K620" s="9">
        <f t="shared" si="58"/>
        <v>23.6</v>
      </c>
      <c r="L620" s="1">
        <f t="shared" si="59"/>
        <v>-0.300000000000022</v>
      </c>
    </row>
    <row r="621" s="1" customFormat="1" spans="1:12">
      <c r="A621" s="2">
        <v>20.657</v>
      </c>
      <c r="B621" s="10" t="s">
        <v>70</v>
      </c>
      <c r="C621" s="4">
        <v>20.657</v>
      </c>
      <c r="D621" s="5">
        <v>149.4</v>
      </c>
      <c r="E621" s="4"/>
      <c r="F621" s="4"/>
      <c r="G621" s="2">
        <f t="shared" si="54"/>
        <v>20.624</v>
      </c>
      <c r="H621" s="11" t="str">
        <f t="shared" si="55"/>
        <v>3.587E-2</v>
      </c>
      <c r="I621" s="2">
        <f t="shared" si="56"/>
        <v>151.8</v>
      </c>
      <c r="J621" s="4">
        <f t="shared" si="57"/>
        <v>20.624</v>
      </c>
      <c r="K621" s="9">
        <f t="shared" si="58"/>
        <v>23.5</v>
      </c>
      <c r="L621" s="1">
        <f t="shared" si="59"/>
        <v>-0.300000000000022</v>
      </c>
    </row>
    <row r="622" s="1" customFormat="1" spans="1:12">
      <c r="A622" s="2">
        <v>20.691</v>
      </c>
      <c r="B622" s="10" t="s">
        <v>70</v>
      </c>
      <c r="C622" s="4">
        <v>20.691</v>
      </c>
      <c r="D622" s="5">
        <v>149.5</v>
      </c>
      <c r="E622" s="4"/>
      <c r="F622" s="4"/>
      <c r="G622" s="2">
        <f t="shared" si="54"/>
        <v>20.657</v>
      </c>
      <c r="H622" s="11" t="str">
        <f t="shared" si="55"/>
        <v>3.589E-2</v>
      </c>
      <c r="I622" s="2">
        <f t="shared" si="56"/>
        <v>149.4</v>
      </c>
      <c r="J622" s="4">
        <f t="shared" si="57"/>
        <v>20.657</v>
      </c>
      <c r="K622" s="9">
        <f t="shared" si="58"/>
        <v>23.7</v>
      </c>
      <c r="L622" s="1">
        <f t="shared" si="59"/>
        <v>-0.300000000000022</v>
      </c>
    </row>
    <row r="623" s="1" customFormat="1" spans="1:12">
      <c r="A623" s="2">
        <v>20.724</v>
      </c>
      <c r="B623" s="10" t="s">
        <v>70</v>
      </c>
      <c r="C623" s="4">
        <v>20.724</v>
      </c>
      <c r="D623" s="5">
        <v>148.5</v>
      </c>
      <c r="E623" s="4"/>
      <c r="F623" s="4"/>
      <c r="G623" s="2">
        <f t="shared" si="54"/>
        <v>20.691</v>
      </c>
      <c r="H623" s="11" t="str">
        <f t="shared" si="55"/>
        <v>3.589E-2</v>
      </c>
      <c r="I623" s="2">
        <f t="shared" si="56"/>
        <v>149.5</v>
      </c>
      <c r="J623" s="4">
        <f t="shared" si="57"/>
        <v>20.691</v>
      </c>
      <c r="K623" s="9">
        <f t="shared" si="58"/>
        <v>23.7</v>
      </c>
      <c r="L623" s="1">
        <f t="shared" si="59"/>
        <v>-0.300000000000022</v>
      </c>
    </row>
    <row r="624" s="1" customFormat="1" spans="1:12">
      <c r="A624" s="2">
        <v>20.758</v>
      </c>
      <c r="B624" s="10" t="s">
        <v>68</v>
      </c>
      <c r="C624" s="4">
        <v>20.758</v>
      </c>
      <c r="D624" s="5">
        <v>147.1</v>
      </c>
      <c r="E624" s="4"/>
      <c r="F624" s="4"/>
      <c r="G624" s="2">
        <f t="shared" si="54"/>
        <v>20.724</v>
      </c>
      <c r="H624" s="11" t="str">
        <f t="shared" si="55"/>
        <v>3.589E-2</v>
      </c>
      <c r="I624" s="2">
        <f t="shared" si="56"/>
        <v>148.5</v>
      </c>
      <c r="J624" s="4">
        <f t="shared" si="57"/>
        <v>20.724</v>
      </c>
      <c r="K624" s="9">
        <f t="shared" si="58"/>
        <v>23.7</v>
      </c>
      <c r="L624" s="1">
        <f t="shared" si="59"/>
        <v>-0.300000000000022</v>
      </c>
    </row>
    <row r="625" s="1" customFormat="1" spans="1:12">
      <c r="A625" s="2">
        <v>20.791</v>
      </c>
      <c r="B625" s="10" t="s">
        <v>68</v>
      </c>
      <c r="C625" s="4">
        <v>20.791</v>
      </c>
      <c r="D625" s="5">
        <v>147.1</v>
      </c>
      <c r="E625" s="4"/>
      <c r="F625" s="4"/>
      <c r="G625" s="2">
        <f t="shared" si="54"/>
        <v>20.758</v>
      </c>
      <c r="H625" s="11" t="str">
        <f t="shared" si="55"/>
        <v>3.591E-2</v>
      </c>
      <c r="I625" s="2">
        <f t="shared" si="56"/>
        <v>147.1</v>
      </c>
      <c r="J625" s="4">
        <f t="shared" si="57"/>
        <v>20.758</v>
      </c>
      <c r="K625" s="9">
        <f t="shared" si="58"/>
        <v>23.9</v>
      </c>
      <c r="L625" s="1">
        <f t="shared" si="59"/>
        <v>-0.300000000000022</v>
      </c>
    </row>
    <row r="626" s="1" customFormat="1" spans="1:12">
      <c r="A626" s="2">
        <v>20.825</v>
      </c>
      <c r="B626" s="10" t="s">
        <v>69</v>
      </c>
      <c r="C626" s="4">
        <v>20.825</v>
      </c>
      <c r="D626" s="5">
        <v>144.8</v>
      </c>
      <c r="E626" s="4"/>
      <c r="F626" s="4"/>
      <c r="G626" s="2">
        <f t="shared" si="54"/>
        <v>20.791</v>
      </c>
      <c r="H626" s="11" t="str">
        <f t="shared" si="55"/>
        <v>3.591E-2</v>
      </c>
      <c r="I626" s="2">
        <f t="shared" si="56"/>
        <v>147.1</v>
      </c>
      <c r="J626" s="4">
        <f t="shared" si="57"/>
        <v>20.791</v>
      </c>
      <c r="K626" s="9">
        <f t="shared" si="58"/>
        <v>23.9</v>
      </c>
      <c r="L626" s="1">
        <f t="shared" si="59"/>
        <v>-0.300000000000022</v>
      </c>
    </row>
    <row r="627" s="1" customFormat="1" spans="1:12">
      <c r="A627" s="2">
        <v>20.858</v>
      </c>
      <c r="B627" s="10" t="s">
        <v>69</v>
      </c>
      <c r="C627" s="4">
        <v>20.858</v>
      </c>
      <c r="D627" s="4">
        <v>144.4</v>
      </c>
      <c r="G627" s="2">
        <f t="shared" si="54"/>
        <v>20.825</v>
      </c>
      <c r="H627" s="11" t="str">
        <f t="shared" si="55"/>
        <v>3.592E-2</v>
      </c>
      <c r="I627" s="2">
        <f t="shared" si="56"/>
        <v>144.8</v>
      </c>
      <c r="J627" s="4">
        <f t="shared" si="57"/>
        <v>20.825</v>
      </c>
      <c r="K627" s="9">
        <f t="shared" si="58"/>
        <v>24</v>
      </c>
      <c r="L627" s="1">
        <f t="shared" si="59"/>
        <v>-0.300000000000022</v>
      </c>
    </row>
    <row r="628" s="1" customFormat="1" spans="1:12">
      <c r="A628" s="2">
        <v>20.891</v>
      </c>
      <c r="B628" s="10" t="s">
        <v>68</v>
      </c>
      <c r="C628" s="4">
        <v>20.891</v>
      </c>
      <c r="D628" s="4">
        <v>144.3</v>
      </c>
      <c r="G628" s="2">
        <f t="shared" si="54"/>
        <v>20.858</v>
      </c>
      <c r="H628" s="11" t="str">
        <f t="shared" si="55"/>
        <v>3.592E-2</v>
      </c>
      <c r="I628" s="2">
        <f t="shared" si="56"/>
        <v>144.4</v>
      </c>
      <c r="J628" s="4">
        <f t="shared" si="57"/>
        <v>20.858</v>
      </c>
      <c r="K628" s="9">
        <f t="shared" si="58"/>
        <v>24</v>
      </c>
      <c r="L628" s="1">
        <f t="shared" si="59"/>
        <v>-0.300000000000022</v>
      </c>
    </row>
    <row r="629" s="1" customFormat="1" spans="1:12">
      <c r="A629" s="2">
        <v>20.925</v>
      </c>
      <c r="B629" s="10" t="s">
        <v>69</v>
      </c>
      <c r="C629" s="4">
        <v>20.925</v>
      </c>
      <c r="D629" s="4">
        <v>142.5</v>
      </c>
      <c r="G629" s="2">
        <f t="shared" si="54"/>
        <v>20.891</v>
      </c>
      <c r="H629" s="11" t="str">
        <f t="shared" si="55"/>
        <v>3.591E-2</v>
      </c>
      <c r="I629" s="2">
        <f t="shared" si="56"/>
        <v>144.3</v>
      </c>
      <c r="J629" s="4">
        <f t="shared" si="57"/>
        <v>20.891</v>
      </c>
      <c r="K629" s="9">
        <f t="shared" si="58"/>
        <v>23.9</v>
      </c>
      <c r="L629" s="1">
        <f t="shared" si="59"/>
        <v>-0.300000000000022</v>
      </c>
    </row>
    <row r="630" s="1" customFormat="1" spans="1:12">
      <c r="A630" s="2">
        <v>20.958</v>
      </c>
      <c r="B630" s="10" t="s">
        <v>69</v>
      </c>
      <c r="C630" s="4">
        <v>20.958</v>
      </c>
      <c r="D630" s="4">
        <v>141.4</v>
      </c>
      <c r="G630" s="2">
        <f t="shared" si="54"/>
        <v>20.925</v>
      </c>
      <c r="H630" s="11" t="str">
        <f t="shared" si="55"/>
        <v>3.592E-2</v>
      </c>
      <c r="I630" s="2">
        <f t="shared" si="56"/>
        <v>142.5</v>
      </c>
      <c r="J630" s="4">
        <f t="shared" si="57"/>
        <v>20.925</v>
      </c>
      <c r="K630" s="9">
        <f t="shared" si="58"/>
        <v>24</v>
      </c>
      <c r="L630" s="1">
        <f t="shared" si="59"/>
        <v>-0.300000000000022</v>
      </c>
    </row>
    <row r="631" s="1" customFormat="1" spans="1:12">
      <c r="A631" s="2">
        <v>20.992</v>
      </c>
      <c r="B631" s="10" t="s">
        <v>151</v>
      </c>
      <c r="C631" s="4">
        <v>20.992</v>
      </c>
      <c r="D631" s="4">
        <v>141.3</v>
      </c>
      <c r="G631" s="2">
        <f t="shared" si="54"/>
        <v>20.958</v>
      </c>
      <c r="H631" s="11" t="str">
        <f t="shared" si="55"/>
        <v>3.592E-2</v>
      </c>
      <c r="I631" s="2">
        <f t="shared" si="56"/>
        <v>141.4</v>
      </c>
      <c r="J631" s="4">
        <f t="shared" si="57"/>
        <v>20.958</v>
      </c>
      <c r="K631" s="9">
        <f t="shared" si="58"/>
        <v>24</v>
      </c>
      <c r="L631" s="1">
        <f t="shared" si="59"/>
        <v>-0.300000000000022</v>
      </c>
    </row>
    <row r="632" s="1" customFormat="1" spans="1:12">
      <c r="A632" s="2">
        <v>21.025</v>
      </c>
      <c r="B632" s="10" t="s">
        <v>69</v>
      </c>
      <c r="C632" s="4">
        <v>21.025</v>
      </c>
      <c r="D632" s="4">
        <v>139.9</v>
      </c>
      <c r="G632" s="2">
        <f t="shared" si="54"/>
        <v>20.992</v>
      </c>
      <c r="H632" s="11" t="str">
        <f t="shared" si="55"/>
        <v>3.594E-2</v>
      </c>
      <c r="I632" s="2">
        <f t="shared" si="56"/>
        <v>141.3</v>
      </c>
      <c r="J632" s="4">
        <f t="shared" si="57"/>
        <v>20.992</v>
      </c>
      <c r="K632" s="9">
        <f t="shared" si="58"/>
        <v>24.2</v>
      </c>
      <c r="L632" s="1">
        <f t="shared" si="59"/>
        <v>-0.300000000000022</v>
      </c>
    </row>
    <row r="633" s="1" customFormat="1" spans="1:12">
      <c r="A633" s="2">
        <v>21.059</v>
      </c>
      <c r="B633" s="10" t="s">
        <v>280</v>
      </c>
      <c r="C633" s="4">
        <v>21.059</v>
      </c>
      <c r="D633" s="4">
        <v>138.4</v>
      </c>
      <c r="G633" s="2">
        <f t="shared" si="54"/>
        <v>21.025</v>
      </c>
      <c r="H633" s="11" t="str">
        <f t="shared" si="55"/>
        <v>3.592E-2</v>
      </c>
      <c r="I633" s="2">
        <f t="shared" si="56"/>
        <v>139.9</v>
      </c>
      <c r="J633" s="4">
        <f t="shared" si="57"/>
        <v>21.025</v>
      </c>
      <c r="K633" s="9">
        <f t="shared" si="58"/>
        <v>24</v>
      </c>
      <c r="L633" s="1">
        <f t="shared" si="59"/>
        <v>-0.300000000000022</v>
      </c>
    </row>
    <row r="634" s="1" customFormat="1" spans="1:12">
      <c r="A634" s="2">
        <v>21.092</v>
      </c>
      <c r="B634" s="10" t="s">
        <v>69</v>
      </c>
      <c r="C634" s="4">
        <v>21.092</v>
      </c>
      <c r="D634" s="4">
        <v>138.5</v>
      </c>
      <c r="G634" s="2">
        <f t="shared" si="54"/>
        <v>21.059</v>
      </c>
      <c r="H634" s="11" t="str">
        <f t="shared" si="55"/>
        <v>3.593E-2</v>
      </c>
      <c r="I634" s="2">
        <f t="shared" si="56"/>
        <v>138.4</v>
      </c>
      <c r="J634" s="4">
        <f t="shared" si="57"/>
        <v>21.059</v>
      </c>
      <c r="K634" s="9">
        <f t="shared" si="58"/>
        <v>24.1</v>
      </c>
      <c r="L634" s="1">
        <f t="shared" si="59"/>
        <v>-0.300000000000022</v>
      </c>
    </row>
    <row r="635" s="1" customFormat="1" spans="1:12">
      <c r="A635" s="2">
        <v>21.125</v>
      </c>
      <c r="B635" s="10" t="s">
        <v>151</v>
      </c>
      <c r="C635" s="4">
        <v>21.125</v>
      </c>
      <c r="D635" s="4">
        <v>136.8</v>
      </c>
      <c r="G635" s="2">
        <f t="shared" si="54"/>
        <v>21.092</v>
      </c>
      <c r="H635" s="11" t="str">
        <f t="shared" si="55"/>
        <v>3.592E-2</v>
      </c>
      <c r="I635" s="2">
        <f t="shared" si="56"/>
        <v>138.5</v>
      </c>
      <c r="J635" s="4">
        <f t="shared" si="57"/>
        <v>21.092</v>
      </c>
      <c r="K635" s="9">
        <f t="shared" si="58"/>
        <v>24</v>
      </c>
      <c r="L635" s="1">
        <f t="shared" si="59"/>
        <v>-0.300000000000022</v>
      </c>
    </row>
    <row r="636" s="1" customFormat="1" spans="1:12">
      <c r="A636" s="2">
        <v>21.159</v>
      </c>
      <c r="B636" s="10" t="s">
        <v>69</v>
      </c>
      <c r="C636" s="4">
        <v>21.159</v>
      </c>
      <c r="D636" s="4">
        <v>136.2</v>
      </c>
      <c r="G636" s="2">
        <f t="shared" si="54"/>
        <v>21.125</v>
      </c>
      <c r="H636" s="11" t="str">
        <f t="shared" si="55"/>
        <v>3.594E-2</v>
      </c>
      <c r="I636" s="2">
        <f t="shared" si="56"/>
        <v>136.8</v>
      </c>
      <c r="J636" s="4">
        <f t="shared" si="57"/>
        <v>21.125</v>
      </c>
      <c r="K636" s="9">
        <f t="shared" si="58"/>
        <v>24.2</v>
      </c>
      <c r="L636" s="1">
        <f t="shared" si="59"/>
        <v>-0.300000000000022</v>
      </c>
    </row>
    <row r="637" s="1" customFormat="1" spans="1:12">
      <c r="A637" s="2">
        <v>21.192</v>
      </c>
      <c r="B637" s="10" t="s">
        <v>69</v>
      </c>
      <c r="C637" s="4">
        <v>21.192</v>
      </c>
      <c r="D637" s="4">
        <v>135.6</v>
      </c>
      <c r="G637" s="2">
        <f t="shared" si="54"/>
        <v>21.159</v>
      </c>
      <c r="H637" s="11" t="str">
        <f t="shared" si="55"/>
        <v>3.592E-2</v>
      </c>
      <c r="I637" s="2">
        <f t="shared" si="56"/>
        <v>136.2</v>
      </c>
      <c r="J637" s="4">
        <f t="shared" si="57"/>
        <v>21.159</v>
      </c>
      <c r="K637" s="9">
        <f t="shared" si="58"/>
        <v>24</v>
      </c>
      <c r="L637" s="1">
        <f t="shared" si="59"/>
        <v>-0.300000000000022</v>
      </c>
    </row>
    <row r="638" s="1" customFormat="1" spans="1:12">
      <c r="A638" s="2">
        <v>21.226</v>
      </c>
      <c r="B638" s="10" t="s">
        <v>68</v>
      </c>
      <c r="C638" s="4">
        <v>21.226</v>
      </c>
      <c r="D638" s="4">
        <v>133.9</v>
      </c>
      <c r="G638" s="2">
        <f t="shared" si="54"/>
        <v>21.192</v>
      </c>
      <c r="H638" s="11" t="str">
        <f t="shared" si="55"/>
        <v>3.592E-2</v>
      </c>
      <c r="I638" s="2">
        <f t="shared" si="56"/>
        <v>135.6</v>
      </c>
      <c r="J638" s="4">
        <f t="shared" si="57"/>
        <v>21.192</v>
      </c>
      <c r="K638" s="9">
        <f t="shared" si="58"/>
        <v>24</v>
      </c>
      <c r="L638" s="1">
        <f t="shared" si="59"/>
        <v>-0.300000000000022</v>
      </c>
    </row>
    <row r="639" s="1" customFormat="1" spans="1:12">
      <c r="A639" s="2">
        <v>21.259</v>
      </c>
      <c r="B639" s="10" t="s">
        <v>68</v>
      </c>
      <c r="C639" s="4">
        <v>21.259</v>
      </c>
      <c r="D639" s="4">
        <v>133.2</v>
      </c>
      <c r="G639" s="2">
        <f t="shared" si="54"/>
        <v>21.226</v>
      </c>
      <c r="H639" s="11" t="str">
        <f t="shared" si="55"/>
        <v>3.591E-2</v>
      </c>
      <c r="I639" s="2">
        <f t="shared" si="56"/>
        <v>133.9</v>
      </c>
      <c r="J639" s="4">
        <f t="shared" si="57"/>
        <v>21.226</v>
      </c>
      <c r="K639" s="9">
        <f t="shared" si="58"/>
        <v>23.9</v>
      </c>
      <c r="L639" s="1">
        <f t="shared" si="59"/>
        <v>-0.300000000000022</v>
      </c>
    </row>
    <row r="640" s="1" customFormat="1" spans="1:12">
      <c r="A640" s="2">
        <v>21.293</v>
      </c>
      <c r="B640" s="10" t="s">
        <v>68</v>
      </c>
      <c r="C640" s="4">
        <v>21.293</v>
      </c>
      <c r="D640" s="4">
        <v>132.8</v>
      </c>
      <c r="G640" s="2">
        <f t="shared" si="54"/>
        <v>21.259</v>
      </c>
      <c r="H640" s="11" t="str">
        <f t="shared" si="55"/>
        <v>3.591E-2</v>
      </c>
      <c r="I640" s="2">
        <f t="shared" si="56"/>
        <v>133.2</v>
      </c>
      <c r="J640" s="4">
        <f t="shared" si="57"/>
        <v>21.259</v>
      </c>
      <c r="K640" s="9">
        <f t="shared" si="58"/>
        <v>23.9</v>
      </c>
      <c r="L640" s="1">
        <f t="shared" si="59"/>
        <v>-0.300000000000022</v>
      </c>
    </row>
    <row r="641" s="1" customFormat="1" spans="1:12">
      <c r="A641" s="2">
        <v>21.326</v>
      </c>
      <c r="B641" s="10" t="s">
        <v>94</v>
      </c>
      <c r="C641" s="4">
        <v>21.326</v>
      </c>
      <c r="D641" s="4">
        <v>131.4</v>
      </c>
      <c r="G641" s="2">
        <f t="shared" si="54"/>
        <v>21.293</v>
      </c>
      <c r="H641" s="11" t="str">
        <f t="shared" si="55"/>
        <v>3.591E-2</v>
      </c>
      <c r="I641" s="2">
        <f t="shared" si="56"/>
        <v>132.8</v>
      </c>
      <c r="J641" s="4">
        <f t="shared" si="57"/>
        <v>21.293</v>
      </c>
      <c r="K641" s="9">
        <f t="shared" si="58"/>
        <v>23.9</v>
      </c>
      <c r="L641" s="1">
        <f t="shared" si="59"/>
        <v>-0.300000000000022</v>
      </c>
    </row>
    <row r="642" s="1" customFormat="1" spans="1:12">
      <c r="A642" s="2">
        <v>21.359</v>
      </c>
      <c r="B642" s="10" t="s">
        <v>70</v>
      </c>
      <c r="C642" s="4">
        <v>21.359</v>
      </c>
      <c r="D642" s="4">
        <v>130</v>
      </c>
      <c r="G642" s="2">
        <f t="shared" si="54"/>
        <v>21.326</v>
      </c>
      <c r="H642" s="11" t="str">
        <f t="shared" si="55"/>
        <v>3.590E-2</v>
      </c>
      <c r="I642" s="2">
        <f t="shared" si="56"/>
        <v>131.4</v>
      </c>
      <c r="J642" s="4">
        <f t="shared" si="57"/>
        <v>21.326</v>
      </c>
      <c r="K642" s="9">
        <f t="shared" si="58"/>
        <v>23.8</v>
      </c>
      <c r="L642" s="1">
        <f t="shared" si="59"/>
        <v>-0.300000000000022</v>
      </c>
    </row>
    <row r="643" s="1" customFormat="1" spans="1:12">
      <c r="A643" s="2">
        <v>21.393</v>
      </c>
      <c r="B643" s="10" t="s">
        <v>94</v>
      </c>
      <c r="C643" s="4">
        <v>21.393</v>
      </c>
      <c r="D643" s="4">
        <v>129.1</v>
      </c>
      <c r="G643" s="2">
        <f t="shared" si="54"/>
        <v>21.359</v>
      </c>
      <c r="H643" s="11" t="str">
        <f t="shared" si="55"/>
        <v>3.589E-2</v>
      </c>
      <c r="I643" s="2">
        <f t="shared" si="56"/>
        <v>130</v>
      </c>
      <c r="J643" s="4">
        <f t="shared" si="57"/>
        <v>21.359</v>
      </c>
      <c r="K643" s="9">
        <f t="shared" si="58"/>
        <v>23.7</v>
      </c>
      <c r="L643" s="1">
        <f t="shared" si="59"/>
        <v>-0.300000000000022</v>
      </c>
    </row>
    <row r="644" s="1" customFormat="1" spans="1:12">
      <c r="A644" s="2">
        <v>21.426</v>
      </c>
      <c r="B644" s="10" t="s">
        <v>70</v>
      </c>
      <c r="C644" s="4">
        <v>21.426</v>
      </c>
      <c r="D644" s="4">
        <v>127.9</v>
      </c>
      <c r="G644" s="2">
        <f t="shared" ref="G644:G707" si="60">A643</f>
        <v>21.393</v>
      </c>
      <c r="H644" s="11" t="str">
        <f t="shared" ref="H644:H707" si="61">B643</f>
        <v>3.590E-2</v>
      </c>
      <c r="I644" s="2">
        <f t="shared" ref="I644:I707" si="62">D643</f>
        <v>129.1</v>
      </c>
      <c r="J644" s="4">
        <f t="shared" ref="J644:J707" si="63">G644</f>
        <v>21.393</v>
      </c>
      <c r="K644" s="9">
        <f t="shared" ref="K644:K707" si="64">(H644-$H$4)*10000</f>
        <v>23.8</v>
      </c>
      <c r="L644" s="1">
        <f t="shared" si="59"/>
        <v>-0.300000000000022</v>
      </c>
    </row>
    <row r="645" s="1" customFormat="1" spans="1:12">
      <c r="A645" s="2">
        <v>21.46</v>
      </c>
      <c r="B645" s="10" t="s">
        <v>178</v>
      </c>
      <c r="C645" s="4">
        <v>21.46</v>
      </c>
      <c r="D645" s="4">
        <v>126</v>
      </c>
      <c r="G645" s="2">
        <f t="shared" si="60"/>
        <v>21.426</v>
      </c>
      <c r="H645" s="11" t="str">
        <f t="shared" si="61"/>
        <v>3.589E-2</v>
      </c>
      <c r="I645" s="2">
        <f t="shared" si="62"/>
        <v>127.9</v>
      </c>
      <c r="J645" s="4">
        <f t="shared" si="63"/>
        <v>21.426</v>
      </c>
      <c r="K645" s="9">
        <f t="shared" si="64"/>
        <v>23.7</v>
      </c>
      <c r="L645" s="1">
        <f t="shared" ref="L645:L708" si="65">IF(I645&lt;230,MIN(K:K),MAX(K:K))</f>
        <v>-0.300000000000022</v>
      </c>
    </row>
    <row r="646" s="1" customFormat="1" spans="1:12">
      <c r="A646" s="2">
        <v>21.493</v>
      </c>
      <c r="B646" s="10" t="s">
        <v>70</v>
      </c>
      <c r="C646" s="4">
        <v>21.493</v>
      </c>
      <c r="D646" s="4">
        <v>125.8</v>
      </c>
      <c r="G646" s="2">
        <f t="shared" si="60"/>
        <v>21.46</v>
      </c>
      <c r="H646" s="11" t="str">
        <f t="shared" si="61"/>
        <v>3.588E-2</v>
      </c>
      <c r="I646" s="2">
        <f t="shared" si="62"/>
        <v>126</v>
      </c>
      <c r="J646" s="4">
        <f t="shared" si="63"/>
        <v>21.46</v>
      </c>
      <c r="K646" s="9">
        <f t="shared" si="64"/>
        <v>23.6</v>
      </c>
      <c r="L646" s="1">
        <f t="shared" si="65"/>
        <v>-0.300000000000022</v>
      </c>
    </row>
    <row r="647" s="1" customFormat="1" spans="1:12">
      <c r="A647" s="2">
        <v>21.527</v>
      </c>
      <c r="B647" s="10" t="s">
        <v>67</v>
      </c>
      <c r="C647" s="4">
        <v>21.527</v>
      </c>
      <c r="D647" s="4">
        <v>125</v>
      </c>
      <c r="G647" s="2">
        <f t="shared" si="60"/>
        <v>21.493</v>
      </c>
      <c r="H647" s="11" t="str">
        <f t="shared" si="61"/>
        <v>3.589E-2</v>
      </c>
      <c r="I647" s="2">
        <f t="shared" si="62"/>
        <v>125.8</v>
      </c>
      <c r="J647" s="4">
        <f t="shared" si="63"/>
        <v>21.493</v>
      </c>
      <c r="K647" s="9">
        <f t="shared" si="64"/>
        <v>23.7</v>
      </c>
      <c r="L647" s="1">
        <f t="shared" si="65"/>
        <v>-0.300000000000022</v>
      </c>
    </row>
    <row r="648" s="1" customFormat="1" spans="1:12">
      <c r="A648" s="2">
        <v>21.56</v>
      </c>
      <c r="B648" s="10" t="s">
        <v>67</v>
      </c>
      <c r="C648" s="4">
        <v>21.56</v>
      </c>
      <c r="D648" s="4">
        <v>123.9</v>
      </c>
      <c r="G648" s="2">
        <f t="shared" si="60"/>
        <v>21.527</v>
      </c>
      <c r="H648" s="11" t="str">
        <f t="shared" si="61"/>
        <v>3.587E-2</v>
      </c>
      <c r="I648" s="2">
        <f t="shared" si="62"/>
        <v>125</v>
      </c>
      <c r="J648" s="4">
        <f t="shared" si="63"/>
        <v>21.527</v>
      </c>
      <c r="K648" s="9">
        <f t="shared" si="64"/>
        <v>23.5</v>
      </c>
      <c r="L648" s="1">
        <f t="shared" si="65"/>
        <v>-0.300000000000022</v>
      </c>
    </row>
    <row r="649" s="1" customFormat="1" spans="1:12">
      <c r="A649" s="2">
        <v>21.593</v>
      </c>
      <c r="B649" s="10" t="s">
        <v>301</v>
      </c>
      <c r="C649" s="4">
        <v>21.593</v>
      </c>
      <c r="D649" s="4">
        <v>124</v>
      </c>
      <c r="G649" s="2">
        <f t="shared" si="60"/>
        <v>21.56</v>
      </c>
      <c r="H649" s="11" t="str">
        <f t="shared" si="61"/>
        <v>3.587E-2</v>
      </c>
      <c r="I649" s="2">
        <f t="shared" si="62"/>
        <v>123.9</v>
      </c>
      <c r="J649" s="4">
        <f t="shared" si="63"/>
        <v>21.56</v>
      </c>
      <c r="K649" s="9">
        <f t="shared" si="64"/>
        <v>23.5</v>
      </c>
      <c r="L649" s="1">
        <f t="shared" si="65"/>
        <v>-0.300000000000022</v>
      </c>
    </row>
    <row r="650" s="1" customFormat="1" spans="1:12">
      <c r="A650" s="2">
        <v>21.627</v>
      </c>
      <c r="B650" s="10" t="s">
        <v>301</v>
      </c>
      <c r="C650" s="4">
        <v>21.627</v>
      </c>
      <c r="D650" s="4">
        <v>122.9</v>
      </c>
      <c r="G650" s="2">
        <f t="shared" si="60"/>
        <v>21.593</v>
      </c>
      <c r="H650" s="11" t="str">
        <f t="shared" si="61"/>
        <v>3.585E-2</v>
      </c>
      <c r="I650" s="2">
        <f t="shared" si="62"/>
        <v>124</v>
      </c>
      <c r="J650" s="4">
        <f t="shared" si="63"/>
        <v>21.593</v>
      </c>
      <c r="K650" s="9">
        <f t="shared" si="64"/>
        <v>23.3</v>
      </c>
      <c r="L650" s="1">
        <f t="shared" si="65"/>
        <v>-0.300000000000022</v>
      </c>
    </row>
    <row r="651" s="1" customFormat="1" spans="1:12">
      <c r="A651" s="2">
        <v>21.66</v>
      </c>
      <c r="B651" s="10" t="s">
        <v>301</v>
      </c>
      <c r="C651" s="4">
        <v>21.66</v>
      </c>
      <c r="D651" s="4">
        <v>121.4</v>
      </c>
      <c r="G651" s="2">
        <f t="shared" si="60"/>
        <v>21.627</v>
      </c>
      <c r="H651" s="11" t="str">
        <f t="shared" si="61"/>
        <v>3.585E-2</v>
      </c>
      <c r="I651" s="2">
        <f t="shared" si="62"/>
        <v>122.9</v>
      </c>
      <c r="J651" s="4">
        <f t="shared" si="63"/>
        <v>21.627</v>
      </c>
      <c r="K651" s="9">
        <f t="shared" si="64"/>
        <v>23.3</v>
      </c>
      <c r="L651" s="1">
        <f t="shared" si="65"/>
        <v>-0.300000000000022</v>
      </c>
    </row>
    <row r="652" s="1" customFormat="1" spans="1:12">
      <c r="A652" s="2">
        <v>21.694</v>
      </c>
      <c r="B652" s="10" t="s">
        <v>301</v>
      </c>
      <c r="C652" s="4">
        <v>21.694</v>
      </c>
      <c r="D652" s="4">
        <v>120.4</v>
      </c>
      <c r="G652" s="2">
        <f t="shared" si="60"/>
        <v>21.66</v>
      </c>
      <c r="H652" s="11" t="str">
        <f t="shared" si="61"/>
        <v>3.585E-2</v>
      </c>
      <c r="I652" s="2">
        <f t="shared" si="62"/>
        <v>121.4</v>
      </c>
      <c r="J652" s="4">
        <f t="shared" si="63"/>
        <v>21.66</v>
      </c>
      <c r="K652" s="9">
        <f t="shared" si="64"/>
        <v>23.3</v>
      </c>
      <c r="L652" s="1">
        <f t="shared" si="65"/>
        <v>-0.300000000000022</v>
      </c>
    </row>
    <row r="653" s="1" customFormat="1" spans="1:12">
      <c r="A653" s="2">
        <v>21.727</v>
      </c>
      <c r="B653" s="10" t="s">
        <v>301</v>
      </c>
      <c r="C653" s="4">
        <v>21.727</v>
      </c>
      <c r="D653" s="4">
        <v>118.5</v>
      </c>
      <c r="G653" s="2">
        <f t="shared" si="60"/>
        <v>21.694</v>
      </c>
      <c r="H653" s="11" t="str">
        <f t="shared" si="61"/>
        <v>3.585E-2</v>
      </c>
      <c r="I653" s="2">
        <f t="shared" si="62"/>
        <v>120.4</v>
      </c>
      <c r="J653" s="4">
        <f t="shared" si="63"/>
        <v>21.694</v>
      </c>
      <c r="K653" s="9">
        <f t="shared" si="64"/>
        <v>23.3</v>
      </c>
      <c r="L653" s="1">
        <f t="shared" si="65"/>
        <v>-0.300000000000022</v>
      </c>
    </row>
    <row r="654" s="1" customFormat="1" spans="1:12">
      <c r="A654" s="2">
        <v>21.76</v>
      </c>
      <c r="B654" s="10" t="s">
        <v>180</v>
      </c>
      <c r="C654" s="4">
        <v>21.76</v>
      </c>
      <c r="D654" s="4">
        <v>118.6</v>
      </c>
      <c r="G654" s="2">
        <f t="shared" si="60"/>
        <v>21.727</v>
      </c>
      <c r="H654" s="11" t="str">
        <f t="shared" si="61"/>
        <v>3.585E-2</v>
      </c>
      <c r="I654" s="2">
        <f t="shared" si="62"/>
        <v>118.5</v>
      </c>
      <c r="J654" s="4">
        <f t="shared" si="63"/>
        <v>21.727</v>
      </c>
      <c r="K654" s="9">
        <f t="shared" si="64"/>
        <v>23.3</v>
      </c>
      <c r="L654" s="1">
        <f t="shared" si="65"/>
        <v>-0.300000000000022</v>
      </c>
    </row>
    <row r="655" s="1" customFormat="1" spans="1:12">
      <c r="A655" s="2">
        <v>21.794</v>
      </c>
      <c r="B655" s="10" t="s">
        <v>301</v>
      </c>
      <c r="C655" s="4">
        <v>21.794</v>
      </c>
      <c r="D655" s="4">
        <v>116.7</v>
      </c>
      <c r="G655" s="2">
        <f t="shared" si="60"/>
        <v>21.76</v>
      </c>
      <c r="H655" s="11" t="str">
        <f t="shared" si="61"/>
        <v>3.584E-2</v>
      </c>
      <c r="I655" s="2">
        <f t="shared" si="62"/>
        <v>118.6</v>
      </c>
      <c r="J655" s="4">
        <f t="shared" si="63"/>
        <v>21.76</v>
      </c>
      <c r="K655" s="9">
        <f t="shared" si="64"/>
        <v>23.2</v>
      </c>
      <c r="L655" s="1">
        <f t="shared" si="65"/>
        <v>-0.300000000000022</v>
      </c>
    </row>
    <row r="656" s="1" customFormat="1" spans="1:12">
      <c r="A656" s="2">
        <v>21.827</v>
      </c>
      <c r="B656" s="10" t="s">
        <v>301</v>
      </c>
      <c r="C656" s="4">
        <v>21.827</v>
      </c>
      <c r="D656" s="4">
        <v>115.6</v>
      </c>
      <c r="G656" s="2">
        <f t="shared" si="60"/>
        <v>21.794</v>
      </c>
      <c r="H656" s="11" t="str">
        <f t="shared" si="61"/>
        <v>3.585E-2</v>
      </c>
      <c r="I656" s="2">
        <f t="shared" si="62"/>
        <v>116.7</v>
      </c>
      <c r="J656" s="4">
        <f t="shared" si="63"/>
        <v>21.794</v>
      </c>
      <c r="K656" s="9">
        <f t="shared" si="64"/>
        <v>23.3</v>
      </c>
      <c r="L656" s="1">
        <f t="shared" si="65"/>
        <v>-0.300000000000022</v>
      </c>
    </row>
    <row r="657" s="1" customFormat="1" spans="1:12">
      <c r="A657" s="2">
        <v>21.861</v>
      </c>
      <c r="B657" s="10" t="s">
        <v>179</v>
      </c>
      <c r="C657" s="4">
        <v>21.861</v>
      </c>
      <c r="D657" s="4">
        <v>114.5</v>
      </c>
      <c r="G657" s="2">
        <f t="shared" si="60"/>
        <v>21.827</v>
      </c>
      <c r="H657" s="11" t="str">
        <f t="shared" si="61"/>
        <v>3.585E-2</v>
      </c>
      <c r="I657" s="2">
        <f t="shared" si="62"/>
        <v>115.6</v>
      </c>
      <c r="J657" s="4">
        <f t="shared" si="63"/>
        <v>21.827</v>
      </c>
      <c r="K657" s="9">
        <f t="shared" si="64"/>
        <v>23.3</v>
      </c>
      <c r="L657" s="1">
        <f t="shared" si="65"/>
        <v>-0.300000000000022</v>
      </c>
    </row>
    <row r="658" s="1" customFormat="1" spans="1:12">
      <c r="A658" s="2">
        <v>21.894</v>
      </c>
      <c r="B658" s="10" t="s">
        <v>301</v>
      </c>
      <c r="C658" s="4">
        <v>21.894</v>
      </c>
      <c r="D658" s="4">
        <v>113.1</v>
      </c>
      <c r="G658" s="2">
        <f t="shared" si="60"/>
        <v>21.861</v>
      </c>
      <c r="H658" s="11" t="str">
        <f t="shared" si="61"/>
        <v>3.586E-2</v>
      </c>
      <c r="I658" s="2">
        <f t="shared" si="62"/>
        <v>114.5</v>
      </c>
      <c r="J658" s="4">
        <f t="shared" si="63"/>
        <v>21.861</v>
      </c>
      <c r="K658" s="9">
        <f t="shared" si="64"/>
        <v>23.4</v>
      </c>
      <c r="L658" s="1">
        <f t="shared" si="65"/>
        <v>-0.300000000000022</v>
      </c>
    </row>
    <row r="659" s="1" customFormat="1" spans="1:12">
      <c r="A659" s="2">
        <v>21.928</v>
      </c>
      <c r="B659" s="10" t="s">
        <v>179</v>
      </c>
      <c r="C659" s="4">
        <v>21.928</v>
      </c>
      <c r="D659" s="4">
        <v>112.3</v>
      </c>
      <c r="G659" s="2">
        <f t="shared" si="60"/>
        <v>21.894</v>
      </c>
      <c r="H659" s="11" t="str">
        <f t="shared" si="61"/>
        <v>3.585E-2</v>
      </c>
      <c r="I659" s="2">
        <f t="shared" si="62"/>
        <v>113.1</v>
      </c>
      <c r="J659" s="4">
        <f t="shared" si="63"/>
        <v>21.894</v>
      </c>
      <c r="K659" s="9">
        <f t="shared" si="64"/>
        <v>23.3</v>
      </c>
      <c r="L659" s="1">
        <f t="shared" si="65"/>
        <v>-0.300000000000022</v>
      </c>
    </row>
    <row r="660" s="1" customFormat="1" spans="1:12">
      <c r="A660" s="2">
        <v>21.961</v>
      </c>
      <c r="B660" s="10" t="s">
        <v>67</v>
      </c>
      <c r="C660" s="4">
        <v>21.961</v>
      </c>
      <c r="D660" s="4">
        <v>110.9</v>
      </c>
      <c r="G660" s="2">
        <f t="shared" si="60"/>
        <v>21.928</v>
      </c>
      <c r="H660" s="11" t="str">
        <f t="shared" si="61"/>
        <v>3.586E-2</v>
      </c>
      <c r="I660" s="2">
        <f t="shared" si="62"/>
        <v>112.3</v>
      </c>
      <c r="J660" s="4">
        <f t="shared" si="63"/>
        <v>21.928</v>
      </c>
      <c r="K660" s="9">
        <f t="shared" si="64"/>
        <v>23.4</v>
      </c>
      <c r="L660" s="1">
        <f t="shared" si="65"/>
        <v>-0.300000000000022</v>
      </c>
    </row>
    <row r="661" s="1" customFormat="1" spans="1:12">
      <c r="A661" s="2">
        <v>21.994</v>
      </c>
      <c r="B661" s="10" t="s">
        <v>67</v>
      </c>
      <c r="C661" s="4">
        <v>21.994</v>
      </c>
      <c r="D661" s="4">
        <v>110.6</v>
      </c>
      <c r="G661" s="2">
        <f t="shared" si="60"/>
        <v>21.961</v>
      </c>
      <c r="H661" s="11" t="str">
        <f t="shared" si="61"/>
        <v>3.587E-2</v>
      </c>
      <c r="I661" s="2">
        <f t="shared" si="62"/>
        <v>110.9</v>
      </c>
      <c r="J661" s="4">
        <f t="shared" si="63"/>
        <v>21.961</v>
      </c>
      <c r="K661" s="9">
        <f t="shared" si="64"/>
        <v>23.5</v>
      </c>
      <c r="L661" s="1">
        <f t="shared" si="65"/>
        <v>-0.300000000000022</v>
      </c>
    </row>
    <row r="662" s="1" customFormat="1" spans="1:12">
      <c r="A662" s="2">
        <v>22.028</v>
      </c>
      <c r="B662" s="10" t="s">
        <v>67</v>
      </c>
      <c r="C662" s="4">
        <v>22.028</v>
      </c>
      <c r="D662" s="4">
        <v>108.9</v>
      </c>
      <c r="G662" s="2">
        <f t="shared" si="60"/>
        <v>21.994</v>
      </c>
      <c r="H662" s="11" t="str">
        <f t="shared" si="61"/>
        <v>3.587E-2</v>
      </c>
      <c r="I662" s="2">
        <f t="shared" si="62"/>
        <v>110.6</v>
      </c>
      <c r="J662" s="4">
        <f t="shared" si="63"/>
        <v>21.994</v>
      </c>
      <c r="K662" s="9">
        <f t="shared" si="64"/>
        <v>23.5</v>
      </c>
      <c r="L662" s="1">
        <f t="shared" si="65"/>
        <v>-0.300000000000022</v>
      </c>
    </row>
    <row r="663" s="1" customFormat="1" spans="1:12">
      <c r="A663" s="2">
        <v>22.061</v>
      </c>
      <c r="B663" s="10" t="s">
        <v>70</v>
      </c>
      <c r="C663" s="4">
        <v>22.061</v>
      </c>
      <c r="D663" s="4">
        <v>107.4</v>
      </c>
      <c r="G663" s="2">
        <f t="shared" si="60"/>
        <v>22.028</v>
      </c>
      <c r="H663" s="11" t="str">
        <f t="shared" si="61"/>
        <v>3.587E-2</v>
      </c>
      <c r="I663" s="2">
        <f t="shared" si="62"/>
        <v>108.9</v>
      </c>
      <c r="J663" s="4">
        <f t="shared" si="63"/>
        <v>22.028</v>
      </c>
      <c r="K663" s="9">
        <f t="shared" si="64"/>
        <v>23.5</v>
      </c>
      <c r="L663" s="1">
        <f t="shared" si="65"/>
        <v>-0.300000000000022</v>
      </c>
    </row>
    <row r="664" s="1" customFormat="1" spans="1:12">
      <c r="A664" s="2">
        <v>22.095</v>
      </c>
      <c r="B664" s="10" t="s">
        <v>178</v>
      </c>
      <c r="C664" s="4">
        <v>22.095</v>
      </c>
      <c r="D664" s="4">
        <v>106.3</v>
      </c>
      <c r="G664" s="2">
        <f t="shared" si="60"/>
        <v>22.061</v>
      </c>
      <c r="H664" s="11" t="str">
        <f t="shared" si="61"/>
        <v>3.589E-2</v>
      </c>
      <c r="I664" s="2">
        <f t="shared" si="62"/>
        <v>107.4</v>
      </c>
      <c r="J664" s="4">
        <f t="shared" si="63"/>
        <v>22.061</v>
      </c>
      <c r="K664" s="9">
        <f t="shared" si="64"/>
        <v>23.7</v>
      </c>
      <c r="L664" s="1">
        <f t="shared" si="65"/>
        <v>-0.300000000000022</v>
      </c>
    </row>
    <row r="665" s="1" customFormat="1" spans="1:12">
      <c r="A665" s="2">
        <v>22.128</v>
      </c>
      <c r="B665" s="10" t="s">
        <v>70</v>
      </c>
      <c r="C665" s="4">
        <v>22.128</v>
      </c>
      <c r="D665" s="4">
        <v>105.3</v>
      </c>
      <c r="G665" s="2">
        <f t="shared" si="60"/>
        <v>22.095</v>
      </c>
      <c r="H665" s="11" t="str">
        <f t="shared" si="61"/>
        <v>3.588E-2</v>
      </c>
      <c r="I665" s="2">
        <f t="shared" si="62"/>
        <v>106.3</v>
      </c>
      <c r="J665" s="4">
        <f t="shared" si="63"/>
        <v>22.095</v>
      </c>
      <c r="K665" s="9">
        <f t="shared" si="64"/>
        <v>23.6</v>
      </c>
      <c r="L665" s="1">
        <f t="shared" si="65"/>
        <v>-0.300000000000022</v>
      </c>
    </row>
    <row r="666" s="1" customFormat="1" spans="1:12">
      <c r="A666" s="2">
        <v>22.162</v>
      </c>
      <c r="B666" s="10" t="s">
        <v>70</v>
      </c>
      <c r="C666" s="4">
        <v>22.162</v>
      </c>
      <c r="D666" s="4">
        <v>104.7</v>
      </c>
      <c r="G666" s="2">
        <f t="shared" si="60"/>
        <v>22.128</v>
      </c>
      <c r="H666" s="11" t="str">
        <f t="shared" si="61"/>
        <v>3.589E-2</v>
      </c>
      <c r="I666" s="2">
        <f t="shared" si="62"/>
        <v>105.3</v>
      </c>
      <c r="J666" s="4">
        <f t="shared" si="63"/>
        <v>22.128</v>
      </c>
      <c r="K666" s="9">
        <f t="shared" si="64"/>
        <v>23.7</v>
      </c>
      <c r="L666" s="1">
        <f t="shared" si="65"/>
        <v>-0.300000000000022</v>
      </c>
    </row>
    <row r="667" s="1" customFormat="1" spans="1:12">
      <c r="A667" s="2">
        <v>22.195</v>
      </c>
      <c r="B667" s="10" t="s">
        <v>94</v>
      </c>
      <c r="C667" s="4">
        <v>22.195</v>
      </c>
      <c r="D667" s="4">
        <v>102.8</v>
      </c>
      <c r="G667" s="2">
        <f t="shared" si="60"/>
        <v>22.162</v>
      </c>
      <c r="H667" s="11" t="str">
        <f t="shared" si="61"/>
        <v>3.589E-2</v>
      </c>
      <c r="I667" s="2">
        <f t="shared" si="62"/>
        <v>104.7</v>
      </c>
      <c r="J667" s="4">
        <f t="shared" si="63"/>
        <v>22.162</v>
      </c>
      <c r="K667" s="9">
        <f t="shared" si="64"/>
        <v>23.7</v>
      </c>
      <c r="L667" s="1">
        <f t="shared" si="65"/>
        <v>-0.300000000000022</v>
      </c>
    </row>
    <row r="668" s="1" customFormat="1" spans="1:12">
      <c r="A668" s="2">
        <v>22.228</v>
      </c>
      <c r="B668" s="10" t="s">
        <v>68</v>
      </c>
      <c r="C668" s="4">
        <v>22.228</v>
      </c>
      <c r="D668" s="4">
        <v>101.5</v>
      </c>
      <c r="G668" s="2">
        <f t="shared" si="60"/>
        <v>22.195</v>
      </c>
      <c r="H668" s="11" t="str">
        <f t="shared" si="61"/>
        <v>3.590E-2</v>
      </c>
      <c r="I668" s="2">
        <f t="shared" si="62"/>
        <v>102.8</v>
      </c>
      <c r="J668" s="4">
        <f t="shared" si="63"/>
        <v>22.195</v>
      </c>
      <c r="K668" s="9">
        <f t="shared" si="64"/>
        <v>23.8</v>
      </c>
      <c r="L668" s="1">
        <f t="shared" si="65"/>
        <v>-0.300000000000022</v>
      </c>
    </row>
    <row r="669" s="1" customFormat="1" spans="1:12">
      <c r="A669" s="2">
        <v>22.262</v>
      </c>
      <c r="B669" s="10" t="s">
        <v>94</v>
      </c>
      <c r="C669" s="4">
        <v>22.262</v>
      </c>
      <c r="D669" s="4">
        <v>98.4</v>
      </c>
      <c r="G669" s="2">
        <f t="shared" si="60"/>
        <v>22.228</v>
      </c>
      <c r="H669" s="11" t="str">
        <f t="shared" si="61"/>
        <v>3.591E-2</v>
      </c>
      <c r="I669" s="2">
        <f t="shared" si="62"/>
        <v>101.5</v>
      </c>
      <c r="J669" s="4">
        <f t="shared" si="63"/>
        <v>22.228</v>
      </c>
      <c r="K669" s="9">
        <f t="shared" si="64"/>
        <v>23.9</v>
      </c>
      <c r="L669" s="1">
        <f t="shared" si="65"/>
        <v>-0.300000000000022</v>
      </c>
    </row>
    <row r="670" s="1" customFormat="1" spans="1:12">
      <c r="A670" s="2">
        <v>22.295</v>
      </c>
      <c r="B670" s="10" t="s">
        <v>68</v>
      </c>
      <c r="C670" s="4">
        <v>22.295</v>
      </c>
      <c r="D670" s="4">
        <v>97.7</v>
      </c>
      <c r="G670" s="2">
        <f t="shared" si="60"/>
        <v>22.262</v>
      </c>
      <c r="H670" s="11" t="str">
        <f t="shared" si="61"/>
        <v>3.590E-2</v>
      </c>
      <c r="I670" s="2">
        <f t="shared" si="62"/>
        <v>98.4</v>
      </c>
      <c r="J670" s="4">
        <f t="shared" si="63"/>
        <v>22.262</v>
      </c>
      <c r="K670" s="9">
        <f t="shared" si="64"/>
        <v>23.8</v>
      </c>
      <c r="L670" s="1">
        <f t="shared" si="65"/>
        <v>-0.300000000000022</v>
      </c>
    </row>
    <row r="671" s="1" customFormat="1" spans="1:12">
      <c r="A671" s="2">
        <v>22.329</v>
      </c>
      <c r="B671" s="10" t="s">
        <v>68</v>
      </c>
      <c r="C671" s="4">
        <v>22.329</v>
      </c>
      <c r="D671" s="4">
        <v>96.9</v>
      </c>
      <c r="G671" s="2">
        <f t="shared" si="60"/>
        <v>22.295</v>
      </c>
      <c r="H671" s="11" t="str">
        <f t="shared" si="61"/>
        <v>3.591E-2</v>
      </c>
      <c r="I671" s="2">
        <f t="shared" si="62"/>
        <v>97.7</v>
      </c>
      <c r="J671" s="4">
        <f t="shared" si="63"/>
        <v>22.295</v>
      </c>
      <c r="K671" s="9">
        <f t="shared" si="64"/>
        <v>23.9</v>
      </c>
      <c r="L671" s="1">
        <f t="shared" si="65"/>
        <v>-0.300000000000022</v>
      </c>
    </row>
    <row r="672" s="1" customFormat="1" spans="1:12">
      <c r="A672" s="2">
        <v>22.362</v>
      </c>
      <c r="B672" s="10" t="s">
        <v>68</v>
      </c>
      <c r="C672" s="4">
        <v>22.362</v>
      </c>
      <c r="D672" s="4">
        <v>95.3</v>
      </c>
      <c r="G672" s="2">
        <f t="shared" si="60"/>
        <v>22.329</v>
      </c>
      <c r="H672" s="11" t="str">
        <f t="shared" si="61"/>
        <v>3.591E-2</v>
      </c>
      <c r="I672" s="2">
        <f t="shared" si="62"/>
        <v>96.9</v>
      </c>
      <c r="J672" s="4">
        <f t="shared" si="63"/>
        <v>22.329</v>
      </c>
      <c r="K672" s="9">
        <f t="shared" si="64"/>
        <v>23.9</v>
      </c>
      <c r="L672" s="1">
        <f t="shared" si="65"/>
        <v>-0.300000000000022</v>
      </c>
    </row>
    <row r="673" s="1" customFormat="1" spans="1:12">
      <c r="A673" s="2">
        <v>22.396</v>
      </c>
      <c r="B673" s="10" t="s">
        <v>68</v>
      </c>
      <c r="C673" s="4">
        <v>22.396</v>
      </c>
      <c r="D673" s="4">
        <v>93.5</v>
      </c>
      <c r="G673" s="2">
        <f t="shared" si="60"/>
        <v>22.362</v>
      </c>
      <c r="H673" s="11" t="str">
        <f t="shared" si="61"/>
        <v>3.591E-2</v>
      </c>
      <c r="I673" s="2">
        <f t="shared" si="62"/>
        <v>95.3</v>
      </c>
      <c r="J673" s="4">
        <f t="shared" si="63"/>
        <v>22.362</v>
      </c>
      <c r="K673" s="9">
        <f t="shared" si="64"/>
        <v>23.9</v>
      </c>
      <c r="L673" s="1">
        <f t="shared" si="65"/>
        <v>-0.300000000000022</v>
      </c>
    </row>
    <row r="674" s="1" customFormat="1" spans="1:12">
      <c r="A674" s="2">
        <v>22.429</v>
      </c>
      <c r="B674" s="10" t="s">
        <v>69</v>
      </c>
      <c r="C674" s="4">
        <v>22.429</v>
      </c>
      <c r="D674" s="4">
        <v>92.8</v>
      </c>
      <c r="G674" s="2">
        <f t="shared" si="60"/>
        <v>22.396</v>
      </c>
      <c r="H674" s="11" t="str">
        <f t="shared" si="61"/>
        <v>3.591E-2</v>
      </c>
      <c r="I674" s="2">
        <f t="shared" si="62"/>
        <v>93.5</v>
      </c>
      <c r="J674" s="4">
        <f t="shared" si="63"/>
        <v>22.396</v>
      </c>
      <c r="K674" s="9">
        <f t="shared" si="64"/>
        <v>23.9</v>
      </c>
      <c r="L674" s="1">
        <f t="shared" si="65"/>
        <v>-0.300000000000022</v>
      </c>
    </row>
    <row r="675" s="1" customFormat="1" spans="1:12">
      <c r="A675" s="2">
        <v>22.462</v>
      </c>
      <c r="B675" s="10" t="s">
        <v>68</v>
      </c>
      <c r="C675" s="4">
        <v>22.462</v>
      </c>
      <c r="D675" s="4">
        <v>90.3</v>
      </c>
      <c r="G675" s="2">
        <f t="shared" si="60"/>
        <v>22.429</v>
      </c>
      <c r="H675" s="11" t="str">
        <f t="shared" si="61"/>
        <v>3.592E-2</v>
      </c>
      <c r="I675" s="2">
        <f t="shared" si="62"/>
        <v>92.8</v>
      </c>
      <c r="J675" s="4">
        <f t="shared" si="63"/>
        <v>22.429</v>
      </c>
      <c r="K675" s="9">
        <f t="shared" si="64"/>
        <v>24</v>
      </c>
      <c r="L675" s="1">
        <f t="shared" si="65"/>
        <v>-0.300000000000022</v>
      </c>
    </row>
    <row r="676" s="1" customFormat="1" spans="1:12">
      <c r="A676" s="2">
        <v>22.496</v>
      </c>
      <c r="B676" s="10" t="s">
        <v>69</v>
      </c>
      <c r="C676" s="4">
        <v>22.496</v>
      </c>
      <c r="D676" s="4">
        <v>89.3</v>
      </c>
      <c r="G676" s="2">
        <f t="shared" si="60"/>
        <v>22.462</v>
      </c>
      <c r="H676" s="11" t="str">
        <f t="shared" si="61"/>
        <v>3.591E-2</v>
      </c>
      <c r="I676" s="2">
        <f t="shared" si="62"/>
        <v>90.3</v>
      </c>
      <c r="J676" s="4">
        <f t="shared" si="63"/>
        <v>22.462</v>
      </c>
      <c r="K676" s="9">
        <f t="shared" si="64"/>
        <v>23.9</v>
      </c>
      <c r="L676" s="1">
        <f t="shared" si="65"/>
        <v>-0.300000000000022</v>
      </c>
    </row>
    <row r="677" s="1" customFormat="1" spans="1:12">
      <c r="A677" s="2">
        <v>22.529</v>
      </c>
      <c r="B677" s="10" t="s">
        <v>94</v>
      </c>
      <c r="C677" s="4">
        <v>22.529</v>
      </c>
      <c r="D677" s="4">
        <v>88.4</v>
      </c>
      <c r="G677" s="2">
        <f t="shared" si="60"/>
        <v>22.496</v>
      </c>
      <c r="H677" s="11" t="str">
        <f t="shared" si="61"/>
        <v>3.592E-2</v>
      </c>
      <c r="I677" s="2">
        <f t="shared" si="62"/>
        <v>89.3</v>
      </c>
      <c r="J677" s="4">
        <f t="shared" si="63"/>
        <v>22.496</v>
      </c>
      <c r="K677" s="9">
        <f t="shared" si="64"/>
        <v>24</v>
      </c>
      <c r="L677" s="1">
        <f t="shared" si="65"/>
        <v>-0.300000000000022</v>
      </c>
    </row>
    <row r="678" s="1" customFormat="1" spans="1:12">
      <c r="A678" s="2">
        <v>22.563</v>
      </c>
      <c r="B678" s="10" t="s">
        <v>94</v>
      </c>
      <c r="C678" s="4">
        <v>22.563</v>
      </c>
      <c r="D678" s="4">
        <v>86.9</v>
      </c>
      <c r="G678" s="2">
        <f t="shared" si="60"/>
        <v>22.529</v>
      </c>
      <c r="H678" s="11" t="str">
        <f t="shared" si="61"/>
        <v>3.590E-2</v>
      </c>
      <c r="I678" s="2">
        <f t="shared" si="62"/>
        <v>88.4</v>
      </c>
      <c r="J678" s="4">
        <f t="shared" si="63"/>
        <v>22.529</v>
      </c>
      <c r="K678" s="9">
        <f t="shared" si="64"/>
        <v>23.8</v>
      </c>
      <c r="L678" s="1">
        <f t="shared" si="65"/>
        <v>-0.300000000000022</v>
      </c>
    </row>
    <row r="679" s="1" customFormat="1" spans="1:12">
      <c r="A679" s="2">
        <v>22.596</v>
      </c>
      <c r="B679" s="10" t="s">
        <v>70</v>
      </c>
      <c r="C679" s="4">
        <v>22.596</v>
      </c>
      <c r="D679" s="4">
        <v>85.6</v>
      </c>
      <c r="G679" s="2">
        <f t="shared" si="60"/>
        <v>22.563</v>
      </c>
      <c r="H679" s="11" t="str">
        <f t="shared" si="61"/>
        <v>3.590E-2</v>
      </c>
      <c r="I679" s="2">
        <f t="shared" si="62"/>
        <v>86.9</v>
      </c>
      <c r="J679" s="4">
        <f t="shared" si="63"/>
        <v>22.563</v>
      </c>
      <c r="K679" s="9">
        <f t="shared" si="64"/>
        <v>23.8</v>
      </c>
      <c r="L679" s="1">
        <f t="shared" si="65"/>
        <v>-0.300000000000022</v>
      </c>
    </row>
    <row r="680" s="1" customFormat="1" spans="1:12">
      <c r="A680" s="2">
        <v>22.63</v>
      </c>
      <c r="B680" s="10" t="s">
        <v>178</v>
      </c>
      <c r="C680" s="4">
        <v>22.63</v>
      </c>
      <c r="D680" s="4">
        <v>83.8</v>
      </c>
      <c r="G680" s="2">
        <f t="shared" si="60"/>
        <v>22.596</v>
      </c>
      <c r="H680" s="11" t="str">
        <f t="shared" si="61"/>
        <v>3.589E-2</v>
      </c>
      <c r="I680" s="2">
        <f t="shared" si="62"/>
        <v>85.6</v>
      </c>
      <c r="J680" s="4">
        <f t="shared" si="63"/>
        <v>22.596</v>
      </c>
      <c r="K680" s="9">
        <f t="shared" si="64"/>
        <v>23.7</v>
      </c>
      <c r="L680" s="1">
        <f t="shared" si="65"/>
        <v>-0.300000000000022</v>
      </c>
    </row>
    <row r="681" s="1" customFormat="1" spans="1:12">
      <c r="A681" s="2">
        <v>22.663</v>
      </c>
      <c r="B681" s="10" t="s">
        <v>178</v>
      </c>
      <c r="C681" s="4">
        <v>22.663</v>
      </c>
      <c r="D681" s="4">
        <v>82.4</v>
      </c>
      <c r="G681" s="2">
        <f t="shared" si="60"/>
        <v>22.63</v>
      </c>
      <c r="H681" s="11" t="str">
        <f t="shared" si="61"/>
        <v>3.588E-2</v>
      </c>
      <c r="I681" s="2">
        <f t="shared" si="62"/>
        <v>83.8</v>
      </c>
      <c r="J681" s="4">
        <f t="shared" si="63"/>
        <v>22.63</v>
      </c>
      <c r="K681" s="9">
        <f t="shared" si="64"/>
        <v>23.6</v>
      </c>
      <c r="L681" s="1">
        <f t="shared" si="65"/>
        <v>-0.300000000000022</v>
      </c>
    </row>
    <row r="682" s="1" customFormat="1" spans="1:12">
      <c r="A682" s="2">
        <v>22.696</v>
      </c>
      <c r="B682" s="10" t="s">
        <v>178</v>
      </c>
      <c r="C682" s="4">
        <v>22.696</v>
      </c>
      <c r="D682" s="4">
        <v>81.8</v>
      </c>
      <c r="G682" s="2">
        <f t="shared" si="60"/>
        <v>22.663</v>
      </c>
      <c r="H682" s="11" t="str">
        <f t="shared" si="61"/>
        <v>3.588E-2</v>
      </c>
      <c r="I682" s="2">
        <f t="shared" si="62"/>
        <v>82.4</v>
      </c>
      <c r="J682" s="4">
        <f t="shared" si="63"/>
        <v>22.663</v>
      </c>
      <c r="K682" s="9">
        <f t="shared" si="64"/>
        <v>23.6</v>
      </c>
      <c r="L682" s="1">
        <f t="shared" si="65"/>
        <v>-0.300000000000022</v>
      </c>
    </row>
    <row r="683" s="1" customFormat="1" spans="1:12">
      <c r="A683" s="2">
        <v>22.73</v>
      </c>
      <c r="B683" s="10" t="s">
        <v>67</v>
      </c>
      <c r="C683" s="4">
        <v>22.73</v>
      </c>
      <c r="D683" s="4">
        <v>80.9</v>
      </c>
      <c r="G683" s="2">
        <f t="shared" si="60"/>
        <v>22.696</v>
      </c>
      <c r="H683" s="11" t="str">
        <f t="shared" si="61"/>
        <v>3.588E-2</v>
      </c>
      <c r="I683" s="2">
        <f t="shared" si="62"/>
        <v>81.8</v>
      </c>
      <c r="J683" s="4">
        <f t="shared" si="63"/>
        <v>22.696</v>
      </c>
      <c r="K683" s="9">
        <f t="shared" si="64"/>
        <v>23.6</v>
      </c>
      <c r="L683" s="1">
        <f t="shared" si="65"/>
        <v>-0.300000000000022</v>
      </c>
    </row>
    <row r="684" s="1" customFormat="1" spans="1:12">
      <c r="A684" s="2">
        <v>22.763</v>
      </c>
      <c r="B684" s="10" t="s">
        <v>67</v>
      </c>
      <c r="C684" s="4">
        <v>22.763</v>
      </c>
      <c r="D684" s="4">
        <v>79</v>
      </c>
      <c r="G684" s="2">
        <f t="shared" si="60"/>
        <v>22.73</v>
      </c>
      <c r="H684" s="11" t="str">
        <f t="shared" si="61"/>
        <v>3.587E-2</v>
      </c>
      <c r="I684" s="2">
        <f t="shared" si="62"/>
        <v>80.9</v>
      </c>
      <c r="J684" s="4">
        <f t="shared" si="63"/>
        <v>22.73</v>
      </c>
      <c r="K684" s="9">
        <f t="shared" si="64"/>
        <v>23.5</v>
      </c>
      <c r="L684" s="1">
        <f t="shared" si="65"/>
        <v>-0.300000000000022</v>
      </c>
    </row>
    <row r="685" s="1" customFormat="1" spans="1:12">
      <c r="A685" s="2">
        <v>22.797</v>
      </c>
      <c r="B685" s="10" t="s">
        <v>67</v>
      </c>
      <c r="C685" s="4">
        <v>22.797</v>
      </c>
      <c r="D685" s="4">
        <v>79</v>
      </c>
      <c r="G685" s="2">
        <f t="shared" si="60"/>
        <v>22.763</v>
      </c>
      <c r="H685" s="11" t="str">
        <f t="shared" si="61"/>
        <v>3.587E-2</v>
      </c>
      <c r="I685" s="2">
        <f t="shared" si="62"/>
        <v>79</v>
      </c>
      <c r="J685" s="4">
        <f t="shared" si="63"/>
        <v>22.763</v>
      </c>
      <c r="K685" s="9">
        <f t="shared" si="64"/>
        <v>23.5</v>
      </c>
      <c r="L685" s="1">
        <f t="shared" si="65"/>
        <v>-0.300000000000022</v>
      </c>
    </row>
    <row r="686" s="1" customFormat="1" spans="1:12">
      <c r="A686" s="2">
        <v>22.83</v>
      </c>
      <c r="B686" s="10" t="s">
        <v>67</v>
      </c>
      <c r="C686" s="4">
        <v>22.83</v>
      </c>
      <c r="D686" s="4">
        <v>78.3</v>
      </c>
      <c r="G686" s="2">
        <f t="shared" si="60"/>
        <v>22.797</v>
      </c>
      <c r="H686" s="11" t="str">
        <f t="shared" si="61"/>
        <v>3.587E-2</v>
      </c>
      <c r="I686" s="2">
        <f t="shared" si="62"/>
        <v>79</v>
      </c>
      <c r="J686" s="4">
        <f t="shared" si="63"/>
        <v>22.797</v>
      </c>
      <c r="K686" s="9">
        <f t="shared" si="64"/>
        <v>23.5</v>
      </c>
      <c r="L686" s="1">
        <f t="shared" si="65"/>
        <v>-0.300000000000022</v>
      </c>
    </row>
    <row r="687" s="1" customFormat="1" spans="1:12">
      <c r="A687" s="2">
        <v>22.864</v>
      </c>
      <c r="B687" s="10" t="s">
        <v>179</v>
      </c>
      <c r="C687" s="4">
        <v>22.864</v>
      </c>
      <c r="D687" s="4">
        <v>78</v>
      </c>
      <c r="G687" s="2">
        <f t="shared" si="60"/>
        <v>22.83</v>
      </c>
      <c r="H687" s="11" t="str">
        <f t="shared" si="61"/>
        <v>3.587E-2</v>
      </c>
      <c r="I687" s="2">
        <f t="shared" si="62"/>
        <v>78.3</v>
      </c>
      <c r="J687" s="4">
        <f t="shared" si="63"/>
        <v>22.83</v>
      </c>
      <c r="K687" s="9">
        <f t="shared" si="64"/>
        <v>23.5</v>
      </c>
      <c r="L687" s="1">
        <f t="shared" si="65"/>
        <v>-0.300000000000022</v>
      </c>
    </row>
    <row r="688" s="1" customFormat="1" spans="1:12">
      <c r="A688" s="2">
        <v>22.897</v>
      </c>
      <c r="B688" s="10" t="s">
        <v>301</v>
      </c>
      <c r="C688" s="4">
        <v>22.897</v>
      </c>
      <c r="D688" s="4">
        <v>77.3</v>
      </c>
      <c r="G688" s="2">
        <f t="shared" si="60"/>
        <v>22.864</v>
      </c>
      <c r="H688" s="11" t="str">
        <f t="shared" si="61"/>
        <v>3.586E-2</v>
      </c>
      <c r="I688" s="2">
        <f t="shared" si="62"/>
        <v>78</v>
      </c>
      <c r="J688" s="4">
        <f t="shared" si="63"/>
        <v>22.864</v>
      </c>
      <c r="K688" s="9">
        <f t="shared" si="64"/>
        <v>23.4</v>
      </c>
      <c r="L688" s="1">
        <f t="shared" si="65"/>
        <v>-0.300000000000022</v>
      </c>
    </row>
    <row r="689" s="1" customFormat="1" spans="1:12">
      <c r="A689" s="2">
        <v>22.93</v>
      </c>
      <c r="B689" s="10" t="s">
        <v>180</v>
      </c>
      <c r="C689" s="4">
        <v>22.93</v>
      </c>
      <c r="D689" s="4">
        <v>76.4</v>
      </c>
      <c r="G689" s="2">
        <f t="shared" si="60"/>
        <v>22.897</v>
      </c>
      <c r="H689" s="11" t="str">
        <f t="shared" si="61"/>
        <v>3.585E-2</v>
      </c>
      <c r="I689" s="2">
        <f t="shared" si="62"/>
        <v>77.3</v>
      </c>
      <c r="J689" s="4">
        <f t="shared" si="63"/>
        <v>22.897</v>
      </c>
      <c r="K689" s="9">
        <f t="shared" si="64"/>
        <v>23.3</v>
      </c>
      <c r="L689" s="1">
        <f t="shared" si="65"/>
        <v>-0.300000000000022</v>
      </c>
    </row>
    <row r="690" s="1" customFormat="1" spans="1:12">
      <c r="A690" s="2">
        <v>22.964</v>
      </c>
      <c r="B690" s="10" t="s">
        <v>71</v>
      </c>
      <c r="C690" s="4">
        <v>22.964</v>
      </c>
      <c r="D690" s="4">
        <v>75.5</v>
      </c>
      <c r="G690" s="2">
        <f t="shared" si="60"/>
        <v>22.93</v>
      </c>
      <c r="H690" s="11" t="str">
        <f t="shared" si="61"/>
        <v>3.584E-2</v>
      </c>
      <c r="I690" s="2">
        <f t="shared" si="62"/>
        <v>76.4</v>
      </c>
      <c r="J690" s="4">
        <f t="shared" si="63"/>
        <v>22.93</v>
      </c>
      <c r="K690" s="9">
        <f t="shared" si="64"/>
        <v>23.2</v>
      </c>
      <c r="L690" s="1">
        <f t="shared" si="65"/>
        <v>-0.300000000000022</v>
      </c>
    </row>
    <row r="691" s="1" customFormat="1" spans="1:12">
      <c r="A691" s="2">
        <v>22.997</v>
      </c>
      <c r="B691" s="10" t="s">
        <v>180</v>
      </c>
      <c r="C691" s="4">
        <v>22.997</v>
      </c>
      <c r="D691" s="4">
        <v>75.1</v>
      </c>
      <c r="G691" s="2">
        <f t="shared" si="60"/>
        <v>22.964</v>
      </c>
      <c r="H691" s="11" t="str">
        <f t="shared" si="61"/>
        <v>3.583E-2</v>
      </c>
      <c r="I691" s="2">
        <f t="shared" si="62"/>
        <v>75.5</v>
      </c>
      <c r="J691" s="4">
        <f t="shared" si="63"/>
        <v>22.964</v>
      </c>
      <c r="K691" s="9">
        <f t="shared" si="64"/>
        <v>23.1</v>
      </c>
      <c r="L691" s="1">
        <f t="shared" si="65"/>
        <v>-0.300000000000022</v>
      </c>
    </row>
    <row r="692" s="1" customFormat="1" spans="1:12">
      <c r="A692" s="2">
        <v>23.031</v>
      </c>
      <c r="B692" s="10" t="s">
        <v>180</v>
      </c>
      <c r="C692" s="4">
        <v>23.031</v>
      </c>
      <c r="D692" s="4">
        <v>74.3</v>
      </c>
      <c r="G692" s="2">
        <f t="shared" si="60"/>
        <v>22.997</v>
      </c>
      <c r="H692" s="11" t="str">
        <f t="shared" si="61"/>
        <v>3.584E-2</v>
      </c>
      <c r="I692" s="2">
        <f t="shared" si="62"/>
        <v>75.1</v>
      </c>
      <c r="J692" s="4">
        <f t="shared" si="63"/>
        <v>22.997</v>
      </c>
      <c r="K692" s="9">
        <f t="shared" si="64"/>
        <v>23.2</v>
      </c>
      <c r="L692" s="1">
        <f t="shared" si="65"/>
        <v>-0.300000000000022</v>
      </c>
    </row>
    <row r="693" s="1" customFormat="1" spans="1:12">
      <c r="A693" s="2">
        <v>23.064</v>
      </c>
      <c r="B693" s="10" t="s">
        <v>71</v>
      </c>
      <c r="C693" s="4">
        <v>23.064</v>
      </c>
      <c r="D693" s="4">
        <v>74.4</v>
      </c>
      <c r="G693" s="2">
        <f t="shared" si="60"/>
        <v>23.031</v>
      </c>
      <c r="H693" s="11" t="str">
        <f t="shared" si="61"/>
        <v>3.584E-2</v>
      </c>
      <c r="I693" s="2">
        <f t="shared" si="62"/>
        <v>74.3</v>
      </c>
      <c r="J693" s="4">
        <f t="shared" si="63"/>
        <v>23.031</v>
      </c>
      <c r="K693" s="9">
        <f t="shared" si="64"/>
        <v>23.2</v>
      </c>
      <c r="L693" s="1">
        <f t="shared" si="65"/>
        <v>-0.300000000000022</v>
      </c>
    </row>
    <row r="694" s="1" customFormat="1" spans="1:12">
      <c r="A694" s="2">
        <v>23.098</v>
      </c>
      <c r="B694" s="10" t="s">
        <v>180</v>
      </c>
      <c r="C694" s="4">
        <v>23.098</v>
      </c>
      <c r="D694" s="4">
        <v>73.7</v>
      </c>
      <c r="G694" s="2">
        <f t="shared" si="60"/>
        <v>23.064</v>
      </c>
      <c r="H694" s="11" t="str">
        <f t="shared" si="61"/>
        <v>3.583E-2</v>
      </c>
      <c r="I694" s="2">
        <f t="shared" si="62"/>
        <v>74.4</v>
      </c>
      <c r="J694" s="4">
        <f t="shared" si="63"/>
        <v>23.064</v>
      </c>
      <c r="K694" s="9">
        <f t="shared" si="64"/>
        <v>23.1</v>
      </c>
      <c r="L694" s="1">
        <f t="shared" si="65"/>
        <v>-0.300000000000022</v>
      </c>
    </row>
    <row r="695" s="1" customFormat="1" spans="1:12">
      <c r="A695" s="2">
        <v>23.131</v>
      </c>
      <c r="B695" s="10" t="s">
        <v>180</v>
      </c>
      <c r="C695" s="4">
        <v>23.131</v>
      </c>
      <c r="D695" s="4">
        <v>72.5</v>
      </c>
      <c r="G695" s="2">
        <f t="shared" si="60"/>
        <v>23.098</v>
      </c>
      <c r="H695" s="11" t="str">
        <f t="shared" si="61"/>
        <v>3.584E-2</v>
      </c>
      <c r="I695" s="2">
        <f t="shared" si="62"/>
        <v>73.7</v>
      </c>
      <c r="J695" s="4">
        <f t="shared" si="63"/>
        <v>23.098</v>
      </c>
      <c r="K695" s="9">
        <f t="shared" si="64"/>
        <v>23.2</v>
      </c>
      <c r="L695" s="1">
        <f t="shared" si="65"/>
        <v>-0.300000000000022</v>
      </c>
    </row>
    <row r="696" s="1" customFormat="1" spans="1:12">
      <c r="A696" s="2">
        <v>23.164</v>
      </c>
      <c r="B696" s="10" t="s">
        <v>301</v>
      </c>
      <c r="C696" s="4">
        <v>23.164</v>
      </c>
      <c r="D696" s="4">
        <v>72.1</v>
      </c>
      <c r="G696" s="2">
        <f t="shared" si="60"/>
        <v>23.131</v>
      </c>
      <c r="H696" s="11" t="str">
        <f t="shared" si="61"/>
        <v>3.584E-2</v>
      </c>
      <c r="I696" s="2">
        <f t="shared" si="62"/>
        <v>72.5</v>
      </c>
      <c r="J696" s="4">
        <f t="shared" si="63"/>
        <v>23.131</v>
      </c>
      <c r="K696" s="9">
        <f t="shared" si="64"/>
        <v>23.2</v>
      </c>
      <c r="L696" s="1">
        <f t="shared" si="65"/>
        <v>-0.300000000000022</v>
      </c>
    </row>
    <row r="697" s="1" customFormat="1" spans="1:12">
      <c r="A697" s="2">
        <v>23.198</v>
      </c>
      <c r="B697" s="10" t="s">
        <v>179</v>
      </c>
      <c r="C697" s="4">
        <v>23.198</v>
      </c>
      <c r="D697" s="4">
        <v>71.8</v>
      </c>
      <c r="G697" s="2">
        <f t="shared" si="60"/>
        <v>23.164</v>
      </c>
      <c r="H697" s="11" t="str">
        <f t="shared" si="61"/>
        <v>3.585E-2</v>
      </c>
      <c r="I697" s="2">
        <f t="shared" si="62"/>
        <v>72.1</v>
      </c>
      <c r="J697" s="4">
        <f t="shared" si="63"/>
        <v>23.164</v>
      </c>
      <c r="K697" s="9">
        <f t="shared" si="64"/>
        <v>23.3</v>
      </c>
      <c r="L697" s="1">
        <f t="shared" si="65"/>
        <v>-0.300000000000022</v>
      </c>
    </row>
    <row r="698" s="1" customFormat="1" spans="1:12">
      <c r="A698" s="2">
        <v>23.231</v>
      </c>
      <c r="B698" s="10" t="s">
        <v>301</v>
      </c>
      <c r="C698" s="4">
        <v>23.231</v>
      </c>
      <c r="D698" s="4">
        <v>71.8</v>
      </c>
      <c r="G698" s="2">
        <f t="shared" si="60"/>
        <v>23.198</v>
      </c>
      <c r="H698" s="11" t="str">
        <f t="shared" si="61"/>
        <v>3.586E-2</v>
      </c>
      <c r="I698" s="2">
        <f t="shared" si="62"/>
        <v>71.8</v>
      </c>
      <c r="J698" s="4">
        <f t="shared" si="63"/>
        <v>23.198</v>
      </c>
      <c r="K698" s="9">
        <f t="shared" si="64"/>
        <v>23.4</v>
      </c>
      <c r="L698" s="1">
        <f t="shared" si="65"/>
        <v>-0.300000000000022</v>
      </c>
    </row>
    <row r="699" s="1" customFormat="1" spans="1:12">
      <c r="A699" s="2">
        <v>23.265</v>
      </c>
      <c r="B699" s="10" t="s">
        <v>67</v>
      </c>
      <c r="C699" s="4">
        <v>23.265</v>
      </c>
      <c r="D699" s="4">
        <v>71.4</v>
      </c>
      <c r="G699" s="2">
        <f t="shared" si="60"/>
        <v>23.231</v>
      </c>
      <c r="H699" s="11" t="str">
        <f t="shared" si="61"/>
        <v>3.585E-2</v>
      </c>
      <c r="I699" s="2">
        <f t="shared" si="62"/>
        <v>71.8</v>
      </c>
      <c r="J699" s="4">
        <f t="shared" si="63"/>
        <v>23.231</v>
      </c>
      <c r="K699" s="9">
        <f t="shared" si="64"/>
        <v>23.3</v>
      </c>
      <c r="L699" s="1">
        <f t="shared" si="65"/>
        <v>-0.300000000000022</v>
      </c>
    </row>
    <row r="700" s="1" customFormat="1" spans="1:12">
      <c r="A700" s="2">
        <v>23.298</v>
      </c>
      <c r="B700" s="10" t="s">
        <v>178</v>
      </c>
      <c r="C700" s="4">
        <v>23.298</v>
      </c>
      <c r="D700" s="4">
        <v>70.5</v>
      </c>
      <c r="G700" s="2">
        <f t="shared" si="60"/>
        <v>23.265</v>
      </c>
      <c r="H700" s="11" t="str">
        <f t="shared" si="61"/>
        <v>3.587E-2</v>
      </c>
      <c r="I700" s="2">
        <f t="shared" si="62"/>
        <v>71.4</v>
      </c>
      <c r="J700" s="4">
        <f t="shared" si="63"/>
        <v>23.265</v>
      </c>
      <c r="K700" s="9">
        <f t="shared" si="64"/>
        <v>23.5</v>
      </c>
      <c r="L700" s="1">
        <f t="shared" si="65"/>
        <v>-0.300000000000022</v>
      </c>
    </row>
    <row r="701" s="1" customFormat="1" spans="1:12">
      <c r="A701" s="2">
        <v>23.332</v>
      </c>
      <c r="B701" s="10" t="s">
        <v>178</v>
      </c>
      <c r="C701" s="4">
        <v>23.332</v>
      </c>
      <c r="D701" s="4">
        <v>70.6</v>
      </c>
      <c r="G701" s="2">
        <f t="shared" si="60"/>
        <v>23.298</v>
      </c>
      <c r="H701" s="11" t="str">
        <f t="shared" si="61"/>
        <v>3.588E-2</v>
      </c>
      <c r="I701" s="2">
        <f t="shared" si="62"/>
        <v>70.5</v>
      </c>
      <c r="J701" s="4">
        <f t="shared" si="63"/>
        <v>23.298</v>
      </c>
      <c r="K701" s="9">
        <f t="shared" si="64"/>
        <v>23.6</v>
      </c>
      <c r="L701" s="1">
        <f t="shared" si="65"/>
        <v>-0.300000000000022</v>
      </c>
    </row>
    <row r="702" s="1" customFormat="1" spans="1:12">
      <c r="A702" s="2">
        <v>23.365</v>
      </c>
      <c r="B702" s="10" t="s">
        <v>70</v>
      </c>
      <c r="C702" s="4">
        <v>23.365</v>
      </c>
      <c r="D702" s="4">
        <v>70.4</v>
      </c>
      <c r="G702" s="2">
        <f t="shared" si="60"/>
        <v>23.332</v>
      </c>
      <c r="H702" s="11" t="str">
        <f t="shared" si="61"/>
        <v>3.588E-2</v>
      </c>
      <c r="I702" s="2">
        <f t="shared" si="62"/>
        <v>70.6</v>
      </c>
      <c r="J702" s="4">
        <f t="shared" si="63"/>
        <v>23.332</v>
      </c>
      <c r="K702" s="9">
        <f t="shared" si="64"/>
        <v>23.6</v>
      </c>
      <c r="L702" s="1">
        <f t="shared" si="65"/>
        <v>-0.300000000000022</v>
      </c>
    </row>
    <row r="703" s="1" customFormat="1" spans="1:12">
      <c r="A703" s="2">
        <v>23.398</v>
      </c>
      <c r="B703" s="10" t="s">
        <v>94</v>
      </c>
      <c r="C703" s="4">
        <v>23.398</v>
      </c>
      <c r="D703" s="4">
        <v>70.4</v>
      </c>
      <c r="G703" s="2">
        <f t="shared" si="60"/>
        <v>23.365</v>
      </c>
      <c r="H703" s="11" t="str">
        <f t="shared" si="61"/>
        <v>3.589E-2</v>
      </c>
      <c r="I703" s="2">
        <f t="shared" si="62"/>
        <v>70.4</v>
      </c>
      <c r="J703" s="4">
        <f t="shared" si="63"/>
        <v>23.365</v>
      </c>
      <c r="K703" s="9">
        <f t="shared" si="64"/>
        <v>23.7</v>
      </c>
      <c r="L703" s="1">
        <f t="shared" si="65"/>
        <v>-0.300000000000022</v>
      </c>
    </row>
    <row r="704" s="1" customFormat="1" spans="1:12">
      <c r="A704" s="2">
        <v>23.432</v>
      </c>
      <c r="B704" s="10" t="s">
        <v>94</v>
      </c>
      <c r="C704" s="4">
        <v>23.432</v>
      </c>
      <c r="D704" s="4">
        <v>69.5</v>
      </c>
      <c r="G704" s="2">
        <f t="shared" si="60"/>
        <v>23.398</v>
      </c>
      <c r="H704" s="11" t="str">
        <f t="shared" si="61"/>
        <v>3.590E-2</v>
      </c>
      <c r="I704" s="2">
        <f t="shared" si="62"/>
        <v>70.4</v>
      </c>
      <c r="J704" s="4">
        <f t="shared" si="63"/>
        <v>23.398</v>
      </c>
      <c r="K704" s="9">
        <f t="shared" si="64"/>
        <v>23.8</v>
      </c>
      <c r="L704" s="1">
        <f t="shared" si="65"/>
        <v>-0.300000000000022</v>
      </c>
    </row>
    <row r="705" s="1" customFormat="1" spans="1:12">
      <c r="A705" s="2">
        <v>23.465</v>
      </c>
      <c r="B705" s="10" t="s">
        <v>70</v>
      </c>
      <c r="C705" s="4">
        <v>23.465</v>
      </c>
      <c r="D705" s="4">
        <v>69.3</v>
      </c>
      <c r="G705" s="2">
        <f t="shared" si="60"/>
        <v>23.432</v>
      </c>
      <c r="H705" s="11" t="str">
        <f t="shared" si="61"/>
        <v>3.590E-2</v>
      </c>
      <c r="I705" s="2">
        <f t="shared" si="62"/>
        <v>69.5</v>
      </c>
      <c r="J705" s="4">
        <f t="shared" si="63"/>
        <v>23.432</v>
      </c>
      <c r="K705" s="9">
        <f t="shared" si="64"/>
        <v>23.8</v>
      </c>
      <c r="L705" s="1">
        <f t="shared" si="65"/>
        <v>-0.300000000000022</v>
      </c>
    </row>
    <row r="706" s="1" customFormat="1" spans="1:12">
      <c r="A706" s="2">
        <v>23.499</v>
      </c>
      <c r="B706" s="10" t="s">
        <v>68</v>
      </c>
      <c r="C706" s="4">
        <v>23.499</v>
      </c>
      <c r="D706" s="4">
        <v>69.8</v>
      </c>
      <c r="G706" s="2">
        <f t="shared" si="60"/>
        <v>23.465</v>
      </c>
      <c r="H706" s="11" t="str">
        <f t="shared" si="61"/>
        <v>3.589E-2</v>
      </c>
      <c r="I706" s="2">
        <f t="shared" si="62"/>
        <v>69.3</v>
      </c>
      <c r="J706" s="4">
        <f t="shared" si="63"/>
        <v>23.465</v>
      </c>
      <c r="K706" s="9">
        <f t="shared" si="64"/>
        <v>23.7</v>
      </c>
      <c r="L706" s="1">
        <f t="shared" si="65"/>
        <v>-0.300000000000022</v>
      </c>
    </row>
    <row r="707" s="1" customFormat="1" spans="1:12">
      <c r="A707" s="2">
        <v>23.532</v>
      </c>
      <c r="B707" s="10" t="s">
        <v>68</v>
      </c>
      <c r="C707" s="4">
        <v>23.532</v>
      </c>
      <c r="D707" s="4">
        <v>69.8</v>
      </c>
      <c r="G707" s="2">
        <f t="shared" si="60"/>
        <v>23.499</v>
      </c>
      <c r="H707" s="11" t="str">
        <f t="shared" si="61"/>
        <v>3.591E-2</v>
      </c>
      <c r="I707" s="2">
        <f t="shared" si="62"/>
        <v>69.8</v>
      </c>
      <c r="J707" s="4">
        <f t="shared" si="63"/>
        <v>23.499</v>
      </c>
      <c r="K707" s="9">
        <f t="shared" si="64"/>
        <v>23.9</v>
      </c>
      <c r="L707" s="1">
        <f t="shared" si="65"/>
        <v>-0.300000000000022</v>
      </c>
    </row>
    <row r="708" s="1" customFormat="1" spans="1:12">
      <c r="A708" s="2">
        <v>23.566</v>
      </c>
      <c r="B708" s="10" t="s">
        <v>68</v>
      </c>
      <c r="C708" s="4">
        <v>23.566</v>
      </c>
      <c r="D708" s="4">
        <v>69.8</v>
      </c>
      <c r="G708" s="2">
        <f t="shared" ref="G708:G771" si="66">A707</f>
        <v>23.532</v>
      </c>
      <c r="H708" s="11" t="str">
        <f t="shared" ref="H708:H771" si="67">B707</f>
        <v>3.591E-2</v>
      </c>
      <c r="I708" s="2">
        <f t="shared" ref="I708:I771" si="68">D707</f>
        <v>69.8</v>
      </c>
      <c r="J708" s="4">
        <f t="shared" ref="J708:J771" si="69">G708</f>
        <v>23.532</v>
      </c>
      <c r="K708" s="9">
        <f t="shared" ref="K708:K771" si="70">(H708-$H$4)*10000</f>
        <v>23.9</v>
      </c>
      <c r="L708" s="1">
        <f t="shared" si="65"/>
        <v>-0.300000000000022</v>
      </c>
    </row>
    <row r="709" s="1" customFormat="1" spans="1:12">
      <c r="A709" s="2">
        <v>23.599</v>
      </c>
      <c r="B709" s="10" t="s">
        <v>68</v>
      </c>
      <c r="C709" s="4">
        <v>23.599</v>
      </c>
      <c r="D709" s="4">
        <v>69.5</v>
      </c>
      <c r="G709" s="2">
        <f t="shared" si="66"/>
        <v>23.566</v>
      </c>
      <c r="H709" s="11" t="str">
        <f t="shared" si="67"/>
        <v>3.591E-2</v>
      </c>
      <c r="I709" s="2">
        <f t="shared" si="68"/>
        <v>69.8</v>
      </c>
      <c r="J709" s="4">
        <f t="shared" si="69"/>
        <v>23.566</v>
      </c>
      <c r="K709" s="9">
        <f t="shared" si="70"/>
        <v>23.9</v>
      </c>
      <c r="L709" s="1">
        <f t="shared" ref="L709:L772" si="71">IF(I709&lt;230,MIN(K:K),MAX(K:K))</f>
        <v>-0.300000000000022</v>
      </c>
    </row>
    <row r="710" s="1" customFormat="1" spans="1:12">
      <c r="A710" s="2">
        <v>23.632</v>
      </c>
      <c r="B710" s="10" t="s">
        <v>69</v>
      </c>
      <c r="C710" s="4">
        <v>23.632</v>
      </c>
      <c r="D710" s="4">
        <v>69.9</v>
      </c>
      <c r="G710" s="2">
        <f t="shared" si="66"/>
        <v>23.599</v>
      </c>
      <c r="H710" s="11" t="str">
        <f t="shared" si="67"/>
        <v>3.591E-2</v>
      </c>
      <c r="I710" s="2">
        <f t="shared" si="68"/>
        <v>69.5</v>
      </c>
      <c r="J710" s="4">
        <f t="shared" si="69"/>
        <v>23.599</v>
      </c>
      <c r="K710" s="9">
        <f t="shared" si="70"/>
        <v>23.9</v>
      </c>
      <c r="L710" s="1">
        <f t="shared" si="71"/>
        <v>-0.300000000000022</v>
      </c>
    </row>
    <row r="711" s="1" customFormat="1" spans="1:12">
      <c r="A711" s="2">
        <v>23.666</v>
      </c>
      <c r="B711" s="10" t="s">
        <v>69</v>
      </c>
      <c r="C711" s="4">
        <v>23.666</v>
      </c>
      <c r="D711" s="4">
        <v>69.4</v>
      </c>
      <c r="G711" s="2">
        <f t="shared" si="66"/>
        <v>23.632</v>
      </c>
      <c r="H711" s="11" t="str">
        <f t="shared" si="67"/>
        <v>3.592E-2</v>
      </c>
      <c r="I711" s="2">
        <f t="shared" si="68"/>
        <v>69.9</v>
      </c>
      <c r="J711" s="4">
        <f t="shared" si="69"/>
        <v>23.632</v>
      </c>
      <c r="K711" s="9">
        <f t="shared" si="70"/>
        <v>24</v>
      </c>
      <c r="L711" s="1">
        <f t="shared" si="71"/>
        <v>-0.300000000000022</v>
      </c>
    </row>
    <row r="712" s="1" customFormat="1" spans="1:12">
      <c r="A712" s="2">
        <v>23.699</v>
      </c>
      <c r="B712" s="10" t="s">
        <v>94</v>
      </c>
      <c r="C712" s="4">
        <v>23.699</v>
      </c>
      <c r="D712" s="4">
        <v>69</v>
      </c>
      <c r="G712" s="2">
        <f t="shared" si="66"/>
        <v>23.666</v>
      </c>
      <c r="H712" s="11" t="str">
        <f t="shared" si="67"/>
        <v>3.592E-2</v>
      </c>
      <c r="I712" s="2">
        <f t="shared" si="68"/>
        <v>69.4</v>
      </c>
      <c r="J712" s="4">
        <f t="shared" si="69"/>
        <v>23.666</v>
      </c>
      <c r="K712" s="9">
        <f t="shared" si="70"/>
        <v>24</v>
      </c>
      <c r="L712" s="1">
        <f t="shared" si="71"/>
        <v>-0.300000000000022</v>
      </c>
    </row>
    <row r="713" s="1" customFormat="1" spans="1:12">
      <c r="A713" s="2">
        <v>23.733</v>
      </c>
      <c r="B713" s="10" t="s">
        <v>69</v>
      </c>
      <c r="C713" s="4">
        <v>23.733</v>
      </c>
      <c r="D713" s="4">
        <v>69.4</v>
      </c>
      <c r="G713" s="2">
        <f t="shared" si="66"/>
        <v>23.699</v>
      </c>
      <c r="H713" s="11" t="str">
        <f t="shared" si="67"/>
        <v>3.590E-2</v>
      </c>
      <c r="I713" s="2">
        <f t="shared" si="68"/>
        <v>69</v>
      </c>
      <c r="J713" s="4">
        <f t="shared" si="69"/>
        <v>23.699</v>
      </c>
      <c r="K713" s="9">
        <f t="shared" si="70"/>
        <v>23.8</v>
      </c>
      <c r="L713" s="1">
        <f t="shared" si="71"/>
        <v>-0.300000000000022</v>
      </c>
    </row>
    <row r="714" s="1" customFormat="1" spans="1:12">
      <c r="A714" s="2">
        <v>23.766</v>
      </c>
      <c r="B714" s="10" t="s">
        <v>94</v>
      </c>
      <c r="C714" s="4">
        <v>23.766</v>
      </c>
      <c r="D714" s="4">
        <v>69</v>
      </c>
      <c r="G714" s="2">
        <f t="shared" si="66"/>
        <v>23.733</v>
      </c>
      <c r="H714" s="11" t="str">
        <f t="shared" si="67"/>
        <v>3.592E-2</v>
      </c>
      <c r="I714" s="2">
        <f t="shared" si="68"/>
        <v>69.4</v>
      </c>
      <c r="J714" s="4">
        <f t="shared" si="69"/>
        <v>23.733</v>
      </c>
      <c r="K714" s="9">
        <f t="shared" si="70"/>
        <v>24</v>
      </c>
      <c r="L714" s="1">
        <f t="shared" si="71"/>
        <v>-0.300000000000022</v>
      </c>
    </row>
    <row r="715" s="1" customFormat="1" spans="1:12">
      <c r="A715" s="2">
        <v>23.799</v>
      </c>
      <c r="B715" s="10" t="s">
        <v>94</v>
      </c>
      <c r="C715" s="4">
        <v>23.799</v>
      </c>
      <c r="D715" s="4">
        <v>69.2</v>
      </c>
      <c r="G715" s="2">
        <f t="shared" si="66"/>
        <v>23.766</v>
      </c>
      <c r="H715" s="11" t="str">
        <f t="shared" si="67"/>
        <v>3.590E-2</v>
      </c>
      <c r="I715" s="2">
        <f t="shared" si="68"/>
        <v>69</v>
      </c>
      <c r="J715" s="4">
        <f t="shared" si="69"/>
        <v>23.766</v>
      </c>
      <c r="K715" s="9">
        <f t="shared" si="70"/>
        <v>23.8</v>
      </c>
      <c r="L715" s="1">
        <f t="shared" si="71"/>
        <v>-0.300000000000022</v>
      </c>
    </row>
    <row r="716" s="1" customFormat="1" spans="1:12">
      <c r="A716" s="2">
        <v>23.833</v>
      </c>
      <c r="B716" s="10" t="s">
        <v>68</v>
      </c>
      <c r="C716" s="4">
        <v>23.833</v>
      </c>
      <c r="D716" s="4">
        <v>69.2</v>
      </c>
      <c r="G716" s="2">
        <f t="shared" si="66"/>
        <v>23.799</v>
      </c>
      <c r="H716" s="11" t="str">
        <f t="shared" si="67"/>
        <v>3.590E-2</v>
      </c>
      <c r="I716" s="2">
        <f t="shared" si="68"/>
        <v>69.2</v>
      </c>
      <c r="J716" s="4">
        <f t="shared" si="69"/>
        <v>23.799</v>
      </c>
      <c r="K716" s="9">
        <f t="shared" si="70"/>
        <v>23.8</v>
      </c>
      <c r="L716" s="1">
        <f t="shared" si="71"/>
        <v>-0.300000000000022</v>
      </c>
    </row>
    <row r="717" s="1" customFormat="1" spans="1:12">
      <c r="A717" s="2">
        <v>23.866</v>
      </c>
      <c r="B717" s="10" t="s">
        <v>94</v>
      </c>
      <c r="C717" s="4">
        <v>23.866</v>
      </c>
      <c r="D717" s="4">
        <v>68.9</v>
      </c>
      <c r="G717" s="2">
        <f t="shared" si="66"/>
        <v>23.833</v>
      </c>
      <c r="H717" s="11" t="str">
        <f t="shared" si="67"/>
        <v>3.591E-2</v>
      </c>
      <c r="I717" s="2">
        <f t="shared" si="68"/>
        <v>69.2</v>
      </c>
      <c r="J717" s="4">
        <f t="shared" si="69"/>
        <v>23.833</v>
      </c>
      <c r="K717" s="9">
        <f t="shared" si="70"/>
        <v>23.9</v>
      </c>
      <c r="L717" s="1">
        <f t="shared" si="71"/>
        <v>-0.300000000000022</v>
      </c>
    </row>
    <row r="718" s="1" customFormat="1" spans="1:12">
      <c r="A718" s="2">
        <v>23.9</v>
      </c>
      <c r="B718" s="10" t="s">
        <v>70</v>
      </c>
      <c r="C718" s="4">
        <v>23.9</v>
      </c>
      <c r="D718" s="4">
        <v>69.3</v>
      </c>
      <c r="G718" s="2">
        <f t="shared" si="66"/>
        <v>23.866</v>
      </c>
      <c r="H718" s="11" t="str">
        <f t="shared" si="67"/>
        <v>3.590E-2</v>
      </c>
      <c r="I718" s="2">
        <f t="shared" si="68"/>
        <v>68.9</v>
      </c>
      <c r="J718" s="4">
        <f t="shared" si="69"/>
        <v>23.866</v>
      </c>
      <c r="K718" s="9">
        <f t="shared" si="70"/>
        <v>23.8</v>
      </c>
      <c r="L718" s="1">
        <f t="shared" si="71"/>
        <v>-0.300000000000022</v>
      </c>
    </row>
    <row r="719" s="1" customFormat="1" spans="1:12">
      <c r="A719" s="2">
        <v>23.933</v>
      </c>
      <c r="B719" s="10" t="s">
        <v>178</v>
      </c>
      <c r="C719" s="4">
        <v>23.933</v>
      </c>
      <c r="D719" s="4">
        <v>69</v>
      </c>
      <c r="G719" s="2">
        <f t="shared" si="66"/>
        <v>23.9</v>
      </c>
      <c r="H719" s="11" t="str">
        <f t="shared" si="67"/>
        <v>3.589E-2</v>
      </c>
      <c r="I719" s="2">
        <f t="shared" si="68"/>
        <v>69.3</v>
      </c>
      <c r="J719" s="4">
        <f t="shared" si="69"/>
        <v>23.9</v>
      </c>
      <c r="K719" s="9">
        <f t="shared" si="70"/>
        <v>23.7</v>
      </c>
      <c r="L719" s="1">
        <f t="shared" si="71"/>
        <v>-0.300000000000022</v>
      </c>
    </row>
    <row r="720" s="1" customFormat="1" spans="1:12">
      <c r="A720" s="2">
        <v>23.967</v>
      </c>
      <c r="B720" s="10" t="s">
        <v>178</v>
      </c>
      <c r="C720" s="4">
        <v>23.967</v>
      </c>
      <c r="D720" s="4">
        <v>68.7</v>
      </c>
      <c r="G720" s="2">
        <f t="shared" si="66"/>
        <v>23.933</v>
      </c>
      <c r="H720" s="11" t="str">
        <f t="shared" si="67"/>
        <v>3.588E-2</v>
      </c>
      <c r="I720" s="2">
        <f t="shared" si="68"/>
        <v>69</v>
      </c>
      <c r="J720" s="4">
        <f t="shared" si="69"/>
        <v>23.933</v>
      </c>
      <c r="K720" s="9">
        <f t="shared" si="70"/>
        <v>23.6</v>
      </c>
      <c r="L720" s="1">
        <f t="shared" si="71"/>
        <v>-0.300000000000022</v>
      </c>
    </row>
    <row r="721" s="1" customFormat="1" spans="1:12">
      <c r="A721" s="2">
        <v>24</v>
      </c>
      <c r="B721" s="10" t="s">
        <v>178</v>
      </c>
      <c r="C721" s="4">
        <v>24</v>
      </c>
      <c r="D721" s="4">
        <v>68.7</v>
      </c>
      <c r="G721" s="2">
        <f t="shared" si="66"/>
        <v>23.967</v>
      </c>
      <c r="H721" s="11" t="str">
        <f t="shared" si="67"/>
        <v>3.588E-2</v>
      </c>
      <c r="I721" s="2">
        <f t="shared" si="68"/>
        <v>68.7</v>
      </c>
      <c r="J721" s="4">
        <f t="shared" si="69"/>
        <v>23.967</v>
      </c>
      <c r="K721" s="9">
        <f t="shared" si="70"/>
        <v>23.6</v>
      </c>
      <c r="L721" s="1">
        <f t="shared" si="71"/>
        <v>-0.300000000000022</v>
      </c>
    </row>
    <row r="722" s="1" customFormat="1" spans="1:12">
      <c r="A722" s="2">
        <v>24.033</v>
      </c>
      <c r="B722" s="10" t="s">
        <v>67</v>
      </c>
      <c r="C722" s="4">
        <v>24.033</v>
      </c>
      <c r="D722" s="4">
        <v>68.6</v>
      </c>
      <c r="G722" s="2">
        <f t="shared" si="66"/>
        <v>24</v>
      </c>
      <c r="H722" s="11" t="str">
        <f t="shared" si="67"/>
        <v>3.588E-2</v>
      </c>
      <c r="I722" s="2">
        <f t="shared" si="68"/>
        <v>68.7</v>
      </c>
      <c r="J722" s="4">
        <f t="shared" si="69"/>
        <v>24</v>
      </c>
      <c r="K722" s="9">
        <f t="shared" si="70"/>
        <v>23.6</v>
      </c>
      <c r="L722" s="1">
        <f t="shared" si="71"/>
        <v>-0.300000000000022</v>
      </c>
    </row>
    <row r="723" s="1" customFormat="1" spans="1:12">
      <c r="A723" s="2">
        <v>24.067</v>
      </c>
      <c r="B723" s="10" t="s">
        <v>179</v>
      </c>
      <c r="C723" s="4">
        <v>24.067</v>
      </c>
      <c r="D723" s="4">
        <v>68.5</v>
      </c>
      <c r="G723" s="2">
        <f t="shared" si="66"/>
        <v>24.033</v>
      </c>
      <c r="H723" s="11" t="str">
        <f t="shared" si="67"/>
        <v>3.587E-2</v>
      </c>
      <c r="I723" s="2">
        <f t="shared" si="68"/>
        <v>68.6</v>
      </c>
      <c r="J723" s="4">
        <f t="shared" si="69"/>
        <v>24.033</v>
      </c>
      <c r="K723" s="9">
        <f t="shared" si="70"/>
        <v>23.5</v>
      </c>
      <c r="L723" s="1">
        <f t="shared" si="71"/>
        <v>-0.300000000000022</v>
      </c>
    </row>
    <row r="724" s="1" customFormat="1" spans="1:12">
      <c r="A724" s="2">
        <v>24.1</v>
      </c>
      <c r="B724" s="10" t="s">
        <v>67</v>
      </c>
      <c r="C724" s="4">
        <v>24.1</v>
      </c>
      <c r="D724" s="4">
        <v>68.6</v>
      </c>
      <c r="G724" s="2">
        <f t="shared" si="66"/>
        <v>24.067</v>
      </c>
      <c r="H724" s="11" t="str">
        <f t="shared" si="67"/>
        <v>3.586E-2</v>
      </c>
      <c r="I724" s="2">
        <f t="shared" si="68"/>
        <v>68.5</v>
      </c>
      <c r="J724" s="4">
        <f t="shared" si="69"/>
        <v>24.067</v>
      </c>
      <c r="K724" s="9">
        <f t="shared" si="70"/>
        <v>23.4</v>
      </c>
      <c r="L724" s="1">
        <f t="shared" si="71"/>
        <v>-0.300000000000022</v>
      </c>
    </row>
    <row r="725" s="1" customFormat="1" spans="1:12">
      <c r="A725" s="2">
        <v>24.134</v>
      </c>
      <c r="B725" s="10" t="s">
        <v>179</v>
      </c>
      <c r="C725" s="4">
        <v>24.134</v>
      </c>
      <c r="D725" s="4">
        <v>68.6</v>
      </c>
      <c r="G725" s="2">
        <f t="shared" si="66"/>
        <v>24.1</v>
      </c>
      <c r="H725" s="11" t="str">
        <f t="shared" si="67"/>
        <v>3.587E-2</v>
      </c>
      <c r="I725" s="2">
        <f t="shared" si="68"/>
        <v>68.6</v>
      </c>
      <c r="J725" s="4">
        <f t="shared" si="69"/>
        <v>24.1</v>
      </c>
      <c r="K725" s="9">
        <f t="shared" si="70"/>
        <v>23.5</v>
      </c>
      <c r="L725" s="1">
        <f t="shared" si="71"/>
        <v>-0.300000000000022</v>
      </c>
    </row>
    <row r="726" s="1" customFormat="1" spans="1:12">
      <c r="A726" s="2">
        <v>24.167</v>
      </c>
      <c r="B726" s="10" t="s">
        <v>179</v>
      </c>
      <c r="C726" s="4">
        <v>24.167</v>
      </c>
      <c r="D726" s="4">
        <v>68.9</v>
      </c>
      <c r="G726" s="2">
        <f t="shared" si="66"/>
        <v>24.134</v>
      </c>
      <c r="H726" s="11" t="str">
        <f t="shared" si="67"/>
        <v>3.586E-2</v>
      </c>
      <c r="I726" s="2">
        <f t="shared" si="68"/>
        <v>68.6</v>
      </c>
      <c r="J726" s="4">
        <f t="shared" si="69"/>
        <v>24.134</v>
      </c>
      <c r="K726" s="9">
        <f t="shared" si="70"/>
        <v>23.4</v>
      </c>
      <c r="L726" s="1">
        <f t="shared" si="71"/>
        <v>-0.300000000000022</v>
      </c>
    </row>
    <row r="727" s="1" customFormat="1" spans="1:12">
      <c r="A727" s="2">
        <v>24.201</v>
      </c>
      <c r="B727" s="10" t="s">
        <v>301</v>
      </c>
      <c r="C727" s="4">
        <v>24.201</v>
      </c>
      <c r="D727" s="4">
        <v>68.8</v>
      </c>
      <c r="G727" s="2">
        <f t="shared" si="66"/>
        <v>24.167</v>
      </c>
      <c r="H727" s="11" t="str">
        <f t="shared" si="67"/>
        <v>3.586E-2</v>
      </c>
      <c r="I727" s="2">
        <f t="shared" si="68"/>
        <v>68.9</v>
      </c>
      <c r="J727" s="4">
        <f t="shared" si="69"/>
        <v>24.167</v>
      </c>
      <c r="K727" s="9">
        <f t="shared" si="70"/>
        <v>23.4</v>
      </c>
      <c r="L727" s="1">
        <f t="shared" si="71"/>
        <v>-0.300000000000022</v>
      </c>
    </row>
    <row r="728" s="1" customFormat="1" spans="1:12">
      <c r="A728" s="2">
        <v>24.234</v>
      </c>
      <c r="B728" s="10" t="s">
        <v>301</v>
      </c>
      <c r="C728" s="4">
        <v>24.234</v>
      </c>
      <c r="D728" s="4">
        <v>68.6</v>
      </c>
      <c r="G728" s="2">
        <f t="shared" si="66"/>
        <v>24.201</v>
      </c>
      <c r="H728" s="11" t="str">
        <f t="shared" si="67"/>
        <v>3.585E-2</v>
      </c>
      <c r="I728" s="2">
        <f t="shared" si="68"/>
        <v>68.8</v>
      </c>
      <c r="J728" s="4">
        <f t="shared" si="69"/>
        <v>24.201</v>
      </c>
      <c r="K728" s="9">
        <f t="shared" si="70"/>
        <v>23.3</v>
      </c>
      <c r="L728" s="1">
        <f t="shared" si="71"/>
        <v>-0.300000000000022</v>
      </c>
    </row>
    <row r="729" s="1" customFormat="1" spans="1:12">
      <c r="A729" s="2">
        <v>24.267</v>
      </c>
      <c r="B729" s="10" t="s">
        <v>180</v>
      </c>
      <c r="C729" s="4">
        <v>24.267</v>
      </c>
      <c r="D729" s="4">
        <v>68.5</v>
      </c>
      <c r="G729" s="2">
        <f t="shared" si="66"/>
        <v>24.234</v>
      </c>
      <c r="H729" s="11" t="str">
        <f t="shared" si="67"/>
        <v>3.585E-2</v>
      </c>
      <c r="I729" s="2">
        <f t="shared" si="68"/>
        <v>68.6</v>
      </c>
      <c r="J729" s="4">
        <f t="shared" si="69"/>
        <v>24.234</v>
      </c>
      <c r="K729" s="9">
        <f t="shared" si="70"/>
        <v>23.3</v>
      </c>
      <c r="L729" s="1">
        <f t="shared" si="71"/>
        <v>-0.300000000000022</v>
      </c>
    </row>
    <row r="730" s="1" customFormat="1" spans="1:12">
      <c r="A730" s="2">
        <v>24.301</v>
      </c>
      <c r="B730" s="10" t="s">
        <v>301</v>
      </c>
      <c r="C730" s="4">
        <v>24.301</v>
      </c>
      <c r="D730" s="4">
        <v>68.5</v>
      </c>
      <c r="G730" s="2">
        <f t="shared" si="66"/>
        <v>24.267</v>
      </c>
      <c r="H730" s="11" t="str">
        <f t="shared" si="67"/>
        <v>3.584E-2</v>
      </c>
      <c r="I730" s="2">
        <f t="shared" si="68"/>
        <v>68.5</v>
      </c>
      <c r="J730" s="4">
        <f t="shared" si="69"/>
        <v>24.267</v>
      </c>
      <c r="K730" s="9">
        <f t="shared" si="70"/>
        <v>23.2</v>
      </c>
      <c r="L730" s="1">
        <f t="shared" si="71"/>
        <v>-0.300000000000022</v>
      </c>
    </row>
    <row r="731" s="1" customFormat="1" spans="1:12">
      <c r="A731" s="2">
        <v>24.334</v>
      </c>
      <c r="B731" s="10" t="s">
        <v>301</v>
      </c>
      <c r="C731" s="4">
        <v>24.334</v>
      </c>
      <c r="D731" s="4">
        <v>68.7</v>
      </c>
      <c r="G731" s="2">
        <f t="shared" si="66"/>
        <v>24.301</v>
      </c>
      <c r="H731" s="11" t="str">
        <f t="shared" si="67"/>
        <v>3.585E-2</v>
      </c>
      <c r="I731" s="2">
        <f t="shared" si="68"/>
        <v>68.5</v>
      </c>
      <c r="J731" s="4">
        <f t="shared" si="69"/>
        <v>24.301</v>
      </c>
      <c r="K731" s="9">
        <f t="shared" si="70"/>
        <v>23.3</v>
      </c>
      <c r="L731" s="1">
        <f t="shared" si="71"/>
        <v>-0.300000000000022</v>
      </c>
    </row>
    <row r="732" s="1" customFormat="1" spans="1:12">
      <c r="A732" s="2">
        <v>24.368</v>
      </c>
      <c r="B732" s="10" t="s">
        <v>301</v>
      </c>
      <c r="C732" s="4">
        <v>24.368</v>
      </c>
      <c r="D732" s="4">
        <v>68.5</v>
      </c>
      <c r="G732" s="2">
        <f t="shared" si="66"/>
        <v>24.334</v>
      </c>
      <c r="H732" s="11" t="str">
        <f t="shared" si="67"/>
        <v>3.585E-2</v>
      </c>
      <c r="I732" s="2">
        <f t="shared" si="68"/>
        <v>68.7</v>
      </c>
      <c r="J732" s="4">
        <f t="shared" si="69"/>
        <v>24.334</v>
      </c>
      <c r="K732" s="9">
        <f t="shared" si="70"/>
        <v>23.3</v>
      </c>
      <c r="L732" s="1">
        <f t="shared" si="71"/>
        <v>-0.300000000000022</v>
      </c>
    </row>
    <row r="733" s="1" customFormat="1" spans="1:12">
      <c r="A733" s="2">
        <v>24.401</v>
      </c>
      <c r="B733" s="10" t="s">
        <v>180</v>
      </c>
      <c r="C733" s="4">
        <v>24.401</v>
      </c>
      <c r="D733" s="4">
        <v>68.4</v>
      </c>
      <c r="G733" s="2">
        <f t="shared" si="66"/>
        <v>24.368</v>
      </c>
      <c r="H733" s="11" t="str">
        <f t="shared" si="67"/>
        <v>3.585E-2</v>
      </c>
      <c r="I733" s="2">
        <f t="shared" si="68"/>
        <v>68.5</v>
      </c>
      <c r="J733" s="4">
        <f t="shared" si="69"/>
        <v>24.368</v>
      </c>
      <c r="K733" s="9">
        <f t="shared" si="70"/>
        <v>23.3</v>
      </c>
      <c r="L733" s="1">
        <f t="shared" si="71"/>
        <v>-0.300000000000022</v>
      </c>
    </row>
    <row r="734" s="1" customFormat="1" spans="1:12">
      <c r="A734" s="2">
        <v>24.435</v>
      </c>
      <c r="B734" s="10" t="s">
        <v>179</v>
      </c>
      <c r="C734" s="4">
        <v>24.435</v>
      </c>
      <c r="D734" s="4">
        <v>68.1</v>
      </c>
      <c r="G734" s="2">
        <f t="shared" si="66"/>
        <v>24.401</v>
      </c>
      <c r="H734" s="11" t="str">
        <f t="shared" si="67"/>
        <v>3.584E-2</v>
      </c>
      <c r="I734" s="2">
        <f t="shared" si="68"/>
        <v>68.4</v>
      </c>
      <c r="J734" s="4">
        <f t="shared" si="69"/>
        <v>24.401</v>
      </c>
      <c r="K734" s="9">
        <f t="shared" si="70"/>
        <v>23.2</v>
      </c>
      <c r="L734" s="1">
        <f t="shared" si="71"/>
        <v>-0.300000000000022</v>
      </c>
    </row>
    <row r="735" s="1" customFormat="1" spans="1:12">
      <c r="A735" s="2">
        <v>24.468</v>
      </c>
      <c r="B735" s="10" t="s">
        <v>301</v>
      </c>
      <c r="C735" s="4">
        <v>24.468</v>
      </c>
      <c r="D735" s="4">
        <v>68.4</v>
      </c>
      <c r="G735" s="2">
        <f t="shared" si="66"/>
        <v>24.435</v>
      </c>
      <c r="H735" s="11" t="str">
        <f t="shared" si="67"/>
        <v>3.586E-2</v>
      </c>
      <c r="I735" s="2">
        <f t="shared" si="68"/>
        <v>68.1</v>
      </c>
      <c r="J735" s="4">
        <f t="shared" si="69"/>
        <v>24.435</v>
      </c>
      <c r="K735" s="9">
        <f t="shared" si="70"/>
        <v>23.4</v>
      </c>
      <c r="L735" s="1">
        <f t="shared" si="71"/>
        <v>-0.300000000000022</v>
      </c>
    </row>
    <row r="736" s="1" customFormat="1" spans="1:12">
      <c r="A736" s="2">
        <v>24.501</v>
      </c>
      <c r="B736" s="10" t="s">
        <v>179</v>
      </c>
      <c r="C736" s="4">
        <v>24.501</v>
      </c>
      <c r="D736" s="4">
        <v>69</v>
      </c>
      <c r="G736" s="2">
        <f t="shared" si="66"/>
        <v>24.468</v>
      </c>
      <c r="H736" s="11" t="str">
        <f t="shared" si="67"/>
        <v>3.585E-2</v>
      </c>
      <c r="I736" s="2">
        <f t="shared" si="68"/>
        <v>68.4</v>
      </c>
      <c r="J736" s="4">
        <f t="shared" si="69"/>
        <v>24.468</v>
      </c>
      <c r="K736" s="9">
        <f t="shared" si="70"/>
        <v>23.3</v>
      </c>
      <c r="L736" s="1">
        <f t="shared" si="71"/>
        <v>-0.300000000000022</v>
      </c>
    </row>
    <row r="737" s="1" customFormat="1" spans="1:12">
      <c r="A737" s="2">
        <v>24.535</v>
      </c>
      <c r="B737" s="10" t="s">
        <v>179</v>
      </c>
      <c r="C737" s="4">
        <v>24.535</v>
      </c>
      <c r="D737" s="4">
        <v>68.4</v>
      </c>
      <c r="G737" s="2">
        <f t="shared" si="66"/>
        <v>24.501</v>
      </c>
      <c r="H737" s="11" t="str">
        <f t="shared" si="67"/>
        <v>3.586E-2</v>
      </c>
      <c r="I737" s="2">
        <f t="shared" si="68"/>
        <v>69</v>
      </c>
      <c r="J737" s="4">
        <f t="shared" si="69"/>
        <v>24.501</v>
      </c>
      <c r="K737" s="9">
        <f t="shared" si="70"/>
        <v>23.4</v>
      </c>
      <c r="L737" s="1">
        <f t="shared" si="71"/>
        <v>-0.300000000000022</v>
      </c>
    </row>
    <row r="738" s="1" customFormat="1" spans="1:12">
      <c r="A738" s="2">
        <v>24.568</v>
      </c>
      <c r="B738" s="10" t="s">
        <v>67</v>
      </c>
      <c r="C738" s="4">
        <v>24.568</v>
      </c>
      <c r="D738" s="4">
        <v>68.3</v>
      </c>
      <c r="G738" s="2">
        <f t="shared" si="66"/>
        <v>24.535</v>
      </c>
      <c r="H738" s="11" t="str">
        <f t="shared" si="67"/>
        <v>3.586E-2</v>
      </c>
      <c r="I738" s="2">
        <f t="shared" si="68"/>
        <v>68.4</v>
      </c>
      <c r="J738" s="4">
        <f t="shared" si="69"/>
        <v>24.535</v>
      </c>
      <c r="K738" s="9">
        <f t="shared" si="70"/>
        <v>23.4</v>
      </c>
      <c r="L738" s="1">
        <f t="shared" si="71"/>
        <v>-0.300000000000022</v>
      </c>
    </row>
    <row r="739" s="1" customFormat="1" spans="1:12">
      <c r="A739" s="2">
        <v>24.602</v>
      </c>
      <c r="B739" s="10" t="s">
        <v>67</v>
      </c>
      <c r="C739" s="4">
        <v>24.602</v>
      </c>
      <c r="D739" s="4">
        <v>68.2</v>
      </c>
      <c r="G739" s="2">
        <f t="shared" si="66"/>
        <v>24.568</v>
      </c>
      <c r="H739" s="11" t="str">
        <f t="shared" si="67"/>
        <v>3.587E-2</v>
      </c>
      <c r="I739" s="2">
        <f t="shared" si="68"/>
        <v>68.3</v>
      </c>
      <c r="J739" s="4">
        <f t="shared" si="69"/>
        <v>24.568</v>
      </c>
      <c r="K739" s="9">
        <f t="shared" si="70"/>
        <v>23.5</v>
      </c>
      <c r="L739" s="1">
        <f t="shared" si="71"/>
        <v>-0.300000000000022</v>
      </c>
    </row>
    <row r="740" s="1" customFormat="1" spans="1:12">
      <c r="A740" s="2">
        <v>24.635</v>
      </c>
      <c r="B740" s="10" t="s">
        <v>67</v>
      </c>
      <c r="C740" s="4">
        <v>24.635</v>
      </c>
      <c r="D740" s="4">
        <v>68.4</v>
      </c>
      <c r="G740" s="2">
        <f t="shared" si="66"/>
        <v>24.602</v>
      </c>
      <c r="H740" s="11" t="str">
        <f t="shared" si="67"/>
        <v>3.587E-2</v>
      </c>
      <c r="I740" s="2">
        <f t="shared" si="68"/>
        <v>68.2</v>
      </c>
      <c r="J740" s="4">
        <f t="shared" si="69"/>
        <v>24.602</v>
      </c>
      <c r="K740" s="9">
        <f t="shared" si="70"/>
        <v>23.5</v>
      </c>
      <c r="L740" s="1">
        <f t="shared" si="71"/>
        <v>-0.300000000000022</v>
      </c>
    </row>
    <row r="741" s="1" customFormat="1" spans="1:12">
      <c r="A741" s="2">
        <v>24.669</v>
      </c>
      <c r="B741" s="10" t="s">
        <v>70</v>
      </c>
      <c r="C741" s="4">
        <v>24.669</v>
      </c>
      <c r="D741" s="4">
        <v>68.2</v>
      </c>
      <c r="G741" s="2">
        <f t="shared" si="66"/>
        <v>24.635</v>
      </c>
      <c r="H741" s="11" t="str">
        <f t="shared" si="67"/>
        <v>3.587E-2</v>
      </c>
      <c r="I741" s="2">
        <f t="shared" si="68"/>
        <v>68.4</v>
      </c>
      <c r="J741" s="4">
        <f t="shared" si="69"/>
        <v>24.635</v>
      </c>
      <c r="K741" s="9">
        <f t="shared" si="70"/>
        <v>23.5</v>
      </c>
      <c r="L741" s="1">
        <f t="shared" si="71"/>
        <v>-0.300000000000022</v>
      </c>
    </row>
    <row r="742" s="1" customFormat="1" spans="1:12">
      <c r="A742" s="2">
        <v>24.702</v>
      </c>
      <c r="B742" s="10" t="s">
        <v>178</v>
      </c>
      <c r="C742" s="4">
        <v>24.702</v>
      </c>
      <c r="D742" s="4">
        <v>68.4</v>
      </c>
      <c r="G742" s="2">
        <f t="shared" si="66"/>
        <v>24.669</v>
      </c>
      <c r="H742" s="11" t="str">
        <f t="shared" si="67"/>
        <v>3.589E-2</v>
      </c>
      <c r="I742" s="2">
        <f t="shared" si="68"/>
        <v>68.2</v>
      </c>
      <c r="J742" s="4">
        <f t="shared" si="69"/>
        <v>24.669</v>
      </c>
      <c r="K742" s="9">
        <f t="shared" si="70"/>
        <v>23.7</v>
      </c>
      <c r="L742" s="1">
        <f t="shared" si="71"/>
        <v>-0.300000000000022</v>
      </c>
    </row>
    <row r="743" s="1" customFormat="1" spans="1:12">
      <c r="A743" s="2">
        <v>24.735</v>
      </c>
      <c r="B743" s="10" t="s">
        <v>70</v>
      </c>
      <c r="C743" s="4">
        <v>24.735</v>
      </c>
      <c r="D743" s="4">
        <v>68.2</v>
      </c>
      <c r="G743" s="2">
        <f t="shared" si="66"/>
        <v>24.702</v>
      </c>
      <c r="H743" s="11" t="str">
        <f t="shared" si="67"/>
        <v>3.588E-2</v>
      </c>
      <c r="I743" s="2">
        <f t="shared" si="68"/>
        <v>68.4</v>
      </c>
      <c r="J743" s="4">
        <f t="shared" si="69"/>
        <v>24.702</v>
      </c>
      <c r="K743" s="9">
        <f t="shared" si="70"/>
        <v>23.6</v>
      </c>
      <c r="L743" s="1">
        <f t="shared" si="71"/>
        <v>-0.300000000000022</v>
      </c>
    </row>
    <row r="744" s="1" customFormat="1" spans="1:12">
      <c r="A744" s="2">
        <v>24.769</v>
      </c>
      <c r="B744" s="10" t="s">
        <v>70</v>
      </c>
      <c r="C744" s="4">
        <v>24.769</v>
      </c>
      <c r="D744" s="4">
        <v>68.3</v>
      </c>
      <c r="G744" s="2">
        <f t="shared" si="66"/>
        <v>24.735</v>
      </c>
      <c r="H744" s="11" t="str">
        <f t="shared" si="67"/>
        <v>3.589E-2</v>
      </c>
      <c r="I744" s="2">
        <f t="shared" si="68"/>
        <v>68.2</v>
      </c>
      <c r="J744" s="4">
        <f t="shared" si="69"/>
        <v>24.735</v>
      </c>
      <c r="K744" s="9">
        <f t="shared" si="70"/>
        <v>23.7</v>
      </c>
      <c r="L744" s="1">
        <f t="shared" si="71"/>
        <v>-0.300000000000022</v>
      </c>
    </row>
    <row r="745" s="1" customFormat="1" spans="1:12">
      <c r="A745" s="2">
        <v>24.802</v>
      </c>
      <c r="B745" s="10" t="s">
        <v>94</v>
      </c>
      <c r="C745" s="4">
        <v>24.802</v>
      </c>
      <c r="D745" s="4">
        <v>68.3</v>
      </c>
      <c r="G745" s="2">
        <f t="shared" si="66"/>
        <v>24.769</v>
      </c>
      <c r="H745" s="11" t="str">
        <f t="shared" si="67"/>
        <v>3.589E-2</v>
      </c>
      <c r="I745" s="2">
        <f t="shared" si="68"/>
        <v>68.3</v>
      </c>
      <c r="J745" s="4">
        <f t="shared" si="69"/>
        <v>24.769</v>
      </c>
      <c r="K745" s="9">
        <f t="shared" si="70"/>
        <v>23.7</v>
      </c>
      <c r="L745" s="1">
        <f t="shared" si="71"/>
        <v>-0.300000000000022</v>
      </c>
    </row>
    <row r="746" s="1" customFormat="1" spans="1:12">
      <c r="A746" s="2">
        <v>24.836</v>
      </c>
      <c r="B746" s="10" t="s">
        <v>68</v>
      </c>
      <c r="C746" s="4">
        <v>24.836</v>
      </c>
      <c r="D746" s="4">
        <v>68.3</v>
      </c>
      <c r="G746" s="2">
        <f t="shared" si="66"/>
        <v>24.802</v>
      </c>
      <c r="H746" s="11" t="str">
        <f t="shared" si="67"/>
        <v>3.590E-2</v>
      </c>
      <c r="I746" s="2">
        <f t="shared" si="68"/>
        <v>68.3</v>
      </c>
      <c r="J746" s="4">
        <f t="shared" si="69"/>
        <v>24.802</v>
      </c>
      <c r="K746" s="9">
        <f t="shared" si="70"/>
        <v>23.8</v>
      </c>
      <c r="L746" s="1">
        <f t="shared" si="71"/>
        <v>-0.300000000000022</v>
      </c>
    </row>
    <row r="747" s="1" customFormat="1" spans="1:12">
      <c r="A747" s="2">
        <v>24.869</v>
      </c>
      <c r="B747" s="10" t="s">
        <v>69</v>
      </c>
      <c r="C747" s="4">
        <v>24.869</v>
      </c>
      <c r="D747" s="4">
        <v>68.5</v>
      </c>
      <c r="G747" s="2">
        <f t="shared" si="66"/>
        <v>24.836</v>
      </c>
      <c r="H747" s="11" t="str">
        <f t="shared" si="67"/>
        <v>3.591E-2</v>
      </c>
      <c r="I747" s="2">
        <f t="shared" si="68"/>
        <v>68.3</v>
      </c>
      <c r="J747" s="4">
        <f t="shared" si="69"/>
        <v>24.836</v>
      </c>
      <c r="K747" s="9">
        <f t="shared" si="70"/>
        <v>23.9</v>
      </c>
      <c r="L747" s="1">
        <f t="shared" si="71"/>
        <v>-0.300000000000022</v>
      </c>
    </row>
    <row r="748" s="1" customFormat="1" spans="1:12">
      <c r="A748" s="2">
        <v>24.903</v>
      </c>
      <c r="B748" s="10" t="s">
        <v>94</v>
      </c>
      <c r="C748" s="4">
        <v>24.903</v>
      </c>
      <c r="D748" s="4">
        <v>68.3</v>
      </c>
      <c r="G748" s="2">
        <f t="shared" si="66"/>
        <v>24.869</v>
      </c>
      <c r="H748" s="11" t="str">
        <f t="shared" si="67"/>
        <v>3.592E-2</v>
      </c>
      <c r="I748" s="2">
        <f t="shared" si="68"/>
        <v>68.5</v>
      </c>
      <c r="J748" s="4">
        <f t="shared" si="69"/>
        <v>24.869</v>
      </c>
      <c r="K748" s="9">
        <f t="shared" si="70"/>
        <v>24</v>
      </c>
      <c r="L748" s="1">
        <f t="shared" si="71"/>
        <v>-0.300000000000022</v>
      </c>
    </row>
    <row r="749" s="1" customFormat="1" spans="1:12">
      <c r="A749" s="2">
        <v>24.936</v>
      </c>
      <c r="B749" s="10" t="s">
        <v>69</v>
      </c>
      <c r="C749" s="4">
        <v>24.936</v>
      </c>
      <c r="D749" s="4">
        <v>68.2</v>
      </c>
      <c r="G749" s="2">
        <f t="shared" si="66"/>
        <v>24.903</v>
      </c>
      <c r="H749" s="11" t="str">
        <f t="shared" si="67"/>
        <v>3.590E-2</v>
      </c>
      <c r="I749" s="2">
        <f t="shared" si="68"/>
        <v>68.3</v>
      </c>
      <c r="J749" s="4">
        <f t="shared" si="69"/>
        <v>24.903</v>
      </c>
      <c r="K749" s="9">
        <f t="shared" si="70"/>
        <v>23.8</v>
      </c>
      <c r="L749" s="1">
        <f t="shared" si="71"/>
        <v>-0.300000000000022</v>
      </c>
    </row>
    <row r="750" s="1" customFormat="1" spans="1:12">
      <c r="A750" s="2">
        <v>24.969</v>
      </c>
      <c r="B750" s="10" t="s">
        <v>69</v>
      </c>
      <c r="C750" s="4">
        <v>24.969</v>
      </c>
      <c r="D750" s="4">
        <v>68.3</v>
      </c>
      <c r="G750" s="2">
        <f t="shared" si="66"/>
        <v>24.936</v>
      </c>
      <c r="H750" s="11" t="str">
        <f t="shared" si="67"/>
        <v>3.592E-2</v>
      </c>
      <c r="I750" s="2">
        <f t="shared" si="68"/>
        <v>68.2</v>
      </c>
      <c r="J750" s="4">
        <f t="shared" si="69"/>
        <v>24.936</v>
      </c>
      <c r="K750" s="9">
        <f t="shared" si="70"/>
        <v>24</v>
      </c>
      <c r="L750" s="1">
        <f t="shared" si="71"/>
        <v>-0.300000000000022</v>
      </c>
    </row>
    <row r="751" s="1" customFormat="1" spans="1:12">
      <c r="A751" s="2">
        <v>25.003</v>
      </c>
      <c r="B751" s="10" t="s">
        <v>69</v>
      </c>
      <c r="C751" s="4">
        <v>25.003</v>
      </c>
      <c r="D751" s="4">
        <v>68.4</v>
      </c>
      <c r="G751" s="2">
        <f t="shared" si="66"/>
        <v>24.969</v>
      </c>
      <c r="H751" s="11" t="str">
        <f t="shared" si="67"/>
        <v>3.592E-2</v>
      </c>
      <c r="I751" s="2">
        <f t="shared" si="68"/>
        <v>68.3</v>
      </c>
      <c r="J751" s="4">
        <f t="shared" si="69"/>
        <v>24.969</v>
      </c>
      <c r="K751" s="9">
        <f t="shared" si="70"/>
        <v>24</v>
      </c>
      <c r="L751" s="1">
        <f t="shared" si="71"/>
        <v>-0.300000000000022</v>
      </c>
    </row>
    <row r="752" s="1" customFormat="1" spans="1:12">
      <c r="A752" s="2">
        <v>25.036</v>
      </c>
      <c r="B752" s="10" t="s">
        <v>68</v>
      </c>
      <c r="C752" s="4">
        <v>25.036</v>
      </c>
      <c r="D752" s="4">
        <v>68.4</v>
      </c>
      <c r="G752" s="2">
        <f t="shared" si="66"/>
        <v>25.003</v>
      </c>
      <c r="H752" s="11" t="str">
        <f t="shared" si="67"/>
        <v>3.592E-2</v>
      </c>
      <c r="I752" s="2">
        <f t="shared" si="68"/>
        <v>68.4</v>
      </c>
      <c r="J752" s="4">
        <f t="shared" si="69"/>
        <v>25.003</v>
      </c>
      <c r="K752" s="9">
        <f t="shared" si="70"/>
        <v>24</v>
      </c>
      <c r="L752" s="1">
        <f t="shared" si="71"/>
        <v>-0.300000000000022</v>
      </c>
    </row>
    <row r="753" s="1" customFormat="1" spans="1:12">
      <c r="A753" s="2">
        <v>25.07</v>
      </c>
      <c r="B753" s="10" t="s">
        <v>68</v>
      </c>
      <c r="C753" s="4">
        <v>25.07</v>
      </c>
      <c r="D753" s="4">
        <v>68.2</v>
      </c>
      <c r="G753" s="2">
        <f t="shared" si="66"/>
        <v>25.036</v>
      </c>
      <c r="H753" s="11" t="str">
        <f t="shared" si="67"/>
        <v>3.591E-2</v>
      </c>
      <c r="I753" s="2">
        <f t="shared" si="68"/>
        <v>68.4</v>
      </c>
      <c r="J753" s="4">
        <f t="shared" si="69"/>
        <v>25.036</v>
      </c>
      <c r="K753" s="9">
        <f t="shared" si="70"/>
        <v>23.9</v>
      </c>
      <c r="L753" s="1">
        <f t="shared" si="71"/>
        <v>-0.300000000000022</v>
      </c>
    </row>
    <row r="754" s="1" customFormat="1" spans="1:12">
      <c r="A754" s="2">
        <v>25.103</v>
      </c>
      <c r="B754" s="10" t="s">
        <v>68</v>
      </c>
      <c r="C754" s="4">
        <v>25.103</v>
      </c>
      <c r="D754" s="4">
        <v>68.1</v>
      </c>
      <c r="G754" s="2">
        <f t="shared" si="66"/>
        <v>25.07</v>
      </c>
      <c r="H754" s="11" t="str">
        <f t="shared" si="67"/>
        <v>3.591E-2</v>
      </c>
      <c r="I754" s="2">
        <f t="shared" si="68"/>
        <v>68.2</v>
      </c>
      <c r="J754" s="4">
        <f t="shared" si="69"/>
        <v>25.07</v>
      </c>
      <c r="K754" s="9">
        <f t="shared" si="70"/>
        <v>23.9</v>
      </c>
      <c r="L754" s="1">
        <f t="shared" si="71"/>
        <v>-0.300000000000022</v>
      </c>
    </row>
    <row r="755" s="1" customFormat="1" spans="1:12">
      <c r="A755" s="2">
        <v>25.137</v>
      </c>
      <c r="B755" s="10" t="s">
        <v>68</v>
      </c>
      <c r="C755" s="4">
        <v>25.137</v>
      </c>
      <c r="D755" s="4">
        <v>68.2</v>
      </c>
      <c r="G755" s="2">
        <f t="shared" si="66"/>
        <v>25.103</v>
      </c>
      <c r="H755" s="11" t="str">
        <f t="shared" si="67"/>
        <v>3.591E-2</v>
      </c>
      <c r="I755" s="2">
        <f t="shared" si="68"/>
        <v>68.1</v>
      </c>
      <c r="J755" s="4">
        <f t="shared" si="69"/>
        <v>25.103</v>
      </c>
      <c r="K755" s="9">
        <f t="shared" si="70"/>
        <v>23.9</v>
      </c>
      <c r="L755" s="1">
        <f t="shared" si="71"/>
        <v>-0.300000000000022</v>
      </c>
    </row>
    <row r="756" s="1" customFormat="1" spans="1:12">
      <c r="A756" s="2">
        <v>25.17</v>
      </c>
      <c r="B756" s="10" t="s">
        <v>94</v>
      </c>
      <c r="C756" s="4">
        <v>25.17</v>
      </c>
      <c r="D756" s="4">
        <v>68.3</v>
      </c>
      <c r="G756" s="2">
        <f t="shared" si="66"/>
        <v>25.137</v>
      </c>
      <c r="H756" s="11" t="str">
        <f t="shared" si="67"/>
        <v>3.591E-2</v>
      </c>
      <c r="I756" s="2">
        <f t="shared" si="68"/>
        <v>68.2</v>
      </c>
      <c r="J756" s="4">
        <f t="shared" si="69"/>
        <v>25.137</v>
      </c>
      <c r="K756" s="9">
        <f t="shared" si="70"/>
        <v>23.9</v>
      </c>
      <c r="L756" s="1">
        <f t="shared" si="71"/>
        <v>-0.300000000000022</v>
      </c>
    </row>
    <row r="757" s="1" customFormat="1" spans="1:12">
      <c r="A757" s="2">
        <v>25.203</v>
      </c>
      <c r="B757" s="10" t="s">
        <v>94</v>
      </c>
      <c r="C757" s="4">
        <v>25.203</v>
      </c>
      <c r="D757" s="4">
        <v>68</v>
      </c>
      <c r="G757" s="2">
        <f t="shared" si="66"/>
        <v>25.17</v>
      </c>
      <c r="H757" s="11" t="str">
        <f t="shared" si="67"/>
        <v>3.590E-2</v>
      </c>
      <c r="I757" s="2">
        <f t="shared" si="68"/>
        <v>68.3</v>
      </c>
      <c r="J757" s="4">
        <f t="shared" si="69"/>
        <v>25.17</v>
      </c>
      <c r="K757" s="9">
        <f t="shared" si="70"/>
        <v>23.8</v>
      </c>
      <c r="L757" s="1">
        <f t="shared" si="71"/>
        <v>-0.300000000000022</v>
      </c>
    </row>
    <row r="758" s="1" customFormat="1" spans="1:12">
      <c r="A758" s="2">
        <v>25.237</v>
      </c>
      <c r="B758" s="10" t="s">
        <v>70</v>
      </c>
      <c r="C758" s="4">
        <v>25.237</v>
      </c>
      <c r="D758" s="4">
        <v>67.9</v>
      </c>
      <c r="G758" s="2">
        <f t="shared" si="66"/>
        <v>25.203</v>
      </c>
      <c r="H758" s="11" t="str">
        <f t="shared" si="67"/>
        <v>3.590E-2</v>
      </c>
      <c r="I758" s="2">
        <f t="shared" si="68"/>
        <v>68</v>
      </c>
      <c r="J758" s="4">
        <f t="shared" si="69"/>
        <v>25.203</v>
      </c>
      <c r="K758" s="9">
        <f t="shared" si="70"/>
        <v>23.8</v>
      </c>
      <c r="L758" s="1">
        <f t="shared" si="71"/>
        <v>-0.300000000000022</v>
      </c>
    </row>
    <row r="759" s="1" customFormat="1" spans="1:12">
      <c r="A759" s="2">
        <v>25.27</v>
      </c>
      <c r="B759" s="10" t="s">
        <v>94</v>
      </c>
      <c r="C759" s="4">
        <v>25.27</v>
      </c>
      <c r="D759" s="4">
        <v>67.9</v>
      </c>
      <c r="G759" s="2">
        <f t="shared" si="66"/>
        <v>25.237</v>
      </c>
      <c r="H759" s="11" t="str">
        <f t="shared" si="67"/>
        <v>3.589E-2</v>
      </c>
      <c r="I759" s="2">
        <f t="shared" si="68"/>
        <v>67.9</v>
      </c>
      <c r="J759" s="4">
        <f t="shared" si="69"/>
        <v>25.237</v>
      </c>
      <c r="K759" s="9">
        <f t="shared" si="70"/>
        <v>23.7</v>
      </c>
      <c r="L759" s="1">
        <f t="shared" si="71"/>
        <v>-0.300000000000022</v>
      </c>
    </row>
    <row r="760" s="1" customFormat="1" spans="1:12">
      <c r="A760" s="2">
        <v>25.304</v>
      </c>
      <c r="B760" s="10" t="s">
        <v>94</v>
      </c>
      <c r="C760" s="4">
        <v>25.304</v>
      </c>
      <c r="D760" s="4">
        <v>67.5</v>
      </c>
      <c r="G760" s="2">
        <f t="shared" si="66"/>
        <v>25.27</v>
      </c>
      <c r="H760" s="11" t="str">
        <f t="shared" si="67"/>
        <v>3.590E-2</v>
      </c>
      <c r="I760" s="2">
        <f t="shared" si="68"/>
        <v>67.9</v>
      </c>
      <c r="J760" s="4">
        <f t="shared" si="69"/>
        <v>25.27</v>
      </c>
      <c r="K760" s="9">
        <f t="shared" si="70"/>
        <v>23.8</v>
      </c>
      <c r="L760" s="1">
        <f t="shared" si="71"/>
        <v>-0.300000000000022</v>
      </c>
    </row>
    <row r="761" s="1" customFormat="1" spans="1:12">
      <c r="A761" s="2">
        <v>25.337</v>
      </c>
      <c r="B761" s="10" t="s">
        <v>94</v>
      </c>
      <c r="C761" s="4">
        <v>25.337</v>
      </c>
      <c r="D761" s="4">
        <v>67.4</v>
      </c>
      <c r="G761" s="2">
        <f t="shared" si="66"/>
        <v>25.304</v>
      </c>
      <c r="H761" s="11" t="str">
        <f t="shared" si="67"/>
        <v>3.590E-2</v>
      </c>
      <c r="I761" s="2">
        <f t="shared" si="68"/>
        <v>67.5</v>
      </c>
      <c r="J761" s="4">
        <f t="shared" si="69"/>
        <v>25.304</v>
      </c>
      <c r="K761" s="9">
        <f t="shared" si="70"/>
        <v>23.8</v>
      </c>
      <c r="L761" s="1">
        <f t="shared" si="71"/>
        <v>-0.300000000000022</v>
      </c>
    </row>
    <row r="762" s="1" customFormat="1" spans="1:12">
      <c r="A762" s="2">
        <v>25.371</v>
      </c>
      <c r="B762" s="10" t="s">
        <v>178</v>
      </c>
      <c r="C762" s="4">
        <v>25.371</v>
      </c>
      <c r="D762" s="4">
        <v>67.1</v>
      </c>
      <c r="G762" s="2">
        <f t="shared" si="66"/>
        <v>25.337</v>
      </c>
      <c r="H762" s="11" t="str">
        <f t="shared" si="67"/>
        <v>3.590E-2</v>
      </c>
      <c r="I762" s="2">
        <f t="shared" si="68"/>
        <v>67.4</v>
      </c>
      <c r="J762" s="4">
        <f t="shared" si="69"/>
        <v>25.337</v>
      </c>
      <c r="K762" s="9">
        <f t="shared" si="70"/>
        <v>23.8</v>
      </c>
      <c r="L762" s="1">
        <f t="shared" si="71"/>
        <v>-0.300000000000022</v>
      </c>
    </row>
    <row r="763" s="1" customFormat="1" spans="1:12">
      <c r="A763" s="2">
        <v>25.404</v>
      </c>
      <c r="B763" s="10" t="s">
        <v>178</v>
      </c>
      <c r="C763" s="4">
        <v>25.404</v>
      </c>
      <c r="D763" s="4">
        <v>66.7</v>
      </c>
      <c r="G763" s="2">
        <f t="shared" si="66"/>
        <v>25.371</v>
      </c>
      <c r="H763" s="11" t="str">
        <f t="shared" si="67"/>
        <v>3.588E-2</v>
      </c>
      <c r="I763" s="2">
        <f t="shared" si="68"/>
        <v>67.1</v>
      </c>
      <c r="J763" s="4">
        <f t="shared" si="69"/>
        <v>25.371</v>
      </c>
      <c r="K763" s="9">
        <f t="shared" si="70"/>
        <v>23.6</v>
      </c>
      <c r="L763" s="1">
        <f t="shared" si="71"/>
        <v>-0.300000000000022</v>
      </c>
    </row>
    <row r="764" s="1" customFormat="1" spans="1:12">
      <c r="A764" s="2">
        <v>25.437</v>
      </c>
      <c r="B764" s="10" t="s">
        <v>178</v>
      </c>
      <c r="C764" s="4">
        <v>25.437</v>
      </c>
      <c r="D764" s="4">
        <v>66.8</v>
      </c>
      <c r="G764" s="2">
        <f t="shared" si="66"/>
        <v>25.404</v>
      </c>
      <c r="H764" s="11" t="str">
        <f t="shared" si="67"/>
        <v>3.588E-2</v>
      </c>
      <c r="I764" s="2">
        <f t="shared" si="68"/>
        <v>66.7</v>
      </c>
      <c r="J764" s="4">
        <f t="shared" si="69"/>
        <v>25.404</v>
      </c>
      <c r="K764" s="9">
        <f t="shared" si="70"/>
        <v>23.6</v>
      </c>
      <c r="L764" s="1">
        <f t="shared" si="71"/>
        <v>-0.300000000000022</v>
      </c>
    </row>
    <row r="765" s="1" customFormat="1" spans="1:12">
      <c r="A765" s="2">
        <v>25.471</v>
      </c>
      <c r="B765" s="10" t="s">
        <v>179</v>
      </c>
      <c r="C765" s="4">
        <v>25.471</v>
      </c>
      <c r="D765" s="4">
        <v>66.6</v>
      </c>
      <c r="G765" s="2">
        <f t="shared" si="66"/>
        <v>25.437</v>
      </c>
      <c r="H765" s="11" t="str">
        <f t="shared" si="67"/>
        <v>3.588E-2</v>
      </c>
      <c r="I765" s="2">
        <f t="shared" si="68"/>
        <v>66.8</v>
      </c>
      <c r="J765" s="4">
        <f t="shared" si="69"/>
        <v>25.437</v>
      </c>
      <c r="K765" s="9">
        <f t="shared" si="70"/>
        <v>23.6</v>
      </c>
      <c r="L765" s="1">
        <f t="shared" si="71"/>
        <v>-0.300000000000022</v>
      </c>
    </row>
    <row r="766" s="1" customFormat="1" spans="1:12">
      <c r="A766" s="2">
        <v>25.504</v>
      </c>
      <c r="B766" s="10" t="s">
        <v>179</v>
      </c>
      <c r="C766" s="4">
        <v>25.504</v>
      </c>
      <c r="D766" s="4">
        <v>65.9</v>
      </c>
      <c r="G766" s="2">
        <f t="shared" si="66"/>
        <v>25.471</v>
      </c>
      <c r="H766" s="11" t="str">
        <f t="shared" si="67"/>
        <v>3.586E-2</v>
      </c>
      <c r="I766" s="2">
        <f t="shared" si="68"/>
        <v>66.6</v>
      </c>
      <c r="J766" s="4">
        <f t="shared" si="69"/>
        <v>25.471</v>
      </c>
      <c r="K766" s="9">
        <f t="shared" si="70"/>
        <v>23.4</v>
      </c>
      <c r="L766" s="1">
        <f t="shared" si="71"/>
        <v>-0.300000000000022</v>
      </c>
    </row>
    <row r="767" s="1" customFormat="1" spans="1:12">
      <c r="A767" s="2">
        <v>25.538</v>
      </c>
      <c r="B767" s="10" t="s">
        <v>180</v>
      </c>
      <c r="C767" s="4">
        <v>25.538</v>
      </c>
      <c r="D767" s="4">
        <v>66.1</v>
      </c>
      <c r="G767" s="2">
        <f t="shared" si="66"/>
        <v>25.504</v>
      </c>
      <c r="H767" s="11" t="str">
        <f t="shared" si="67"/>
        <v>3.586E-2</v>
      </c>
      <c r="I767" s="2">
        <f t="shared" si="68"/>
        <v>65.9</v>
      </c>
      <c r="J767" s="4">
        <f t="shared" si="69"/>
        <v>25.504</v>
      </c>
      <c r="K767" s="9">
        <f t="shared" si="70"/>
        <v>23.4</v>
      </c>
      <c r="L767" s="1">
        <f t="shared" si="71"/>
        <v>-0.300000000000022</v>
      </c>
    </row>
    <row r="768" s="1" customFormat="1" spans="1:12">
      <c r="A768" s="2">
        <v>25.571</v>
      </c>
      <c r="B768" s="10" t="s">
        <v>180</v>
      </c>
      <c r="C768" s="4">
        <v>25.571</v>
      </c>
      <c r="D768" s="4">
        <v>65.5</v>
      </c>
      <c r="G768" s="2">
        <f t="shared" si="66"/>
        <v>25.538</v>
      </c>
      <c r="H768" s="11" t="str">
        <f t="shared" si="67"/>
        <v>3.584E-2</v>
      </c>
      <c r="I768" s="2">
        <f t="shared" si="68"/>
        <v>66.1</v>
      </c>
      <c r="J768" s="4">
        <f t="shared" si="69"/>
        <v>25.538</v>
      </c>
      <c r="K768" s="9">
        <f t="shared" si="70"/>
        <v>23.2</v>
      </c>
      <c r="L768" s="1">
        <f t="shared" si="71"/>
        <v>-0.300000000000022</v>
      </c>
    </row>
    <row r="769" s="1" customFormat="1" spans="1:12">
      <c r="A769" s="2">
        <v>25.605</v>
      </c>
      <c r="B769" s="10" t="s">
        <v>177</v>
      </c>
      <c r="C769" s="4">
        <v>25.605</v>
      </c>
      <c r="D769" s="4">
        <v>65.5</v>
      </c>
      <c r="G769" s="2">
        <f t="shared" si="66"/>
        <v>25.571</v>
      </c>
      <c r="H769" s="11" t="str">
        <f t="shared" si="67"/>
        <v>3.584E-2</v>
      </c>
      <c r="I769" s="2">
        <f t="shared" si="68"/>
        <v>65.5</v>
      </c>
      <c r="J769" s="4">
        <f t="shared" si="69"/>
        <v>25.571</v>
      </c>
      <c r="K769" s="9">
        <f t="shared" si="70"/>
        <v>23.2</v>
      </c>
      <c r="L769" s="1">
        <f t="shared" si="71"/>
        <v>-0.300000000000022</v>
      </c>
    </row>
    <row r="770" s="1" customFormat="1" spans="1:12">
      <c r="A770" s="2">
        <v>25.638</v>
      </c>
      <c r="B770" s="10" t="s">
        <v>177</v>
      </c>
      <c r="C770" s="4">
        <v>25.638</v>
      </c>
      <c r="D770" s="4">
        <v>64.7</v>
      </c>
      <c r="G770" s="2">
        <f t="shared" si="66"/>
        <v>25.605</v>
      </c>
      <c r="H770" s="11" t="str">
        <f t="shared" si="67"/>
        <v>3.582E-2</v>
      </c>
      <c r="I770" s="2">
        <f t="shared" si="68"/>
        <v>65.5</v>
      </c>
      <c r="J770" s="4">
        <f t="shared" si="69"/>
        <v>25.605</v>
      </c>
      <c r="K770" s="9">
        <f t="shared" si="70"/>
        <v>23</v>
      </c>
      <c r="L770" s="1">
        <f t="shared" si="71"/>
        <v>-0.300000000000022</v>
      </c>
    </row>
    <row r="771" s="1" customFormat="1" spans="1:12">
      <c r="A771" s="2">
        <v>25.671</v>
      </c>
      <c r="B771" s="10" t="s">
        <v>181</v>
      </c>
      <c r="C771" s="4">
        <v>25.671</v>
      </c>
      <c r="D771" s="4">
        <v>64.7</v>
      </c>
      <c r="G771" s="2">
        <f t="shared" si="66"/>
        <v>25.638</v>
      </c>
      <c r="H771" s="11" t="str">
        <f t="shared" si="67"/>
        <v>3.582E-2</v>
      </c>
      <c r="I771" s="2">
        <f t="shared" si="68"/>
        <v>64.7</v>
      </c>
      <c r="J771" s="4">
        <f t="shared" si="69"/>
        <v>25.638</v>
      </c>
      <c r="K771" s="9">
        <f t="shared" si="70"/>
        <v>23</v>
      </c>
      <c r="L771" s="1">
        <f t="shared" si="71"/>
        <v>-0.300000000000022</v>
      </c>
    </row>
    <row r="772" s="1" customFormat="1" spans="1:12">
      <c r="A772" s="2">
        <v>25.705</v>
      </c>
      <c r="B772" s="10" t="s">
        <v>71</v>
      </c>
      <c r="C772" s="4">
        <v>25.705</v>
      </c>
      <c r="D772" s="4">
        <v>63.9</v>
      </c>
      <c r="G772" s="2">
        <f t="shared" ref="G772:G835" si="72">A771</f>
        <v>25.671</v>
      </c>
      <c r="H772" s="11" t="str">
        <f t="shared" ref="H772:H835" si="73">B771</f>
        <v>3.581E-2</v>
      </c>
      <c r="I772" s="2">
        <f t="shared" ref="I772:I835" si="74">D771</f>
        <v>64.7</v>
      </c>
      <c r="J772" s="4">
        <f t="shared" ref="J772:J835" si="75">G772</f>
        <v>25.671</v>
      </c>
      <c r="K772" s="9">
        <f t="shared" ref="K772:K835" si="76">(H772-$H$4)*10000</f>
        <v>22.9</v>
      </c>
      <c r="L772" s="1">
        <f t="shared" si="71"/>
        <v>-0.300000000000022</v>
      </c>
    </row>
    <row r="773" s="1" customFormat="1" spans="1:12">
      <c r="A773" s="2">
        <v>25.738</v>
      </c>
      <c r="B773" s="10" t="s">
        <v>71</v>
      </c>
      <c r="C773" s="4">
        <v>25.738</v>
      </c>
      <c r="D773" s="4">
        <v>63</v>
      </c>
      <c r="G773" s="2">
        <f t="shared" si="72"/>
        <v>25.705</v>
      </c>
      <c r="H773" s="11" t="str">
        <f t="shared" si="73"/>
        <v>3.583E-2</v>
      </c>
      <c r="I773" s="2">
        <f t="shared" si="74"/>
        <v>63.9</v>
      </c>
      <c r="J773" s="4">
        <f t="shared" si="75"/>
        <v>25.705</v>
      </c>
      <c r="K773" s="9">
        <f t="shared" si="76"/>
        <v>23.1</v>
      </c>
      <c r="L773" s="1">
        <f t="shared" ref="L773:L836" si="77">IF(I773&lt;230,MIN(K:K),MAX(K:K))</f>
        <v>-0.300000000000022</v>
      </c>
    </row>
    <row r="774" s="1" customFormat="1" spans="1:12">
      <c r="A774" s="2">
        <v>25.772</v>
      </c>
      <c r="B774" s="10" t="s">
        <v>301</v>
      </c>
      <c r="C774" s="4">
        <v>25.772</v>
      </c>
      <c r="D774" s="4">
        <v>62.8</v>
      </c>
      <c r="G774" s="2">
        <f t="shared" si="72"/>
        <v>25.738</v>
      </c>
      <c r="H774" s="11" t="str">
        <f t="shared" si="73"/>
        <v>3.583E-2</v>
      </c>
      <c r="I774" s="2">
        <f t="shared" si="74"/>
        <v>63</v>
      </c>
      <c r="J774" s="4">
        <f t="shared" si="75"/>
        <v>25.738</v>
      </c>
      <c r="K774" s="9">
        <f t="shared" si="76"/>
        <v>23.1</v>
      </c>
      <c r="L774" s="1">
        <f t="shared" si="77"/>
        <v>-0.300000000000022</v>
      </c>
    </row>
    <row r="775" s="1" customFormat="1" spans="1:12">
      <c r="A775" s="2">
        <v>25.805</v>
      </c>
      <c r="B775" s="10" t="s">
        <v>180</v>
      </c>
      <c r="C775" s="4">
        <v>25.805</v>
      </c>
      <c r="D775" s="4">
        <v>62</v>
      </c>
      <c r="G775" s="2">
        <f t="shared" si="72"/>
        <v>25.772</v>
      </c>
      <c r="H775" s="11" t="str">
        <f t="shared" si="73"/>
        <v>3.585E-2</v>
      </c>
      <c r="I775" s="2">
        <f t="shared" si="74"/>
        <v>62.8</v>
      </c>
      <c r="J775" s="4">
        <f t="shared" si="75"/>
        <v>25.772</v>
      </c>
      <c r="K775" s="9">
        <f t="shared" si="76"/>
        <v>23.3</v>
      </c>
      <c r="L775" s="1">
        <f t="shared" si="77"/>
        <v>-0.300000000000022</v>
      </c>
    </row>
    <row r="776" s="1" customFormat="1" spans="1:12">
      <c r="A776" s="2">
        <v>25.838</v>
      </c>
      <c r="B776" s="10" t="s">
        <v>301</v>
      </c>
      <c r="C776" s="4">
        <v>25.838</v>
      </c>
      <c r="D776" s="4">
        <v>61.4</v>
      </c>
      <c r="G776" s="2">
        <f t="shared" si="72"/>
        <v>25.805</v>
      </c>
      <c r="H776" s="11" t="str">
        <f t="shared" si="73"/>
        <v>3.584E-2</v>
      </c>
      <c r="I776" s="2">
        <f t="shared" si="74"/>
        <v>62</v>
      </c>
      <c r="J776" s="4">
        <f t="shared" si="75"/>
        <v>25.805</v>
      </c>
      <c r="K776" s="9">
        <f t="shared" si="76"/>
        <v>23.2</v>
      </c>
      <c r="L776" s="1">
        <f t="shared" si="77"/>
        <v>-0.300000000000022</v>
      </c>
    </row>
    <row r="777" s="1" customFormat="1" spans="1:12">
      <c r="A777" s="2">
        <v>25.872</v>
      </c>
      <c r="B777" s="10" t="s">
        <v>179</v>
      </c>
      <c r="C777" s="4">
        <v>25.872</v>
      </c>
      <c r="D777" s="4">
        <v>60.8</v>
      </c>
      <c r="G777" s="2">
        <f t="shared" si="72"/>
        <v>25.838</v>
      </c>
      <c r="H777" s="11" t="str">
        <f t="shared" si="73"/>
        <v>3.585E-2</v>
      </c>
      <c r="I777" s="2">
        <f t="shared" si="74"/>
        <v>61.4</v>
      </c>
      <c r="J777" s="4">
        <f t="shared" si="75"/>
        <v>25.838</v>
      </c>
      <c r="K777" s="9">
        <f t="shared" si="76"/>
        <v>23.3</v>
      </c>
      <c r="L777" s="1">
        <f t="shared" si="77"/>
        <v>-0.300000000000022</v>
      </c>
    </row>
    <row r="778" s="1" customFormat="1" spans="1:12">
      <c r="A778" s="2">
        <v>25.905</v>
      </c>
      <c r="B778" s="10" t="s">
        <v>178</v>
      </c>
      <c r="C778" s="4">
        <v>25.905</v>
      </c>
      <c r="D778" s="4">
        <v>60.7</v>
      </c>
      <c r="G778" s="2">
        <f t="shared" si="72"/>
        <v>25.872</v>
      </c>
      <c r="H778" s="11" t="str">
        <f t="shared" si="73"/>
        <v>3.586E-2</v>
      </c>
      <c r="I778" s="2">
        <f t="shared" si="74"/>
        <v>60.8</v>
      </c>
      <c r="J778" s="4">
        <f t="shared" si="75"/>
        <v>25.872</v>
      </c>
      <c r="K778" s="9">
        <f t="shared" si="76"/>
        <v>23.4</v>
      </c>
      <c r="L778" s="1">
        <f t="shared" si="77"/>
        <v>-0.300000000000022</v>
      </c>
    </row>
    <row r="779" s="1" customFormat="1" spans="1:12">
      <c r="A779" s="2">
        <v>25.939</v>
      </c>
      <c r="B779" s="10" t="s">
        <v>178</v>
      </c>
      <c r="C779" s="4">
        <v>25.939</v>
      </c>
      <c r="D779" s="4">
        <v>60.3</v>
      </c>
      <c r="G779" s="2">
        <f t="shared" si="72"/>
        <v>25.905</v>
      </c>
      <c r="H779" s="11" t="str">
        <f t="shared" si="73"/>
        <v>3.588E-2</v>
      </c>
      <c r="I779" s="2">
        <f t="shared" si="74"/>
        <v>60.7</v>
      </c>
      <c r="J779" s="4">
        <f t="shared" si="75"/>
        <v>25.905</v>
      </c>
      <c r="K779" s="9">
        <f t="shared" si="76"/>
        <v>23.6</v>
      </c>
      <c r="L779" s="1">
        <f t="shared" si="77"/>
        <v>-0.300000000000022</v>
      </c>
    </row>
    <row r="780" s="1" customFormat="1" spans="1:12">
      <c r="A780" s="2">
        <v>25.972</v>
      </c>
      <c r="B780" s="10" t="s">
        <v>178</v>
      </c>
      <c r="C780" s="4">
        <v>25.972</v>
      </c>
      <c r="D780" s="4">
        <v>60.1</v>
      </c>
      <c r="G780" s="2">
        <f t="shared" si="72"/>
        <v>25.939</v>
      </c>
      <c r="H780" s="11" t="str">
        <f t="shared" si="73"/>
        <v>3.588E-2</v>
      </c>
      <c r="I780" s="2">
        <f t="shared" si="74"/>
        <v>60.3</v>
      </c>
      <c r="J780" s="4">
        <f t="shared" si="75"/>
        <v>25.939</v>
      </c>
      <c r="K780" s="9">
        <f t="shared" si="76"/>
        <v>23.6</v>
      </c>
      <c r="L780" s="1">
        <f t="shared" si="77"/>
        <v>-0.300000000000022</v>
      </c>
    </row>
    <row r="781" s="1" customFormat="1" spans="1:12">
      <c r="A781" s="2">
        <v>26.006</v>
      </c>
      <c r="B781" s="10" t="s">
        <v>178</v>
      </c>
      <c r="C781" s="4">
        <v>26.006</v>
      </c>
      <c r="D781" s="4">
        <v>59.5</v>
      </c>
      <c r="G781" s="2">
        <f t="shared" si="72"/>
        <v>25.972</v>
      </c>
      <c r="H781" s="11" t="str">
        <f t="shared" si="73"/>
        <v>3.588E-2</v>
      </c>
      <c r="I781" s="2">
        <f t="shared" si="74"/>
        <v>60.1</v>
      </c>
      <c r="J781" s="4">
        <f t="shared" si="75"/>
        <v>25.972</v>
      </c>
      <c r="K781" s="9">
        <f t="shared" si="76"/>
        <v>23.6</v>
      </c>
      <c r="L781" s="1">
        <f t="shared" si="77"/>
        <v>-0.300000000000022</v>
      </c>
    </row>
    <row r="782" s="1" customFormat="1" spans="1:12">
      <c r="A782" s="2">
        <v>26.039</v>
      </c>
      <c r="B782" s="10" t="s">
        <v>70</v>
      </c>
      <c r="C782" s="4">
        <v>26.039</v>
      </c>
      <c r="D782" s="4">
        <v>59.4</v>
      </c>
      <c r="G782" s="2">
        <f t="shared" si="72"/>
        <v>26.006</v>
      </c>
      <c r="H782" s="11" t="str">
        <f t="shared" si="73"/>
        <v>3.588E-2</v>
      </c>
      <c r="I782" s="2">
        <f t="shared" si="74"/>
        <v>59.5</v>
      </c>
      <c r="J782" s="4">
        <f t="shared" si="75"/>
        <v>26.006</v>
      </c>
      <c r="K782" s="9">
        <f t="shared" si="76"/>
        <v>23.6</v>
      </c>
      <c r="L782" s="1">
        <f t="shared" si="77"/>
        <v>-0.300000000000022</v>
      </c>
    </row>
    <row r="783" s="1" customFormat="1" spans="1:12">
      <c r="A783" s="2">
        <v>26.072</v>
      </c>
      <c r="B783" s="10" t="s">
        <v>94</v>
      </c>
      <c r="C783" s="4">
        <v>26.072</v>
      </c>
      <c r="D783" s="4">
        <v>58.9</v>
      </c>
      <c r="G783" s="2">
        <f t="shared" si="72"/>
        <v>26.039</v>
      </c>
      <c r="H783" s="11" t="str">
        <f t="shared" si="73"/>
        <v>3.589E-2</v>
      </c>
      <c r="I783" s="2">
        <f t="shared" si="74"/>
        <v>59.4</v>
      </c>
      <c r="J783" s="4">
        <f t="shared" si="75"/>
        <v>26.039</v>
      </c>
      <c r="K783" s="9">
        <f t="shared" si="76"/>
        <v>23.7</v>
      </c>
      <c r="L783" s="1">
        <f t="shared" si="77"/>
        <v>-0.300000000000022</v>
      </c>
    </row>
    <row r="784" s="1" customFormat="1" spans="1:12">
      <c r="A784" s="2">
        <v>26.106</v>
      </c>
      <c r="B784" s="10" t="s">
        <v>94</v>
      </c>
      <c r="C784" s="4">
        <v>26.106</v>
      </c>
      <c r="D784" s="4">
        <v>58.7</v>
      </c>
      <c r="G784" s="2">
        <f t="shared" si="72"/>
        <v>26.072</v>
      </c>
      <c r="H784" s="11" t="str">
        <f t="shared" si="73"/>
        <v>3.590E-2</v>
      </c>
      <c r="I784" s="2">
        <f t="shared" si="74"/>
        <v>58.9</v>
      </c>
      <c r="J784" s="4">
        <f t="shared" si="75"/>
        <v>26.072</v>
      </c>
      <c r="K784" s="9">
        <f t="shared" si="76"/>
        <v>23.8</v>
      </c>
      <c r="L784" s="1">
        <f t="shared" si="77"/>
        <v>-0.300000000000022</v>
      </c>
    </row>
    <row r="785" s="1" customFormat="1" spans="1:12">
      <c r="A785" s="2">
        <v>26.139</v>
      </c>
      <c r="B785" s="10" t="s">
        <v>94</v>
      </c>
      <c r="C785" s="4">
        <v>26.139</v>
      </c>
      <c r="D785" s="4">
        <v>57.1</v>
      </c>
      <c r="G785" s="2">
        <f t="shared" si="72"/>
        <v>26.106</v>
      </c>
      <c r="H785" s="11" t="str">
        <f t="shared" si="73"/>
        <v>3.590E-2</v>
      </c>
      <c r="I785" s="2">
        <f t="shared" si="74"/>
        <v>58.7</v>
      </c>
      <c r="J785" s="4">
        <f t="shared" si="75"/>
        <v>26.106</v>
      </c>
      <c r="K785" s="9">
        <f t="shared" si="76"/>
        <v>23.8</v>
      </c>
      <c r="L785" s="1">
        <f t="shared" si="77"/>
        <v>-0.300000000000022</v>
      </c>
    </row>
    <row r="786" s="1" customFormat="1" spans="1:12">
      <c r="A786" s="2">
        <v>26.173</v>
      </c>
      <c r="B786" s="10" t="s">
        <v>94</v>
      </c>
      <c r="C786" s="4">
        <v>26.173</v>
      </c>
      <c r="D786" s="4">
        <v>57.2</v>
      </c>
      <c r="G786" s="2">
        <f t="shared" si="72"/>
        <v>26.139</v>
      </c>
      <c r="H786" s="11" t="str">
        <f t="shared" si="73"/>
        <v>3.590E-2</v>
      </c>
      <c r="I786" s="2">
        <f t="shared" si="74"/>
        <v>57.1</v>
      </c>
      <c r="J786" s="4">
        <f t="shared" si="75"/>
        <v>26.139</v>
      </c>
      <c r="K786" s="9">
        <f t="shared" si="76"/>
        <v>23.8</v>
      </c>
      <c r="L786" s="1">
        <f t="shared" si="77"/>
        <v>-0.300000000000022</v>
      </c>
    </row>
    <row r="787" s="1" customFormat="1" spans="1:12">
      <c r="A787" s="2">
        <v>26.206</v>
      </c>
      <c r="B787" s="10" t="s">
        <v>68</v>
      </c>
      <c r="C787" s="4">
        <v>26.206</v>
      </c>
      <c r="D787" s="4">
        <v>57</v>
      </c>
      <c r="G787" s="2">
        <f t="shared" si="72"/>
        <v>26.173</v>
      </c>
      <c r="H787" s="11" t="str">
        <f t="shared" si="73"/>
        <v>3.590E-2</v>
      </c>
      <c r="I787" s="2">
        <f t="shared" si="74"/>
        <v>57.2</v>
      </c>
      <c r="J787" s="4">
        <f t="shared" si="75"/>
        <v>26.173</v>
      </c>
      <c r="K787" s="9">
        <f t="shared" si="76"/>
        <v>23.8</v>
      </c>
      <c r="L787" s="1">
        <f t="shared" si="77"/>
        <v>-0.300000000000022</v>
      </c>
    </row>
    <row r="788" s="1" customFormat="1" spans="1:12">
      <c r="A788" s="2">
        <v>26.24</v>
      </c>
      <c r="B788" s="10" t="s">
        <v>68</v>
      </c>
      <c r="C788" s="4">
        <v>26.24</v>
      </c>
      <c r="D788" s="4">
        <v>56.2</v>
      </c>
      <c r="G788" s="2">
        <f t="shared" si="72"/>
        <v>26.206</v>
      </c>
      <c r="H788" s="11" t="str">
        <f t="shared" si="73"/>
        <v>3.591E-2</v>
      </c>
      <c r="I788" s="2">
        <f t="shared" si="74"/>
        <v>57</v>
      </c>
      <c r="J788" s="4">
        <f t="shared" si="75"/>
        <v>26.206</v>
      </c>
      <c r="K788" s="9">
        <f t="shared" si="76"/>
        <v>23.9</v>
      </c>
      <c r="L788" s="1">
        <f t="shared" si="77"/>
        <v>-0.300000000000022</v>
      </c>
    </row>
    <row r="789" s="1" customFormat="1" spans="1:12">
      <c r="A789" s="2">
        <v>26.273</v>
      </c>
      <c r="B789" s="10" t="s">
        <v>280</v>
      </c>
      <c r="C789" s="4">
        <v>26.273</v>
      </c>
      <c r="D789" s="4">
        <v>56.2</v>
      </c>
      <c r="G789" s="2">
        <f t="shared" si="72"/>
        <v>26.24</v>
      </c>
      <c r="H789" s="11" t="str">
        <f t="shared" si="73"/>
        <v>3.591E-2</v>
      </c>
      <c r="I789" s="2">
        <f t="shared" si="74"/>
        <v>56.2</v>
      </c>
      <c r="J789" s="4">
        <f t="shared" si="75"/>
        <v>26.24</v>
      </c>
      <c r="K789" s="9">
        <f t="shared" si="76"/>
        <v>23.9</v>
      </c>
      <c r="L789" s="1">
        <f t="shared" si="77"/>
        <v>-0.300000000000022</v>
      </c>
    </row>
    <row r="790" s="1" customFormat="1" spans="1:12">
      <c r="A790" s="2">
        <v>26.306</v>
      </c>
      <c r="B790" s="10" t="s">
        <v>280</v>
      </c>
      <c r="C790" s="4">
        <v>26.306</v>
      </c>
      <c r="D790" s="4">
        <v>55.5</v>
      </c>
      <c r="G790" s="2">
        <f t="shared" si="72"/>
        <v>26.273</v>
      </c>
      <c r="H790" s="11" t="str">
        <f t="shared" si="73"/>
        <v>3.593E-2</v>
      </c>
      <c r="I790" s="2">
        <f t="shared" si="74"/>
        <v>56.2</v>
      </c>
      <c r="J790" s="4">
        <f t="shared" si="75"/>
        <v>26.273</v>
      </c>
      <c r="K790" s="9">
        <f t="shared" si="76"/>
        <v>24.1</v>
      </c>
      <c r="L790" s="1">
        <f t="shared" si="77"/>
        <v>-0.300000000000022</v>
      </c>
    </row>
    <row r="791" s="1" customFormat="1" spans="1:12">
      <c r="A791" s="2">
        <v>26.34</v>
      </c>
      <c r="B791" s="10" t="s">
        <v>69</v>
      </c>
      <c r="C791" s="4">
        <v>26.34</v>
      </c>
      <c r="D791" s="4">
        <v>55.7</v>
      </c>
      <c r="G791" s="2">
        <f t="shared" si="72"/>
        <v>26.306</v>
      </c>
      <c r="H791" s="11" t="str">
        <f t="shared" si="73"/>
        <v>3.593E-2</v>
      </c>
      <c r="I791" s="2">
        <f t="shared" si="74"/>
        <v>55.5</v>
      </c>
      <c r="J791" s="4">
        <f t="shared" si="75"/>
        <v>26.306</v>
      </c>
      <c r="K791" s="9">
        <f t="shared" si="76"/>
        <v>24.1</v>
      </c>
      <c r="L791" s="1">
        <f t="shared" si="77"/>
        <v>-0.300000000000022</v>
      </c>
    </row>
    <row r="792" s="1" customFormat="1" spans="1:12">
      <c r="A792" s="2">
        <v>26.373</v>
      </c>
      <c r="B792" s="10" t="s">
        <v>68</v>
      </c>
      <c r="C792" s="4">
        <v>26.373</v>
      </c>
      <c r="D792" s="4">
        <v>54.9</v>
      </c>
      <c r="G792" s="2">
        <f t="shared" si="72"/>
        <v>26.34</v>
      </c>
      <c r="H792" s="11" t="str">
        <f t="shared" si="73"/>
        <v>3.592E-2</v>
      </c>
      <c r="I792" s="2">
        <f t="shared" si="74"/>
        <v>55.7</v>
      </c>
      <c r="J792" s="4">
        <f t="shared" si="75"/>
        <v>26.34</v>
      </c>
      <c r="K792" s="9">
        <f t="shared" si="76"/>
        <v>24</v>
      </c>
      <c r="L792" s="1">
        <f t="shared" si="77"/>
        <v>-0.300000000000022</v>
      </c>
    </row>
    <row r="793" s="1" customFormat="1" spans="1:12">
      <c r="A793" s="2">
        <v>26.407</v>
      </c>
      <c r="B793" s="10" t="s">
        <v>280</v>
      </c>
      <c r="C793" s="4">
        <v>26.407</v>
      </c>
      <c r="D793" s="4">
        <v>54.4</v>
      </c>
      <c r="G793" s="2">
        <f t="shared" si="72"/>
        <v>26.373</v>
      </c>
      <c r="H793" s="11" t="str">
        <f t="shared" si="73"/>
        <v>3.591E-2</v>
      </c>
      <c r="I793" s="2">
        <f t="shared" si="74"/>
        <v>54.9</v>
      </c>
      <c r="J793" s="4">
        <f t="shared" si="75"/>
        <v>26.373</v>
      </c>
      <c r="K793" s="9">
        <f t="shared" si="76"/>
        <v>23.9</v>
      </c>
      <c r="L793" s="1">
        <f t="shared" si="77"/>
        <v>-0.300000000000022</v>
      </c>
    </row>
    <row r="794" s="1" customFormat="1" spans="1:12">
      <c r="A794" s="2">
        <v>26.44</v>
      </c>
      <c r="B794" s="10" t="s">
        <v>68</v>
      </c>
      <c r="C794" s="4">
        <v>26.44</v>
      </c>
      <c r="D794" s="4">
        <v>54.1</v>
      </c>
      <c r="G794" s="2">
        <f t="shared" si="72"/>
        <v>26.407</v>
      </c>
      <c r="H794" s="11" t="str">
        <f t="shared" si="73"/>
        <v>3.593E-2</v>
      </c>
      <c r="I794" s="2">
        <f t="shared" si="74"/>
        <v>54.4</v>
      </c>
      <c r="J794" s="4">
        <f t="shared" si="75"/>
        <v>26.407</v>
      </c>
      <c r="K794" s="9">
        <f t="shared" si="76"/>
        <v>24.1</v>
      </c>
      <c r="L794" s="1">
        <f t="shared" si="77"/>
        <v>-0.300000000000022</v>
      </c>
    </row>
    <row r="795" s="1" customFormat="1" spans="1:12">
      <c r="A795" s="2">
        <v>26.474</v>
      </c>
      <c r="B795" s="10" t="s">
        <v>68</v>
      </c>
      <c r="C795" s="4">
        <v>26.474</v>
      </c>
      <c r="D795" s="4">
        <v>53.5</v>
      </c>
      <c r="G795" s="2">
        <f t="shared" si="72"/>
        <v>26.44</v>
      </c>
      <c r="H795" s="11" t="str">
        <f t="shared" si="73"/>
        <v>3.591E-2</v>
      </c>
      <c r="I795" s="2">
        <f t="shared" si="74"/>
        <v>54.1</v>
      </c>
      <c r="J795" s="4">
        <f t="shared" si="75"/>
        <v>26.44</v>
      </c>
      <c r="K795" s="9">
        <f t="shared" si="76"/>
        <v>23.9</v>
      </c>
      <c r="L795" s="1">
        <f t="shared" si="77"/>
        <v>-0.300000000000022</v>
      </c>
    </row>
    <row r="796" s="1" customFormat="1" spans="1:12">
      <c r="A796" s="2">
        <v>26.507</v>
      </c>
      <c r="B796" s="10" t="s">
        <v>94</v>
      </c>
      <c r="C796" s="4">
        <v>26.507</v>
      </c>
      <c r="D796" s="4">
        <v>53.3</v>
      </c>
      <c r="G796" s="2">
        <f t="shared" si="72"/>
        <v>26.474</v>
      </c>
      <c r="H796" s="11" t="str">
        <f t="shared" si="73"/>
        <v>3.591E-2</v>
      </c>
      <c r="I796" s="2">
        <f t="shared" si="74"/>
        <v>53.5</v>
      </c>
      <c r="J796" s="4">
        <f t="shared" si="75"/>
        <v>26.474</v>
      </c>
      <c r="K796" s="9">
        <f t="shared" si="76"/>
        <v>23.9</v>
      </c>
      <c r="L796" s="1">
        <f t="shared" si="77"/>
        <v>-0.300000000000022</v>
      </c>
    </row>
    <row r="797" s="1" customFormat="1" spans="1:12">
      <c r="A797" s="2">
        <v>26.54</v>
      </c>
      <c r="B797" s="10" t="s">
        <v>70</v>
      </c>
      <c r="C797" s="4">
        <v>26.54</v>
      </c>
      <c r="D797" s="4">
        <v>53</v>
      </c>
      <c r="G797" s="2">
        <f t="shared" si="72"/>
        <v>26.507</v>
      </c>
      <c r="H797" s="11" t="str">
        <f t="shared" si="73"/>
        <v>3.590E-2</v>
      </c>
      <c r="I797" s="2">
        <f t="shared" si="74"/>
        <v>53.3</v>
      </c>
      <c r="J797" s="4">
        <f t="shared" si="75"/>
        <v>26.507</v>
      </c>
      <c r="K797" s="9">
        <f t="shared" si="76"/>
        <v>23.8</v>
      </c>
      <c r="L797" s="1">
        <f t="shared" si="77"/>
        <v>-0.300000000000022</v>
      </c>
    </row>
    <row r="798" s="1" customFormat="1" spans="1:12">
      <c r="A798" s="2">
        <v>26.574</v>
      </c>
      <c r="B798" s="10" t="s">
        <v>70</v>
      </c>
      <c r="C798" s="4">
        <v>26.574</v>
      </c>
      <c r="D798" s="4">
        <v>52.7</v>
      </c>
      <c r="G798" s="2">
        <f t="shared" si="72"/>
        <v>26.54</v>
      </c>
      <c r="H798" s="11" t="str">
        <f t="shared" si="73"/>
        <v>3.589E-2</v>
      </c>
      <c r="I798" s="2">
        <f t="shared" si="74"/>
        <v>53</v>
      </c>
      <c r="J798" s="4">
        <f t="shared" si="75"/>
        <v>26.54</v>
      </c>
      <c r="K798" s="9">
        <f t="shared" si="76"/>
        <v>23.7</v>
      </c>
      <c r="L798" s="1">
        <f t="shared" si="77"/>
        <v>-0.300000000000022</v>
      </c>
    </row>
    <row r="799" s="1" customFormat="1" spans="1:12">
      <c r="A799" s="2">
        <v>26.607</v>
      </c>
      <c r="B799" s="10" t="s">
        <v>67</v>
      </c>
      <c r="C799" s="4">
        <v>26.607</v>
      </c>
      <c r="D799" s="4">
        <v>52.1</v>
      </c>
      <c r="G799" s="2">
        <f t="shared" si="72"/>
        <v>26.574</v>
      </c>
      <c r="H799" s="11" t="str">
        <f t="shared" si="73"/>
        <v>3.589E-2</v>
      </c>
      <c r="I799" s="2">
        <f t="shared" si="74"/>
        <v>52.7</v>
      </c>
      <c r="J799" s="4">
        <f t="shared" si="75"/>
        <v>26.574</v>
      </c>
      <c r="K799" s="9">
        <f t="shared" si="76"/>
        <v>23.7</v>
      </c>
      <c r="L799" s="1">
        <f t="shared" si="77"/>
        <v>-0.300000000000022</v>
      </c>
    </row>
    <row r="800" s="1" customFormat="1" spans="1:12">
      <c r="A800" s="2">
        <v>26.641</v>
      </c>
      <c r="B800" s="10" t="s">
        <v>67</v>
      </c>
      <c r="C800" s="4">
        <v>26.641</v>
      </c>
      <c r="D800" s="4">
        <v>52.4</v>
      </c>
      <c r="G800" s="2">
        <f t="shared" si="72"/>
        <v>26.607</v>
      </c>
      <c r="H800" s="11" t="str">
        <f t="shared" si="73"/>
        <v>3.587E-2</v>
      </c>
      <c r="I800" s="2">
        <f t="shared" si="74"/>
        <v>52.1</v>
      </c>
      <c r="J800" s="4">
        <f t="shared" si="75"/>
        <v>26.607</v>
      </c>
      <c r="K800" s="9">
        <f t="shared" si="76"/>
        <v>23.5</v>
      </c>
      <c r="L800" s="1">
        <f t="shared" si="77"/>
        <v>-0.300000000000022</v>
      </c>
    </row>
    <row r="801" s="1" customFormat="1" spans="1:12">
      <c r="A801" s="2">
        <v>26.674</v>
      </c>
      <c r="B801" s="10" t="s">
        <v>67</v>
      </c>
      <c r="C801" s="4">
        <v>26.674</v>
      </c>
      <c r="D801" s="4">
        <v>51.3</v>
      </c>
      <c r="G801" s="2">
        <f t="shared" si="72"/>
        <v>26.641</v>
      </c>
      <c r="H801" s="11" t="str">
        <f t="shared" si="73"/>
        <v>3.587E-2</v>
      </c>
      <c r="I801" s="2">
        <f t="shared" si="74"/>
        <v>52.4</v>
      </c>
      <c r="J801" s="4">
        <f t="shared" si="75"/>
        <v>26.641</v>
      </c>
      <c r="K801" s="9">
        <f t="shared" si="76"/>
        <v>23.5</v>
      </c>
      <c r="L801" s="1">
        <f t="shared" si="77"/>
        <v>-0.300000000000022</v>
      </c>
    </row>
    <row r="802" s="1" customFormat="1" spans="1:12">
      <c r="A802" s="2">
        <v>26.708</v>
      </c>
      <c r="B802" s="10" t="s">
        <v>179</v>
      </c>
      <c r="C802" s="4">
        <v>26.708</v>
      </c>
      <c r="D802" s="4">
        <v>51</v>
      </c>
      <c r="G802" s="2">
        <f t="shared" si="72"/>
        <v>26.674</v>
      </c>
      <c r="H802" s="11" t="str">
        <f t="shared" si="73"/>
        <v>3.587E-2</v>
      </c>
      <c r="I802" s="2">
        <f t="shared" si="74"/>
        <v>51.3</v>
      </c>
      <c r="J802" s="4">
        <f t="shared" si="75"/>
        <v>26.674</v>
      </c>
      <c r="K802" s="9">
        <f t="shared" si="76"/>
        <v>23.5</v>
      </c>
      <c r="L802" s="1">
        <f t="shared" si="77"/>
        <v>-0.300000000000022</v>
      </c>
    </row>
    <row r="803" s="1" customFormat="1" spans="1:12">
      <c r="A803" s="2">
        <v>26.741</v>
      </c>
      <c r="B803" s="10" t="s">
        <v>179</v>
      </c>
      <c r="C803" s="4">
        <v>26.741</v>
      </c>
      <c r="D803" s="4">
        <v>50.6</v>
      </c>
      <c r="G803" s="2">
        <f t="shared" si="72"/>
        <v>26.708</v>
      </c>
      <c r="H803" s="11" t="str">
        <f t="shared" si="73"/>
        <v>3.586E-2</v>
      </c>
      <c r="I803" s="2">
        <f t="shared" si="74"/>
        <v>51</v>
      </c>
      <c r="J803" s="4">
        <f t="shared" si="75"/>
        <v>26.708</v>
      </c>
      <c r="K803" s="9">
        <f t="shared" si="76"/>
        <v>23.4</v>
      </c>
      <c r="L803" s="1">
        <f t="shared" si="77"/>
        <v>-0.300000000000022</v>
      </c>
    </row>
    <row r="804" s="1" customFormat="1" spans="1:12">
      <c r="A804" s="2">
        <v>26.774</v>
      </c>
      <c r="B804" s="10" t="s">
        <v>301</v>
      </c>
      <c r="C804" s="4">
        <v>26.774</v>
      </c>
      <c r="D804" s="4">
        <v>51.3</v>
      </c>
      <c r="G804" s="2">
        <f t="shared" si="72"/>
        <v>26.741</v>
      </c>
      <c r="H804" s="11" t="str">
        <f t="shared" si="73"/>
        <v>3.586E-2</v>
      </c>
      <c r="I804" s="2">
        <f t="shared" si="74"/>
        <v>50.6</v>
      </c>
      <c r="J804" s="4">
        <f t="shared" si="75"/>
        <v>26.741</v>
      </c>
      <c r="K804" s="9">
        <f t="shared" si="76"/>
        <v>23.4</v>
      </c>
      <c r="L804" s="1">
        <f t="shared" si="77"/>
        <v>-0.300000000000022</v>
      </c>
    </row>
    <row r="805" s="1" customFormat="1" spans="1:12">
      <c r="A805" s="2">
        <v>26.808</v>
      </c>
      <c r="B805" s="10" t="s">
        <v>180</v>
      </c>
      <c r="C805" s="4">
        <v>26.808</v>
      </c>
      <c r="D805" s="4">
        <v>50.4</v>
      </c>
      <c r="G805" s="2">
        <f t="shared" si="72"/>
        <v>26.774</v>
      </c>
      <c r="H805" s="11" t="str">
        <f t="shared" si="73"/>
        <v>3.585E-2</v>
      </c>
      <c r="I805" s="2">
        <f t="shared" si="74"/>
        <v>51.3</v>
      </c>
      <c r="J805" s="4">
        <f t="shared" si="75"/>
        <v>26.774</v>
      </c>
      <c r="K805" s="9">
        <f t="shared" si="76"/>
        <v>23.3</v>
      </c>
      <c r="L805" s="1">
        <f t="shared" si="77"/>
        <v>-0.300000000000022</v>
      </c>
    </row>
    <row r="806" s="1" customFormat="1" spans="1:12">
      <c r="A806" s="2">
        <v>26.841</v>
      </c>
      <c r="B806" s="10" t="s">
        <v>180</v>
      </c>
      <c r="C806" s="4">
        <v>26.841</v>
      </c>
      <c r="D806" s="4">
        <v>50.1</v>
      </c>
      <c r="G806" s="2">
        <f t="shared" si="72"/>
        <v>26.808</v>
      </c>
      <c r="H806" s="11" t="str">
        <f t="shared" si="73"/>
        <v>3.584E-2</v>
      </c>
      <c r="I806" s="2">
        <f t="shared" si="74"/>
        <v>50.4</v>
      </c>
      <c r="J806" s="4">
        <f t="shared" si="75"/>
        <v>26.808</v>
      </c>
      <c r="K806" s="9">
        <f t="shared" si="76"/>
        <v>23.2</v>
      </c>
      <c r="L806" s="1">
        <f t="shared" si="77"/>
        <v>-0.300000000000022</v>
      </c>
    </row>
    <row r="807" s="1" customFormat="1" spans="1:12">
      <c r="A807" s="2">
        <v>26.875</v>
      </c>
      <c r="B807" s="10" t="s">
        <v>179</v>
      </c>
      <c r="C807" s="4">
        <v>26.875</v>
      </c>
      <c r="D807" s="4">
        <v>50</v>
      </c>
      <c r="G807" s="2">
        <f t="shared" si="72"/>
        <v>26.841</v>
      </c>
      <c r="H807" s="11" t="str">
        <f t="shared" si="73"/>
        <v>3.584E-2</v>
      </c>
      <c r="I807" s="2">
        <f t="shared" si="74"/>
        <v>50.1</v>
      </c>
      <c r="J807" s="4">
        <f t="shared" si="75"/>
        <v>26.841</v>
      </c>
      <c r="K807" s="9">
        <f t="shared" si="76"/>
        <v>23.2</v>
      </c>
      <c r="L807" s="1">
        <f t="shared" si="77"/>
        <v>-0.300000000000022</v>
      </c>
    </row>
    <row r="808" s="1" customFormat="1" spans="1:12">
      <c r="A808" s="2">
        <v>26.908</v>
      </c>
      <c r="B808" s="10" t="s">
        <v>301</v>
      </c>
      <c r="C808" s="4">
        <v>26.908</v>
      </c>
      <c r="D808" s="4">
        <v>50.1</v>
      </c>
      <c r="G808" s="2">
        <f t="shared" si="72"/>
        <v>26.875</v>
      </c>
      <c r="H808" s="11" t="str">
        <f t="shared" si="73"/>
        <v>3.586E-2</v>
      </c>
      <c r="I808" s="2">
        <f t="shared" si="74"/>
        <v>50</v>
      </c>
      <c r="J808" s="4">
        <f t="shared" si="75"/>
        <v>26.875</v>
      </c>
      <c r="K808" s="9">
        <f t="shared" si="76"/>
        <v>23.4</v>
      </c>
      <c r="L808" s="1">
        <f t="shared" si="77"/>
        <v>-0.300000000000022</v>
      </c>
    </row>
    <row r="809" s="1" customFormat="1" spans="1:12">
      <c r="A809" s="2">
        <v>26.942</v>
      </c>
      <c r="B809" s="10" t="s">
        <v>180</v>
      </c>
      <c r="C809" s="4">
        <v>26.942</v>
      </c>
      <c r="D809" s="4">
        <v>49.8</v>
      </c>
      <c r="G809" s="2">
        <f t="shared" si="72"/>
        <v>26.908</v>
      </c>
      <c r="H809" s="11" t="str">
        <f t="shared" si="73"/>
        <v>3.585E-2</v>
      </c>
      <c r="I809" s="2">
        <f t="shared" si="74"/>
        <v>50.1</v>
      </c>
      <c r="J809" s="4">
        <f t="shared" si="75"/>
        <v>26.908</v>
      </c>
      <c r="K809" s="9">
        <f t="shared" si="76"/>
        <v>23.3</v>
      </c>
      <c r="L809" s="1">
        <f t="shared" si="77"/>
        <v>-0.300000000000022</v>
      </c>
    </row>
    <row r="810" s="1" customFormat="1" spans="1:12">
      <c r="A810" s="2">
        <v>26.975</v>
      </c>
      <c r="B810" s="10" t="s">
        <v>180</v>
      </c>
      <c r="C810" s="4">
        <v>26.975</v>
      </c>
      <c r="D810" s="4">
        <v>49.6</v>
      </c>
      <c r="G810" s="2">
        <f t="shared" si="72"/>
        <v>26.942</v>
      </c>
      <c r="H810" s="11" t="str">
        <f t="shared" si="73"/>
        <v>3.584E-2</v>
      </c>
      <c r="I810" s="2">
        <f t="shared" si="74"/>
        <v>49.8</v>
      </c>
      <c r="J810" s="4">
        <f t="shared" si="75"/>
        <v>26.942</v>
      </c>
      <c r="K810" s="9">
        <f t="shared" si="76"/>
        <v>23.2</v>
      </c>
      <c r="L810" s="1">
        <f t="shared" si="77"/>
        <v>-0.300000000000022</v>
      </c>
    </row>
    <row r="811" s="1" customFormat="1" spans="1:12">
      <c r="A811" s="2">
        <v>27.008</v>
      </c>
      <c r="B811" s="10" t="s">
        <v>301</v>
      </c>
      <c r="C811" s="4">
        <v>27.008</v>
      </c>
      <c r="D811" s="4">
        <v>49.3</v>
      </c>
      <c r="G811" s="2">
        <f t="shared" si="72"/>
        <v>26.975</v>
      </c>
      <c r="H811" s="11" t="str">
        <f t="shared" si="73"/>
        <v>3.584E-2</v>
      </c>
      <c r="I811" s="2">
        <f t="shared" si="74"/>
        <v>49.6</v>
      </c>
      <c r="J811" s="4">
        <f t="shared" si="75"/>
        <v>26.975</v>
      </c>
      <c r="K811" s="9">
        <f t="shared" si="76"/>
        <v>23.2</v>
      </c>
      <c r="L811" s="1">
        <f t="shared" si="77"/>
        <v>-0.300000000000022</v>
      </c>
    </row>
    <row r="812" s="1" customFormat="1" spans="1:12">
      <c r="A812" s="2">
        <v>27.042</v>
      </c>
      <c r="B812" s="10" t="s">
        <v>180</v>
      </c>
      <c r="C812" s="4">
        <v>27.042</v>
      </c>
      <c r="D812" s="4">
        <v>49.4</v>
      </c>
      <c r="G812" s="2">
        <f t="shared" si="72"/>
        <v>27.008</v>
      </c>
      <c r="H812" s="11" t="str">
        <f t="shared" si="73"/>
        <v>3.585E-2</v>
      </c>
      <c r="I812" s="2">
        <f t="shared" si="74"/>
        <v>49.3</v>
      </c>
      <c r="J812" s="4">
        <f t="shared" si="75"/>
        <v>27.008</v>
      </c>
      <c r="K812" s="9">
        <f t="shared" si="76"/>
        <v>23.3</v>
      </c>
      <c r="L812" s="1">
        <f t="shared" si="77"/>
        <v>-0.300000000000022</v>
      </c>
    </row>
    <row r="813" s="1" customFormat="1" spans="1:12">
      <c r="A813" s="2">
        <v>27.075</v>
      </c>
      <c r="B813" s="10" t="s">
        <v>301</v>
      </c>
      <c r="C813" s="4">
        <v>27.075</v>
      </c>
      <c r="D813" s="4">
        <v>48.6</v>
      </c>
      <c r="G813" s="2">
        <f t="shared" si="72"/>
        <v>27.042</v>
      </c>
      <c r="H813" s="11" t="str">
        <f t="shared" si="73"/>
        <v>3.584E-2</v>
      </c>
      <c r="I813" s="2">
        <f t="shared" si="74"/>
        <v>49.4</v>
      </c>
      <c r="J813" s="4">
        <f t="shared" si="75"/>
        <v>27.042</v>
      </c>
      <c r="K813" s="9">
        <f t="shared" si="76"/>
        <v>23.2</v>
      </c>
      <c r="L813" s="1">
        <f t="shared" si="77"/>
        <v>-0.300000000000022</v>
      </c>
    </row>
    <row r="814" s="1" customFormat="1" spans="1:12">
      <c r="A814" s="2">
        <v>27.109</v>
      </c>
      <c r="B814" s="10" t="s">
        <v>301</v>
      </c>
      <c r="C814" s="4">
        <v>27.109</v>
      </c>
      <c r="D814" s="4">
        <v>49.1</v>
      </c>
      <c r="G814" s="2">
        <f t="shared" si="72"/>
        <v>27.075</v>
      </c>
      <c r="H814" s="11" t="str">
        <f t="shared" si="73"/>
        <v>3.585E-2</v>
      </c>
      <c r="I814" s="2">
        <f t="shared" si="74"/>
        <v>48.6</v>
      </c>
      <c r="J814" s="4">
        <f t="shared" si="75"/>
        <v>27.075</v>
      </c>
      <c r="K814" s="9">
        <f t="shared" si="76"/>
        <v>23.3</v>
      </c>
      <c r="L814" s="1">
        <f t="shared" si="77"/>
        <v>-0.300000000000022</v>
      </c>
    </row>
    <row r="815" s="1" customFormat="1" spans="1:12">
      <c r="A815" s="2">
        <v>27.142</v>
      </c>
      <c r="B815" s="10" t="s">
        <v>179</v>
      </c>
      <c r="C815" s="4">
        <v>27.142</v>
      </c>
      <c r="D815" s="4">
        <v>48.7</v>
      </c>
      <c r="G815" s="2">
        <f t="shared" si="72"/>
        <v>27.109</v>
      </c>
      <c r="H815" s="11" t="str">
        <f t="shared" si="73"/>
        <v>3.585E-2</v>
      </c>
      <c r="I815" s="2">
        <f t="shared" si="74"/>
        <v>49.1</v>
      </c>
      <c r="J815" s="4">
        <f t="shared" si="75"/>
        <v>27.109</v>
      </c>
      <c r="K815" s="9">
        <f t="shared" si="76"/>
        <v>23.3</v>
      </c>
      <c r="L815" s="1">
        <f t="shared" si="77"/>
        <v>-0.300000000000022</v>
      </c>
    </row>
    <row r="816" s="1" customFormat="1" spans="1:12">
      <c r="A816" s="2">
        <v>27.176</v>
      </c>
      <c r="B816" s="10" t="s">
        <v>179</v>
      </c>
      <c r="C816" s="4">
        <v>27.176</v>
      </c>
      <c r="D816" s="4">
        <v>48.4</v>
      </c>
      <c r="G816" s="2">
        <f t="shared" si="72"/>
        <v>27.142</v>
      </c>
      <c r="H816" s="11" t="str">
        <f t="shared" si="73"/>
        <v>3.586E-2</v>
      </c>
      <c r="I816" s="2">
        <f t="shared" si="74"/>
        <v>48.7</v>
      </c>
      <c r="J816" s="4">
        <f t="shared" si="75"/>
        <v>27.142</v>
      </c>
      <c r="K816" s="9">
        <f t="shared" si="76"/>
        <v>23.4</v>
      </c>
      <c r="L816" s="1">
        <f t="shared" si="77"/>
        <v>-0.300000000000022</v>
      </c>
    </row>
    <row r="817" s="1" customFormat="1" spans="1:12">
      <c r="A817" s="2">
        <v>27.209</v>
      </c>
      <c r="B817" s="10" t="s">
        <v>179</v>
      </c>
      <c r="C817" s="4">
        <v>27.209</v>
      </c>
      <c r="D817" s="4">
        <v>49.2</v>
      </c>
      <c r="G817" s="2">
        <f t="shared" si="72"/>
        <v>27.176</v>
      </c>
      <c r="H817" s="11" t="str">
        <f t="shared" si="73"/>
        <v>3.586E-2</v>
      </c>
      <c r="I817" s="2">
        <f t="shared" si="74"/>
        <v>48.4</v>
      </c>
      <c r="J817" s="4">
        <f t="shared" si="75"/>
        <v>27.176</v>
      </c>
      <c r="K817" s="9">
        <f t="shared" si="76"/>
        <v>23.4</v>
      </c>
      <c r="L817" s="1">
        <f t="shared" si="77"/>
        <v>-0.300000000000022</v>
      </c>
    </row>
    <row r="818" s="1" customFormat="1" spans="1:12">
      <c r="A818" s="2">
        <v>27.242</v>
      </c>
      <c r="B818" s="10" t="s">
        <v>67</v>
      </c>
      <c r="C818" s="4">
        <v>27.242</v>
      </c>
      <c r="D818" s="4">
        <v>48.6</v>
      </c>
      <c r="G818" s="2">
        <f t="shared" si="72"/>
        <v>27.209</v>
      </c>
      <c r="H818" s="11" t="str">
        <f t="shared" si="73"/>
        <v>3.586E-2</v>
      </c>
      <c r="I818" s="2">
        <f t="shared" si="74"/>
        <v>49.2</v>
      </c>
      <c r="J818" s="4">
        <f t="shared" si="75"/>
        <v>27.209</v>
      </c>
      <c r="K818" s="9">
        <f t="shared" si="76"/>
        <v>23.4</v>
      </c>
      <c r="L818" s="1">
        <f t="shared" si="77"/>
        <v>-0.300000000000022</v>
      </c>
    </row>
    <row r="819" s="1" customFormat="1" spans="1:12">
      <c r="A819" s="2">
        <v>27.276</v>
      </c>
      <c r="B819" s="10" t="s">
        <v>67</v>
      </c>
      <c r="C819" s="4">
        <v>27.276</v>
      </c>
      <c r="D819" s="4">
        <v>48.9</v>
      </c>
      <c r="G819" s="2">
        <f t="shared" si="72"/>
        <v>27.242</v>
      </c>
      <c r="H819" s="11" t="str">
        <f t="shared" si="73"/>
        <v>3.587E-2</v>
      </c>
      <c r="I819" s="2">
        <f t="shared" si="74"/>
        <v>48.6</v>
      </c>
      <c r="J819" s="4">
        <f t="shared" si="75"/>
        <v>27.242</v>
      </c>
      <c r="K819" s="9">
        <f t="shared" si="76"/>
        <v>23.5</v>
      </c>
      <c r="L819" s="1">
        <f t="shared" si="77"/>
        <v>-0.300000000000022</v>
      </c>
    </row>
    <row r="820" s="1" customFormat="1" spans="1:12">
      <c r="A820" s="2">
        <v>27.309</v>
      </c>
      <c r="B820" s="10" t="s">
        <v>94</v>
      </c>
      <c r="C820" s="4">
        <v>27.309</v>
      </c>
      <c r="D820" s="4">
        <v>48.9</v>
      </c>
      <c r="G820" s="2">
        <f t="shared" si="72"/>
        <v>27.276</v>
      </c>
      <c r="H820" s="11" t="str">
        <f t="shared" si="73"/>
        <v>3.587E-2</v>
      </c>
      <c r="I820" s="2">
        <f t="shared" si="74"/>
        <v>48.9</v>
      </c>
      <c r="J820" s="4">
        <f t="shared" si="75"/>
        <v>27.276</v>
      </c>
      <c r="K820" s="9">
        <f t="shared" si="76"/>
        <v>23.5</v>
      </c>
      <c r="L820" s="1">
        <f t="shared" si="77"/>
        <v>-0.300000000000022</v>
      </c>
    </row>
    <row r="821" s="1" customFormat="1" spans="1:12">
      <c r="A821" s="2">
        <v>27.343</v>
      </c>
      <c r="B821" s="10" t="s">
        <v>94</v>
      </c>
      <c r="C821" s="4">
        <v>27.343</v>
      </c>
      <c r="D821" s="4">
        <v>48.4</v>
      </c>
      <c r="G821" s="2">
        <f t="shared" si="72"/>
        <v>27.309</v>
      </c>
      <c r="H821" s="11" t="str">
        <f t="shared" si="73"/>
        <v>3.590E-2</v>
      </c>
      <c r="I821" s="2">
        <f t="shared" si="74"/>
        <v>48.9</v>
      </c>
      <c r="J821" s="4">
        <f t="shared" si="75"/>
        <v>27.309</v>
      </c>
      <c r="K821" s="9">
        <f t="shared" si="76"/>
        <v>23.8</v>
      </c>
      <c r="L821" s="1">
        <f t="shared" si="77"/>
        <v>-0.300000000000022</v>
      </c>
    </row>
    <row r="822" s="1" customFormat="1" spans="1:12">
      <c r="A822" s="2">
        <v>27.376</v>
      </c>
      <c r="B822" s="10" t="s">
        <v>94</v>
      </c>
      <c r="C822" s="4">
        <v>27.376</v>
      </c>
      <c r="D822" s="4">
        <v>48</v>
      </c>
      <c r="G822" s="2">
        <f t="shared" si="72"/>
        <v>27.343</v>
      </c>
      <c r="H822" s="11" t="str">
        <f t="shared" si="73"/>
        <v>3.590E-2</v>
      </c>
      <c r="I822" s="2">
        <f t="shared" si="74"/>
        <v>48.4</v>
      </c>
      <c r="J822" s="4">
        <f t="shared" si="75"/>
        <v>27.343</v>
      </c>
      <c r="K822" s="9">
        <f t="shared" si="76"/>
        <v>23.8</v>
      </c>
      <c r="L822" s="1">
        <f t="shared" si="77"/>
        <v>-0.300000000000022</v>
      </c>
    </row>
    <row r="823" s="1" customFormat="1" spans="1:12">
      <c r="A823" s="2">
        <v>27.41</v>
      </c>
      <c r="B823" s="10" t="s">
        <v>70</v>
      </c>
      <c r="C823" s="4">
        <v>27.41</v>
      </c>
      <c r="D823" s="4">
        <v>47.9</v>
      </c>
      <c r="G823" s="2">
        <f t="shared" si="72"/>
        <v>27.376</v>
      </c>
      <c r="H823" s="11" t="str">
        <f t="shared" si="73"/>
        <v>3.590E-2</v>
      </c>
      <c r="I823" s="2">
        <f t="shared" si="74"/>
        <v>48</v>
      </c>
      <c r="J823" s="4">
        <f t="shared" si="75"/>
        <v>27.376</v>
      </c>
      <c r="K823" s="9">
        <f t="shared" si="76"/>
        <v>23.8</v>
      </c>
      <c r="L823" s="1">
        <f t="shared" si="77"/>
        <v>-0.300000000000022</v>
      </c>
    </row>
    <row r="824" s="1" customFormat="1" spans="1:12">
      <c r="A824" s="2">
        <v>27.443</v>
      </c>
      <c r="B824" s="10" t="s">
        <v>68</v>
      </c>
      <c r="C824" s="4">
        <v>27.443</v>
      </c>
      <c r="D824" s="4">
        <v>48.1</v>
      </c>
      <c r="G824" s="2">
        <f t="shared" si="72"/>
        <v>27.41</v>
      </c>
      <c r="H824" s="11" t="str">
        <f t="shared" si="73"/>
        <v>3.589E-2</v>
      </c>
      <c r="I824" s="2">
        <f t="shared" si="74"/>
        <v>47.9</v>
      </c>
      <c r="J824" s="4">
        <f t="shared" si="75"/>
        <v>27.41</v>
      </c>
      <c r="K824" s="9">
        <f t="shared" si="76"/>
        <v>23.7</v>
      </c>
      <c r="L824" s="1">
        <f t="shared" si="77"/>
        <v>-0.300000000000022</v>
      </c>
    </row>
    <row r="825" s="1" customFormat="1" spans="1:12">
      <c r="A825" s="2">
        <v>27.476</v>
      </c>
      <c r="B825" s="10" t="s">
        <v>68</v>
      </c>
      <c r="C825" s="4">
        <v>27.476</v>
      </c>
      <c r="D825" s="4">
        <v>48.6</v>
      </c>
      <c r="G825" s="2">
        <f t="shared" si="72"/>
        <v>27.443</v>
      </c>
      <c r="H825" s="11" t="str">
        <f t="shared" si="73"/>
        <v>3.591E-2</v>
      </c>
      <c r="I825" s="2">
        <f t="shared" si="74"/>
        <v>48.1</v>
      </c>
      <c r="J825" s="4">
        <f t="shared" si="75"/>
        <v>27.443</v>
      </c>
      <c r="K825" s="9">
        <f t="shared" si="76"/>
        <v>23.9</v>
      </c>
      <c r="L825" s="1">
        <f t="shared" si="77"/>
        <v>-0.300000000000022</v>
      </c>
    </row>
    <row r="826" s="1" customFormat="1" spans="1:12">
      <c r="A826" s="2">
        <v>27.51</v>
      </c>
      <c r="B826" s="10" t="s">
        <v>94</v>
      </c>
      <c r="C826" s="4">
        <v>27.51</v>
      </c>
      <c r="D826" s="4">
        <v>48</v>
      </c>
      <c r="G826" s="2">
        <f t="shared" si="72"/>
        <v>27.476</v>
      </c>
      <c r="H826" s="11" t="str">
        <f t="shared" si="73"/>
        <v>3.591E-2</v>
      </c>
      <c r="I826" s="2">
        <f t="shared" si="74"/>
        <v>48.6</v>
      </c>
      <c r="J826" s="4">
        <f t="shared" si="75"/>
        <v>27.476</v>
      </c>
      <c r="K826" s="9">
        <f t="shared" si="76"/>
        <v>23.9</v>
      </c>
      <c r="L826" s="1">
        <f t="shared" si="77"/>
        <v>-0.300000000000022</v>
      </c>
    </row>
    <row r="827" s="1" customFormat="1" spans="1:12">
      <c r="A827" s="2">
        <v>27.543</v>
      </c>
      <c r="B827" s="10" t="s">
        <v>69</v>
      </c>
      <c r="C827" s="4">
        <v>27.543</v>
      </c>
      <c r="D827" s="4">
        <v>47.9</v>
      </c>
      <c r="G827" s="2">
        <f t="shared" si="72"/>
        <v>27.51</v>
      </c>
      <c r="H827" s="11" t="str">
        <f t="shared" si="73"/>
        <v>3.590E-2</v>
      </c>
      <c r="I827" s="2">
        <f t="shared" si="74"/>
        <v>48</v>
      </c>
      <c r="J827" s="4">
        <f t="shared" si="75"/>
        <v>27.51</v>
      </c>
      <c r="K827" s="9">
        <f t="shared" si="76"/>
        <v>23.8</v>
      </c>
      <c r="L827" s="1">
        <f t="shared" si="77"/>
        <v>-0.300000000000022</v>
      </c>
    </row>
    <row r="828" s="1" customFormat="1" spans="1:12">
      <c r="A828" s="2">
        <v>27.577</v>
      </c>
      <c r="B828" s="10" t="s">
        <v>69</v>
      </c>
      <c r="C828" s="4">
        <v>27.577</v>
      </c>
      <c r="D828" s="4">
        <v>47.6</v>
      </c>
      <c r="G828" s="2">
        <f t="shared" si="72"/>
        <v>27.543</v>
      </c>
      <c r="H828" s="11" t="str">
        <f t="shared" si="73"/>
        <v>3.592E-2</v>
      </c>
      <c r="I828" s="2">
        <f t="shared" si="74"/>
        <v>47.9</v>
      </c>
      <c r="J828" s="4">
        <f t="shared" si="75"/>
        <v>27.543</v>
      </c>
      <c r="K828" s="9">
        <f t="shared" si="76"/>
        <v>24</v>
      </c>
      <c r="L828" s="1">
        <f t="shared" si="77"/>
        <v>-0.300000000000022</v>
      </c>
    </row>
    <row r="829" s="1" customFormat="1" spans="1:12">
      <c r="A829" s="2">
        <v>27.61</v>
      </c>
      <c r="B829" s="10" t="s">
        <v>69</v>
      </c>
      <c r="C829" s="4">
        <v>27.61</v>
      </c>
      <c r="D829" s="4">
        <v>47.5</v>
      </c>
      <c r="G829" s="2">
        <f t="shared" si="72"/>
        <v>27.577</v>
      </c>
      <c r="H829" s="11" t="str">
        <f t="shared" si="73"/>
        <v>3.592E-2</v>
      </c>
      <c r="I829" s="2">
        <f t="shared" si="74"/>
        <v>47.6</v>
      </c>
      <c r="J829" s="4">
        <f t="shared" si="75"/>
        <v>27.577</v>
      </c>
      <c r="K829" s="9">
        <f t="shared" si="76"/>
        <v>24</v>
      </c>
      <c r="L829" s="1">
        <f t="shared" si="77"/>
        <v>-0.300000000000022</v>
      </c>
    </row>
    <row r="830" s="1" customFormat="1" spans="1:12">
      <c r="A830" s="2">
        <v>27.644</v>
      </c>
      <c r="B830" s="10" t="s">
        <v>68</v>
      </c>
      <c r="C830" s="4">
        <v>27.644</v>
      </c>
      <c r="D830" s="4">
        <v>47.8</v>
      </c>
      <c r="G830" s="2">
        <f t="shared" si="72"/>
        <v>27.61</v>
      </c>
      <c r="H830" s="11" t="str">
        <f t="shared" si="73"/>
        <v>3.592E-2</v>
      </c>
      <c r="I830" s="2">
        <f t="shared" si="74"/>
        <v>47.5</v>
      </c>
      <c r="J830" s="4">
        <f t="shared" si="75"/>
        <v>27.61</v>
      </c>
      <c r="K830" s="9">
        <f t="shared" si="76"/>
        <v>24</v>
      </c>
      <c r="L830" s="1">
        <f t="shared" si="77"/>
        <v>-0.300000000000022</v>
      </c>
    </row>
    <row r="831" s="1" customFormat="1" spans="1:12">
      <c r="A831" s="2">
        <v>27.677</v>
      </c>
      <c r="B831" s="10" t="s">
        <v>68</v>
      </c>
      <c r="C831" s="4">
        <v>27.677</v>
      </c>
      <c r="D831" s="4">
        <v>47.4</v>
      </c>
      <c r="G831" s="2">
        <f t="shared" si="72"/>
        <v>27.644</v>
      </c>
      <c r="H831" s="11" t="str">
        <f t="shared" si="73"/>
        <v>3.591E-2</v>
      </c>
      <c r="I831" s="2">
        <f t="shared" si="74"/>
        <v>47.8</v>
      </c>
      <c r="J831" s="4">
        <f t="shared" si="75"/>
        <v>27.644</v>
      </c>
      <c r="K831" s="9">
        <f t="shared" si="76"/>
        <v>23.9</v>
      </c>
      <c r="L831" s="1">
        <f t="shared" si="77"/>
        <v>-0.300000000000022</v>
      </c>
    </row>
    <row r="832" s="1" customFormat="1" spans="1:12">
      <c r="A832" s="2">
        <v>27.71</v>
      </c>
      <c r="B832" s="10" t="s">
        <v>68</v>
      </c>
      <c r="C832" s="4">
        <v>27.71</v>
      </c>
      <c r="D832" s="4">
        <v>47.8</v>
      </c>
      <c r="G832" s="2">
        <f t="shared" si="72"/>
        <v>27.677</v>
      </c>
      <c r="H832" s="11" t="str">
        <f t="shared" si="73"/>
        <v>3.591E-2</v>
      </c>
      <c r="I832" s="2">
        <f t="shared" si="74"/>
        <v>47.4</v>
      </c>
      <c r="J832" s="4">
        <f t="shared" si="75"/>
        <v>27.677</v>
      </c>
      <c r="K832" s="9">
        <f t="shared" si="76"/>
        <v>23.9</v>
      </c>
      <c r="L832" s="1">
        <f t="shared" si="77"/>
        <v>-0.300000000000022</v>
      </c>
    </row>
    <row r="833" s="1" customFormat="1" spans="1:12">
      <c r="A833" s="2">
        <v>27.744</v>
      </c>
      <c r="B833" s="10" t="s">
        <v>69</v>
      </c>
      <c r="C833" s="4">
        <v>27.744</v>
      </c>
      <c r="D833" s="4">
        <v>48.2</v>
      </c>
      <c r="G833" s="2">
        <f t="shared" si="72"/>
        <v>27.71</v>
      </c>
      <c r="H833" s="11" t="str">
        <f t="shared" si="73"/>
        <v>3.591E-2</v>
      </c>
      <c r="I833" s="2">
        <f t="shared" si="74"/>
        <v>47.8</v>
      </c>
      <c r="J833" s="4">
        <f t="shared" si="75"/>
        <v>27.71</v>
      </c>
      <c r="K833" s="9">
        <f t="shared" si="76"/>
        <v>23.9</v>
      </c>
      <c r="L833" s="1">
        <f t="shared" si="77"/>
        <v>-0.300000000000022</v>
      </c>
    </row>
    <row r="834" s="1" customFormat="1" spans="1:12">
      <c r="A834" s="2">
        <v>27.777</v>
      </c>
      <c r="B834" s="10" t="s">
        <v>68</v>
      </c>
      <c r="C834" s="4">
        <v>27.777</v>
      </c>
      <c r="D834" s="4">
        <v>47.8</v>
      </c>
      <c r="G834" s="2">
        <f t="shared" si="72"/>
        <v>27.744</v>
      </c>
      <c r="H834" s="11" t="str">
        <f t="shared" si="73"/>
        <v>3.592E-2</v>
      </c>
      <c r="I834" s="2">
        <f t="shared" si="74"/>
        <v>48.2</v>
      </c>
      <c r="J834" s="4">
        <f t="shared" si="75"/>
        <v>27.744</v>
      </c>
      <c r="K834" s="9">
        <f t="shared" si="76"/>
        <v>24</v>
      </c>
      <c r="L834" s="1">
        <f t="shared" si="77"/>
        <v>-0.300000000000022</v>
      </c>
    </row>
    <row r="835" s="1" customFormat="1" spans="1:12">
      <c r="A835" s="2">
        <v>27.811</v>
      </c>
      <c r="B835" s="10" t="s">
        <v>94</v>
      </c>
      <c r="C835" s="4">
        <v>27.811</v>
      </c>
      <c r="D835" s="4">
        <v>47.4</v>
      </c>
      <c r="G835" s="2">
        <f t="shared" si="72"/>
        <v>27.777</v>
      </c>
      <c r="H835" s="11" t="str">
        <f t="shared" si="73"/>
        <v>3.591E-2</v>
      </c>
      <c r="I835" s="2">
        <f t="shared" si="74"/>
        <v>47.8</v>
      </c>
      <c r="J835" s="4">
        <f t="shared" si="75"/>
        <v>27.777</v>
      </c>
      <c r="K835" s="9">
        <f t="shared" si="76"/>
        <v>23.9</v>
      </c>
      <c r="L835" s="1">
        <f t="shared" si="77"/>
        <v>-0.300000000000022</v>
      </c>
    </row>
    <row r="836" s="1" customFormat="1" spans="1:12">
      <c r="A836" s="2">
        <v>27.844</v>
      </c>
      <c r="B836" s="10" t="s">
        <v>94</v>
      </c>
      <c r="C836" s="4">
        <v>27.844</v>
      </c>
      <c r="D836" s="4">
        <v>47.8</v>
      </c>
      <c r="G836" s="2">
        <f t="shared" ref="G836:G892" si="78">A835</f>
        <v>27.811</v>
      </c>
      <c r="H836" s="11" t="str">
        <f t="shared" ref="H836:H892" si="79">B835</f>
        <v>3.590E-2</v>
      </c>
      <c r="I836" s="2">
        <f t="shared" ref="I836:I892" si="80">D835</f>
        <v>47.4</v>
      </c>
      <c r="J836" s="4">
        <f t="shared" ref="J836:J892" si="81">G836</f>
        <v>27.811</v>
      </c>
      <c r="K836" s="9">
        <f t="shared" ref="K836:K892" si="82">(H836-$H$4)*10000</f>
        <v>23.8</v>
      </c>
      <c r="L836" s="1">
        <f t="shared" si="77"/>
        <v>-0.300000000000022</v>
      </c>
    </row>
    <row r="837" s="1" customFormat="1" spans="1:12">
      <c r="A837" s="2">
        <v>27.877</v>
      </c>
      <c r="B837" s="10" t="s">
        <v>94</v>
      </c>
      <c r="C837" s="4">
        <v>27.877</v>
      </c>
      <c r="D837" s="4">
        <v>47.5</v>
      </c>
      <c r="G837" s="2">
        <f t="shared" si="78"/>
        <v>27.844</v>
      </c>
      <c r="H837" s="11" t="str">
        <f t="shared" si="79"/>
        <v>3.590E-2</v>
      </c>
      <c r="I837" s="2">
        <f t="shared" si="80"/>
        <v>47.8</v>
      </c>
      <c r="J837" s="4">
        <f t="shared" si="81"/>
        <v>27.844</v>
      </c>
      <c r="K837" s="9">
        <f t="shared" si="82"/>
        <v>23.8</v>
      </c>
      <c r="L837" s="1">
        <f t="shared" ref="L837:L900" si="83">IF(I837&lt;230,MIN(K:K),MAX(K:K))</f>
        <v>-0.300000000000022</v>
      </c>
    </row>
    <row r="838" s="1" customFormat="1" spans="1:12">
      <c r="A838" s="2">
        <v>27.911</v>
      </c>
      <c r="B838" s="10" t="s">
        <v>70</v>
      </c>
      <c r="C838" s="4">
        <v>27.911</v>
      </c>
      <c r="D838" s="4">
        <v>47.9</v>
      </c>
      <c r="G838" s="2">
        <f t="shared" si="78"/>
        <v>27.877</v>
      </c>
      <c r="H838" s="11" t="str">
        <f t="shared" si="79"/>
        <v>3.590E-2</v>
      </c>
      <c r="I838" s="2">
        <f t="shared" si="80"/>
        <v>47.5</v>
      </c>
      <c r="J838" s="4">
        <f t="shared" si="81"/>
        <v>27.877</v>
      </c>
      <c r="K838" s="9">
        <f t="shared" si="82"/>
        <v>23.8</v>
      </c>
      <c r="L838" s="1">
        <f t="shared" si="83"/>
        <v>-0.300000000000022</v>
      </c>
    </row>
    <row r="839" s="1" customFormat="1" spans="1:12">
      <c r="A839" s="2">
        <v>27.944</v>
      </c>
      <c r="B839" s="10" t="s">
        <v>178</v>
      </c>
      <c r="C839" s="4">
        <v>27.944</v>
      </c>
      <c r="D839" s="4">
        <v>48.4</v>
      </c>
      <c r="G839" s="2">
        <f t="shared" si="78"/>
        <v>27.911</v>
      </c>
      <c r="H839" s="11" t="str">
        <f t="shared" si="79"/>
        <v>3.589E-2</v>
      </c>
      <c r="I839" s="2">
        <f t="shared" si="80"/>
        <v>47.9</v>
      </c>
      <c r="J839" s="4">
        <f t="shared" si="81"/>
        <v>27.911</v>
      </c>
      <c r="K839" s="9">
        <f t="shared" si="82"/>
        <v>23.7</v>
      </c>
      <c r="L839" s="1">
        <f t="shared" si="83"/>
        <v>-0.300000000000022</v>
      </c>
    </row>
    <row r="840" s="1" customFormat="1" spans="1:12">
      <c r="A840" s="2">
        <v>27.978</v>
      </c>
      <c r="B840" s="10" t="s">
        <v>67</v>
      </c>
      <c r="C840" s="4">
        <v>27.978</v>
      </c>
      <c r="D840" s="4">
        <v>47.9</v>
      </c>
      <c r="G840" s="2">
        <f t="shared" si="78"/>
        <v>27.944</v>
      </c>
      <c r="H840" s="11" t="str">
        <f t="shared" si="79"/>
        <v>3.588E-2</v>
      </c>
      <c r="I840" s="2">
        <f t="shared" si="80"/>
        <v>48.4</v>
      </c>
      <c r="J840" s="4">
        <f t="shared" si="81"/>
        <v>27.944</v>
      </c>
      <c r="K840" s="9">
        <f t="shared" si="82"/>
        <v>23.6</v>
      </c>
      <c r="L840" s="1">
        <f t="shared" si="83"/>
        <v>-0.300000000000022</v>
      </c>
    </row>
    <row r="841" s="1" customFormat="1" spans="1:12">
      <c r="A841" s="2">
        <v>28.011</v>
      </c>
      <c r="B841" s="10" t="s">
        <v>178</v>
      </c>
      <c r="C841" s="4">
        <v>28.011</v>
      </c>
      <c r="D841" s="4">
        <v>48.1</v>
      </c>
      <c r="G841" s="2">
        <f t="shared" si="78"/>
        <v>27.978</v>
      </c>
      <c r="H841" s="11" t="str">
        <f t="shared" si="79"/>
        <v>3.587E-2</v>
      </c>
      <c r="I841" s="2">
        <f t="shared" si="80"/>
        <v>47.9</v>
      </c>
      <c r="J841" s="4">
        <f t="shared" si="81"/>
        <v>27.978</v>
      </c>
      <c r="K841" s="9">
        <f t="shared" si="82"/>
        <v>23.5</v>
      </c>
      <c r="L841" s="1">
        <f t="shared" si="83"/>
        <v>-0.300000000000022</v>
      </c>
    </row>
    <row r="842" s="1" customFormat="1" spans="1:12">
      <c r="A842" s="2">
        <v>28.045</v>
      </c>
      <c r="B842" s="10" t="s">
        <v>179</v>
      </c>
      <c r="C842" s="4">
        <v>28.045</v>
      </c>
      <c r="D842" s="4">
        <v>47.4</v>
      </c>
      <c r="G842" s="2">
        <f t="shared" si="78"/>
        <v>28.011</v>
      </c>
      <c r="H842" s="11" t="str">
        <f t="shared" si="79"/>
        <v>3.588E-2</v>
      </c>
      <c r="I842" s="2">
        <f t="shared" si="80"/>
        <v>48.1</v>
      </c>
      <c r="J842" s="4">
        <f t="shared" si="81"/>
        <v>28.011</v>
      </c>
      <c r="K842" s="9">
        <f t="shared" si="82"/>
        <v>23.6</v>
      </c>
      <c r="L842" s="1">
        <f t="shared" si="83"/>
        <v>-0.300000000000022</v>
      </c>
    </row>
    <row r="843" s="1" customFormat="1" spans="1:12">
      <c r="A843" s="2">
        <v>28.078</v>
      </c>
      <c r="B843" s="10" t="s">
        <v>179</v>
      </c>
      <c r="C843" s="4">
        <v>28.078</v>
      </c>
      <c r="D843" s="4">
        <v>48.1</v>
      </c>
      <c r="G843" s="2">
        <f t="shared" si="78"/>
        <v>28.045</v>
      </c>
      <c r="H843" s="11" t="str">
        <f t="shared" si="79"/>
        <v>3.586E-2</v>
      </c>
      <c r="I843" s="2">
        <f t="shared" si="80"/>
        <v>47.4</v>
      </c>
      <c r="J843" s="4">
        <f t="shared" si="81"/>
        <v>28.045</v>
      </c>
      <c r="K843" s="9">
        <f t="shared" si="82"/>
        <v>23.4</v>
      </c>
      <c r="L843" s="1">
        <f t="shared" si="83"/>
        <v>-0.300000000000022</v>
      </c>
    </row>
    <row r="844" s="1" customFormat="1" spans="1:12">
      <c r="A844" s="2">
        <v>28.111</v>
      </c>
      <c r="B844" s="10" t="s">
        <v>179</v>
      </c>
      <c r="C844" s="4">
        <v>28.111</v>
      </c>
      <c r="D844" s="4">
        <v>48.1</v>
      </c>
      <c r="G844" s="2">
        <f t="shared" si="78"/>
        <v>28.078</v>
      </c>
      <c r="H844" s="11" t="str">
        <f t="shared" si="79"/>
        <v>3.586E-2</v>
      </c>
      <c r="I844" s="2">
        <f t="shared" si="80"/>
        <v>48.1</v>
      </c>
      <c r="J844" s="4">
        <f t="shared" si="81"/>
        <v>28.078</v>
      </c>
      <c r="K844" s="9">
        <f t="shared" si="82"/>
        <v>23.4</v>
      </c>
      <c r="L844" s="1">
        <f t="shared" si="83"/>
        <v>-0.300000000000022</v>
      </c>
    </row>
    <row r="845" s="1" customFormat="1" spans="1:12">
      <c r="A845" s="2">
        <v>28.145</v>
      </c>
      <c r="B845" s="10" t="s">
        <v>301</v>
      </c>
      <c r="C845" s="4">
        <v>28.145</v>
      </c>
      <c r="D845" s="4">
        <v>48.2</v>
      </c>
      <c r="G845" s="2">
        <f t="shared" si="78"/>
        <v>28.111</v>
      </c>
      <c r="H845" s="11" t="str">
        <f t="shared" si="79"/>
        <v>3.586E-2</v>
      </c>
      <c r="I845" s="2">
        <f t="shared" si="80"/>
        <v>48.1</v>
      </c>
      <c r="J845" s="4">
        <f t="shared" si="81"/>
        <v>28.111</v>
      </c>
      <c r="K845" s="9">
        <f t="shared" si="82"/>
        <v>23.4</v>
      </c>
      <c r="L845" s="1">
        <f t="shared" si="83"/>
        <v>-0.300000000000022</v>
      </c>
    </row>
    <row r="846" s="1" customFormat="1" spans="1:12">
      <c r="A846" s="2">
        <v>28.178</v>
      </c>
      <c r="B846" s="10" t="s">
        <v>180</v>
      </c>
      <c r="C846" s="4">
        <v>28.178</v>
      </c>
      <c r="D846" s="4">
        <v>47.9</v>
      </c>
      <c r="G846" s="2">
        <f t="shared" si="78"/>
        <v>28.145</v>
      </c>
      <c r="H846" s="11" t="str">
        <f t="shared" si="79"/>
        <v>3.585E-2</v>
      </c>
      <c r="I846" s="2">
        <f t="shared" si="80"/>
        <v>48.2</v>
      </c>
      <c r="J846" s="4">
        <f t="shared" si="81"/>
        <v>28.145</v>
      </c>
      <c r="K846" s="9">
        <f t="shared" si="82"/>
        <v>23.3</v>
      </c>
      <c r="L846" s="1">
        <f t="shared" si="83"/>
        <v>-0.300000000000022</v>
      </c>
    </row>
    <row r="847" s="1" customFormat="1" spans="1:12">
      <c r="A847" s="2">
        <v>28.212</v>
      </c>
      <c r="B847" s="10" t="s">
        <v>180</v>
      </c>
      <c r="C847" s="4">
        <v>28.212</v>
      </c>
      <c r="D847" s="4">
        <v>48.1</v>
      </c>
      <c r="G847" s="2">
        <f t="shared" si="78"/>
        <v>28.178</v>
      </c>
      <c r="H847" s="11" t="str">
        <f t="shared" si="79"/>
        <v>3.584E-2</v>
      </c>
      <c r="I847" s="2">
        <f t="shared" si="80"/>
        <v>47.9</v>
      </c>
      <c r="J847" s="4">
        <f t="shared" si="81"/>
        <v>28.178</v>
      </c>
      <c r="K847" s="9">
        <f t="shared" si="82"/>
        <v>23.2</v>
      </c>
      <c r="L847" s="1">
        <f t="shared" si="83"/>
        <v>-0.300000000000022</v>
      </c>
    </row>
    <row r="848" s="1" customFormat="1" spans="1:12">
      <c r="A848" s="2">
        <v>28.245</v>
      </c>
      <c r="B848" s="10" t="s">
        <v>301</v>
      </c>
      <c r="C848" s="4">
        <v>28.245</v>
      </c>
      <c r="D848" s="4">
        <v>48.1</v>
      </c>
      <c r="G848" s="2">
        <f t="shared" si="78"/>
        <v>28.212</v>
      </c>
      <c r="H848" s="11" t="str">
        <f t="shared" si="79"/>
        <v>3.584E-2</v>
      </c>
      <c r="I848" s="2">
        <f t="shared" si="80"/>
        <v>48.1</v>
      </c>
      <c r="J848" s="4">
        <f t="shared" si="81"/>
        <v>28.212</v>
      </c>
      <c r="K848" s="9">
        <f t="shared" si="82"/>
        <v>23.2</v>
      </c>
      <c r="L848" s="1">
        <f t="shared" si="83"/>
        <v>-0.300000000000022</v>
      </c>
    </row>
    <row r="849" s="1" customFormat="1" spans="1:12">
      <c r="A849" s="2">
        <v>28.279</v>
      </c>
      <c r="B849" s="10" t="s">
        <v>301</v>
      </c>
      <c r="C849" s="4">
        <v>28.279</v>
      </c>
      <c r="D849" s="4">
        <v>47.6</v>
      </c>
      <c r="G849" s="2">
        <f t="shared" si="78"/>
        <v>28.245</v>
      </c>
      <c r="H849" s="11" t="str">
        <f t="shared" si="79"/>
        <v>3.585E-2</v>
      </c>
      <c r="I849" s="2">
        <f t="shared" si="80"/>
        <v>48.1</v>
      </c>
      <c r="J849" s="4">
        <f t="shared" si="81"/>
        <v>28.245</v>
      </c>
      <c r="K849" s="9">
        <f t="shared" si="82"/>
        <v>23.3</v>
      </c>
      <c r="L849" s="1">
        <f t="shared" si="83"/>
        <v>-0.300000000000022</v>
      </c>
    </row>
    <row r="850" s="1" customFormat="1" spans="1:12">
      <c r="A850" s="2">
        <v>28.312</v>
      </c>
      <c r="B850" s="10" t="s">
        <v>180</v>
      </c>
      <c r="C850" s="4">
        <v>28.312</v>
      </c>
      <c r="D850" s="4">
        <v>48</v>
      </c>
      <c r="G850" s="2">
        <f t="shared" si="78"/>
        <v>28.279</v>
      </c>
      <c r="H850" s="11" t="str">
        <f t="shared" si="79"/>
        <v>3.585E-2</v>
      </c>
      <c r="I850" s="2">
        <f t="shared" si="80"/>
        <v>47.6</v>
      </c>
      <c r="J850" s="4">
        <f t="shared" si="81"/>
        <v>28.279</v>
      </c>
      <c r="K850" s="9">
        <f t="shared" si="82"/>
        <v>23.3</v>
      </c>
      <c r="L850" s="1">
        <f t="shared" si="83"/>
        <v>-0.300000000000022</v>
      </c>
    </row>
    <row r="851" s="1" customFormat="1" spans="1:12">
      <c r="A851" s="2">
        <v>28.345</v>
      </c>
      <c r="B851" s="10" t="s">
        <v>71</v>
      </c>
      <c r="C851" s="4">
        <v>28.345</v>
      </c>
      <c r="D851" s="4">
        <v>48.4</v>
      </c>
      <c r="G851" s="2">
        <f t="shared" si="78"/>
        <v>28.312</v>
      </c>
      <c r="H851" s="11" t="str">
        <f t="shared" si="79"/>
        <v>3.584E-2</v>
      </c>
      <c r="I851" s="2">
        <f t="shared" si="80"/>
        <v>48</v>
      </c>
      <c r="J851" s="4">
        <f t="shared" si="81"/>
        <v>28.312</v>
      </c>
      <c r="K851" s="9">
        <f t="shared" si="82"/>
        <v>23.2</v>
      </c>
      <c r="L851" s="1">
        <f t="shared" si="83"/>
        <v>-0.300000000000022</v>
      </c>
    </row>
    <row r="852" s="1" customFormat="1" spans="1:12">
      <c r="A852" s="2">
        <v>28.379</v>
      </c>
      <c r="B852" s="10" t="s">
        <v>301</v>
      </c>
      <c r="C852" s="4">
        <v>28.379</v>
      </c>
      <c r="D852" s="4">
        <v>47.4</v>
      </c>
      <c r="G852" s="2">
        <f t="shared" si="78"/>
        <v>28.345</v>
      </c>
      <c r="H852" s="11" t="str">
        <f t="shared" si="79"/>
        <v>3.583E-2</v>
      </c>
      <c r="I852" s="2">
        <f t="shared" si="80"/>
        <v>48.4</v>
      </c>
      <c r="J852" s="4">
        <f t="shared" si="81"/>
        <v>28.345</v>
      </c>
      <c r="K852" s="9">
        <f t="shared" si="82"/>
        <v>23.1</v>
      </c>
      <c r="L852" s="1">
        <f t="shared" si="83"/>
        <v>-0.300000000000022</v>
      </c>
    </row>
    <row r="853" s="1" customFormat="1" spans="1:12">
      <c r="A853" s="2">
        <v>28.412</v>
      </c>
      <c r="B853" s="10" t="s">
        <v>301</v>
      </c>
      <c r="C853" s="4">
        <v>28.412</v>
      </c>
      <c r="D853" s="4">
        <v>48.2</v>
      </c>
      <c r="G853" s="2">
        <f t="shared" si="78"/>
        <v>28.379</v>
      </c>
      <c r="H853" s="11" t="str">
        <f t="shared" si="79"/>
        <v>3.585E-2</v>
      </c>
      <c r="I853" s="2">
        <f t="shared" si="80"/>
        <v>47.4</v>
      </c>
      <c r="J853" s="4">
        <f t="shared" si="81"/>
        <v>28.379</v>
      </c>
      <c r="K853" s="9">
        <f t="shared" si="82"/>
        <v>23.3</v>
      </c>
      <c r="L853" s="1">
        <f t="shared" si="83"/>
        <v>-0.300000000000022</v>
      </c>
    </row>
    <row r="854" s="1" customFormat="1" spans="1:12">
      <c r="A854" s="2">
        <v>28.446</v>
      </c>
      <c r="B854" s="10" t="s">
        <v>67</v>
      </c>
      <c r="C854" s="4">
        <v>28.446</v>
      </c>
      <c r="D854" s="4">
        <v>47.9</v>
      </c>
      <c r="G854" s="2">
        <f t="shared" si="78"/>
        <v>28.412</v>
      </c>
      <c r="H854" s="11" t="str">
        <f t="shared" si="79"/>
        <v>3.585E-2</v>
      </c>
      <c r="I854" s="2">
        <f t="shared" si="80"/>
        <v>48.2</v>
      </c>
      <c r="J854" s="4">
        <f t="shared" si="81"/>
        <v>28.412</v>
      </c>
      <c r="K854" s="9">
        <f t="shared" si="82"/>
        <v>23.3</v>
      </c>
      <c r="L854" s="1">
        <f t="shared" si="83"/>
        <v>-0.300000000000022</v>
      </c>
    </row>
    <row r="855" s="1" customFormat="1" spans="1:12">
      <c r="A855" s="2">
        <v>28.479</v>
      </c>
      <c r="B855" s="10" t="s">
        <v>178</v>
      </c>
      <c r="C855" s="4">
        <v>28.479</v>
      </c>
      <c r="D855" s="4">
        <v>47.5</v>
      </c>
      <c r="G855" s="2">
        <f t="shared" si="78"/>
        <v>28.446</v>
      </c>
      <c r="H855" s="11" t="str">
        <f t="shared" si="79"/>
        <v>3.587E-2</v>
      </c>
      <c r="I855" s="2">
        <f t="shared" si="80"/>
        <v>47.9</v>
      </c>
      <c r="J855" s="4">
        <f t="shared" si="81"/>
        <v>28.446</v>
      </c>
      <c r="K855" s="9">
        <f t="shared" si="82"/>
        <v>23.5</v>
      </c>
      <c r="L855" s="1">
        <f t="shared" si="83"/>
        <v>-0.300000000000022</v>
      </c>
    </row>
    <row r="856" s="1" customFormat="1" spans="1:12">
      <c r="A856" s="2">
        <v>28.513</v>
      </c>
      <c r="B856" s="10" t="s">
        <v>178</v>
      </c>
      <c r="C856" s="4">
        <v>28.513</v>
      </c>
      <c r="D856" s="4">
        <v>47.3</v>
      </c>
      <c r="G856" s="2">
        <f t="shared" si="78"/>
        <v>28.479</v>
      </c>
      <c r="H856" s="11" t="str">
        <f t="shared" si="79"/>
        <v>3.588E-2</v>
      </c>
      <c r="I856" s="2">
        <f t="shared" si="80"/>
        <v>47.5</v>
      </c>
      <c r="J856" s="4">
        <f t="shared" si="81"/>
        <v>28.479</v>
      </c>
      <c r="K856" s="9">
        <f t="shared" si="82"/>
        <v>23.6</v>
      </c>
      <c r="L856" s="1">
        <f t="shared" si="83"/>
        <v>-0.300000000000022</v>
      </c>
    </row>
    <row r="857" s="1" customFormat="1" spans="1:12">
      <c r="A857" s="2">
        <v>28.546</v>
      </c>
      <c r="B857" s="10" t="s">
        <v>67</v>
      </c>
      <c r="C857" s="4">
        <v>28.546</v>
      </c>
      <c r="D857" s="4">
        <v>47.8</v>
      </c>
      <c r="G857" s="2">
        <f t="shared" si="78"/>
        <v>28.513</v>
      </c>
      <c r="H857" s="11" t="str">
        <f t="shared" si="79"/>
        <v>3.588E-2</v>
      </c>
      <c r="I857" s="2">
        <f t="shared" si="80"/>
        <v>47.3</v>
      </c>
      <c r="J857" s="4">
        <f t="shared" si="81"/>
        <v>28.513</v>
      </c>
      <c r="K857" s="9">
        <f t="shared" si="82"/>
        <v>23.6</v>
      </c>
      <c r="L857" s="1">
        <f t="shared" si="83"/>
        <v>-0.300000000000022</v>
      </c>
    </row>
    <row r="858" s="1" customFormat="1" spans="1:12">
      <c r="A858" s="2">
        <v>28.579</v>
      </c>
      <c r="B858" s="10" t="s">
        <v>178</v>
      </c>
      <c r="C858" s="4">
        <v>28.579</v>
      </c>
      <c r="D858" s="4">
        <v>48</v>
      </c>
      <c r="G858" s="2">
        <f t="shared" si="78"/>
        <v>28.546</v>
      </c>
      <c r="H858" s="11" t="str">
        <f t="shared" si="79"/>
        <v>3.587E-2</v>
      </c>
      <c r="I858" s="2">
        <f t="shared" si="80"/>
        <v>47.8</v>
      </c>
      <c r="J858" s="4">
        <f t="shared" si="81"/>
        <v>28.546</v>
      </c>
      <c r="K858" s="9">
        <f t="shared" si="82"/>
        <v>23.5</v>
      </c>
      <c r="L858" s="1">
        <f t="shared" si="83"/>
        <v>-0.300000000000022</v>
      </c>
    </row>
    <row r="859" s="1" customFormat="1" spans="1:12">
      <c r="A859" s="2">
        <v>28.613</v>
      </c>
      <c r="B859" s="10" t="s">
        <v>70</v>
      </c>
      <c r="C859" s="4">
        <v>28.613</v>
      </c>
      <c r="D859" s="4">
        <v>47.8</v>
      </c>
      <c r="G859" s="2">
        <f t="shared" si="78"/>
        <v>28.579</v>
      </c>
      <c r="H859" s="11" t="str">
        <f t="shared" si="79"/>
        <v>3.588E-2</v>
      </c>
      <c r="I859" s="2">
        <f t="shared" si="80"/>
        <v>48</v>
      </c>
      <c r="J859" s="4">
        <f t="shared" si="81"/>
        <v>28.579</v>
      </c>
      <c r="K859" s="9">
        <f t="shared" si="82"/>
        <v>23.6</v>
      </c>
      <c r="L859" s="1">
        <f t="shared" si="83"/>
        <v>-0.300000000000022</v>
      </c>
    </row>
    <row r="860" s="1" customFormat="1" spans="1:12">
      <c r="A860" s="2">
        <v>28.646</v>
      </c>
      <c r="B860" s="10" t="s">
        <v>178</v>
      </c>
      <c r="C860" s="4">
        <v>28.646</v>
      </c>
      <c r="D860" s="4">
        <v>47.7</v>
      </c>
      <c r="G860" s="2">
        <f t="shared" si="78"/>
        <v>28.613</v>
      </c>
      <c r="H860" s="11" t="str">
        <f t="shared" si="79"/>
        <v>3.589E-2</v>
      </c>
      <c r="I860" s="2">
        <f t="shared" si="80"/>
        <v>47.8</v>
      </c>
      <c r="J860" s="4">
        <f t="shared" si="81"/>
        <v>28.613</v>
      </c>
      <c r="K860" s="9">
        <f t="shared" si="82"/>
        <v>23.7</v>
      </c>
      <c r="L860" s="1">
        <f t="shared" si="83"/>
        <v>-0.300000000000022</v>
      </c>
    </row>
    <row r="861" s="1" customFormat="1" spans="1:12">
      <c r="A861" s="2">
        <v>28.68</v>
      </c>
      <c r="B861" s="10" t="s">
        <v>94</v>
      </c>
      <c r="C861" s="4">
        <v>28.68</v>
      </c>
      <c r="D861" s="4">
        <v>48</v>
      </c>
      <c r="G861" s="2">
        <f t="shared" si="78"/>
        <v>28.646</v>
      </c>
      <c r="H861" s="11" t="str">
        <f t="shared" si="79"/>
        <v>3.588E-2</v>
      </c>
      <c r="I861" s="2">
        <f t="shared" si="80"/>
        <v>47.7</v>
      </c>
      <c r="J861" s="4">
        <f t="shared" si="81"/>
        <v>28.646</v>
      </c>
      <c r="K861" s="9">
        <f t="shared" si="82"/>
        <v>23.6</v>
      </c>
      <c r="L861" s="1">
        <f t="shared" si="83"/>
        <v>-0.300000000000022</v>
      </c>
    </row>
    <row r="862" s="1" customFormat="1" spans="1:12">
      <c r="A862" s="2">
        <v>28.713</v>
      </c>
      <c r="B862" s="10" t="s">
        <v>70</v>
      </c>
      <c r="C862" s="4">
        <v>28.713</v>
      </c>
      <c r="D862" s="4">
        <v>47.9</v>
      </c>
      <c r="G862" s="2">
        <f t="shared" si="78"/>
        <v>28.68</v>
      </c>
      <c r="H862" s="11" t="str">
        <f t="shared" si="79"/>
        <v>3.590E-2</v>
      </c>
      <c r="I862" s="2">
        <f t="shared" si="80"/>
        <v>48</v>
      </c>
      <c r="J862" s="4">
        <f t="shared" si="81"/>
        <v>28.68</v>
      </c>
      <c r="K862" s="9">
        <f t="shared" si="82"/>
        <v>23.8</v>
      </c>
      <c r="L862" s="1">
        <f t="shared" si="83"/>
        <v>-0.300000000000022</v>
      </c>
    </row>
    <row r="863" s="1" customFormat="1" spans="1:12">
      <c r="A863" s="2">
        <v>28.747</v>
      </c>
      <c r="B863" s="10" t="s">
        <v>68</v>
      </c>
      <c r="C863" s="4">
        <v>28.747</v>
      </c>
      <c r="D863" s="4">
        <v>48</v>
      </c>
      <c r="G863" s="2">
        <f t="shared" si="78"/>
        <v>28.713</v>
      </c>
      <c r="H863" s="11" t="str">
        <f t="shared" si="79"/>
        <v>3.589E-2</v>
      </c>
      <c r="I863" s="2">
        <f t="shared" si="80"/>
        <v>47.9</v>
      </c>
      <c r="J863" s="4">
        <f t="shared" si="81"/>
        <v>28.713</v>
      </c>
      <c r="K863" s="9">
        <f t="shared" si="82"/>
        <v>23.7</v>
      </c>
      <c r="L863" s="1">
        <f t="shared" si="83"/>
        <v>-0.300000000000022</v>
      </c>
    </row>
    <row r="864" s="1" customFormat="1" spans="1:12">
      <c r="A864" s="2">
        <v>28.78</v>
      </c>
      <c r="B864" s="10" t="s">
        <v>68</v>
      </c>
      <c r="C864" s="4">
        <v>28.78</v>
      </c>
      <c r="D864" s="4">
        <v>47.3</v>
      </c>
      <c r="G864" s="2">
        <f t="shared" si="78"/>
        <v>28.747</v>
      </c>
      <c r="H864" s="11" t="str">
        <f t="shared" si="79"/>
        <v>3.591E-2</v>
      </c>
      <c r="I864" s="2">
        <f t="shared" si="80"/>
        <v>48</v>
      </c>
      <c r="J864" s="4">
        <f t="shared" si="81"/>
        <v>28.747</v>
      </c>
      <c r="K864" s="9">
        <f t="shared" si="82"/>
        <v>23.9</v>
      </c>
      <c r="L864" s="1">
        <f t="shared" si="83"/>
        <v>-0.300000000000022</v>
      </c>
    </row>
    <row r="865" s="1" customFormat="1" spans="1:12">
      <c r="A865" s="2">
        <v>28.813</v>
      </c>
      <c r="B865" s="10" t="s">
        <v>69</v>
      </c>
      <c r="C865" s="4">
        <v>28.813</v>
      </c>
      <c r="D865" s="4">
        <v>47.8</v>
      </c>
      <c r="G865" s="2">
        <f t="shared" si="78"/>
        <v>28.78</v>
      </c>
      <c r="H865" s="11" t="str">
        <f t="shared" si="79"/>
        <v>3.591E-2</v>
      </c>
      <c r="I865" s="2">
        <f t="shared" si="80"/>
        <v>47.3</v>
      </c>
      <c r="J865" s="4">
        <f t="shared" si="81"/>
        <v>28.78</v>
      </c>
      <c r="K865" s="9">
        <f t="shared" si="82"/>
        <v>23.9</v>
      </c>
      <c r="L865" s="1">
        <f t="shared" si="83"/>
        <v>-0.300000000000022</v>
      </c>
    </row>
    <row r="866" s="1" customFormat="1" spans="1:12">
      <c r="A866" s="2">
        <v>28.847</v>
      </c>
      <c r="B866" s="10" t="s">
        <v>69</v>
      </c>
      <c r="C866" s="4">
        <v>28.847</v>
      </c>
      <c r="D866" s="4">
        <v>47.8</v>
      </c>
      <c r="G866" s="2">
        <f t="shared" si="78"/>
        <v>28.813</v>
      </c>
      <c r="H866" s="11" t="str">
        <f t="shared" si="79"/>
        <v>3.592E-2</v>
      </c>
      <c r="I866" s="2">
        <f t="shared" si="80"/>
        <v>47.8</v>
      </c>
      <c r="J866" s="4">
        <f t="shared" si="81"/>
        <v>28.813</v>
      </c>
      <c r="K866" s="9">
        <f t="shared" si="82"/>
        <v>24</v>
      </c>
      <c r="L866" s="1">
        <f t="shared" si="83"/>
        <v>-0.300000000000022</v>
      </c>
    </row>
    <row r="867" s="1" customFormat="1" spans="1:12">
      <c r="A867" s="2">
        <v>28.88</v>
      </c>
      <c r="B867" s="10" t="s">
        <v>69</v>
      </c>
      <c r="C867" s="4">
        <v>28.88</v>
      </c>
      <c r="D867" s="4">
        <v>47.9</v>
      </c>
      <c r="G867" s="2">
        <f t="shared" si="78"/>
        <v>28.847</v>
      </c>
      <c r="H867" s="11" t="str">
        <f t="shared" si="79"/>
        <v>3.592E-2</v>
      </c>
      <c r="I867" s="2">
        <f t="shared" si="80"/>
        <v>47.8</v>
      </c>
      <c r="J867" s="4">
        <f t="shared" si="81"/>
        <v>28.847</v>
      </c>
      <c r="K867" s="9">
        <f t="shared" si="82"/>
        <v>24</v>
      </c>
      <c r="L867" s="1">
        <f t="shared" si="83"/>
        <v>-0.300000000000022</v>
      </c>
    </row>
    <row r="868" s="1" customFormat="1" spans="1:12">
      <c r="A868" s="2">
        <v>28.914</v>
      </c>
      <c r="B868" s="10" t="s">
        <v>69</v>
      </c>
      <c r="C868" s="4">
        <v>28.914</v>
      </c>
      <c r="D868" s="4">
        <v>47.9</v>
      </c>
      <c r="G868" s="2">
        <f t="shared" si="78"/>
        <v>28.88</v>
      </c>
      <c r="H868" s="11" t="str">
        <f t="shared" si="79"/>
        <v>3.592E-2</v>
      </c>
      <c r="I868" s="2">
        <f t="shared" si="80"/>
        <v>47.9</v>
      </c>
      <c r="J868" s="4">
        <f t="shared" si="81"/>
        <v>28.88</v>
      </c>
      <c r="K868" s="9">
        <f t="shared" si="82"/>
        <v>24</v>
      </c>
      <c r="L868" s="1">
        <f t="shared" si="83"/>
        <v>-0.300000000000022</v>
      </c>
    </row>
    <row r="869" s="1" customFormat="1" spans="1:12">
      <c r="A869" s="2">
        <v>28.947</v>
      </c>
      <c r="B869" s="10" t="s">
        <v>69</v>
      </c>
      <c r="C869" s="4">
        <v>28.947</v>
      </c>
      <c r="D869" s="4">
        <v>47.6</v>
      </c>
      <c r="G869" s="2">
        <f t="shared" si="78"/>
        <v>28.914</v>
      </c>
      <c r="H869" s="11" t="str">
        <f t="shared" si="79"/>
        <v>3.592E-2</v>
      </c>
      <c r="I869" s="2">
        <f t="shared" si="80"/>
        <v>47.9</v>
      </c>
      <c r="J869" s="4">
        <f t="shared" si="81"/>
        <v>28.914</v>
      </c>
      <c r="K869" s="9">
        <f t="shared" si="82"/>
        <v>24</v>
      </c>
      <c r="L869" s="1">
        <f t="shared" si="83"/>
        <v>-0.300000000000022</v>
      </c>
    </row>
    <row r="870" s="1" customFormat="1" spans="1:12">
      <c r="A870" s="2">
        <v>28.981</v>
      </c>
      <c r="B870" s="10" t="s">
        <v>68</v>
      </c>
      <c r="C870" s="4">
        <v>28.981</v>
      </c>
      <c r="D870" s="4">
        <v>48.4</v>
      </c>
      <c r="G870" s="2">
        <f t="shared" si="78"/>
        <v>28.947</v>
      </c>
      <c r="H870" s="11" t="str">
        <f t="shared" si="79"/>
        <v>3.592E-2</v>
      </c>
      <c r="I870" s="2">
        <f t="shared" si="80"/>
        <v>47.6</v>
      </c>
      <c r="J870" s="4">
        <f t="shared" si="81"/>
        <v>28.947</v>
      </c>
      <c r="K870" s="9">
        <f t="shared" si="82"/>
        <v>24</v>
      </c>
      <c r="L870" s="1">
        <f t="shared" si="83"/>
        <v>-0.300000000000022</v>
      </c>
    </row>
    <row r="871" s="1" customFormat="1" spans="1:12">
      <c r="A871" s="2">
        <v>29.014</v>
      </c>
      <c r="B871" s="10" t="s">
        <v>68</v>
      </c>
      <c r="C871" s="4">
        <v>29.014</v>
      </c>
      <c r="D871" s="4">
        <v>47.6</v>
      </c>
      <c r="G871" s="2">
        <f t="shared" si="78"/>
        <v>28.981</v>
      </c>
      <c r="H871" s="11" t="str">
        <f t="shared" si="79"/>
        <v>3.591E-2</v>
      </c>
      <c r="I871" s="2">
        <f t="shared" si="80"/>
        <v>48.4</v>
      </c>
      <c r="J871" s="4">
        <f t="shared" si="81"/>
        <v>28.981</v>
      </c>
      <c r="K871" s="9">
        <f t="shared" si="82"/>
        <v>23.9</v>
      </c>
      <c r="L871" s="1">
        <f t="shared" si="83"/>
        <v>-0.300000000000022</v>
      </c>
    </row>
    <row r="872" s="1" customFormat="1" spans="1:12">
      <c r="A872" s="2">
        <v>29.047</v>
      </c>
      <c r="B872" s="10" t="s">
        <v>69</v>
      </c>
      <c r="C872" s="4">
        <v>29.047</v>
      </c>
      <c r="D872" s="4">
        <v>47.8</v>
      </c>
      <c r="G872" s="2">
        <f t="shared" si="78"/>
        <v>29.014</v>
      </c>
      <c r="H872" s="11" t="str">
        <f t="shared" si="79"/>
        <v>3.591E-2</v>
      </c>
      <c r="I872" s="2">
        <f t="shared" si="80"/>
        <v>47.6</v>
      </c>
      <c r="J872" s="4">
        <f t="shared" si="81"/>
        <v>29.014</v>
      </c>
      <c r="K872" s="9">
        <f t="shared" si="82"/>
        <v>23.9</v>
      </c>
      <c r="L872" s="1">
        <f t="shared" si="83"/>
        <v>-0.300000000000022</v>
      </c>
    </row>
    <row r="873" s="1" customFormat="1" spans="1:12">
      <c r="A873" s="2">
        <v>29.081</v>
      </c>
      <c r="B873" s="10" t="s">
        <v>69</v>
      </c>
      <c r="C873" s="4">
        <v>29.081</v>
      </c>
      <c r="D873" s="4">
        <v>47.6</v>
      </c>
      <c r="G873" s="2">
        <f t="shared" si="78"/>
        <v>29.047</v>
      </c>
      <c r="H873" s="11" t="str">
        <f t="shared" si="79"/>
        <v>3.592E-2</v>
      </c>
      <c r="I873" s="2">
        <f t="shared" si="80"/>
        <v>47.8</v>
      </c>
      <c r="J873" s="4">
        <f t="shared" si="81"/>
        <v>29.047</v>
      </c>
      <c r="K873" s="9">
        <f t="shared" si="82"/>
        <v>24</v>
      </c>
      <c r="L873" s="1">
        <f t="shared" si="83"/>
        <v>-0.300000000000022</v>
      </c>
    </row>
    <row r="874" s="1" customFormat="1" spans="1:12">
      <c r="A874" s="2">
        <v>29.114</v>
      </c>
      <c r="B874" s="10" t="s">
        <v>94</v>
      </c>
      <c r="C874" s="4">
        <v>29.114</v>
      </c>
      <c r="D874" s="4">
        <v>48</v>
      </c>
      <c r="G874" s="2">
        <f t="shared" si="78"/>
        <v>29.081</v>
      </c>
      <c r="H874" s="11" t="str">
        <f t="shared" si="79"/>
        <v>3.592E-2</v>
      </c>
      <c r="I874" s="2">
        <f t="shared" si="80"/>
        <v>47.6</v>
      </c>
      <c r="J874" s="4">
        <f t="shared" si="81"/>
        <v>29.081</v>
      </c>
      <c r="K874" s="9">
        <f t="shared" si="82"/>
        <v>24</v>
      </c>
      <c r="L874" s="1">
        <f t="shared" si="83"/>
        <v>-0.300000000000022</v>
      </c>
    </row>
    <row r="875" s="1" customFormat="1" spans="1:12">
      <c r="A875" s="2">
        <v>29.148</v>
      </c>
      <c r="B875" s="10" t="s">
        <v>94</v>
      </c>
      <c r="C875" s="4">
        <v>29.148</v>
      </c>
      <c r="D875" s="4">
        <v>48</v>
      </c>
      <c r="G875" s="2">
        <f t="shared" si="78"/>
        <v>29.114</v>
      </c>
      <c r="H875" s="11" t="str">
        <f t="shared" si="79"/>
        <v>3.590E-2</v>
      </c>
      <c r="I875" s="2">
        <f t="shared" si="80"/>
        <v>48</v>
      </c>
      <c r="J875" s="4">
        <f t="shared" si="81"/>
        <v>29.114</v>
      </c>
      <c r="K875" s="9">
        <f t="shared" si="82"/>
        <v>23.8</v>
      </c>
      <c r="L875" s="1">
        <f t="shared" si="83"/>
        <v>-0.300000000000022</v>
      </c>
    </row>
    <row r="876" s="1" customFormat="1" spans="1:12">
      <c r="A876" s="2">
        <v>29.181</v>
      </c>
      <c r="B876" s="10" t="s">
        <v>94</v>
      </c>
      <c r="C876" s="4">
        <v>29.181</v>
      </c>
      <c r="D876" s="4">
        <v>47.8</v>
      </c>
      <c r="G876" s="2">
        <f t="shared" si="78"/>
        <v>29.148</v>
      </c>
      <c r="H876" s="11" t="str">
        <f t="shared" si="79"/>
        <v>3.590E-2</v>
      </c>
      <c r="I876" s="2">
        <f t="shared" si="80"/>
        <v>48</v>
      </c>
      <c r="J876" s="4">
        <f t="shared" si="81"/>
        <v>29.148</v>
      </c>
      <c r="K876" s="9">
        <f t="shared" si="82"/>
        <v>23.8</v>
      </c>
      <c r="L876" s="1">
        <f t="shared" si="83"/>
        <v>-0.300000000000022</v>
      </c>
    </row>
    <row r="877" s="1" customFormat="1" spans="1:12">
      <c r="A877" s="2">
        <v>29.215</v>
      </c>
      <c r="B877" s="10" t="s">
        <v>94</v>
      </c>
      <c r="C877" s="4">
        <v>29.215</v>
      </c>
      <c r="D877" s="4">
        <v>47.6</v>
      </c>
      <c r="G877" s="2">
        <f t="shared" si="78"/>
        <v>29.181</v>
      </c>
      <c r="H877" s="11" t="str">
        <f t="shared" si="79"/>
        <v>3.590E-2</v>
      </c>
      <c r="I877" s="2">
        <f t="shared" si="80"/>
        <v>47.8</v>
      </c>
      <c r="J877" s="4">
        <f t="shared" si="81"/>
        <v>29.181</v>
      </c>
      <c r="K877" s="9">
        <f t="shared" si="82"/>
        <v>23.8</v>
      </c>
      <c r="L877" s="1">
        <f t="shared" si="83"/>
        <v>-0.300000000000022</v>
      </c>
    </row>
    <row r="878" s="1" customFormat="1" spans="1:12">
      <c r="A878" s="2">
        <v>29.248</v>
      </c>
      <c r="B878" s="10" t="s">
        <v>94</v>
      </c>
      <c r="C878" s="4">
        <v>29.248</v>
      </c>
      <c r="D878" s="4">
        <v>48.4</v>
      </c>
      <c r="G878" s="2">
        <f t="shared" si="78"/>
        <v>29.215</v>
      </c>
      <c r="H878" s="11" t="str">
        <f t="shared" si="79"/>
        <v>3.590E-2</v>
      </c>
      <c r="I878" s="2">
        <f t="shared" si="80"/>
        <v>47.6</v>
      </c>
      <c r="J878" s="4">
        <f t="shared" si="81"/>
        <v>29.215</v>
      </c>
      <c r="K878" s="9">
        <f t="shared" si="82"/>
        <v>23.8</v>
      </c>
      <c r="L878" s="1">
        <f t="shared" si="83"/>
        <v>-0.300000000000022</v>
      </c>
    </row>
    <row r="879" s="1" customFormat="1" spans="1:12">
      <c r="A879" s="2">
        <v>29.281</v>
      </c>
      <c r="B879" s="10" t="s">
        <v>70</v>
      </c>
      <c r="C879" s="4">
        <v>29.281</v>
      </c>
      <c r="D879" s="4">
        <v>47.4</v>
      </c>
      <c r="G879" s="2">
        <f t="shared" si="78"/>
        <v>29.248</v>
      </c>
      <c r="H879" s="11" t="str">
        <f t="shared" si="79"/>
        <v>3.590E-2</v>
      </c>
      <c r="I879" s="2">
        <f t="shared" si="80"/>
        <v>48.4</v>
      </c>
      <c r="J879" s="4">
        <f t="shared" si="81"/>
        <v>29.248</v>
      </c>
      <c r="K879" s="9">
        <f t="shared" si="82"/>
        <v>23.8</v>
      </c>
      <c r="L879" s="1">
        <f t="shared" si="83"/>
        <v>-0.300000000000022</v>
      </c>
    </row>
    <row r="880" s="1" customFormat="1" spans="1:12">
      <c r="A880" s="2">
        <v>29.315</v>
      </c>
      <c r="B880" s="10" t="s">
        <v>178</v>
      </c>
      <c r="C880" s="4">
        <v>29.315</v>
      </c>
      <c r="D880" s="4">
        <v>48</v>
      </c>
      <c r="G880" s="2">
        <f t="shared" si="78"/>
        <v>29.281</v>
      </c>
      <c r="H880" s="11" t="str">
        <f t="shared" si="79"/>
        <v>3.589E-2</v>
      </c>
      <c r="I880" s="2">
        <f t="shared" si="80"/>
        <v>47.4</v>
      </c>
      <c r="J880" s="4">
        <f t="shared" si="81"/>
        <v>29.281</v>
      </c>
      <c r="K880" s="9">
        <f t="shared" si="82"/>
        <v>23.7</v>
      </c>
      <c r="L880" s="1">
        <f t="shared" si="83"/>
        <v>-0.300000000000022</v>
      </c>
    </row>
    <row r="881" s="1" customFormat="1" spans="1:12">
      <c r="A881" s="2">
        <v>29.348</v>
      </c>
      <c r="B881" s="10" t="s">
        <v>178</v>
      </c>
      <c r="C881" s="4">
        <v>29.348</v>
      </c>
      <c r="D881" s="4">
        <v>47.9</v>
      </c>
      <c r="G881" s="2">
        <f t="shared" si="78"/>
        <v>29.315</v>
      </c>
      <c r="H881" s="11" t="str">
        <f t="shared" si="79"/>
        <v>3.588E-2</v>
      </c>
      <c r="I881" s="2">
        <f t="shared" si="80"/>
        <v>48</v>
      </c>
      <c r="J881" s="4">
        <f t="shared" si="81"/>
        <v>29.315</v>
      </c>
      <c r="K881" s="9">
        <f t="shared" si="82"/>
        <v>23.6</v>
      </c>
      <c r="L881" s="1">
        <f t="shared" si="83"/>
        <v>-0.300000000000022</v>
      </c>
    </row>
    <row r="882" s="1" customFormat="1" spans="1:12">
      <c r="A882" s="2">
        <v>29.382</v>
      </c>
      <c r="B882" s="10" t="s">
        <v>301</v>
      </c>
      <c r="C882" s="4">
        <v>29.382</v>
      </c>
      <c r="D882" s="4">
        <v>48</v>
      </c>
      <c r="G882" s="2">
        <f t="shared" si="78"/>
        <v>29.348</v>
      </c>
      <c r="H882" s="11" t="str">
        <f t="shared" si="79"/>
        <v>3.588E-2</v>
      </c>
      <c r="I882" s="2">
        <f t="shared" si="80"/>
        <v>47.9</v>
      </c>
      <c r="J882" s="4">
        <f t="shared" si="81"/>
        <v>29.348</v>
      </c>
      <c r="K882" s="9">
        <f t="shared" si="82"/>
        <v>23.6</v>
      </c>
      <c r="L882" s="1">
        <f t="shared" si="83"/>
        <v>-0.300000000000022</v>
      </c>
    </row>
    <row r="883" s="1" customFormat="1" spans="1:12">
      <c r="A883" s="2">
        <v>29.415</v>
      </c>
      <c r="B883" s="10" t="s">
        <v>301</v>
      </c>
      <c r="C883" s="4">
        <v>29.415</v>
      </c>
      <c r="D883" s="4">
        <v>47.9</v>
      </c>
      <c r="G883" s="2">
        <f t="shared" si="78"/>
        <v>29.382</v>
      </c>
      <c r="H883" s="11" t="str">
        <f t="shared" si="79"/>
        <v>3.585E-2</v>
      </c>
      <c r="I883" s="2">
        <f t="shared" si="80"/>
        <v>48</v>
      </c>
      <c r="J883" s="4">
        <f t="shared" si="81"/>
        <v>29.382</v>
      </c>
      <c r="K883" s="9">
        <f t="shared" si="82"/>
        <v>23.3</v>
      </c>
      <c r="L883" s="1">
        <f t="shared" si="83"/>
        <v>-0.300000000000022</v>
      </c>
    </row>
    <row r="884" s="1" customFormat="1" spans="1:12">
      <c r="A884" s="2">
        <v>29.449</v>
      </c>
      <c r="B884" s="10" t="s">
        <v>179</v>
      </c>
      <c r="C884" s="4">
        <v>29.449</v>
      </c>
      <c r="D884" s="4">
        <v>47.9</v>
      </c>
      <c r="G884" s="2">
        <f t="shared" si="78"/>
        <v>29.415</v>
      </c>
      <c r="H884" s="11" t="str">
        <f t="shared" si="79"/>
        <v>3.585E-2</v>
      </c>
      <c r="I884" s="2">
        <f t="shared" si="80"/>
        <v>47.9</v>
      </c>
      <c r="J884" s="4">
        <f t="shared" si="81"/>
        <v>29.415</v>
      </c>
      <c r="K884" s="9">
        <f t="shared" si="82"/>
        <v>23.3</v>
      </c>
      <c r="L884" s="1">
        <f t="shared" si="83"/>
        <v>-0.300000000000022</v>
      </c>
    </row>
    <row r="885" s="1" customFormat="1" spans="1:12">
      <c r="A885" s="2">
        <v>29.482</v>
      </c>
      <c r="B885" s="10" t="s">
        <v>179</v>
      </c>
      <c r="C885" s="4">
        <v>29.482</v>
      </c>
      <c r="D885" s="4">
        <v>47.7</v>
      </c>
      <c r="G885" s="2">
        <f t="shared" si="78"/>
        <v>29.449</v>
      </c>
      <c r="H885" s="11" t="str">
        <f t="shared" si="79"/>
        <v>3.586E-2</v>
      </c>
      <c r="I885" s="2">
        <f t="shared" si="80"/>
        <v>47.9</v>
      </c>
      <c r="J885" s="4">
        <f t="shared" si="81"/>
        <v>29.449</v>
      </c>
      <c r="K885" s="9">
        <f t="shared" si="82"/>
        <v>23.4</v>
      </c>
      <c r="L885" s="1">
        <f t="shared" si="83"/>
        <v>-0.300000000000022</v>
      </c>
    </row>
    <row r="886" s="1" customFormat="1" spans="1:12">
      <c r="A886" s="2">
        <v>29.515</v>
      </c>
      <c r="B886" s="10" t="s">
        <v>180</v>
      </c>
      <c r="C886" s="4">
        <v>29.515</v>
      </c>
      <c r="D886" s="4">
        <v>48.2</v>
      </c>
      <c r="G886" s="2">
        <f t="shared" si="78"/>
        <v>29.482</v>
      </c>
      <c r="H886" s="11" t="str">
        <f t="shared" si="79"/>
        <v>3.586E-2</v>
      </c>
      <c r="I886" s="2">
        <f t="shared" si="80"/>
        <v>47.7</v>
      </c>
      <c r="J886" s="4">
        <f t="shared" si="81"/>
        <v>29.482</v>
      </c>
      <c r="K886" s="9">
        <f t="shared" si="82"/>
        <v>23.4</v>
      </c>
      <c r="L886" s="1">
        <f t="shared" si="83"/>
        <v>-0.300000000000022</v>
      </c>
    </row>
    <row r="887" s="1" customFormat="1" spans="1:12">
      <c r="A887" s="2">
        <v>29.549</v>
      </c>
      <c r="B887" s="10" t="s">
        <v>179</v>
      </c>
      <c r="C887" s="4">
        <v>29.549</v>
      </c>
      <c r="D887" s="4">
        <v>48.1</v>
      </c>
      <c r="G887" s="2">
        <f t="shared" si="78"/>
        <v>29.515</v>
      </c>
      <c r="H887" s="11" t="str">
        <f t="shared" si="79"/>
        <v>3.584E-2</v>
      </c>
      <c r="I887" s="2">
        <f t="shared" si="80"/>
        <v>48.2</v>
      </c>
      <c r="J887" s="4">
        <f t="shared" si="81"/>
        <v>29.515</v>
      </c>
      <c r="K887" s="9">
        <f t="shared" si="82"/>
        <v>23.2</v>
      </c>
      <c r="L887" s="1">
        <f t="shared" si="83"/>
        <v>-0.300000000000022</v>
      </c>
    </row>
    <row r="888" s="1" customFormat="1" spans="1:12">
      <c r="A888" s="2">
        <v>29.582</v>
      </c>
      <c r="B888" s="10" t="s">
        <v>179</v>
      </c>
      <c r="C888" s="4">
        <v>29.582</v>
      </c>
      <c r="D888" s="4">
        <v>48.1</v>
      </c>
      <c r="G888" s="2">
        <f t="shared" si="78"/>
        <v>29.549</v>
      </c>
      <c r="H888" s="11" t="str">
        <f t="shared" si="79"/>
        <v>3.586E-2</v>
      </c>
      <c r="I888" s="2">
        <f t="shared" si="80"/>
        <v>48.1</v>
      </c>
      <c r="J888" s="4">
        <f t="shared" si="81"/>
        <v>29.549</v>
      </c>
      <c r="K888" s="9">
        <f t="shared" si="82"/>
        <v>23.4</v>
      </c>
      <c r="L888" s="1">
        <f t="shared" si="83"/>
        <v>-0.300000000000022</v>
      </c>
    </row>
    <row r="889" s="1" customFormat="1" spans="1:12">
      <c r="A889" s="2">
        <v>29.616</v>
      </c>
      <c r="B889" s="10" t="s">
        <v>179</v>
      </c>
      <c r="C889" s="4">
        <v>29.616</v>
      </c>
      <c r="D889" s="4">
        <v>47.9</v>
      </c>
      <c r="G889" s="2">
        <f t="shared" si="78"/>
        <v>29.582</v>
      </c>
      <c r="H889" s="11" t="str">
        <f t="shared" si="79"/>
        <v>3.586E-2</v>
      </c>
      <c r="I889" s="2">
        <f t="shared" si="80"/>
        <v>48.1</v>
      </c>
      <c r="J889" s="4">
        <f t="shared" si="81"/>
        <v>29.582</v>
      </c>
      <c r="K889" s="9">
        <f t="shared" si="82"/>
        <v>23.4</v>
      </c>
      <c r="L889" s="1">
        <f t="shared" si="83"/>
        <v>-0.300000000000022</v>
      </c>
    </row>
    <row r="890" s="1" customFormat="1" spans="1:12">
      <c r="A890" s="2">
        <v>29.649</v>
      </c>
      <c r="B890" s="10" t="s">
        <v>301</v>
      </c>
      <c r="C890" s="4">
        <v>29.649</v>
      </c>
      <c r="D890" s="4">
        <v>48.4</v>
      </c>
      <c r="G890" s="2">
        <f t="shared" si="78"/>
        <v>29.616</v>
      </c>
      <c r="H890" s="11" t="str">
        <f t="shared" si="79"/>
        <v>3.586E-2</v>
      </c>
      <c r="I890" s="2">
        <f t="shared" si="80"/>
        <v>47.9</v>
      </c>
      <c r="J890" s="4">
        <f t="shared" si="81"/>
        <v>29.616</v>
      </c>
      <c r="K890" s="9">
        <f t="shared" si="82"/>
        <v>23.4</v>
      </c>
      <c r="L890" s="1">
        <f t="shared" si="83"/>
        <v>-0.300000000000022</v>
      </c>
    </row>
    <row r="891" s="1" customFormat="1" spans="1:12">
      <c r="A891" s="2">
        <v>29.683</v>
      </c>
      <c r="B891" s="10" t="s">
        <v>301</v>
      </c>
      <c r="C891" s="4">
        <v>29.683</v>
      </c>
      <c r="D891" s="4">
        <v>48.1</v>
      </c>
      <c r="G891" s="2">
        <f t="shared" si="78"/>
        <v>29.649</v>
      </c>
      <c r="H891" s="11" t="str">
        <f t="shared" si="79"/>
        <v>3.585E-2</v>
      </c>
      <c r="I891" s="2">
        <f t="shared" si="80"/>
        <v>48.4</v>
      </c>
      <c r="J891" s="4">
        <f t="shared" si="81"/>
        <v>29.649</v>
      </c>
      <c r="K891" s="9">
        <f t="shared" si="82"/>
        <v>23.3</v>
      </c>
      <c r="L891" s="1">
        <f t="shared" si="83"/>
        <v>-0.300000000000022</v>
      </c>
    </row>
    <row r="892" s="1" customFormat="1" spans="1:12">
      <c r="A892" s="2">
        <v>29.716</v>
      </c>
      <c r="B892" s="10" t="s">
        <v>67</v>
      </c>
      <c r="C892" s="4">
        <v>29.716</v>
      </c>
      <c r="D892" s="4">
        <v>48.2</v>
      </c>
      <c r="G892" s="2">
        <f t="shared" si="78"/>
        <v>29.683</v>
      </c>
      <c r="H892" s="11" t="str">
        <f t="shared" si="79"/>
        <v>3.585E-2</v>
      </c>
      <c r="I892" s="2">
        <f t="shared" si="80"/>
        <v>48.1</v>
      </c>
      <c r="J892" s="4">
        <f t="shared" si="81"/>
        <v>29.683</v>
      </c>
      <c r="K892" s="9">
        <f t="shared" si="82"/>
        <v>23.3</v>
      </c>
      <c r="L892" s="1">
        <f t="shared" si="83"/>
        <v>-0.300000000000022</v>
      </c>
    </row>
    <row r="893" s="1" customFormat="1" spans="1:12">
      <c r="A893" s="2">
        <v>29.749</v>
      </c>
      <c r="B893" s="10" t="s">
        <v>179</v>
      </c>
      <c r="C893" s="4">
        <v>29.749</v>
      </c>
      <c r="D893" s="4">
        <v>48</v>
      </c>
      <c r="G893" s="2">
        <f t="shared" ref="G893:G924" si="84">A892</f>
        <v>29.716</v>
      </c>
      <c r="H893" s="11" t="str">
        <f t="shared" ref="H893:H924" si="85">B892</f>
        <v>3.587E-2</v>
      </c>
      <c r="I893" s="2">
        <f t="shared" ref="I893:I924" si="86">D892</f>
        <v>48.2</v>
      </c>
      <c r="J893" s="4">
        <f t="shared" ref="J893:J924" si="87">G893</f>
        <v>29.716</v>
      </c>
      <c r="K893" s="9">
        <f t="shared" ref="K893:K924" si="88">(H893-$H$4)*10000</f>
        <v>23.5</v>
      </c>
      <c r="L893" s="1">
        <f t="shared" si="83"/>
        <v>-0.300000000000022</v>
      </c>
    </row>
    <row r="894" spans="1:12">
      <c r="A894" s="2">
        <v>29.783</v>
      </c>
      <c r="B894" s="10" t="s">
        <v>179</v>
      </c>
      <c r="C894" s="4">
        <v>29.783</v>
      </c>
      <c r="D894" s="4">
        <v>47.5</v>
      </c>
      <c r="G894" s="2">
        <f t="shared" si="84"/>
        <v>29.749</v>
      </c>
      <c r="H894" s="11" t="str">
        <f t="shared" si="85"/>
        <v>3.586E-2</v>
      </c>
      <c r="I894" s="2">
        <f t="shared" si="86"/>
        <v>48</v>
      </c>
      <c r="J894" s="4">
        <f t="shared" si="87"/>
        <v>29.749</v>
      </c>
      <c r="K894" s="9">
        <f t="shared" si="88"/>
        <v>23.4</v>
      </c>
      <c r="L894" s="1">
        <f t="shared" si="83"/>
        <v>-0.300000000000022</v>
      </c>
    </row>
    <row r="895" spans="1:12">
      <c r="A895" s="2">
        <v>29.816</v>
      </c>
      <c r="B895" s="10" t="s">
        <v>179</v>
      </c>
      <c r="C895" s="4">
        <v>29.816</v>
      </c>
      <c r="D895" s="4">
        <v>47.9</v>
      </c>
      <c r="G895" s="2">
        <f t="shared" si="84"/>
        <v>29.783</v>
      </c>
      <c r="H895" s="11" t="str">
        <f t="shared" si="85"/>
        <v>3.586E-2</v>
      </c>
      <c r="I895" s="2">
        <f t="shared" si="86"/>
        <v>47.5</v>
      </c>
      <c r="J895" s="4">
        <f t="shared" si="87"/>
        <v>29.783</v>
      </c>
      <c r="K895" s="9">
        <f t="shared" si="88"/>
        <v>23.4</v>
      </c>
      <c r="L895" s="1">
        <f t="shared" si="83"/>
        <v>-0.300000000000022</v>
      </c>
    </row>
    <row r="896" spans="1:12">
      <c r="A896" s="2">
        <v>29.85</v>
      </c>
      <c r="B896" s="10" t="s">
        <v>67</v>
      </c>
      <c r="C896" s="4">
        <v>29.85</v>
      </c>
      <c r="D896" s="4">
        <v>48</v>
      </c>
      <c r="G896" s="2">
        <f t="shared" si="84"/>
        <v>29.816</v>
      </c>
      <c r="H896" s="11" t="str">
        <f t="shared" si="85"/>
        <v>3.586E-2</v>
      </c>
      <c r="I896" s="2">
        <f t="shared" si="86"/>
        <v>47.9</v>
      </c>
      <c r="J896" s="4">
        <f t="shared" si="87"/>
        <v>29.816</v>
      </c>
      <c r="K896" s="9">
        <f t="shared" si="88"/>
        <v>23.4</v>
      </c>
      <c r="L896" s="1">
        <f t="shared" si="83"/>
        <v>-0.300000000000022</v>
      </c>
    </row>
    <row r="897" spans="1:12">
      <c r="A897" s="2">
        <v>29.883</v>
      </c>
      <c r="B897" s="10" t="s">
        <v>178</v>
      </c>
      <c r="C897" s="4">
        <v>29.883</v>
      </c>
      <c r="D897" s="4">
        <v>47.9</v>
      </c>
      <c r="G897" s="2">
        <f t="shared" si="84"/>
        <v>29.85</v>
      </c>
      <c r="H897" s="11" t="str">
        <f t="shared" si="85"/>
        <v>3.587E-2</v>
      </c>
      <c r="I897" s="2">
        <f t="shared" si="86"/>
        <v>48</v>
      </c>
      <c r="J897" s="4">
        <f t="shared" si="87"/>
        <v>29.85</v>
      </c>
      <c r="K897" s="9">
        <f t="shared" si="88"/>
        <v>23.5</v>
      </c>
      <c r="L897" s="1">
        <f t="shared" si="83"/>
        <v>-0.300000000000022</v>
      </c>
    </row>
    <row r="898" spans="1:12">
      <c r="A898" s="2">
        <v>29.916</v>
      </c>
      <c r="B898" s="10" t="s">
        <v>67</v>
      </c>
      <c r="C898" s="4">
        <v>29.916</v>
      </c>
      <c r="D898" s="4">
        <v>47.6</v>
      </c>
      <c r="G898" s="2">
        <f t="shared" si="84"/>
        <v>29.883</v>
      </c>
      <c r="H898" s="11" t="str">
        <f t="shared" si="85"/>
        <v>3.588E-2</v>
      </c>
      <c r="I898" s="2">
        <f t="shared" si="86"/>
        <v>47.9</v>
      </c>
      <c r="J898" s="4">
        <f t="shared" si="87"/>
        <v>29.883</v>
      </c>
      <c r="K898" s="9">
        <f t="shared" si="88"/>
        <v>23.6</v>
      </c>
      <c r="L898" s="1">
        <f t="shared" si="83"/>
        <v>-0.300000000000022</v>
      </c>
    </row>
    <row r="899" spans="1:12">
      <c r="A899" s="2">
        <v>29.95</v>
      </c>
      <c r="B899" s="10" t="s">
        <v>94</v>
      </c>
      <c r="C899" s="4">
        <v>29.95</v>
      </c>
      <c r="D899" s="4">
        <v>47.7</v>
      </c>
      <c r="G899" s="2">
        <f t="shared" si="84"/>
        <v>29.916</v>
      </c>
      <c r="H899" s="11" t="str">
        <f t="shared" si="85"/>
        <v>3.587E-2</v>
      </c>
      <c r="I899" s="2">
        <f t="shared" si="86"/>
        <v>47.6</v>
      </c>
      <c r="J899" s="4">
        <f t="shared" si="87"/>
        <v>29.916</v>
      </c>
      <c r="K899" s="9">
        <f t="shared" si="88"/>
        <v>23.5</v>
      </c>
      <c r="L899" s="1">
        <f t="shared" si="83"/>
        <v>-0.300000000000022</v>
      </c>
    </row>
    <row r="900" spans="1:12">
      <c r="A900" s="2">
        <v>29.983</v>
      </c>
      <c r="B900" s="10" t="s">
        <v>70</v>
      </c>
      <c r="C900" s="4">
        <v>29.983</v>
      </c>
      <c r="D900" s="4">
        <v>47.5</v>
      </c>
      <c r="G900" s="2">
        <f t="shared" si="84"/>
        <v>29.95</v>
      </c>
      <c r="H900" s="11" t="str">
        <f t="shared" si="85"/>
        <v>3.590E-2</v>
      </c>
      <c r="I900" s="2">
        <f t="shared" si="86"/>
        <v>47.7</v>
      </c>
      <c r="J900" s="4">
        <f t="shared" si="87"/>
        <v>29.95</v>
      </c>
      <c r="K900" s="9">
        <f t="shared" si="88"/>
        <v>23.8</v>
      </c>
      <c r="L900" s="1">
        <f t="shared" si="83"/>
        <v>-0.300000000000022</v>
      </c>
    </row>
    <row r="901" spans="1:12">
      <c r="A901" s="2">
        <v>30.017</v>
      </c>
      <c r="B901" s="10" t="s">
        <v>94</v>
      </c>
      <c r="C901" s="4">
        <v>30.017</v>
      </c>
      <c r="D901" s="4">
        <v>47.8</v>
      </c>
      <c r="G901" s="2">
        <f t="shared" si="84"/>
        <v>29.983</v>
      </c>
      <c r="H901" s="11" t="str">
        <f t="shared" si="85"/>
        <v>3.589E-2</v>
      </c>
      <c r="I901" s="2">
        <f t="shared" si="86"/>
        <v>47.5</v>
      </c>
      <c r="J901" s="4">
        <f t="shared" si="87"/>
        <v>29.983</v>
      </c>
      <c r="K901" s="9">
        <f t="shared" si="88"/>
        <v>23.7</v>
      </c>
      <c r="L901" s="1">
        <f t="shared" ref="L901:L964" si="89">IF(I901&lt;230,MIN(K:K),MAX(K:K))</f>
        <v>-0.300000000000022</v>
      </c>
    </row>
    <row r="902" spans="1:12">
      <c r="A902" s="2">
        <v>30.05</v>
      </c>
      <c r="B902" s="10" t="s">
        <v>68</v>
      </c>
      <c r="C902" s="4">
        <v>30.05</v>
      </c>
      <c r="D902" s="4">
        <v>47.6</v>
      </c>
      <c r="G902" s="2">
        <f t="shared" si="84"/>
        <v>30.017</v>
      </c>
      <c r="H902" s="11" t="str">
        <f t="shared" si="85"/>
        <v>3.590E-2</v>
      </c>
      <c r="I902" s="2">
        <f t="shared" si="86"/>
        <v>47.8</v>
      </c>
      <c r="J902" s="4">
        <f t="shared" si="87"/>
        <v>30.017</v>
      </c>
      <c r="K902" s="9">
        <f t="shared" si="88"/>
        <v>23.8</v>
      </c>
      <c r="L902" s="1">
        <f t="shared" si="89"/>
        <v>-0.300000000000022</v>
      </c>
    </row>
    <row r="903" spans="1:12">
      <c r="A903" s="2">
        <v>30.084</v>
      </c>
      <c r="B903" s="10" t="s">
        <v>94</v>
      </c>
      <c r="C903" s="4">
        <v>30.084</v>
      </c>
      <c r="D903" s="4">
        <v>48</v>
      </c>
      <c r="G903" s="2">
        <f t="shared" si="84"/>
        <v>30.05</v>
      </c>
      <c r="H903" s="11" t="str">
        <f t="shared" si="85"/>
        <v>3.591E-2</v>
      </c>
      <c r="I903" s="2">
        <f t="shared" si="86"/>
        <v>47.6</v>
      </c>
      <c r="J903" s="4">
        <f t="shared" si="87"/>
        <v>30.05</v>
      </c>
      <c r="K903" s="9">
        <f t="shared" si="88"/>
        <v>23.9</v>
      </c>
      <c r="L903" s="1">
        <f t="shared" si="89"/>
        <v>-0.300000000000022</v>
      </c>
    </row>
    <row r="904" spans="1:12">
      <c r="A904" s="2">
        <v>30.117</v>
      </c>
      <c r="B904" s="10" t="s">
        <v>94</v>
      </c>
      <c r="C904" s="4">
        <v>30.117</v>
      </c>
      <c r="D904" s="4">
        <v>47.5</v>
      </c>
      <c r="G904" s="2">
        <f t="shared" si="84"/>
        <v>30.084</v>
      </c>
      <c r="H904" s="11" t="str">
        <f t="shared" si="85"/>
        <v>3.590E-2</v>
      </c>
      <c r="I904" s="2">
        <f t="shared" si="86"/>
        <v>48</v>
      </c>
      <c r="J904" s="4">
        <f t="shared" si="87"/>
        <v>30.084</v>
      </c>
      <c r="K904" s="9">
        <f t="shared" si="88"/>
        <v>23.8</v>
      </c>
      <c r="L904" s="1">
        <f t="shared" si="89"/>
        <v>-0.300000000000022</v>
      </c>
    </row>
    <row r="905" spans="1:12">
      <c r="A905" s="2">
        <v>30.15</v>
      </c>
      <c r="B905" s="10" t="s">
        <v>68</v>
      </c>
      <c r="C905" s="4">
        <v>30.15</v>
      </c>
      <c r="D905" s="4">
        <v>47.9</v>
      </c>
      <c r="G905" s="2">
        <f t="shared" si="84"/>
        <v>30.117</v>
      </c>
      <c r="H905" s="11" t="str">
        <f t="shared" si="85"/>
        <v>3.590E-2</v>
      </c>
      <c r="I905" s="2">
        <f t="shared" si="86"/>
        <v>47.5</v>
      </c>
      <c r="J905" s="4">
        <f t="shared" si="87"/>
        <v>30.117</v>
      </c>
      <c r="K905" s="9">
        <f t="shared" si="88"/>
        <v>23.8</v>
      </c>
      <c r="L905" s="1">
        <f t="shared" si="89"/>
        <v>-0.300000000000022</v>
      </c>
    </row>
    <row r="906" spans="1:12">
      <c r="A906" s="2">
        <v>30.184</v>
      </c>
      <c r="B906" s="10" t="s">
        <v>94</v>
      </c>
      <c r="C906" s="4">
        <v>30.184</v>
      </c>
      <c r="D906" s="4">
        <v>48</v>
      </c>
      <c r="G906" s="2">
        <f t="shared" si="84"/>
        <v>30.15</v>
      </c>
      <c r="H906" s="11" t="str">
        <f t="shared" si="85"/>
        <v>3.591E-2</v>
      </c>
      <c r="I906" s="2">
        <f t="shared" si="86"/>
        <v>47.9</v>
      </c>
      <c r="J906" s="4">
        <f t="shared" si="87"/>
        <v>30.15</v>
      </c>
      <c r="K906" s="9">
        <f t="shared" si="88"/>
        <v>23.9</v>
      </c>
      <c r="L906" s="1">
        <f t="shared" si="89"/>
        <v>-0.300000000000022</v>
      </c>
    </row>
    <row r="907" spans="1:12">
      <c r="A907" s="2">
        <v>30.217</v>
      </c>
      <c r="B907" s="10" t="s">
        <v>68</v>
      </c>
      <c r="C907" s="4">
        <v>30.217</v>
      </c>
      <c r="D907" s="4">
        <v>47.6</v>
      </c>
      <c r="G907" s="2">
        <f t="shared" si="84"/>
        <v>30.184</v>
      </c>
      <c r="H907" s="11" t="str">
        <f t="shared" si="85"/>
        <v>3.590E-2</v>
      </c>
      <c r="I907" s="2">
        <f t="shared" si="86"/>
        <v>48</v>
      </c>
      <c r="J907" s="4">
        <f t="shared" si="87"/>
        <v>30.184</v>
      </c>
      <c r="K907" s="9">
        <f t="shared" si="88"/>
        <v>23.8</v>
      </c>
      <c r="L907" s="1">
        <f t="shared" si="89"/>
        <v>-0.300000000000022</v>
      </c>
    </row>
    <row r="908" spans="1:12">
      <c r="A908" s="2">
        <v>30.251</v>
      </c>
      <c r="B908" s="10" t="s">
        <v>68</v>
      </c>
      <c r="C908" s="4">
        <v>30.251</v>
      </c>
      <c r="D908" s="4">
        <v>48.3</v>
      </c>
      <c r="G908" s="2">
        <f t="shared" si="84"/>
        <v>30.217</v>
      </c>
      <c r="H908" s="11" t="str">
        <f t="shared" si="85"/>
        <v>3.591E-2</v>
      </c>
      <c r="I908" s="2">
        <f t="shared" si="86"/>
        <v>47.6</v>
      </c>
      <c r="J908" s="4">
        <f t="shared" si="87"/>
        <v>30.217</v>
      </c>
      <c r="K908" s="9">
        <f t="shared" si="88"/>
        <v>23.9</v>
      </c>
      <c r="L908" s="1">
        <f t="shared" si="89"/>
        <v>-0.300000000000022</v>
      </c>
    </row>
    <row r="909" spans="1:12">
      <c r="A909" s="2">
        <v>30.284</v>
      </c>
      <c r="B909" s="10" t="s">
        <v>280</v>
      </c>
      <c r="C909" s="4">
        <v>30.284</v>
      </c>
      <c r="D909" s="4">
        <v>47.8</v>
      </c>
      <c r="G909" s="2">
        <f t="shared" si="84"/>
        <v>30.251</v>
      </c>
      <c r="H909" s="11" t="str">
        <f t="shared" si="85"/>
        <v>3.591E-2</v>
      </c>
      <c r="I909" s="2">
        <f t="shared" si="86"/>
        <v>48.3</v>
      </c>
      <c r="J909" s="4">
        <f t="shared" si="87"/>
        <v>30.251</v>
      </c>
      <c r="K909" s="9">
        <f t="shared" si="88"/>
        <v>23.9</v>
      </c>
      <c r="L909" s="1">
        <f t="shared" si="89"/>
        <v>-0.300000000000022</v>
      </c>
    </row>
    <row r="910" spans="1:12">
      <c r="A910" s="2">
        <v>30.318</v>
      </c>
      <c r="B910" s="10" t="s">
        <v>94</v>
      </c>
      <c r="C910" s="4">
        <v>30.318</v>
      </c>
      <c r="D910" s="4">
        <v>47.6</v>
      </c>
      <c r="G910" s="2">
        <f t="shared" si="84"/>
        <v>30.284</v>
      </c>
      <c r="H910" s="11" t="str">
        <f t="shared" si="85"/>
        <v>3.593E-2</v>
      </c>
      <c r="I910" s="2">
        <f t="shared" si="86"/>
        <v>47.8</v>
      </c>
      <c r="J910" s="4">
        <f t="shared" si="87"/>
        <v>30.284</v>
      </c>
      <c r="K910" s="9">
        <f t="shared" si="88"/>
        <v>24.1</v>
      </c>
      <c r="L910" s="1">
        <f t="shared" si="89"/>
        <v>-0.300000000000022</v>
      </c>
    </row>
    <row r="911" spans="1:12">
      <c r="A911" s="2">
        <v>30.351</v>
      </c>
      <c r="B911" s="10" t="s">
        <v>94</v>
      </c>
      <c r="C911" s="4">
        <v>30.351</v>
      </c>
      <c r="D911" s="4">
        <v>47.9</v>
      </c>
      <c r="G911" s="2">
        <f t="shared" si="84"/>
        <v>30.318</v>
      </c>
      <c r="H911" s="11" t="str">
        <f t="shared" si="85"/>
        <v>3.590E-2</v>
      </c>
      <c r="I911" s="2">
        <f t="shared" si="86"/>
        <v>47.6</v>
      </c>
      <c r="J911" s="4">
        <f t="shared" si="87"/>
        <v>30.318</v>
      </c>
      <c r="K911" s="9">
        <f t="shared" si="88"/>
        <v>23.8</v>
      </c>
      <c r="L911" s="1">
        <f t="shared" si="89"/>
        <v>-0.300000000000022</v>
      </c>
    </row>
    <row r="912" spans="1:12">
      <c r="A912" s="2">
        <v>30.384</v>
      </c>
      <c r="B912" s="10" t="s">
        <v>69</v>
      </c>
      <c r="C912" s="4">
        <v>30.384</v>
      </c>
      <c r="D912" s="4">
        <v>47.3</v>
      </c>
      <c r="G912" s="2">
        <f t="shared" si="84"/>
        <v>30.351</v>
      </c>
      <c r="H912" s="11" t="str">
        <f t="shared" si="85"/>
        <v>3.590E-2</v>
      </c>
      <c r="I912" s="2">
        <f t="shared" si="86"/>
        <v>47.9</v>
      </c>
      <c r="J912" s="4">
        <f t="shared" si="87"/>
        <v>30.351</v>
      </c>
      <c r="K912" s="9">
        <f t="shared" si="88"/>
        <v>23.8</v>
      </c>
      <c r="L912" s="1">
        <f t="shared" si="89"/>
        <v>-0.300000000000022</v>
      </c>
    </row>
    <row r="913" spans="1:12">
      <c r="A913" s="2">
        <v>30.418</v>
      </c>
      <c r="B913" s="10" t="s">
        <v>94</v>
      </c>
      <c r="C913" s="4">
        <v>30.418</v>
      </c>
      <c r="D913" s="4">
        <v>48.2</v>
      </c>
      <c r="G913" s="2">
        <f t="shared" si="84"/>
        <v>30.384</v>
      </c>
      <c r="H913" s="11" t="str">
        <f t="shared" si="85"/>
        <v>3.592E-2</v>
      </c>
      <c r="I913" s="2">
        <f t="shared" si="86"/>
        <v>47.3</v>
      </c>
      <c r="J913" s="4">
        <f t="shared" si="87"/>
        <v>30.384</v>
      </c>
      <c r="K913" s="9">
        <f t="shared" si="88"/>
        <v>24</v>
      </c>
      <c r="L913" s="1">
        <f t="shared" si="89"/>
        <v>-0.300000000000022</v>
      </c>
    </row>
    <row r="914" spans="1:12">
      <c r="A914" s="2">
        <v>30.451</v>
      </c>
      <c r="B914" s="10" t="s">
        <v>94</v>
      </c>
      <c r="C914" s="4">
        <v>30.451</v>
      </c>
      <c r="D914" s="4">
        <v>48.2</v>
      </c>
      <c r="G914" s="2">
        <f t="shared" si="84"/>
        <v>30.418</v>
      </c>
      <c r="H914" s="11" t="str">
        <f t="shared" si="85"/>
        <v>3.590E-2</v>
      </c>
      <c r="I914" s="2">
        <f t="shared" si="86"/>
        <v>48.2</v>
      </c>
      <c r="J914" s="4">
        <f t="shared" si="87"/>
        <v>30.418</v>
      </c>
      <c r="K914" s="9">
        <f t="shared" si="88"/>
        <v>23.8</v>
      </c>
      <c r="L914" s="1">
        <f t="shared" si="89"/>
        <v>-0.300000000000022</v>
      </c>
    </row>
    <row r="915" spans="1:12">
      <c r="A915" s="2">
        <v>30.485</v>
      </c>
      <c r="B915" s="10" t="s">
        <v>94</v>
      </c>
      <c r="C915" s="4">
        <v>30.485</v>
      </c>
      <c r="D915" s="4">
        <v>48.3</v>
      </c>
      <c r="G915" s="2">
        <f t="shared" si="84"/>
        <v>30.451</v>
      </c>
      <c r="H915" s="11" t="str">
        <f t="shared" si="85"/>
        <v>3.590E-2</v>
      </c>
      <c r="I915" s="2">
        <f t="shared" si="86"/>
        <v>48.2</v>
      </c>
      <c r="J915" s="4">
        <f t="shared" si="87"/>
        <v>30.451</v>
      </c>
      <c r="K915" s="9">
        <f t="shared" si="88"/>
        <v>23.8</v>
      </c>
      <c r="L915" s="1">
        <f t="shared" si="89"/>
        <v>-0.300000000000022</v>
      </c>
    </row>
    <row r="916" spans="1:12">
      <c r="A916" s="2">
        <v>30.518</v>
      </c>
      <c r="B916" s="10" t="s">
        <v>70</v>
      </c>
      <c r="C916" s="4">
        <v>30.518</v>
      </c>
      <c r="D916" s="4">
        <v>48</v>
      </c>
      <c r="G916" s="2">
        <f t="shared" si="84"/>
        <v>30.485</v>
      </c>
      <c r="H916" s="11" t="str">
        <f t="shared" si="85"/>
        <v>3.590E-2</v>
      </c>
      <c r="I916" s="2">
        <f t="shared" si="86"/>
        <v>48.3</v>
      </c>
      <c r="J916" s="4">
        <f t="shared" si="87"/>
        <v>30.485</v>
      </c>
      <c r="K916" s="9">
        <f t="shared" si="88"/>
        <v>23.8</v>
      </c>
      <c r="L916" s="1">
        <f t="shared" si="89"/>
        <v>-0.300000000000022</v>
      </c>
    </row>
    <row r="917" spans="1:12">
      <c r="A917" s="2">
        <v>30.552</v>
      </c>
      <c r="B917" s="10" t="s">
        <v>70</v>
      </c>
      <c r="C917" s="4">
        <v>30.552</v>
      </c>
      <c r="D917" s="4">
        <v>48.3</v>
      </c>
      <c r="G917" s="2">
        <f t="shared" si="84"/>
        <v>30.518</v>
      </c>
      <c r="H917" s="11" t="str">
        <f t="shared" si="85"/>
        <v>3.589E-2</v>
      </c>
      <c r="I917" s="2">
        <f t="shared" si="86"/>
        <v>48</v>
      </c>
      <c r="J917" s="4">
        <f t="shared" si="87"/>
        <v>30.518</v>
      </c>
      <c r="K917" s="9">
        <f t="shared" si="88"/>
        <v>23.7</v>
      </c>
      <c r="L917" s="1">
        <f t="shared" si="89"/>
        <v>-0.300000000000022</v>
      </c>
    </row>
    <row r="918" spans="1:12">
      <c r="A918" s="2">
        <v>30.585</v>
      </c>
      <c r="B918" s="10" t="s">
        <v>70</v>
      </c>
      <c r="C918" s="4">
        <v>30.585</v>
      </c>
      <c r="D918" s="4">
        <v>47.6</v>
      </c>
      <c r="G918" s="2">
        <f t="shared" si="84"/>
        <v>30.552</v>
      </c>
      <c r="H918" s="11" t="str">
        <f t="shared" si="85"/>
        <v>3.589E-2</v>
      </c>
      <c r="I918" s="2">
        <f t="shared" si="86"/>
        <v>48.3</v>
      </c>
      <c r="J918" s="4">
        <f t="shared" si="87"/>
        <v>30.552</v>
      </c>
      <c r="K918" s="9">
        <f t="shared" si="88"/>
        <v>23.7</v>
      </c>
      <c r="L918" s="1">
        <f t="shared" si="89"/>
        <v>-0.300000000000022</v>
      </c>
    </row>
    <row r="919" spans="1:12">
      <c r="A919" s="2">
        <v>30.618</v>
      </c>
      <c r="B919" s="10" t="s">
        <v>70</v>
      </c>
      <c r="C919" s="4">
        <v>30.618</v>
      </c>
      <c r="D919" s="4">
        <v>47.9</v>
      </c>
      <c r="G919" s="2">
        <f t="shared" si="84"/>
        <v>30.585</v>
      </c>
      <c r="H919" s="11" t="str">
        <f t="shared" si="85"/>
        <v>3.589E-2</v>
      </c>
      <c r="I919" s="2">
        <f t="shared" si="86"/>
        <v>47.6</v>
      </c>
      <c r="J919" s="4">
        <f t="shared" si="87"/>
        <v>30.585</v>
      </c>
      <c r="K919" s="9">
        <f t="shared" si="88"/>
        <v>23.7</v>
      </c>
      <c r="L919" s="1">
        <f t="shared" si="89"/>
        <v>-0.300000000000022</v>
      </c>
    </row>
    <row r="920" spans="1:12">
      <c r="A920" s="2">
        <v>30.652</v>
      </c>
      <c r="B920" s="10" t="s">
        <v>70</v>
      </c>
      <c r="C920" s="4">
        <v>30.652</v>
      </c>
      <c r="D920" s="4">
        <v>47.8</v>
      </c>
      <c r="G920" s="2">
        <f t="shared" si="84"/>
        <v>30.618</v>
      </c>
      <c r="H920" s="11" t="str">
        <f t="shared" si="85"/>
        <v>3.589E-2</v>
      </c>
      <c r="I920" s="2">
        <f t="shared" si="86"/>
        <v>47.9</v>
      </c>
      <c r="J920" s="4">
        <f t="shared" si="87"/>
        <v>30.618</v>
      </c>
      <c r="K920" s="9">
        <f t="shared" si="88"/>
        <v>23.7</v>
      </c>
      <c r="L920" s="1">
        <f t="shared" si="89"/>
        <v>-0.300000000000022</v>
      </c>
    </row>
    <row r="921" spans="1:12">
      <c r="A921" s="2">
        <v>30.685</v>
      </c>
      <c r="B921" s="10" t="s">
        <v>178</v>
      </c>
      <c r="C921" s="4">
        <v>30.685</v>
      </c>
      <c r="D921" s="4">
        <v>47.6</v>
      </c>
      <c r="G921" s="2">
        <f t="shared" si="84"/>
        <v>30.652</v>
      </c>
      <c r="H921" s="11" t="str">
        <f t="shared" si="85"/>
        <v>3.589E-2</v>
      </c>
      <c r="I921" s="2">
        <f t="shared" si="86"/>
        <v>47.8</v>
      </c>
      <c r="J921" s="4">
        <f t="shared" si="87"/>
        <v>30.652</v>
      </c>
      <c r="K921" s="9">
        <f t="shared" si="88"/>
        <v>23.7</v>
      </c>
      <c r="L921" s="1">
        <f t="shared" si="89"/>
        <v>-0.300000000000022</v>
      </c>
    </row>
    <row r="922" spans="1:12">
      <c r="A922" s="2">
        <v>30.719</v>
      </c>
      <c r="B922" s="10" t="s">
        <v>67</v>
      </c>
      <c r="C922" s="4">
        <v>30.719</v>
      </c>
      <c r="D922" s="4">
        <v>47.9</v>
      </c>
      <c r="G922" s="2">
        <f t="shared" si="84"/>
        <v>30.685</v>
      </c>
      <c r="H922" s="11" t="str">
        <f t="shared" si="85"/>
        <v>3.588E-2</v>
      </c>
      <c r="I922" s="2">
        <f t="shared" si="86"/>
        <v>47.6</v>
      </c>
      <c r="J922" s="4">
        <f t="shared" si="87"/>
        <v>30.685</v>
      </c>
      <c r="K922" s="9">
        <f t="shared" si="88"/>
        <v>23.6</v>
      </c>
      <c r="L922" s="1">
        <f t="shared" si="89"/>
        <v>-0.300000000000022</v>
      </c>
    </row>
    <row r="923" spans="1:12">
      <c r="A923" s="2">
        <v>30.752</v>
      </c>
      <c r="B923" s="10" t="s">
        <v>178</v>
      </c>
      <c r="C923" s="4">
        <v>30.752</v>
      </c>
      <c r="D923" s="4">
        <v>47.6</v>
      </c>
      <c r="G923" s="2">
        <f t="shared" si="84"/>
        <v>30.719</v>
      </c>
      <c r="H923" s="11" t="str">
        <f t="shared" si="85"/>
        <v>3.587E-2</v>
      </c>
      <c r="I923" s="2">
        <f t="shared" si="86"/>
        <v>47.9</v>
      </c>
      <c r="J923" s="4">
        <f t="shared" si="87"/>
        <v>30.719</v>
      </c>
      <c r="K923" s="9">
        <f t="shared" si="88"/>
        <v>23.5</v>
      </c>
      <c r="L923" s="1">
        <f t="shared" si="89"/>
        <v>-0.300000000000022</v>
      </c>
    </row>
    <row r="924" spans="1:12">
      <c r="A924" s="2">
        <v>30.786</v>
      </c>
      <c r="B924" s="10" t="s">
        <v>67</v>
      </c>
      <c r="C924" s="4">
        <v>30.786</v>
      </c>
      <c r="D924" s="4">
        <v>47.4</v>
      </c>
      <c r="G924" s="2">
        <f t="shared" si="84"/>
        <v>30.752</v>
      </c>
      <c r="H924" s="11" t="str">
        <f t="shared" si="85"/>
        <v>3.588E-2</v>
      </c>
      <c r="I924" s="2">
        <f t="shared" si="86"/>
        <v>47.6</v>
      </c>
      <c r="J924" s="4">
        <f t="shared" si="87"/>
        <v>30.752</v>
      </c>
      <c r="K924" s="9">
        <f t="shared" si="88"/>
        <v>23.6</v>
      </c>
      <c r="L924" s="1">
        <f t="shared" si="89"/>
        <v>-0.300000000000022</v>
      </c>
    </row>
    <row r="925" spans="1:12">
      <c r="A925" s="2">
        <v>30.819</v>
      </c>
      <c r="B925" s="10" t="s">
        <v>301</v>
      </c>
      <c r="C925" s="4">
        <v>30.819</v>
      </c>
      <c r="D925" s="4">
        <v>48</v>
      </c>
      <c r="G925" s="2">
        <f t="shared" ref="G925:G956" si="90">A924</f>
        <v>30.786</v>
      </c>
      <c r="H925" s="11" t="str">
        <f t="shared" ref="H925:H956" si="91">B924</f>
        <v>3.587E-2</v>
      </c>
      <c r="I925" s="2">
        <f t="shared" ref="I925:I956" si="92">D924</f>
        <v>47.4</v>
      </c>
      <c r="J925" s="4">
        <f t="shared" ref="J925:J956" si="93">G925</f>
        <v>30.786</v>
      </c>
      <c r="K925" s="9">
        <f t="shared" ref="K925:K956" si="94">(H925-$H$4)*10000</f>
        <v>23.5</v>
      </c>
      <c r="L925" s="1">
        <f t="shared" si="89"/>
        <v>-0.300000000000022</v>
      </c>
    </row>
    <row r="926" spans="1:12">
      <c r="A926" s="2">
        <v>30.852</v>
      </c>
      <c r="B926" s="10" t="s">
        <v>179</v>
      </c>
      <c r="C926" s="4">
        <v>30.852</v>
      </c>
      <c r="D926" s="4">
        <v>48.4</v>
      </c>
      <c r="G926" s="2">
        <f t="shared" si="90"/>
        <v>30.819</v>
      </c>
      <c r="H926" s="11" t="str">
        <f t="shared" si="91"/>
        <v>3.585E-2</v>
      </c>
      <c r="I926" s="2">
        <f t="shared" si="92"/>
        <v>48</v>
      </c>
      <c r="J926" s="4">
        <f t="shared" si="93"/>
        <v>30.819</v>
      </c>
      <c r="K926" s="9">
        <f t="shared" si="94"/>
        <v>23.3</v>
      </c>
      <c r="L926" s="1">
        <f t="shared" si="89"/>
        <v>-0.300000000000022</v>
      </c>
    </row>
    <row r="927" spans="1:12">
      <c r="A927" s="2">
        <v>30.886</v>
      </c>
      <c r="B927" s="10" t="s">
        <v>179</v>
      </c>
      <c r="C927" s="4">
        <v>30.886</v>
      </c>
      <c r="D927" s="4">
        <v>47.9</v>
      </c>
      <c r="G927" s="2">
        <f t="shared" si="90"/>
        <v>30.852</v>
      </c>
      <c r="H927" s="11" t="str">
        <f t="shared" si="91"/>
        <v>3.586E-2</v>
      </c>
      <c r="I927" s="2">
        <f t="shared" si="92"/>
        <v>48.4</v>
      </c>
      <c r="J927" s="4">
        <f t="shared" si="93"/>
        <v>30.852</v>
      </c>
      <c r="K927" s="9">
        <f t="shared" si="94"/>
        <v>23.4</v>
      </c>
      <c r="L927" s="1">
        <f t="shared" si="89"/>
        <v>-0.300000000000022</v>
      </c>
    </row>
    <row r="928" spans="1:12">
      <c r="A928" s="2">
        <v>30.919</v>
      </c>
      <c r="B928" s="10" t="s">
        <v>179</v>
      </c>
      <c r="C928" s="4">
        <v>30.919</v>
      </c>
      <c r="D928" s="4">
        <v>47.8</v>
      </c>
      <c r="G928" s="2">
        <f t="shared" si="90"/>
        <v>30.886</v>
      </c>
      <c r="H928" s="11" t="str">
        <f t="shared" si="91"/>
        <v>3.586E-2</v>
      </c>
      <c r="I928" s="2">
        <f t="shared" si="92"/>
        <v>47.9</v>
      </c>
      <c r="J928" s="4">
        <f t="shared" si="93"/>
        <v>30.886</v>
      </c>
      <c r="K928" s="9">
        <f t="shared" si="94"/>
        <v>23.4</v>
      </c>
      <c r="L928" s="1">
        <f t="shared" si="89"/>
        <v>-0.300000000000022</v>
      </c>
    </row>
    <row r="929" spans="1:12">
      <c r="A929" s="2">
        <v>30.953</v>
      </c>
      <c r="B929" s="10" t="s">
        <v>301</v>
      </c>
      <c r="C929" s="4">
        <v>30.953</v>
      </c>
      <c r="D929" s="4">
        <v>47.6</v>
      </c>
      <c r="G929" s="2">
        <f t="shared" si="90"/>
        <v>30.919</v>
      </c>
      <c r="H929" s="11" t="str">
        <f t="shared" si="91"/>
        <v>3.586E-2</v>
      </c>
      <c r="I929" s="2">
        <f t="shared" si="92"/>
        <v>47.8</v>
      </c>
      <c r="J929" s="4">
        <f t="shared" si="93"/>
        <v>30.919</v>
      </c>
      <c r="K929" s="9">
        <f t="shared" si="94"/>
        <v>23.4</v>
      </c>
      <c r="L929" s="1">
        <f t="shared" si="89"/>
        <v>-0.300000000000022</v>
      </c>
    </row>
    <row r="930" spans="1:12">
      <c r="A930" s="2">
        <v>30.986</v>
      </c>
      <c r="B930" s="10" t="s">
        <v>67</v>
      </c>
      <c r="C930" s="4">
        <v>30.986</v>
      </c>
      <c r="D930" s="4">
        <v>47.9</v>
      </c>
      <c r="G930" s="2">
        <f t="shared" si="90"/>
        <v>30.953</v>
      </c>
      <c r="H930" s="11" t="str">
        <f t="shared" si="91"/>
        <v>3.585E-2</v>
      </c>
      <c r="I930" s="2">
        <f t="shared" si="92"/>
        <v>47.6</v>
      </c>
      <c r="J930" s="4">
        <f t="shared" si="93"/>
        <v>30.953</v>
      </c>
      <c r="K930" s="9">
        <f t="shared" si="94"/>
        <v>23.3</v>
      </c>
      <c r="L930" s="1">
        <f t="shared" si="89"/>
        <v>-0.300000000000022</v>
      </c>
    </row>
    <row r="931" spans="1:12">
      <c r="A931" s="2">
        <v>31.02</v>
      </c>
      <c r="B931" s="10" t="s">
        <v>301</v>
      </c>
      <c r="C931" s="4">
        <v>31.02</v>
      </c>
      <c r="D931" s="4">
        <v>47.7</v>
      </c>
      <c r="G931" s="2">
        <f t="shared" si="90"/>
        <v>30.986</v>
      </c>
      <c r="H931" s="11" t="str">
        <f t="shared" si="91"/>
        <v>3.587E-2</v>
      </c>
      <c r="I931" s="2">
        <f t="shared" si="92"/>
        <v>47.9</v>
      </c>
      <c r="J931" s="4">
        <f t="shared" si="93"/>
        <v>30.986</v>
      </c>
      <c r="K931" s="9">
        <f t="shared" si="94"/>
        <v>23.5</v>
      </c>
      <c r="L931" s="1">
        <f t="shared" si="89"/>
        <v>-0.300000000000022</v>
      </c>
    </row>
    <row r="932" spans="1:12">
      <c r="A932" s="2">
        <v>31.053</v>
      </c>
      <c r="B932" s="10" t="s">
        <v>67</v>
      </c>
      <c r="C932" s="4">
        <v>31.053</v>
      </c>
      <c r="D932" s="4">
        <v>48.2</v>
      </c>
      <c r="G932" s="2">
        <f t="shared" si="90"/>
        <v>31.02</v>
      </c>
      <c r="H932" s="11" t="str">
        <f t="shared" si="91"/>
        <v>3.585E-2</v>
      </c>
      <c r="I932" s="2">
        <f t="shared" si="92"/>
        <v>47.7</v>
      </c>
      <c r="J932" s="4">
        <f t="shared" si="93"/>
        <v>31.02</v>
      </c>
      <c r="K932" s="9">
        <f t="shared" si="94"/>
        <v>23.3</v>
      </c>
      <c r="L932" s="1">
        <f t="shared" si="89"/>
        <v>-0.300000000000022</v>
      </c>
    </row>
    <row r="933" spans="1:12">
      <c r="A933" s="2">
        <v>31.086</v>
      </c>
      <c r="B933" s="10" t="s">
        <v>179</v>
      </c>
      <c r="C933" s="4">
        <v>31.086</v>
      </c>
      <c r="D933" s="4">
        <v>47.8</v>
      </c>
      <c r="G933" s="2">
        <f t="shared" si="90"/>
        <v>31.053</v>
      </c>
      <c r="H933" s="11" t="str">
        <f t="shared" si="91"/>
        <v>3.587E-2</v>
      </c>
      <c r="I933" s="2">
        <f t="shared" si="92"/>
        <v>48.2</v>
      </c>
      <c r="J933" s="4">
        <f t="shared" si="93"/>
        <v>31.053</v>
      </c>
      <c r="K933" s="9">
        <f t="shared" si="94"/>
        <v>23.5</v>
      </c>
      <c r="L933" s="1">
        <f t="shared" si="89"/>
        <v>-0.300000000000022</v>
      </c>
    </row>
    <row r="934" spans="1:12">
      <c r="A934" s="2">
        <v>31.12</v>
      </c>
      <c r="B934" s="10" t="s">
        <v>179</v>
      </c>
      <c r="C934" s="4">
        <v>31.12</v>
      </c>
      <c r="D934" s="4">
        <v>47.8</v>
      </c>
      <c r="G934" s="2">
        <f t="shared" si="90"/>
        <v>31.086</v>
      </c>
      <c r="H934" s="11" t="str">
        <f t="shared" si="91"/>
        <v>3.586E-2</v>
      </c>
      <c r="I934" s="2">
        <f t="shared" si="92"/>
        <v>47.8</v>
      </c>
      <c r="J934" s="4">
        <f t="shared" si="93"/>
        <v>31.086</v>
      </c>
      <c r="K934" s="9">
        <f t="shared" si="94"/>
        <v>23.4</v>
      </c>
      <c r="L934" s="1">
        <f t="shared" si="89"/>
        <v>-0.300000000000022</v>
      </c>
    </row>
    <row r="935" spans="1:12">
      <c r="A935" s="2">
        <v>31.153</v>
      </c>
      <c r="B935" s="10" t="s">
        <v>178</v>
      </c>
      <c r="C935" s="4">
        <v>31.153</v>
      </c>
      <c r="D935" s="4">
        <v>48</v>
      </c>
      <c r="G935" s="2">
        <f t="shared" si="90"/>
        <v>31.12</v>
      </c>
      <c r="H935" s="11" t="str">
        <f t="shared" si="91"/>
        <v>3.586E-2</v>
      </c>
      <c r="I935" s="2">
        <f t="shared" si="92"/>
        <v>47.8</v>
      </c>
      <c r="J935" s="4">
        <f t="shared" si="93"/>
        <v>31.12</v>
      </c>
      <c r="K935" s="9">
        <f t="shared" si="94"/>
        <v>23.4</v>
      </c>
      <c r="L935" s="1">
        <f t="shared" si="89"/>
        <v>-0.300000000000022</v>
      </c>
    </row>
    <row r="936" spans="1:12">
      <c r="A936" s="2">
        <v>31.187</v>
      </c>
      <c r="B936" s="10" t="s">
        <v>178</v>
      </c>
      <c r="C936" s="4">
        <v>31.187</v>
      </c>
      <c r="D936" s="4">
        <v>48.3</v>
      </c>
      <c r="G936" s="2">
        <f t="shared" si="90"/>
        <v>31.153</v>
      </c>
      <c r="H936" s="11" t="str">
        <f t="shared" si="91"/>
        <v>3.588E-2</v>
      </c>
      <c r="I936" s="2">
        <f t="shared" si="92"/>
        <v>48</v>
      </c>
      <c r="J936" s="4">
        <f t="shared" si="93"/>
        <v>31.153</v>
      </c>
      <c r="K936" s="9">
        <f t="shared" si="94"/>
        <v>23.6</v>
      </c>
      <c r="L936" s="1">
        <f t="shared" si="89"/>
        <v>-0.300000000000022</v>
      </c>
    </row>
    <row r="937" spans="1:12">
      <c r="A937" s="2">
        <v>31.22</v>
      </c>
      <c r="B937" s="10" t="s">
        <v>70</v>
      </c>
      <c r="C937" s="4">
        <v>31.22</v>
      </c>
      <c r="D937" s="4">
        <v>48</v>
      </c>
      <c r="G937" s="2">
        <f t="shared" si="90"/>
        <v>31.187</v>
      </c>
      <c r="H937" s="11" t="str">
        <f t="shared" si="91"/>
        <v>3.588E-2</v>
      </c>
      <c r="I937" s="2">
        <f t="shared" si="92"/>
        <v>48.3</v>
      </c>
      <c r="J937" s="4">
        <f t="shared" si="93"/>
        <v>31.187</v>
      </c>
      <c r="K937" s="9">
        <f t="shared" si="94"/>
        <v>23.6</v>
      </c>
      <c r="L937" s="1">
        <f t="shared" si="89"/>
        <v>-0.300000000000022</v>
      </c>
    </row>
    <row r="938" spans="1:12">
      <c r="A938" s="2">
        <v>31.254</v>
      </c>
      <c r="B938" s="10" t="s">
        <v>178</v>
      </c>
      <c r="C938" s="4">
        <v>31.254</v>
      </c>
      <c r="D938" s="4">
        <v>48.3</v>
      </c>
      <c r="G938" s="2">
        <f t="shared" si="90"/>
        <v>31.22</v>
      </c>
      <c r="H938" s="11" t="str">
        <f t="shared" si="91"/>
        <v>3.589E-2</v>
      </c>
      <c r="I938" s="2">
        <f t="shared" si="92"/>
        <v>48</v>
      </c>
      <c r="J938" s="4">
        <f t="shared" si="93"/>
        <v>31.22</v>
      </c>
      <c r="K938" s="9">
        <f t="shared" si="94"/>
        <v>23.7</v>
      </c>
      <c r="L938" s="1">
        <f t="shared" si="89"/>
        <v>-0.300000000000022</v>
      </c>
    </row>
    <row r="939" spans="1:12">
      <c r="A939" s="2">
        <v>31.287</v>
      </c>
      <c r="B939" s="10" t="s">
        <v>178</v>
      </c>
      <c r="C939" s="4">
        <v>31.287</v>
      </c>
      <c r="D939" s="4">
        <v>47.9</v>
      </c>
      <c r="G939" s="2">
        <f t="shared" si="90"/>
        <v>31.254</v>
      </c>
      <c r="H939" s="11" t="str">
        <f t="shared" si="91"/>
        <v>3.588E-2</v>
      </c>
      <c r="I939" s="2">
        <f t="shared" si="92"/>
        <v>48.3</v>
      </c>
      <c r="J939" s="4">
        <f t="shared" si="93"/>
        <v>31.254</v>
      </c>
      <c r="K939" s="9">
        <f t="shared" si="94"/>
        <v>23.6</v>
      </c>
      <c r="L939" s="1">
        <f t="shared" si="89"/>
        <v>-0.300000000000022</v>
      </c>
    </row>
    <row r="940" spans="1:12">
      <c r="A940" s="2">
        <v>31.32</v>
      </c>
      <c r="B940" s="10" t="s">
        <v>178</v>
      </c>
      <c r="C940" s="4">
        <v>31.32</v>
      </c>
      <c r="D940" s="4">
        <v>48</v>
      </c>
      <c r="G940" s="2">
        <f t="shared" si="90"/>
        <v>31.287</v>
      </c>
      <c r="H940" s="11" t="str">
        <f t="shared" si="91"/>
        <v>3.588E-2</v>
      </c>
      <c r="I940" s="2">
        <f t="shared" si="92"/>
        <v>47.9</v>
      </c>
      <c r="J940" s="4">
        <f t="shared" si="93"/>
        <v>31.287</v>
      </c>
      <c r="K940" s="9">
        <f t="shared" si="94"/>
        <v>23.6</v>
      </c>
      <c r="L940" s="1">
        <f t="shared" si="89"/>
        <v>-0.300000000000022</v>
      </c>
    </row>
    <row r="941" spans="1:12">
      <c r="A941" s="2">
        <v>31.354</v>
      </c>
      <c r="B941" s="10" t="s">
        <v>68</v>
      </c>
      <c r="C941" s="4">
        <v>31.354</v>
      </c>
      <c r="D941" s="4">
        <v>48</v>
      </c>
      <c r="G941" s="2">
        <f t="shared" si="90"/>
        <v>31.32</v>
      </c>
      <c r="H941" s="11" t="str">
        <f t="shared" si="91"/>
        <v>3.588E-2</v>
      </c>
      <c r="I941" s="2">
        <f t="shared" si="92"/>
        <v>48</v>
      </c>
      <c r="J941" s="4">
        <f t="shared" si="93"/>
        <v>31.32</v>
      </c>
      <c r="K941" s="9">
        <f t="shared" si="94"/>
        <v>23.6</v>
      </c>
      <c r="L941" s="1">
        <f t="shared" si="89"/>
        <v>-0.300000000000022</v>
      </c>
    </row>
    <row r="942" spans="1:12">
      <c r="A942" s="2">
        <v>31.387</v>
      </c>
      <c r="B942" s="10" t="s">
        <v>68</v>
      </c>
      <c r="C942" s="4">
        <v>31.387</v>
      </c>
      <c r="D942" s="4">
        <v>48.1</v>
      </c>
      <c r="G942" s="2">
        <f t="shared" si="90"/>
        <v>31.354</v>
      </c>
      <c r="H942" s="11" t="str">
        <f t="shared" si="91"/>
        <v>3.591E-2</v>
      </c>
      <c r="I942" s="2">
        <f t="shared" si="92"/>
        <v>48</v>
      </c>
      <c r="J942" s="4">
        <f t="shared" si="93"/>
        <v>31.354</v>
      </c>
      <c r="K942" s="9">
        <f t="shared" si="94"/>
        <v>23.9</v>
      </c>
      <c r="L942" s="1">
        <f t="shared" si="89"/>
        <v>-0.300000000000022</v>
      </c>
    </row>
    <row r="943" spans="1:12">
      <c r="A943" s="2">
        <v>31.421</v>
      </c>
      <c r="B943" s="10" t="s">
        <v>68</v>
      </c>
      <c r="C943" s="4">
        <v>31.421</v>
      </c>
      <c r="D943" s="4">
        <v>47.9</v>
      </c>
      <c r="G943" s="2">
        <f t="shared" si="90"/>
        <v>31.387</v>
      </c>
      <c r="H943" s="11" t="str">
        <f t="shared" si="91"/>
        <v>3.591E-2</v>
      </c>
      <c r="I943" s="2">
        <f t="shared" si="92"/>
        <v>48.1</v>
      </c>
      <c r="J943" s="4">
        <f t="shared" si="93"/>
        <v>31.387</v>
      </c>
      <c r="K943" s="9">
        <f t="shared" si="94"/>
        <v>23.9</v>
      </c>
      <c r="L943" s="1">
        <f t="shared" si="89"/>
        <v>-0.300000000000022</v>
      </c>
    </row>
    <row r="944" spans="1:12">
      <c r="A944" s="2">
        <v>31.454</v>
      </c>
      <c r="B944" s="10" t="s">
        <v>68</v>
      </c>
      <c r="C944" s="4">
        <v>31.454</v>
      </c>
      <c r="D944" s="4">
        <v>47.8</v>
      </c>
      <c r="G944" s="2">
        <f t="shared" si="90"/>
        <v>31.421</v>
      </c>
      <c r="H944" s="11" t="str">
        <f t="shared" si="91"/>
        <v>3.591E-2</v>
      </c>
      <c r="I944" s="2">
        <f t="shared" si="92"/>
        <v>47.9</v>
      </c>
      <c r="J944" s="4">
        <f t="shared" si="93"/>
        <v>31.421</v>
      </c>
      <c r="K944" s="9">
        <f t="shared" si="94"/>
        <v>23.9</v>
      </c>
      <c r="L944" s="1">
        <f t="shared" si="89"/>
        <v>-0.300000000000022</v>
      </c>
    </row>
    <row r="945" spans="1:12">
      <c r="A945" s="2">
        <v>31.488</v>
      </c>
      <c r="B945" s="10" t="s">
        <v>68</v>
      </c>
      <c r="C945" s="4">
        <v>31.488</v>
      </c>
      <c r="D945" s="4">
        <v>47.8</v>
      </c>
      <c r="G945" s="2">
        <f t="shared" si="90"/>
        <v>31.454</v>
      </c>
      <c r="H945" s="11" t="str">
        <f t="shared" si="91"/>
        <v>3.591E-2</v>
      </c>
      <c r="I945" s="2">
        <f t="shared" si="92"/>
        <v>47.8</v>
      </c>
      <c r="J945" s="4">
        <f t="shared" si="93"/>
        <v>31.454</v>
      </c>
      <c r="K945" s="9">
        <f t="shared" si="94"/>
        <v>23.9</v>
      </c>
      <c r="L945" s="1">
        <f t="shared" si="89"/>
        <v>-0.300000000000022</v>
      </c>
    </row>
    <row r="946" spans="1:12">
      <c r="A946" s="2">
        <v>31.521</v>
      </c>
      <c r="B946" s="10" t="s">
        <v>68</v>
      </c>
      <c r="C946" s="4">
        <v>31.521</v>
      </c>
      <c r="D946" s="4">
        <v>48.2</v>
      </c>
      <c r="G946" s="2">
        <f t="shared" si="90"/>
        <v>31.488</v>
      </c>
      <c r="H946" s="11" t="str">
        <f t="shared" si="91"/>
        <v>3.591E-2</v>
      </c>
      <c r="I946" s="2">
        <f t="shared" si="92"/>
        <v>47.8</v>
      </c>
      <c r="J946" s="4">
        <f t="shared" si="93"/>
        <v>31.488</v>
      </c>
      <c r="K946" s="9">
        <f t="shared" si="94"/>
        <v>23.9</v>
      </c>
      <c r="L946" s="1">
        <f t="shared" si="89"/>
        <v>-0.300000000000022</v>
      </c>
    </row>
    <row r="947" spans="1:12">
      <c r="A947" s="2">
        <v>31.554</v>
      </c>
      <c r="B947" s="10" t="s">
        <v>68</v>
      </c>
      <c r="C947" s="4">
        <v>31.554</v>
      </c>
      <c r="D947" s="4">
        <v>48.2</v>
      </c>
      <c r="G947" s="2">
        <f t="shared" si="90"/>
        <v>31.521</v>
      </c>
      <c r="H947" s="11" t="str">
        <f t="shared" si="91"/>
        <v>3.591E-2</v>
      </c>
      <c r="I947" s="2">
        <f t="shared" si="92"/>
        <v>48.2</v>
      </c>
      <c r="J947" s="4">
        <f t="shared" si="93"/>
        <v>31.521</v>
      </c>
      <c r="K947" s="9">
        <f t="shared" si="94"/>
        <v>23.9</v>
      </c>
      <c r="L947" s="1">
        <f t="shared" si="89"/>
        <v>-0.300000000000022</v>
      </c>
    </row>
    <row r="948" spans="1:12">
      <c r="A948" s="2">
        <v>31.588</v>
      </c>
      <c r="B948" s="10" t="s">
        <v>68</v>
      </c>
      <c r="C948" s="4">
        <v>31.588</v>
      </c>
      <c r="D948" s="4">
        <v>48.4</v>
      </c>
      <c r="G948" s="2">
        <f t="shared" si="90"/>
        <v>31.554</v>
      </c>
      <c r="H948" s="11" t="str">
        <f t="shared" si="91"/>
        <v>3.591E-2</v>
      </c>
      <c r="I948" s="2">
        <f t="shared" si="92"/>
        <v>48.2</v>
      </c>
      <c r="J948" s="4">
        <f t="shared" si="93"/>
        <v>31.554</v>
      </c>
      <c r="K948" s="9">
        <f t="shared" si="94"/>
        <v>23.9</v>
      </c>
      <c r="L948" s="1">
        <f t="shared" si="89"/>
        <v>-0.300000000000022</v>
      </c>
    </row>
    <row r="949" spans="1:12">
      <c r="A949" s="2">
        <v>31.621</v>
      </c>
      <c r="B949" s="10" t="s">
        <v>69</v>
      </c>
      <c r="C949" s="4">
        <v>31.621</v>
      </c>
      <c r="D949" s="4">
        <v>48.2</v>
      </c>
      <c r="G949" s="2">
        <f t="shared" si="90"/>
        <v>31.588</v>
      </c>
      <c r="H949" s="11" t="str">
        <f t="shared" si="91"/>
        <v>3.591E-2</v>
      </c>
      <c r="I949" s="2">
        <f t="shared" si="92"/>
        <v>48.4</v>
      </c>
      <c r="J949" s="4">
        <f t="shared" si="93"/>
        <v>31.588</v>
      </c>
      <c r="K949" s="9">
        <f t="shared" si="94"/>
        <v>23.9</v>
      </c>
      <c r="L949" s="1">
        <f t="shared" si="89"/>
        <v>-0.300000000000022</v>
      </c>
    </row>
    <row r="950" spans="1:12">
      <c r="A950" s="2">
        <v>31.655</v>
      </c>
      <c r="B950" s="10" t="s">
        <v>68</v>
      </c>
      <c r="C950" s="4">
        <v>31.655</v>
      </c>
      <c r="D950" s="4">
        <v>47.5</v>
      </c>
      <c r="G950" s="2">
        <f t="shared" si="90"/>
        <v>31.621</v>
      </c>
      <c r="H950" s="11" t="str">
        <f t="shared" si="91"/>
        <v>3.592E-2</v>
      </c>
      <c r="I950" s="2">
        <f t="shared" si="92"/>
        <v>48.2</v>
      </c>
      <c r="J950" s="4">
        <f t="shared" si="93"/>
        <v>31.621</v>
      </c>
      <c r="K950" s="9">
        <f t="shared" si="94"/>
        <v>24</v>
      </c>
      <c r="L950" s="1">
        <f t="shared" si="89"/>
        <v>-0.300000000000022</v>
      </c>
    </row>
    <row r="951" spans="1:12">
      <c r="A951" s="2">
        <v>31.688</v>
      </c>
      <c r="B951" s="10" t="s">
        <v>68</v>
      </c>
      <c r="C951" s="4">
        <v>31.688</v>
      </c>
      <c r="D951" s="4">
        <v>47.8</v>
      </c>
      <c r="G951" s="2">
        <f t="shared" si="90"/>
        <v>31.655</v>
      </c>
      <c r="H951" s="11" t="str">
        <f t="shared" si="91"/>
        <v>3.591E-2</v>
      </c>
      <c r="I951" s="2">
        <f t="shared" si="92"/>
        <v>47.5</v>
      </c>
      <c r="J951" s="4">
        <f t="shared" si="93"/>
        <v>31.655</v>
      </c>
      <c r="K951" s="9">
        <f t="shared" si="94"/>
        <v>23.9</v>
      </c>
      <c r="L951" s="1">
        <f t="shared" si="89"/>
        <v>-0.300000000000022</v>
      </c>
    </row>
    <row r="952" spans="1:12">
      <c r="A952" s="2">
        <v>31.722</v>
      </c>
      <c r="B952" s="10" t="s">
        <v>68</v>
      </c>
      <c r="C952" s="4">
        <v>31.722</v>
      </c>
      <c r="D952" s="4">
        <v>47.8</v>
      </c>
      <c r="G952" s="2">
        <f t="shared" si="90"/>
        <v>31.688</v>
      </c>
      <c r="H952" s="11" t="str">
        <f t="shared" si="91"/>
        <v>3.591E-2</v>
      </c>
      <c r="I952" s="2">
        <f t="shared" si="92"/>
        <v>47.8</v>
      </c>
      <c r="J952" s="4">
        <f t="shared" si="93"/>
        <v>31.688</v>
      </c>
      <c r="K952" s="9">
        <f t="shared" si="94"/>
        <v>23.9</v>
      </c>
      <c r="L952" s="1">
        <f t="shared" si="89"/>
        <v>-0.300000000000022</v>
      </c>
    </row>
    <row r="953" spans="1:12">
      <c r="A953" s="2">
        <v>31.755</v>
      </c>
      <c r="B953" s="10" t="s">
        <v>94</v>
      </c>
      <c r="C953" s="4">
        <v>31.755</v>
      </c>
      <c r="D953" s="4">
        <v>47.9</v>
      </c>
      <c r="G953" s="2">
        <f t="shared" si="90"/>
        <v>31.722</v>
      </c>
      <c r="H953" s="11" t="str">
        <f t="shared" si="91"/>
        <v>3.591E-2</v>
      </c>
      <c r="I953" s="2">
        <f t="shared" si="92"/>
        <v>47.8</v>
      </c>
      <c r="J953" s="4">
        <f t="shared" si="93"/>
        <v>31.722</v>
      </c>
      <c r="K953" s="9">
        <f t="shared" si="94"/>
        <v>23.9</v>
      </c>
      <c r="L953" s="1">
        <f t="shared" si="89"/>
        <v>-0.300000000000022</v>
      </c>
    </row>
    <row r="954" spans="1:12">
      <c r="A954" s="2">
        <v>31.788</v>
      </c>
      <c r="B954" s="10" t="s">
        <v>94</v>
      </c>
      <c r="C954" s="4">
        <v>31.788</v>
      </c>
      <c r="D954" s="4">
        <v>47.9</v>
      </c>
      <c r="G954" s="2">
        <f t="shared" si="90"/>
        <v>31.755</v>
      </c>
      <c r="H954" s="11" t="str">
        <f t="shared" si="91"/>
        <v>3.590E-2</v>
      </c>
      <c r="I954" s="2">
        <f t="shared" si="92"/>
        <v>47.9</v>
      </c>
      <c r="J954" s="4">
        <f t="shared" si="93"/>
        <v>31.755</v>
      </c>
      <c r="K954" s="9">
        <f t="shared" si="94"/>
        <v>23.8</v>
      </c>
      <c r="L954" s="1">
        <f t="shared" si="89"/>
        <v>-0.300000000000022</v>
      </c>
    </row>
    <row r="955" spans="1:12">
      <c r="A955" s="2">
        <v>31.822</v>
      </c>
      <c r="B955" s="10" t="s">
        <v>94</v>
      </c>
      <c r="C955" s="4">
        <v>31.822</v>
      </c>
      <c r="D955" s="4">
        <v>47.8</v>
      </c>
      <c r="G955" s="2">
        <f t="shared" si="90"/>
        <v>31.788</v>
      </c>
      <c r="H955" s="11" t="str">
        <f t="shared" si="91"/>
        <v>3.590E-2</v>
      </c>
      <c r="I955" s="2">
        <f t="shared" si="92"/>
        <v>47.9</v>
      </c>
      <c r="J955" s="4">
        <f t="shared" si="93"/>
        <v>31.788</v>
      </c>
      <c r="K955" s="9">
        <f t="shared" si="94"/>
        <v>23.8</v>
      </c>
      <c r="L955" s="1">
        <f t="shared" si="89"/>
        <v>-0.300000000000022</v>
      </c>
    </row>
    <row r="956" spans="1:12">
      <c r="A956" s="2">
        <v>31.855</v>
      </c>
      <c r="B956" s="10" t="s">
        <v>94</v>
      </c>
      <c r="C956" s="4">
        <v>31.855</v>
      </c>
      <c r="D956" s="4">
        <v>48</v>
      </c>
      <c r="G956" s="2">
        <f t="shared" si="90"/>
        <v>31.822</v>
      </c>
      <c r="H956" s="11" t="str">
        <f t="shared" si="91"/>
        <v>3.590E-2</v>
      </c>
      <c r="I956" s="2">
        <f t="shared" si="92"/>
        <v>47.8</v>
      </c>
      <c r="J956" s="4">
        <f t="shared" si="93"/>
        <v>31.822</v>
      </c>
      <c r="K956" s="9">
        <f t="shared" si="94"/>
        <v>23.8</v>
      </c>
      <c r="L956" s="1">
        <f t="shared" si="89"/>
        <v>-0.300000000000022</v>
      </c>
    </row>
    <row r="957" spans="1:12">
      <c r="A957" s="2">
        <v>31.889</v>
      </c>
      <c r="B957" s="10" t="s">
        <v>70</v>
      </c>
      <c r="C957" s="4">
        <v>31.889</v>
      </c>
      <c r="D957" s="4">
        <v>48.3</v>
      </c>
      <c r="G957" s="2">
        <f t="shared" ref="G957:G988" si="95">A956</f>
        <v>31.855</v>
      </c>
      <c r="H957" s="11" t="str">
        <f t="shared" ref="H957:H988" si="96">B956</f>
        <v>3.590E-2</v>
      </c>
      <c r="I957" s="2">
        <f t="shared" ref="I957:I988" si="97">D956</f>
        <v>48</v>
      </c>
      <c r="J957" s="4">
        <f t="shared" ref="J957:J988" si="98">G957</f>
        <v>31.855</v>
      </c>
      <c r="K957" s="9">
        <f t="shared" ref="K957:K988" si="99">(H957-$H$4)*10000</f>
        <v>23.8</v>
      </c>
      <c r="L957" s="1">
        <f t="shared" si="89"/>
        <v>-0.300000000000022</v>
      </c>
    </row>
    <row r="958" spans="1:12">
      <c r="A958" s="2">
        <v>31.922</v>
      </c>
      <c r="B958" s="10" t="s">
        <v>178</v>
      </c>
      <c r="C958" s="4">
        <v>31.922</v>
      </c>
      <c r="D958" s="4">
        <v>48.2</v>
      </c>
      <c r="G958" s="2">
        <f t="shared" si="95"/>
        <v>31.889</v>
      </c>
      <c r="H958" s="11" t="str">
        <f t="shared" si="96"/>
        <v>3.589E-2</v>
      </c>
      <c r="I958" s="2">
        <f t="shared" si="97"/>
        <v>48.3</v>
      </c>
      <c r="J958" s="4">
        <f t="shared" si="98"/>
        <v>31.889</v>
      </c>
      <c r="K958" s="9">
        <f t="shared" si="99"/>
        <v>23.7</v>
      </c>
      <c r="L958" s="1">
        <f t="shared" si="89"/>
        <v>-0.300000000000022</v>
      </c>
    </row>
    <row r="959" spans="1:12">
      <c r="A959" s="2">
        <v>31.955</v>
      </c>
      <c r="B959" s="10" t="s">
        <v>178</v>
      </c>
      <c r="C959" s="4">
        <v>31.955</v>
      </c>
      <c r="D959" s="4">
        <v>48</v>
      </c>
      <c r="G959" s="2">
        <f t="shared" si="95"/>
        <v>31.922</v>
      </c>
      <c r="H959" s="11" t="str">
        <f t="shared" si="96"/>
        <v>3.588E-2</v>
      </c>
      <c r="I959" s="2">
        <f t="shared" si="97"/>
        <v>48.2</v>
      </c>
      <c r="J959" s="4">
        <f t="shared" si="98"/>
        <v>31.922</v>
      </c>
      <c r="K959" s="9">
        <f t="shared" si="99"/>
        <v>23.6</v>
      </c>
      <c r="L959" s="1">
        <f t="shared" si="89"/>
        <v>-0.300000000000022</v>
      </c>
    </row>
    <row r="960" spans="1:12">
      <c r="A960" s="2">
        <v>31.989</v>
      </c>
      <c r="B960" s="10" t="s">
        <v>70</v>
      </c>
      <c r="C960" s="4">
        <v>31.989</v>
      </c>
      <c r="D960" s="4">
        <v>47.9</v>
      </c>
      <c r="G960" s="2">
        <f t="shared" si="95"/>
        <v>31.955</v>
      </c>
      <c r="H960" s="11" t="str">
        <f t="shared" si="96"/>
        <v>3.588E-2</v>
      </c>
      <c r="I960" s="2">
        <f t="shared" si="97"/>
        <v>48</v>
      </c>
      <c r="J960" s="4">
        <f t="shared" si="98"/>
        <v>31.955</v>
      </c>
      <c r="K960" s="9">
        <f t="shared" si="99"/>
        <v>23.6</v>
      </c>
      <c r="L960" s="1">
        <f t="shared" si="89"/>
        <v>-0.300000000000022</v>
      </c>
    </row>
    <row r="961" spans="1:12">
      <c r="A961" s="2">
        <v>32.022</v>
      </c>
      <c r="B961" s="10" t="s">
        <v>67</v>
      </c>
      <c r="C961" s="4">
        <v>32.022</v>
      </c>
      <c r="D961" s="4">
        <v>47.6</v>
      </c>
      <c r="G961" s="2">
        <f t="shared" si="95"/>
        <v>31.989</v>
      </c>
      <c r="H961" s="11" t="str">
        <f t="shared" si="96"/>
        <v>3.589E-2</v>
      </c>
      <c r="I961" s="2">
        <f t="shared" si="97"/>
        <v>47.9</v>
      </c>
      <c r="J961" s="4">
        <f t="shared" si="98"/>
        <v>31.989</v>
      </c>
      <c r="K961" s="9">
        <f t="shared" si="99"/>
        <v>23.7</v>
      </c>
      <c r="L961" s="1">
        <f t="shared" si="89"/>
        <v>-0.300000000000022</v>
      </c>
    </row>
    <row r="962" spans="1:12">
      <c r="A962" s="2">
        <v>32.056</v>
      </c>
      <c r="B962" s="10" t="s">
        <v>179</v>
      </c>
      <c r="C962" s="4">
        <v>32.056</v>
      </c>
      <c r="D962" s="4">
        <v>48.2</v>
      </c>
      <c r="G962" s="2">
        <f t="shared" si="95"/>
        <v>32.022</v>
      </c>
      <c r="H962" s="11" t="str">
        <f t="shared" si="96"/>
        <v>3.587E-2</v>
      </c>
      <c r="I962" s="2">
        <f t="shared" si="97"/>
        <v>47.6</v>
      </c>
      <c r="J962" s="4">
        <f t="shared" si="98"/>
        <v>32.022</v>
      </c>
      <c r="K962" s="9">
        <f t="shared" si="99"/>
        <v>23.5</v>
      </c>
      <c r="L962" s="1">
        <f t="shared" si="89"/>
        <v>-0.300000000000022</v>
      </c>
    </row>
    <row r="963" spans="1:12">
      <c r="A963" s="2">
        <v>32.089</v>
      </c>
      <c r="B963" s="10" t="s">
        <v>67</v>
      </c>
      <c r="C963" s="4">
        <v>32.089</v>
      </c>
      <c r="D963" s="4">
        <v>48</v>
      </c>
      <c r="G963" s="2">
        <f t="shared" si="95"/>
        <v>32.056</v>
      </c>
      <c r="H963" s="11" t="str">
        <f t="shared" si="96"/>
        <v>3.586E-2</v>
      </c>
      <c r="I963" s="2">
        <f t="shared" si="97"/>
        <v>48.2</v>
      </c>
      <c r="J963" s="4">
        <f t="shared" si="98"/>
        <v>32.056</v>
      </c>
      <c r="K963" s="9">
        <f t="shared" si="99"/>
        <v>23.4</v>
      </c>
      <c r="L963" s="1">
        <f t="shared" si="89"/>
        <v>-0.300000000000022</v>
      </c>
    </row>
    <row r="964" spans="1:12">
      <c r="A964" s="2">
        <v>32.123</v>
      </c>
      <c r="B964" s="10" t="s">
        <v>301</v>
      </c>
      <c r="C964" s="4">
        <v>32.123</v>
      </c>
      <c r="D964" s="4">
        <v>48.2</v>
      </c>
      <c r="G964" s="2">
        <f t="shared" si="95"/>
        <v>32.089</v>
      </c>
      <c r="H964" s="11" t="str">
        <f t="shared" si="96"/>
        <v>3.587E-2</v>
      </c>
      <c r="I964" s="2">
        <f t="shared" si="97"/>
        <v>48</v>
      </c>
      <c r="J964" s="4">
        <f t="shared" si="98"/>
        <v>32.089</v>
      </c>
      <c r="K964" s="9">
        <f t="shared" si="99"/>
        <v>23.5</v>
      </c>
      <c r="L964" s="1">
        <f t="shared" si="89"/>
        <v>-0.300000000000022</v>
      </c>
    </row>
    <row r="965" spans="1:12">
      <c r="A965" s="2">
        <v>32.156</v>
      </c>
      <c r="B965" s="10" t="s">
        <v>179</v>
      </c>
      <c r="C965" s="4">
        <v>32.156</v>
      </c>
      <c r="D965" s="4">
        <v>47.7</v>
      </c>
      <c r="G965" s="2">
        <f t="shared" si="95"/>
        <v>32.123</v>
      </c>
      <c r="H965" s="11" t="str">
        <f t="shared" si="96"/>
        <v>3.585E-2</v>
      </c>
      <c r="I965" s="2">
        <f t="shared" si="97"/>
        <v>48.2</v>
      </c>
      <c r="J965" s="4">
        <f t="shared" si="98"/>
        <v>32.123</v>
      </c>
      <c r="K965" s="9">
        <f t="shared" si="99"/>
        <v>23.3</v>
      </c>
      <c r="L965" s="1">
        <f t="shared" ref="L965:L1028" si="100">IF(I965&lt;230,MIN(K:K),MAX(K:K))</f>
        <v>-0.300000000000022</v>
      </c>
    </row>
    <row r="966" spans="1:12">
      <c r="A966" s="2">
        <v>32.189</v>
      </c>
      <c r="B966" s="10" t="s">
        <v>179</v>
      </c>
      <c r="C966" s="4">
        <v>32.189</v>
      </c>
      <c r="D966" s="4">
        <v>47.7</v>
      </c>
      <c r="G966" s="2">
        <f t="shared" si="95"/>
        <v>32.156</v>
      </c>
      <c r="H966" s="11" t="str">
        <f t="shared" si="96"/>
        <v>3.586E-2</v>
      </c>
      <c r="I966" s="2">
        <f t="shared" si="97"/>
        <v>47.7</v>
      </c>
      <c r="J966" s="4">
        <f t="shared" si="98"/>
        <v>32.156</v>
      </c>
      <c r="K966" s="9">
        <f t="shared" si="99"/>
        <v>23.4</v>
      </c>
      <c r="L966" s="1">
        <f t="shared" si="100"/>
        <v>-0.300000000000022</v>
      </c>
    </row>
    <row r="967" spans="1:12">
      <c r="A967" s="2">
        <v>32.223</v>
      </c>
      <c r="B967" s="10" t="s">
        <v>179</v>
      </c>
      <c r="C967" s="4">
        <v>32.223</v>
      </c>
      <c r="D967" s="4">
        <v>47.8</v>
      </c>
      <c r="G967" s="2">
        <f t="shared" si="95"/>
        <v>32.189</v>
      </c>
      <c r="H967" s="11" t="str">
        <f t="shared" si="96"/>
        <v>3.586E-2</v>
      </c>
      <c r="I967" s="2">
        <f t="shared" si="97"/>
        <v>47.7</v>
      </c>
      <c r="J967" s="4">
        <f t="shared" si="98"/>
        <v>32.189</v>
      </c>
      <c r="K967" s="9">
        <f t="shared" si="99"/>
        <v>23.4</v>
      </c>
      <c r="L967" s="1">
        <f t="shared" si="100"/>
        <v>-0.300000000000022</v>
      </c>
    </row>
    <row r="968" spans="1:12">
      <c r="A968" s="2">
        <v>32.256</v>
      </c>
      <c r="B968" s="10" t="s">
        <v>180</v>
      </c>
      <c r="C968" s="4">
        <v>32.256</v>
      </c>
      <c r="D968" s="4">
        <v>47.8</v>
      </c>
      <c r="G968" s="2">
        <f t="shared" si="95"/>
        <v>32.223</v>
      </c>
      <c r="H968" s="11" t="str">
        <f t="shared" si="96"/>
        <v>3.586E-2</v>
      </c>
      <c r="I968" s="2">
        <f t="shared" si="97"/>
        <v>47.8</v>
      </c>
      <c r="J968" s="4">
        <f t="shared" si="98"/>
        <v>32.223</v>
      </c>
      <c r="K968" s="9">
        <f t="shared" si="99"/>
        <v>23.4</v>
      </c>
      <c r="L968" s="1">
        <f t="shared" si="100"/>
        <v>-0.300000000000022</v>
      </c>
    </row>
    <row r="969" spans="1:12">
      <c r="A969" s="2">
        <v>32.29</v>
      </c>
      <c r="B969" s="10" t="s">
        <v>301</v>
      </c>
      <c r="C969" s="4">
        <v>32.29</v>
      </c>
      <c r="D969" s="4">
        <v>47.8</v>
      </c>
      <c r="G969" s="2">
        <f t="shared" si="95"/>
        <v>32.256</v>
      </c>
      <c r="H969" s="11" t="str">
        <f t="shared" si="96"/>
        <v>3.584E-2</v>
      </c>
      <c r="I969" s="2">
        <f t="shared" si="97"/>
        <v>47.8</v>
      </c>
      <c r="J969" s="4">
        <f t="shared" si="98"/>
        <v>32.256</v>
      </c>
      <c r="K969" s="9">
        <f t="shared" si="99"/>
        <v>23.2</v>
      </c>
      <c r="L969" s="1">
        <f t="shared" si="100"/>
        <v>-0.300000000000022</v>
      </c>
    </row>
    <row r="970" spans="1:12">
      <c r="A970" s="2">
        <v>32.323</v>
      </c>
      <c r="B970" s="10" t="s">
        <v>301</v>
      </c>
      <c r="C970" s="4">
        <v>32.323</v>
      </c>
      <c r="D970" s="4">
        <v>47.7</v>
      </c>
      <c r="G970" s="2">
        <f t="shared" si="95"/>
        <v>32.29</v>
      </c>
      <c r="H970" s="11" t="str">
        <f t="shared" si="96"/>
        <v>3.585E-2</v>
      </c>
      <c r="I970" s="2">
        <f t="shared" si="97"/>
        <v>47.8</v>
      </c>
      <c r="J970" s="4">
        <f t="shared" si="98"/>
        <v>32.29</v>
      </c>
      <c r="K970" s="9">
        <f t="shared" si="99"/>
        <v>23.3</v>
      </c>
      <c r="L970" s="1">
        <f t="shared" si="100"/>
        <v>-0.300000000000022</v>
      </c>
    </row>
    <row r="971" spans="1:12">
      <c r="A971" s="2">
        <v>32.357</v>
      </c>
      <c r="B971" s="10" t="s">
        <v>67</v>
      </c>
      <c r="C971" s="4">
        <v>32.357</v>
      </c>
      <c r="D971" s="4">
        <v>47.9</v>
      </c>
      <c r="G971" s="2">
        <f t="shared" si="95"/>
        <v>32.323</v>
      </c>
      <c r="H971" s="11" t="str">
        <f t="shared" si="96"/>
        <v>3.585E-2</v>
      </c>
      <c r="I971" s="2">
        <f t="shared" si="97"/>
        <v>47.7</v>
      </c>
      <c r="J971" s="4">
        <f t="shared" si="98"/>
        <v>32.323</v>
      </c>
      <c r="K971" s="9">
        <f t="shared" si="99"/>
        <v>23.3</v>
      </c>
      <c r="L971" s="1">
        <f t="shared" si="100"/>
        <v>-0.300000000000022</v>
      </c>
    </row>
    <row r="972" spans="1:12">
      <c r="A972" s="2">
        <v>32.39</v>
      </c>
      <c r="B972" s="10" t="s">
        <v>179</v>
      </c>
      <c r="C972" s="4">
        <v>32.39</v>
      </c>
      <c r="D972" s="4">
        <v>48.4</v>
      </c>
      <c r="G972" s="2">
        <f t="shared" si="95"/>
        <v>32.357</v>
      </c>
      <c r="H972" s="11" t="str">
        <f t="shared" si="96"/>
        <v>3.587E-2</v>
      </c>
      <c r="I972" s="2">
        <f t="shared" si="97"/>
        <v>47.9</v>
      </c>
      <c r="J972" s="4">
        <f t="shared" si="98"/>
        <v>32.357</v>
      </c>
      <c r="K972" s="9">
        <f t="shared" si="99"/>
        <v>23.5</v>
      </c>
      <c r="L972" s="1">
        <f t="shared" si="100"/>
        <v>-0.300000000000022</v>
      </c>
    </row>
    <row r="973" spans="1:12">
      <c r="A973" s="2">
        <v>32.423</v>
      </c>
      <c r="B973" s="10" t="s">
        <v>301</v>
      </c>
      <c r="C973" s="4">
        <v>32.423</v>
      </c>
      <c r="D973" s="4">
        <v>48</v>
      </c>
      <c r="G973" s="2">
        <f t="shared" si="95"/>
        <v>32.39</v>
      </c>
      <c r="H973" s="11" t="str">
        <f t="shared" si="96"/>
        <v>3.586E-2</v>
      </c>
      <c r="I973" s="2">
        <f t="shared" si="97"/>
        <v>48.4</v>
      </c>
      <c r="J973" s="4">
        <f t="shared" si="98"/>
        <v>32.39</v>
      </c>
      <c r="K973" s="9">
        <f t="shared" si="99"/>
        <v>23.4</v>
      </c>
      <c r="L973" s="1">
        <f t="shared" si="100"/>
        <v>-0.300000000000022</v>
      </c>
    </row>
    <row r="974" spans="1:12">
      <c r="A974" s="2">
        <v>32.457</v>
      </c>
      <c r="B974" s="10" t="s">
        <v>179</v>
      </c>
      <c r="C974" s="4">
        <v>32.457</v>
      </c>
      <c r="D974" s="4">
        <v>48.1</v>
      </c>
      <c r="G974" s="2">
        <f t="shared" si="95"/>
        <v>32.423</v>
      </c>
      <c r="H974" s="11" t="str">
        <f t="shared" si="96"/>
        <v>3.585E-2</v>
      </c>
      <c r="I974" s="2">
        <f t="shared" si="97"/>
        <v>48</v>
      </c>
      <c r="J974" s="4">
        <f t="shared" si="98"/>
        <v>32.423</v>
      </c>
      <c r="K974" s="9">
        <f t="shared" si="99"/>
        <v>23.3</v>
      </c>
      <c r="L974" s="1">
        <f t="shared" si="100"/>
        <v>-0.300000000000022</v>
      </c>
    </row>
    <row r="975" spans="1:12">
      <c r="A975" s="2">
        <v>32.49</v>
      </c>
      <c r="B975" s="10" t="s">
        <v>179</v>
      </c>
      <c r="C975" s="4">
        <v>32.49</v>
      </c>
      <c r="D975" s="4">
        <v>47.8</v>
      </c>
      <c r="G975" s="2">
        <f t="shared" si="95"/>
        <v>32.457</v>
      </c>
      <c r="H975" s="11" t="str">
        <f t="shared" si="96"/>
        <v>3.586E-2</v>
      </c>
      <c r="I975" s="2">
        <f t="shared" si="97"/>
        <v>48.1</v>
      </c>
      <c r="J975" s="4">
        <f t="shared" si="98"/>
        <v>32.457</v>
      </c>
      <c r="K975" s="9">
        <f t="shared" si="99"/>
        <v>23.4</v>
      </c>
      <c r="L975" s="1">
        <f t="shared" si="100"/>
        <v>-0.300000000000022</v>
      </c>
    </row>
    <row r="976" spans="1:12">
      <c r="A976" s="2">
        <v>32.524</v>
      </c>
      <c r="B976" s="10" t="s">
        <v>67</v>
      </c>
      <c r="C976" s="4">
        <v>32.524</v>
      </c>
      <c r="D976" s="4">
        <v>47.9</v>
      </c>
      <c r="G976" s="2">
        <f t="shared" si="95"/>
        <v>32.49</v>
      </c>
      <c r="H976" s="11" t="str">
        <f t="shared" si="96"/>
        <v>3.586E-2</v>
      </c>
      <c r="I976" s="2">
        <f t="shared" si="97"/>
        <v>47.8</v>
      </c>
      <c r="J976" s="4">
        <f t="shared" si="98"/>
        <v>32.49</v>
      </c>
      <c r="K976" s="9">
        <f t="shared" si="99"/>
        <v>23.4</v>
      </c>
      <c r="L976" s="1">
        <f t="shared" si="100"/>
        <v>-0.300000000000022</v>
      </c>
    </row>
    <row r="977" spans="1:12">
      <c r="A977" s="2">
        <v>32.557</v>
      </c>
      <c r="B977" s="10" t="s">
        <v>70</v>
      </c>
      <c r="C977" s="4">
        <v>32.557</v>
      </c>
      <c r="D977" s="4">
        <v>48</v>
      </c>
      <c r="G977" s="2">
        <f t="shared" si="95"/>
        <v>32.524</v>
      </c>
      <c r="H977" s="11" t="str">
        <f t="shared" si="96"/>
        <v>3.587E-2</v>
      </c>
      <c r="I977" s="2">
        <f t="shared" si="97"/>
        <v>47.9</v>
      </c>
      <c r="J977" s="4">
        <f t="shared" si="98"/>
        <v>32.524</v>
      </c>
      <c r="K977" s="9">
        <f t="shared" si="99"/>
        <v>23.5</v>
      </c>
      <c r="L977" s="1">
        <f t="shared" si="100"/>
        <v>-0.300000000000022</v>
      </c>
    </row>
    <row r="978" spans="1:12">
      <c r="A978" s="2">
        <v>32.591</v>
      </c>
      <c r="B978" s="10" t="s">
        <v>178</v>
      </c>
      <c r="C978" s="4">
        <v>32.591</v>
      </c>
      <c r="D978" s="4">
        <v>47.8</v>
      </c>
      <c r="G978" s="2">
        <f t="shared" si="95"/>
        <v>32.557</v>
      </c>
      <c r="H978" s="11" t="str">
        <f t="shared" si="96"/>
        <v>3.589E-2</v>
      </c>
      <c r="I978" s="2">
        <f t="shared" si="97"/>
        <v>48</v>
      </c>
      <c r="J978" s="4">
        <f t="shared" si="98"/>
        <v>32.557</v>
      </c>
      <c r="K978" s="9">
        <f t="shared" si="99"/>
        <v>23.7</v>
      </c>
      <c r="L978" s="1">
        <f t="shared" si="100"/>
        <v>-0.300000000000022</v>
      </c>
    </row>
    <row r="979" spans="1:12">
      <c r="A979" s="2">
        <v>32.624</v>
      </c>
      <c r="B979" s="10" t="s">
        <v>178</v>
      </c>
      <c r="C979" s="4">
        <v>32.624</v>
      </c>
      <c r="D979" s="4">
        <v>47.7</v>
      </c>
      <c r="G979" s="2">
        <f t="shared" si="95"/>
        <v>32.591</v>
      </c>
      <c r="H979" s="11" t="str">
        <f t="shared" si="96"/>
        <v>3.588E-2</v>
      </c>
      <c r="I979" s="2">
        <f t="shared" si="97"/>
        <v>47.8</v>
      </c>
      <c r="J979" s="4">
        <f t="shared" si="98"/>
        <v>32.591</v>
      </c>
      <c r="K979" s="9">
        <f t="shared" si="99"/>
        <v>23.6</v>
      </c>
      <c r="L979" s="1">
        <f t="shared" si="100"/>
        <v>-0.300000000000022</v>
      </c>
    </row>
    <row r="980" spans="1:12">
      <c r="A980" s="2">
        <v>32.657</v>
      </c>
      <c r="B980" s="10" t="s">
        <v>94</v>
      </c>
      <c r="C980" s="4">
        <v>32.657</v>
      </c>
      <c r="D980" s="4">
        <v>48.4</v>
      </c>
      <c r="G980" s="2">
        <f t="shared" si="95"/>
        <v>32.624</v>
      </c>
      <c r="H980" s="11" t="str">
        <f t="shared" si="96"/>
        <v>3.588E-2</v>
      </c>
      <c r="I980" s="2">
        <f t="shared" si="97"/>
        <v>47.7</v>
      </c>
      <c r="J980" s="4">
        <f t="shared" si="98"/>
        <v>32.624</v>
      </c>
      <c r="K980" s="9">
        <f t="shared" si="99"/>
        <v>23.6</v>
      </c>
      <c r="L980" s="1">
        <f t="shared" si="100"/>
        <v>-0.300000000000022</v>
      </c>
    </row>
    <row r="981" spans="1:12">
      <c r="A981" s="2">
        <v>32.691</v>
      </c>
      <c r="B981" s="10" t="s">
        <v>70</v>
      </c>
      <c r="C981" s="4">
        <v>32.691</v>
      </c>
      <c r="D981" s="4">
        <v>48.2</v>
      </c>
      <c r="G981" s="2">
        <f t="shared" si="95"/>
        <v>32.657</v>
      </c>
      <c r="H981" s="11" t="str">
        <f t="shared" si="96"/>
        <v>3.590E-2</v>
      </c>
      <c r="I981" s="2">
        <f t="shared" si="97"/>
        <v>48.4</v>
      </c>
      <c r="J981" s="4">
        <f t="shared" si="98"/>
        <v>32.657</v>
      </c>
      <c r="K981" s="9">
        <f t="shared" si="99"/>
        <v>23.8</v>
      </c>
      <c r="L981" s="1">
        <f t="shared" si="100"/>
        <v>-0.300000000000022</v>
      </c>
    </row>
    <row r="982" spans="1:12">
      <c r="A982" s="2">
        <v>32.724</v>
      </c>
      <c r="B982" s="10" t="s">
        <v>70</v>
      </c>
      <c r="C982" s="4">
        <v>32.724</v>
      </c>
      <c r="D982" s="4">
        <v>47.7</v>
      </c>
      <c r="G982" s="2">
        <f t="shared" si="95"/>
        <v>32.691</v>
      </c>
      <c r="H982" s="11" t="str">
        <f t="shared" si="96"/>
        <v>3.589E-2</v>
      </c>
      <c r="I982" s="2">
        <f t="shared" si="97"/>
        <v>48.2</v>
      </c>
      <c r="J982" s="4">
        <f t="shared" si="98"/>
        <v>32.691</v>
      </c>
      <c r="K982" s="9">
        <f t="shared" si="99"/>
        <v>23.7</v>
      </c>
      <c r="L982" s="1">
        <f t="shared" si="100"/>
        <v>-0.300000000000022</v>
      </c>
    </row>
    <row r="983" spans="1:12">
      <c r="A983" s="2">
        <v>32.758</v>
      </c>
      <c r="B983" s="10" t="s">
        <v>70</v>
      </c>
      <c r="C983" s="4">
        <v>32.758</v>
      </c>
      <c r="D983" s="4">
        <v>47.7</v>
      </c>
      <c r="G983" s="2">
        <f t="shared" si="95"/>
        <v>32.724</v>
      </c>
      <c r="H983" s="11" t="str">
        <f t="shared" si="96"/>
        <v>3.589E-2</v>
      </c>
      <c r="I983" s="2">
        <f t="shared" si="97"/>
        <v>47.7</v>
      </c>
      <c r="J983" s="4">
        <f t="shared" si="98"/>
        <v>32.724</v>
      </c>
      <c r="K983" s="9">
        <f t="shared" si="99"/>
        <v>23.7</v>
      </c>
      <c r="L983" s="1">
        <f t="shared" si="100"/>
        <v>-0.300000000000022</v>
      </c>
    </row>
    <row r="984" spans="1:12">
      <c r="A984" s="2">
        <v>32.791</v>
      </c>
      <c r="B984" s="10" t="s">
        <v>94</v>
      </c>
      <c r="C984" s="4">
        <v>32.791</v>
      </c>
      <c r="D984" s="4">
        <v>48</v>
      </c>
      <c r="G984" s="2">
        <f t="shared" si="95"/>
        <v>32.758</v>
      </c>
      <c r="H984" s="11" t="str">
        <f t="shared" si="96"/>
        <v>3.589E-2</v>
      </c>
      <c r="I984" s="2">
        <f t="shared" si="97"/>
        <v>47.7</v>
      </c>
      <c r="J984" s="4">
        <f t="shared" si="98"/>
        <v>32.758</v>
      </c>
      <c r="K984" s="9">
        <f t="shared" si="99"/>
        <v>23.7</v>
      </c>
      <c r="L984" s="1">
        <f t="shared" si="100"/>
        <v>-0.300000000000022</v>
      </c>
    </row>
    <row r="985" spans="1:12">
      <c r="A985" s="2">
        <v>32.825</v>
      </c>
      <c r="B985" s="10" t="s">
        <v>94</v>
      </c>
      <c r="C985" s="4">
        <v>32.825</v>
      </c>
      <c r="D985" s="4">
        <v>47.6</v>
      </c>
      <c r="G985" s="2">
        <f t="shared" si="95"/>
        <v>32.791</v>
      </c>
      <c r="H985" s="11" t="str">
        <f t="shared" si="96"/>
        <v>3.590E-2</v>
      </c>
      <c r="I985" s="2">
        <f t="shared" si="97"/>
        <v>48</v>
      </c>
      <c r="J985" s="4">
        <f t="shared" si="98"/>
        <v>32.791</v>
      </c>
      <c r="K985" s="9">
        <f t="shared" si="99"/>
        <v>23.8</v>
      </c>
      <c r="L985" s="1">
        <f t="shared" si="100"/>
        <v>-0.300000000000022</v>
      </c>
    </row>
    <row r="986" spans="1:12">
      <c r="A986" s="2">
        <v>32.858</v>
      </c>
      <c r="B986" s="10" t="s">
        <v>94</v>
      </c>
      <c r="C986" s="4">
        <v>32.858</v>
      </c>
      <c r="D986" s="4">
        <v>47.3</v>
      </c>
      <c r="G986" s="2">
        <f t="shared" si="95"/>
        <v>32.825</v>
      </c>
      <c r="H986" s="11" t="str">
        <f t="shared" si="96"/>
        <v>3.590E-2</v>
      </c>
      <c r="I986" s="2">
        <f t="shared" si="97"/>
        <v>47.6</v>
      </c>
      <c r="J986" s="4">
        <f t="shared" si="98"/>
        <v>32.825</v>
      </c>
      <c r="K986" s="9">
        <f t="shared" si="99"/>
        <v>23.8</v>
      </c>
      <c r="L986" s="1">
        <f t="shared" si="100"/>
        <v>-0.300000000000022</v>
      </c>
    </row>
    <row r="987" spans="1:12">
      <c r="A987" s="2">
        <v>32.891</v>
      </c>
      <c r="B987" s="10" t="s">
        <v>68</v>
      </c>
      <c r="C987" s="4">
        <v>32.891</v>
      </c>
      <c r="D987" s="4">
        <v>47.9</v>
      </c>
      <c r="G987" s="2">
        <f t="shared" si="95"/>
        <v>32.858</v>
      </c>
      <c r="H987" s="11" t="str">
        <f t="shared" si="96"/>
        <v>3.590E-2</v>
      </c>
      <c r="I987" s="2">
        <f t="shared" si="97"/>
        <v>47.3</v>
      </c>
      <c r="J987" s="4">
        <f t="shared" si="98"/>
        <v>32.858</v>
      </c>
      <c r="K987" s="9">
        <f t="shared" si="99"/>
        <v>23.8</v>
      </c>
      <c r="L987" s="1">
        <f t="shared" si="100"/>
        <v>-0.300000000000022</v>
      </c>
    </row>
    <row r="988" spans="1:12">
      <c r="A988" s="2">
        <v>32.925</v>
      </c>
      <c r="B988" s="10" t="s">
        <v>68</v>
      </c>
      <c r="C988" s="4">
        <v>32.925</v>
      </c>
      <c r="D988" s="4">
        <v>47.8</v>
      </c>
      <c r="G988" s="2">
        <f t="shared" si="95"/>
        <v>32.891</v>
      </c>
      <c r="H988" s="11" t="str">
        <f t="shared" si="96"/>
        <v>3.591E-2</v>
      </c>
      <c r="I988" s="2">
        <f t="shared" si="97"/>
        <v>47.9</v>
      </c>
      <c r="J988" s="4">
        <f t="shared" si="98"/>
        <v>32.891</v>
      </c>
      <c r="K988" s="9">
        <f t="shared" si="99"/>
        <v>23.9</v>
      </c>
      <c r="L988" s="1">
        <f t="shared" si="100"/>
        <v>-0.300000000000022</v>
      </c>
    </row>
    <row r="989" spans="1:12">
      <c r="A989" s="2">
        <v>32.958</v>
      </c>
      <c r="B989" s="10" t="s">
        <v>94</v>
      </c>
      <c r="C989" s="4">
        <v>32.958</v>
      </c>
      <c r="D989" s="4">
        <v>47.7</v>
      </c>
      <c r="G989" s="2">
        <f t="shared" ref="G989:G1020" si="101">A988</f>
        <v>32.925</v>
      </c>
      <c r="H989" s="11" t="str">
        <f t="shared" ref="H989:H1020" si="102">B988</f>
        <v>3.591E-2</v>
      </c>
      <c r="I989" s="2">
        <f t="shared" ref="I989:I1020" si="103">D988</f>
        <v>47.8</v>
      </c>
      <c r="J989" s="4">
        <f t="shared" ref="J989:J1020" si="104">G989</f>
        <v>32.925</v>
      </c>
      <c r="K989" s="9">
        <f t="shared" ref="K989:K1020" si="105">(H989-$H$4)*10000</f>
        <v>23.9</v>
      </c>
      <c r="L989" s="1">
        <f t="shared" si="100"/>
        <v>-0.300000000000022</v>
      </c>
    </row>
    <row r="990" spans="1:12">
      <c r="A990" s="2">
        <v>32.992</v>
      </c>
      <c r="B990" s="10" t="s">
        <v>68</v>
      </c>
      <c r="C990" s="4">
        <v>32.992</v>
      </c>
      <c r="D990" s="4">
        <v>48.5</v>
      </c>
      <c r="G990" s="2">
        <f t="shared" si="101"/>
        <v>32.958</v>
      </c>
      <c r="H990" s="11" t="str">
        <f t="shared" si="102"/>
        <v>3.590E-2</v>
      </c>
      <c r="I990" s="2">
        <f t="shared" si="103"/>
        <v>47.7</v>
      </c>
      <c r="J990" s="4">
        <f t="shared" si="104"/>
        <v>32.958</v>
      </c>
      <c r="K990" s="9">
        <f t="shared" si="105"/>
        <v>23.8</v>
      </c>
      <c r="L990" s="1">
        <f t="shared" si="100"/>
        <v>-0.300000000000022</v>
      </c>
    </row>
    <row r="991" spans="1:12">
      <c r="A991" s="2">
        <v>33.025</v>
      </c>
      <c r="B991" s="10" t="s">
        <v>94</v>
      </c>
      <c r="C991" s="4">
        <v>33.025</v>
      </c>
      <c r="D991" s="4">
        <v>48.4</v>
      </c>
      <c r="G991" s="2">
        <f t="shared" si="101"/>
        <v>32.992</v>
      </c>
      <c r="H991" s="11" t="str">
        <f t="shared" si="102"/>
        <v>3.591E-2</v>
      </c>
      <c r="I991" s="2">
        <f t="shared" si="103"/>
        <v>48.5</v>
      </c>
      <c r="J991" s="4">
        <f t="shared" si="104"/>
        <v>32.992</v>
      </c>
      <c r="K991" s="9">
        <f t="shared" si="105"/>
        <v>23.9</v>
      </c>
      <c r="L991" s="1">
        <f t="shared" si="100"/>
        <v>-0.300000000000022</v>
      </c>
    </row>
    <row r="992" spans="1:12">
      <c r="A992" s="2">
        <v>33.059</v>
      </c>
      <c r="B992" s="10" t="s">
        <v>94</v>
      </c>
      <c r="C992" s="4">
        <v>33.059</v>
      </c>
      <c r="D992" s="4">
        <v>48.3</v>
      </c>
      <c r="G992" s="2">
        <f t="shared" si="101"/>
        <v>33.025</v>
      </c>
      <c r="H992" s="11" t="str">
        <f t="shared" si="102"/>
        <v>3.590E-2</v>
      </c>
      <c r="I992" s="2">
        <f t="shared" si="103"/>
        <v>48.4</v>
      </c>
      <c r="J992" s="4">
        <f t="shared" si="104"/>
        <v>33.025</v>
      </c>
      <c r="K992" s="9">
        <f t="shared" si="105"/>
        <v>23.8</v>
      </c>
      <c r="L992" s="1">
        <f t="shared" si="100"/>
        <v>-0.300000000000022</v>
      </c>
    </row>
    <row r="993" spans="1:12">
      <c r="A993" s="2">
        <v>33.092</v>
      </c>
      <c r="B993" s="10" t="s">
        <v>94</v>
      </c>
      <c r="C993" s="4">
        <v>33.092</v>
      </c>
      <c r="D993" s="4">
        <v>47.9</v>
      </c>
      <c r="G993" s="2">
        <f t="shared" si="101"/>
        <v>33.059</v>
      </c>
      <c r="H993" s="11" t="str">
        <f t="shared" si="102"/>
        <v>3.590E-2</v>
      </c>
      <c r="I993" s="2">
        <f t="shared" si="103"/>
        <v>48.3</v>
      </c>
      <c r="J993" s="4">
        <f t="shared" si="104"/>
        <v>33.059</v>
      </c>
      <c r="K993" s="9">
        <f t="shared" si="105"/>
        <v>23.8</v>
      </c>
      <c r="L993" s="1">
        <f t="shared" si="100"/>
        <v>-0.300000000000022</v>
      </c>
    </row>
    <row r="994" spans="1:12">
      <c r="A994" s="2">
        <v>33.125</v>
      </c>
      <c r="B994" s="10" t="s">
        <v>70</v>
      </c>
      <c r="C994" s="4">
        <v>33.125</v>
      </c>
      <c r="D994" s="4">
        <v>48.2</v>
      </c>
      <c r="G994" s="2">
        <f t="shared" si="101"/>
        <v>33.092</v>
      </c>
      <c r="H994" s="11" t="str">
        <f t="shared" si="102"/>
        <v>3.590E-2</v>
      </c>
      <c r="I994" s="2">
        <f t="shared" si="103"/>
        <v>47.9</v>
      </c>
      <c r="J994" s="4">
        <f t="shared" si="104"/>
        <v>33.092</v>
      </c>
      <c r="K994" s="9">
        <f t="shared" si="105"/>
        <v>23.8</v>
      </c>
      <c r="L994" s="1">
        <f t="shared" si="100"/>
        <v>-0.300000000000022</v>
      </c>
    </row>
    <row r="995" spans="1:12">
      <c r="A995" s="2">
        <v>33.159</v>
      </c>
      <c r="B995" s="10" t="s">
        <v>70</v>
      </c>
      <c r="C995" s="4">
        <v>33.159</v>
      </c>
      <c r="D995" s="4">
        <v>48.4</v>
      </c>
      <c r="G995" s="2">
        <f t="shared" si="101"/>
        <v>33.125</v>
      </c>
      <c r="H995" s="11" t="str">
        <f t="shared" si="102"/>
        <v>3.589E-2</v>
      </c>
      <c r="I995" s="2">
        <f t="shared" si="103"/>
        <v>48.2</v>
      </c>
      <c r="J995" s="4">
        <f t="shared" si="104"/>
        <v>33.125</v>
      </c>
      <c r="K995" s="9">
        <f t="shared" si="105"/>
        <v>23.7</v>
      </c>
      <c r="L995" s="1">
        <f t="shared" si="100"/>
        <v>-0.300000000000022</v>
      </c>
    </row>
    <row r="996" spans="1:12">
      <c r="A996" s="2">
        <v>33.192</v>
      </c>
      <c r="B996" s="10" t="s">
        <v>70</v>
      </c>
      <c r="C996" s="4">
        <v>33.192</v>
      </c>
      <c r="D996" s="4">
        <v>48</v>
      </c>
      <c r="G996" s="2">
        <f t="shared" si="101"/>
        <v>33.159</v>
      </c>
      <c r="H996" s="11" t="str">
        <f t="shared" si="102"/>
        <v>3.589E-2</v>
      </c>
      <c r="I996" s="2">
        <f t="shared" si="103"/>
        <v>48.4</v>
      </c>
      <c r="J996" s="4">
        <f t="shared" si="104"/>
        <v>33.159</v>
      </c>
      <c r="K996" s="9">
        <f t="shared" si="105"/>
        <v>23.7</v>
      </c>
      <c r="L996" s="1">
        <f t="shared" si="100"/>
        <v>-0.300000000000022</v>
      </c>
    </row>
    <row r="997" spans="1:12">
      <c r="A997" s="2">
        <v>33.226</v>
      </c>
      <c r="B997" s="10" t="s">
        <v>178</v>
      </c>
      <c r="C997" s="4">
        <v>33.226</v>
      </c>
      <c r="D997" s="4">
        <v>47.9</v>
      </c>
      <c r="G997" s="2">
        <f t="shared" si="101"/>
        <v>33.192</v>
      </c>
      <c r="H997" s="11" t="str">
        <f t="shared" si="102"/>
        <v>3.589E-2</v>
      </c>
      <c r="I997" s="2">
        <f t="shared" si="103"/>
        <v>48</v>
      </c>
      <c r="J997" s="4">
        <f t="shared" si="104"/>
        <v>33.192</v>
      </c>
      <c r="K997" s="9">
        <f t="shared" si="105"/>
        <v>23.7</v>
      </c>
      <c r="L997" s="1">
        <f t="shared" si="100"/>
        <v>-0.300000000000022</v>
      </c>
    </row>
    <row r="998" spans="1:12">
      <c r="A998" s="2">
        <v>33.259</v>
      </c>
      <c r="B998" s="10" t="s">
        <v>178</v>
      </c>
      <c r="C998" s="4">
        <v>33.259</v>
      </c>
      <c r="D998" s="4">
        <v>48</v>
      </c>
      <c r="G998" s="2">
        <f t="shared" si="101"/>
        <v>33.226</v>
      </c>
      <c r="H998" s="11" t="str">
        <f t="shared" si="102"/>
        <v>3.588E-2</v>
      </c>
      <c r="I998" s="2">
        <f t="shared" si="103"/>
        <v>47.9</v>
      </c>
      <c r="J998" s="4">
        <f t="shared" si="104"/>
        <v>33.226</v>
      </c>
      <c r="K998" s="9">
        <f t="shared" si="105"/>
        <v>23.6</v>
      </c>
      <c r="L998" s="1">
        <f t="shared" si="100"/>
        <v>-0.300000000000022</v>
      </c>
    </row>
    <row r="999" spans="1:12">
      <c r="A999" s="2">
        <v>33.293</v>
      </c>
      <c r="B999" s="10" t="s">
        <v>67</v>
      </c>
      <c r="C999" s="4">
        <v>33.293</v>
      </c>
      <c r="D999" s="4">
        <v>48.2</v>
      </c>
      <c r="G999" s="2">
        <f t="shared" si="101"/>
        <v>33.259</v>
      </c>
      <c r="H999" s="11" t="str">
        <f t="shared" si="102"/>
        <v>3.588E-2</v>
      </c>
      <c r="I999" s="2">
        <f t="shared" si="103"/>
        <v>48</v>
      </c>
      <c r="J999" s="4">
        <f t="shared" si="104"/>
        <v>33.259</v>
      </c>
      <c r="K999" s="9">
        <f t="shared" si="105"/>
        <v>23.6</v>
      </c>
      <c r="L999" s="1">
        <f t="shared" si="100"/>
        <v>-0.300000000000022</v>
      </c>
    </row>
    <row r="1000" spans="1:12">
      <c r="A1000" s="2">
        <v>33.326</v>
      </c>
      <c r="B1000" s="10" t="s">
        <v>67</v>
      </c>
      <c r="C1000" s="4">
        <v>33.326</v>
      </c>
      <c r="D1000" s="4">
        <v>47.6</v>
      </c>
      <c r="G1000" s="2">
        <f t="shared" si="101"/>
        <v>33.293</v>
      </c>
      <c r="H1000" s="11" t="str">
        <f t="shared" si="102"/>
        <v>3.587E-2</v>
      </c>
      <c r="I1000" s="2">
        <f t="shared" si="103"/>
        <v>48.2</v>
      </c>
      <c r="J1000" s="4">
        <f t="shared" si="104"/>
        <v>33.293</v>
      </c>
      <c r="K1000" s="9">
        <f t="shared" si="105"/>
        <v>23.5</v>
      </c>
      <c r="L1000" s="1">
        <f t="shared" si="100"/>
        <v>-0.300000000000022</v>
      </c>
    </row>
    <row r="1001" spans="1:12">
      <c r="A1001" s="2">
        <v>33.359</v>
      </c>
      <c r="B1001" s="10" t="s">
        <v>179</v>
      </c>
      <c r="C1001" s="4">
        <v>33.359</v>
      </c>
      <c r="D1001" s="4">
        <v>47.6</v>
      </c>
      <c r="G1001" s="2">
        <f t="shared" si="101"/>
        <v>33.326</v>
      </c>
      <c r="H1001" s="11" t="str">
        <f t="shared" si="102"/>
        <v>3.587E-2</v>
      </c>
      <c r="I1001" s="2">
        <f t="shared" si="103"/>
        <v>47.6</v>
      </c>
      <c r="J1001" s="4">
        <f t="shared" si="104"/>
        <v>33.326</v>
      </c>
      <c r="K1001" s="9">
        <f t="shared" si="105"/>
        <v>23.5</v>
      </c>
      <c r="L1001" s="1">
        <f t="shared" si="100"/>
        <v>-0.300000000000022</v>
      </c>
    </row>
    <row r="1002" spans="1:12">
      <c r="A1002" s="2">
        <v>33.393</v>
      </c>
      <c r="B1002" s="10" t="s">
        <v>67</v>
      </c>
      <c r="C1002" s="4">
        <v>33.393</v>
      </c>
      <c r="D1002" s="4">
        <v>48.1</v>
      </c>
      <c r="G1002" s="2">
        <f t="shared" si="101"/>
        <v>33.359</v>
      </c>
      <c r="H1002" s="11" t="str">
        <f t="shared" si="102"/>
        <v>3.586E-2</v>
      </c>
      <c r="I1002" s="2">
        <f t="shared" si="103"/>
        <v>47.6</v>
      </c>
      <c r="J1002" s="4">
        <f t="shared" si="104"/>
        <v>33.359</v>
      </c>
      <c r="K1002" s="9">
        <f t="shared" si="105"/>
        <v>23.4</v>
      </c>
      <c r="L1002" s="1">
        <f t="shared" si="100"/>
        <v>-0.300000000000022</v>
      </c>
    </row>
    <row r="1003" spans="1:12">
      <c r="A1003" s="2">
        <v>33.426</v>
      </c>
      <c r="B1003" s="10" t="s">
        <v>301</v>
      </c>
      <c r="C1003" s="4">
        <v>33.426</v>
      </c>
      <c r="D1003" s="4">
        <v>47.8</v>
      </c>
      <c r="G1003" s="2">
        <f t="shared" si="101"/>
        <v>33.393</v>
      </c>
      <c r="H1003" s="11" t="str">
        <f t="shared" si="102"/>
        <v>3.587E-2</v>
      </c>
      <c r="I1003" s="2">
        <f t="shared" si="103"/>
        <v>48.1</v>
      </c>
      <c r="J1003" s="4">
        <f t="shared" si="104"/>
        <v>33.393</v>
      </c>
      <c r="K1003" s="9">
        <f t="shared" si="105"/>
        <v>23.5</v>
      </c>
      <c r="L1003" s="1">
        <f t="shared" si="100"/>
        <v>-0.300000000000022</v>
      </c>
    </row>
    <row r="1004" spans="1:12">
      <c r="A1004" s="2">
        <v>33.46</v>
      </c>
      <c r="B1004" s="10" t="s">
        <v>301</v>
      </c>
      <c r="C1004" s="4">
        <v>33.46</v>
      </c>
      <c r="D1004" s="4">
        <v>47.7</v>
      </c>
      <c r="G1004" s="2">
        <f t="shared" si="101"/>
        <v>33.426</v>
      </c>
      <c r="H1004" s="11" t="str">
        <f t="shared" si="102"/>
        <v>3.585E-2</v>
      </c>
      <c r="I1004" s="2">
        <f t="shared" si="103"/>
        <v>47.8</v>
      </c>
      <c r="J1004" s="4">
        <f t="shared" si="104"/>
        <v>33.426</v>
      </c>
      <c r="K1004" s="9">
        <f t="shared" si="105"/>
        <v>23.3</v>
      </c>
      <c r="L1004" s="1">
        <f t="shared" si="100"/>
        <v>-0.300000000000022</v>
      </c>
    </row>
    <row r="1005" spans="1:12">
      <c r="A1005" s="2">
        <v>33.493</v>
      </c>
      <c r="B1005" s="10" t="s">
        <v>179</v>
      </c>
      <c r="C1005" s="4">
        <v>33.493</v>
      </c>
      <c r="D1005" s="4">
        <v>47.9</v>
      </c>
      <c r="G1005" s="2">
        <f t="shared" si="101"/>
        <v>33.46</v>
      </c>
      <c r="H1005" s="11" t="str">
        <f t="shared" si="102"/>
        <v>3.585E-2</v>
      </c>
      <c r="I1005" s="2">
        <f t="shared" si="103"/>
        <v>47.7</v>
      </c>
      <c r="J1005" s="4">
        <f t="shared" si="104"/>
        <v>33.46</v>
      </c>
      <c r="K1005" s="9">
        <f t="shared" si="105"/>
        <v>23.3</v>
      </c>
      <c r="L1005" s="1">
        <f t="shared" si="100"/>
        <v>-0.300000000000022</v>
      </c>
    </row>
    <row r="1006" spans="1:12">
      <c r="A1006" s="2">
        <v>33.527</v>
      </c>
      <c r="B1006" s="10" t="s">
        <v>301</v>
      </c>
      <c r="C1006" s="4">
        <v>33.527</v>
      </c>
      <c r="D1006" s="4">
        <v>48.2</v>
      </c>
      <c r="G1006" s="2">
        <f t="shared" si="101"/>
        <v>33.493</v>
      </c>
      <c r="H1006" s="11" t="str">
        <f t="shared" si="102"/>
        <v>3.586E-2</v>
      </c>
      <c r="I1006" s="2">
        <f t="shared" si="103"/>
        <v>47.9</v>
      </c>
      <c r="J1006" s="4">
        <f t="shared" si="104"/>
        <v>33.493</v>
      </c>
      <c r="K1006" s="9">
        <f t="shared" si="105"/>
        <v>23.4</v>
      </c>
      <c r="L1006" s="1">
        <f t="shared" si="100"/>
        <v>-0.300000000000022</v>
      </c>
    </row>
    <row r="1007" spans="1:12">
      <c r="A1007" s="2">
        <v>33.56</v>
      </c>
      <c r="B1007" s="10" t="s">
        <v>301</v>
      </c>
      <c r="C1007" s="4">
        <v>33.56</v>
      </c>
      <c r="D1007" s="4">
        <v>47.8</v>
      </c>
      <c r="G1007" s="2">
        <f t="shared" si="101"/>
        <v>33.527</v>
      </c>
      <c r="H1007" s="11" t="str">
        <f t="shared" si="102"/>
        <v>3.585E-2</v>
      </c>
      <c r="I1007" s="2">
        <f t="shared" si="103"/>
        <v>48.2</v>
      </c>
      <c r="J1007" s="4">
        <f t="shared" si="104"/>
        <v>33.527</v>
      </c>
      <c r="K1007" s="9">
        <f t="shared" si="105"/>
        <v>23.3</v>
      </c>
      <c r="L1007" s="1">
        <f t="shared" si="100"/>
        <v>-0.300000000000022</v>
      </c>
    </row>
    <row r="1008" spans="1:12">
      <c r="A1008" s="2">
        <v>33.593</v>
      </c>
      <c r="B1008" s="10" t="s">
        <v>180</v>
      </c>
      <c r="C1008" s="4">
        <v>33.593</v>
      </c>
      <c r="D1008" s="4">
        <v>47.8</v>
      </c>
      <c r="G1008" s="2">
        <f t="shared" si="101"/>
        <v>33.56</v>
      </c>
      <c r="H1008" s="11" t="str">
        <f t="shared" si="102"/>
        <v>3.585E-2</v>
      </c>
      <c r="I1008" s="2">
        <f t="shared" si="103"/>
        <v>47.8</v>
      </c>
      <c r="J1008" s="4">
        <f t="shared" si="104"/>
        <v>33.56</v>
      </c>
      <c r="K1008" s="9">
        <f t="shared" si="105"/>
        <v>23.3</v>
      </c>
      <c r="L1008" s="1">
        <f t="shared" si="100"/>
        <v>-0.300000000000022</v>
      </c>
    </row>
    <row r="1009" spans="1:12">
      <c r="A1009" s="2">
        <v>33.627</v>
      </c>
      <c r="B1009" s="10" t="s">
        <v>179</v>
      </c>
      <c r="C1009" s="4">
        <v>33.627</v>
      </c>
      <c r="D1009" s="4">
        <v>47.6</v>
      </c>
      <c r="G1009" s="2">
        <f t="shared" si="101"/>
        <v>33.593</v>
      </c>
      <c r="H1009" s="11" t="str">
        <f t="shared" si="102"/>
        <v>3.584E-2</v>
      </c>
      <c r="I1009" s="2">
        <f t="shared" si="103"/>
        <v>47.8</v>
      </c>
      <c r="J1009" s="4">
        <f t="shared" si="104"/>
        <v>33.593</v>
      </c>
      <c r="K1009" s="9">
        <f t="shared" si="105"/>
        <v>23.2</v>
      </c>
      <c r="L1009" s="1">
        <f t="shared" si="100"/>
        <v>-0.300000000000022</v>
      </c>
    </row>
    <row r="1010" spans="1:12">
      <c r="A1010" s="2">
        <v>33.66</v>
      </c>
      <c r="B1010" s="10" t="s">
        <v>301</v>
      </c>
      <c r="C1010" s="4">
        <v>33.66</v>
      </c>
      <c r="D1010" s="4">
        <v>47.8</v>
      </c>
      <c r="G1010" s="2">
        <f t="shared" si="101"/>
        <v>33.627</v>
      </c>
      <c r="H1010" s="11" t="str">
        <f t="shared" si="102"/>
        <v>3.586E-2</v>
      </c>
      <c r="I1010" s="2">
        <f t="shared" si="103"/>
        <v>47.6</v>
      </c>
      <c r="J1010" s="4">
        <f t="shared" si="104"/>
        <v>33.627</v>
      </c>
      <c r="K1010" s="9">
        <f t="shared" si="105"/>
        <v>23.4</v>
      </c>
      <c r="L1010" s="1">
        <f t="shared" si="100"/>
        <v>-0.300000000000022</v>
      </c>
    </row>
    <row r="1011" spans="1:12">
      <c r="A1011" s="2">
        <v>33.694</v>
      </c>
      <c r="B1011" s="10" t="s">
        <v>180</v>
      </c>
      <c r="C1011" s="4">
        <v>33.694</v>
      </c>
      <c r="D1011" s="4">
        <v>48.2</v>
      </c>
      <c r="G1011" s="2">
        <f t="shared" si="101"/>
        <v>33.66</v>
      </c>
      <c r="H1011" s="11" t="str">
        <f t="shared" si="102"/>
        <v>3.585E-2</v>
      </c>
      <c r="I1011" s="2">
        <f t="shared" si="103"/>
        <v>47.8</v>
      </c>
      <c r="J1011" s="4">
        <f t="shared" si="104"/>
        <v>33.66</v>
      </c>
      <c r="K1011" s="9">
        <f t="shared" si="105"/>
        <v>23.3</v>
      </c>
      <c r="L1011" s="1">
        <f t="shared" si="100"/>
        <v>-0.300000000000022</v>
      </c>
    </row>
    <row r="1012" spans="1:12">
      <c r="A1012" s="2">
        <v>33.727</v>
      </c>
      <c r="B1012" s="10" t="s">
        <v>179</v>
      </c>
      <c r="C1012" s="4">
        <v>33.727</v>
      </c>
      <c r="D1012" s="4">
        <v>47.8</v>
      </c>
      <c r="G1012" s="2">
        <f t="shared" si="101"/>
        <v>33.694</v>
      </c>
      <c r="H1012" s="11" t="str">
        <f t="shared" si="102"/>
        <v>3.584E-2</v>
      </c>
      <c r="I1012" s="2">
        <f t="shared" si="103"/>
        <v>48.2</v>
      </c>
      <c r="J1012" s="4">
        <f t="shared" si="104"/>
        <v>33.694</v>
      </c>
      <c r="K1012" s="9">
        <f t="shared" si="105"/>
        <v>23.2</v>
      </c>
      <c r="L1012" s="1">
        <f t="shared" si="100"/>
        <v>-0.300000000000022</v>
      </c>
    </row>
    <row r="1013" spans="1:12">
      <c r="A1013" s="2">
        <v>33.761</v>
      </c>
      <c r="B1013" s="10" t="s">
        <v>301</v>
      </c>
      <c r="C1013" s="4">
        <v>33.761</v>
      </c>
      <c r="D1013" s="4">
        <v>48.1</v>
      </c>
      <c r="G1013" s="2">
        <f t="shared" si="101"/>
        <v>33.727</v>
      </c>
      <c r="H1013" s="11" t="str">
        <f t="shared" si="102"/>
        <v>3.586E-2</v>
      </c>
      <c r="I1013" s="2">
        <f t="shared" si="103"/>
        <v>47.8</v>
      </c>
      <c r="J1013" s="4">
        <f t="shared" si="104"/>
        <v>33.727</v>
      </c>
      <c r="K1013" s="9">
        <f t="shared" si="105"/>
        <v>23.4</v>
      </c>
      <c r="L1013" s="1">
        <f t="shared" si="100"/>
        <v>-0.300000000000022</v>
      </c>
    </row>
    <row r="1014" spans="1:12">
      <c r="A1014" s="2">
        <v>33.794</v>
      </c>
      <c r="B1014" s="10" t="s">
        <v>301</v>
      </c>
      <c r="C1014" s="4">
        <v>33.794</v>
      </c>
      <c r="D1014" s="4">
        <v>47.4</v>
      </c>
      <c r="G1014" s="2">
        <f t="shared" si="101"/>
        <v>33.761</v>
      </c>
      <c r="H1014" s="11" t="str">
        <f t="shared" si="102"/>
        <v>3.585E-2</v>
      </c>
      <c r="I1014" s="2">
        <f t="shared" si="103"/>
        <v>48.1</v>
      </c>
      <c r="J1014" s="4">
        <f t="shared" si="104"/>
        <v>33.761</v>
      </c>
      <c r="K1014" s="9">
        <f t="shared" si="105"/>
        <v>23.3</v>
      </c>
      <c r="L1014" s="1">
        <f t="shared" si="100"/>
        <v>-0.300000000000022</v>
      </c>
    </row>
    <row r="1015" spans="1:12">
      <c r="A1015" s="2">
        <v>33.827</v>
      </c>
      <c r="B1015" s="10" t="s">
        <v>179</v>
      </c>
      <c r="C1015" s="4">
        <v>33.827</v>
      </c>
      <c r="D1015" s="4">
        <v>47.5</v>
      </c>
      <c r="G1015" s="2">
        <f t="shared" si="101"/>
        <v>33.794</v>
      </c>
      <c r="H1015" s="11" t="str">
        <f t="shared" si="102"/>
        <v>3.585E-2</v>
      </c>
      <c r="I1015" s="2">
        <f t="shared" si="103"/>
        <v>47.4</v>
      </c>
      <c r="J1015" s="4">
        <f t="shared" si="104"/>
        <v>33.794</v>
      </c>
      <c r="K1015" s="9">
        <f t="shared" si="105"/>
        <v>23.3</v>
      </c>
      <c r="L1015" s="1">
        <f t="shared" si="100"/>
        <v>-0.300000000000022</v>
      </c>
    </row>
    <row r="1016" spans="1:12">
      <c r="A1016" s="2">
        <v>33.861</v>
      </c>
      <c r="B1016" s="10" t="s">
        <v>67</v>
      </c>
      <c r="C1016" s="4">
        <v>33.861</v>
      </c>
      <c r="D1016" s="4">
        <v>48.2</v>
      </c>
      <c r="G1016" s="2">
        <f t="shared" si="101"/>
        <v>33.827</v>
      </c>
      <c r="H1016" s="11" t="str">
        <f t="shared" si="102"/>
        <v>3.586E-2</v>
      </c>
      <c r="I1016" s="2">
        <f t="shared" si="103"/>
        <v>47.5</v>
      </c>
      <c r="J1016" s="4">
        <f t="shared" si="104"/>
        <v>33.827</v>
      </c>
      <c r="K1016" s="9">
        <f t="shared" si="105"/>
        <v>23.4</v>
      </c>
      <c r="L1016" s="1">
        <f t="shared" si="100"/>
        <v>-0.300000000000022</v>
      </c>
    </row>
    <row r="1017" spans="1:12">
      <c r="A1017" s="2">
        <v>33.894</v>
      </c>
      <c r="B1017" s="10" t="s">
        <v>178</v>
      </c>
      <c r="C1017" s="4">
        <v>33.894</v>
      </c>
      <c r="D1017" s="4">
        <v>48</v>
      </c>
      <c r="G1017" s="2">
        <f t="shared" si="101"/>
        <v>33.861</v>
      </c>
      <c r="H1017" s="11" t="str">
        <f t="shared" si="102"/>
        <v>3.587E-2</v>
      </c>
      <c r="I1017" s="2">
        <f t="shared" si="103"/>
        <v>48.2</v>
      </c>
      <c r="J1017" s="4">
        <f t="shared" si="104"/>
        <v>33.861</v>
      </c>
      <c r="K1017" s="9">
        <f t="shared" si="105"/>
        <v>23.5</v>
      </c>
      <c r="L1017" s="1">
        <f t="shared" si="100"/>
        <v>-0.300000000000022</v>
      </c>
    </row>
    <row r="1018" spans="1:12">
      <c r="A1018" s="2">
        <v>33.928</v>
      </c>
      <c r="B1018" s="10" t="s">
        <v>178</v>
      </c>
      <c r="C1018" s="4">
        <v>33.928</v>
      </c>
      <c r="D1018" s="4">
        <v>48.3</v>
      </c>
      <c r="G1018" s="2">
        <f t="shared" si="101"/>
        <v>33.894</v>
      </c>
      <c r="H1018" s="11" t="str">
        <f t="shared" si="102"/>
        <v>3.588E-2</v>
      </c>
      <c r="I1018" s="2">
        <f t="shared" si="103"/>
        <v>48</v>
      </c>
      <c r="J1018" s="4">
        <f t="shared" si="104"/>
        <v>33.894</v>
      </c>
      <c r="K1018" s="9">
        <f t="shared" si="105"/>
        <v>23.6</v>
      </c>
      <c r="L1018" s="1">
        <f t="shared" si="100"/>
        <v>-0.300000000000022</v>
      </c>
    </row>
    <row r="1019" spans="1:12">
      <c r="A1019" s="2">
        <v>33.961</v>
      </c>
      <c r="B1019" s="10" t="s">
        <v>178</v>
      </c>
      <c r="C1019" s="4">
        <v>33.961</v>
      </c>
      <c r="D1019" s="4">
        <v>48.1</v>
      </c>
      <c r="G1019" s="2">
        <f t="shared" si="101"/>
        <v>33.928</v>
      </c>
      <c r="H1019" s="11" t="str">
        <f t="shared" si="102"/>
        <v>3.588E-2</v>
      </c>
      <c r="I1019" s="2">
        <f t="shared" si="103"/>
        <v>48.3</v>
      </c>
      <c r="J1019" s="4">
        <f t="shared" si="104"/>
        <v>33.928</v>
      </c>
      <c r="K1019" s="9">
        <f t="shared" si="105"/>
        <v>23.6</v>
      </c>
      <c r="L1019" s="1">
        <f t="shared" si="100"/>
        <v>-0.300000000000022</v>
      </c>
    </row>
    <row r="1020" spans="1:12">
      <c r="A1020" s="2">
        <v>33.994</v>
      </c>
      <c r="B1020" s="10" t="s">
        <v>178</v>
      </c>
      <c r="C1020" s="4">
        <v>33.994</v>
      </c>
      <c r="D1020" s="4">
        <v>48</v>
      </c>
      <c r="G1020" s="2">
        <f t="shared" si="101"/>
        <v>33.961</v>
      </c>
      <c r="H1020" s="11" t="str">
        <f t="shared" si="102"/>
        <v>3.588E-2</v>
      </c>
      <c r="I1020" s="2">
        <f t="shared" si="103"/>
        <v>48.1</v>
      </c>
      <c r="J1020" s="4">
        <f t="shared" si="104"/>
        <v>33.961</v>
      </c>
      <c r="K1020" s="9">
        <f t="shared" si="105"/>
        <v>23.6</v>
      </c>
      <c r="L1020" s="1">
        <f t="shared" si="100"/>
        <v>-0.300000000000022</v>
      </c>
    </row>
    <row r="1021" spans="1:12">
      <c r="A1021" s="2">
        <v>34.028</v>
      </c>
      <c r="B1021" s="10" t="s">
        <v>70</v>
      </c>
      <c r="C1021" s="4">
        <v>34.028</v>
      </c>
      <c r="D1021" s="4">
        <v>48.3</v>
      </c>
      <c r="G1021" s="2">
        <f t="shared" ref="G1021:G1052" si="106">A1020</f>
        <v>33.994</v>
      </c>
      <c r="H1021" s="11" t="str">
        <f t="shared" ref="H1021:H1052" si="107">B1020</f>
        <v>3.588E-2</v>
      </c>
      <c r="I1021" s="2">
        <f t="shared" ref="I1021:I1052" si="108">D1020</f>
        <v>48</v>
      </c>
      <c r="J1021" s="4">
        <f t="shared" ref="J1021:J1052" si="109">G1021</f>
        <v>33.994</v>
      </c>
      <c r="K1021" s="9">
        <f t="shared" ref="K1021:K1052" si="110">(H1021-$H$4)*10000</f>
        <v>23.6</v>
      </c>
      <c r="L1021" s="1">
        <f t="shared" si="100"/>
        <v>-0.300000000000022</v>
      </c>
    </row>
    <row r="1022" spans="1:12">
      <c r="A1022" s="2">
        <v>34.061</v>
      </c>
      <c r="B1022" s="10" t="s">
        <v>94</v>
      </c>
      <c r="C1022" s="4">
        <v>34.061</v>
      </c>
      <c r="D1022" s="4">
        <v>48.1</v>
      </c>
      <c r="G1022" s="2">
        <f t="shared" si="106"/>
        <v>34.028</v>
      </c>
      <c r="H1022" s="11" t="str">
        <f t="shared" si="107"/>
        <v>3.589E-2</v>
      </c>
      <c r="I1022" s="2">
        <f t="shared" si="108"/>
        <v>48.3</v>
      </c>
      <c r="J1022" s="4">
        <f t="shared" si="109"/>
        <v>34.028</v>
      </c>
      <c r="K1022" s="9">
        <f t="shared" si="110"/>
        <v>23.7</v>
      </c>
      <c r="L1022" s="1">
        <f t="shared" si="100"/>
        <v>-0.300000000000022</v>
      </c>
    </row>
    <row r="1023" spans="1:12">
      <c r="A1023" s="2">
        <v>34.095</v>
      </c>
      <c r="B1023" s="10" t="s">
        <v>70</v>
      </c>
      <c r="C1023" s="4">
        <v>34.095</v>
      </c>
      <c r="D1023" s="4">
        <v>48.3</v>
      </c>
      <c r="G1023" s="2">
        <f t="shared" si="106"/>
        <v>34.061</v>
      </c>
      <c r="H1023" s="11" t="str">
        <f t="shared" si="107"/>
        <v>3.590E-2</v>
      </c>
      <c r="I1023" s="2">
        <f t="shared" si="108"/>
        <v>48.1</v>
      </c>
      <c r="J1023" s="4">
        <f t="shared" si="109"/>
        <v>34.061</v>
      </c>
      <c r="K1023" s="9">
        <f t="shared" si="110"/>
        <v>23.8</v>
      </c>
      <c r="L1023" s="1">
        <f t="shared" si="100"/>
        <v>-0.300000000000022</v>
      </c>
    </row>
    <row r="1024" spans="1:12">
      <c r="A1024" s="2">
        <v>34.128</v>
      </c>
      <c r="B1024" s="10" t="s">
        <v>70</v>
      </c>
      <c r="C1024" s="4">
        <v>34.128</v>
      </c>
      <c r="D1024" s="4">
        <v>48</v>
      </c>
      <c r="G1024" s="2">
        <f t="shared" si="106"/>
        <v>34.095</v>
      </c>
      <c r="H1024" s="11" t="str">
        <f t="shared" si="107"/>
        <v>3.589E-2</v>
      </c>
      <c r="I1024" s="2">
        <f t="shared" si="108"/>
        <v>48.3</v>
      </c>
      <c r="J1024" s="4">
        <f t="shared" si="109"/>
        <v>34.095</v>
      </c>
      <c r="K1024" s="9">
        <f t="shared" si="110"/>
        <v>23.7</v>
      </c>
      <c r="L1024" s="1">
        <f t="shared" si="100"/>
        <v>-0.300000000000022</v>
      </c>
    </row>
    <row r="1025" spans="1:12">
      <c r="A1025" s="2">
        <v>34.162</v>
      </c>
      <c r="B1025" s="10" t="s">
        <v>94</v>
      </c>
      <c r="C1025" s="4">
        <v>34.162</v>
      </c>
      <c r="D1025" s="4">
        <v>48.4</v>
      </c>
      <c r="G1025" s="2">
        <f t="shared" si="106"/>
        <v>34.128</v>
      </c>
      <c r="H1025" s="11" t="str">
        <f t="shared" si="107"/>
        <v>3.589E-2</v>
      </c>
      <c r="I1025" s="2">
        <f t="shared" si="108"/>
        <v>48</v>
      </c>
      <c r="J1025" s="4">
        <f t="shared" si="109"/>
        <v>34.128</v>
      </c>
      <c r="K1025" s="9">
        <f t="shared" si="110"/>
        <v>23.7</v>
      </c>
      <c r="L1025" s="1">
        <f t="shared" si="100"/>
        <v>-0.300000000000022</v>
      </c>
    </row>
    <row r="1026" spans="1:12">
      <c r="A1026" s="2">
        <v>34.195</v>
      </c>
      <c r="B1026" s="10" t="s">
        <v>94</v>
      </c>
      <c r="C1026" s="4">
        <v>34.195</v>
      </c>
      <c r="D1026" s="4">
        <v>48.1</v>
      </c>
      <c r="G1026" s="2">
        <f t="shared" si="106"/>
        <v>34.162</v>
      </c>
      <c r="H1026" s="11" t="str">
        <f t="shared" si="107"/>
        <v>3.590E-2</v>
      </c>
      <c r="I1026" s="2">
        <f t="shared" si="108"/>
        <v>48.4</v>
      </c>
      <c r="J1026" s="4">
        <f t="shared" si="109"/>
        <v>34.162</v>
      </c>
      <c r="K1026" s="9">
        <f t="shared" si="110"/>
        <v>23.8</v>
      </c>
      <c r="L1026" s="1">
        <f t="shared" si="100"/>
        <v>-0.300000000000022</v>
      </c>
    </row>
    <row r="1027" spans="1:12">
      <c r="A1027" s="2">
        <v>34.228</v>
      </c>
      <c r="B1027" s="10" t="s">
        <v>68</v>
      </c>
      <c r="C1027" s="4">
        <v>34.228</v>
      </c>
      <c r="D1027" s="4">
        <v>47.9</v>
      </c>
      <c r="G1027" s="2">
        <f t="shared" si="106"/>
        <v>34.195</v>
      </c>
      <c r="H1027" s="11" t="str">
        <f t="shared" si="107"/>
        <v>3.590E-2</v>
      </c>
      <c r="I1027" s="2">
        <f t="shared" si="108"/>
        <v>48.1</v>
      </c>
      <c r="J1027" s="4">
        <f t="shared" si="109"/>
        <v>34.195</v>
      </c>
      <c r="K1027" s="9">
        <f t="shared" si="110"/>
        <v>23.8</v>
      </c>
      <c r="L1027" s="1">
        <f t="shared" si="100"/>
        <v>-0.300000000000022</v>
      </c>
    </row>
    <row r="1028" spans="1:12">
      <c r="A1028" s="2">
        <v>34.262</v>
      </c>
      <c r="B1028" s="10" t="s">
        <v>94</v>
      </c>
      <c r="C1028" s="4">
        <v>34.262</v>
      </c>
      <c r="D1028" s="4">
        <v>48.1</v>
      </c>
      <c r="G1028" s="2">
        <f t="shared" si="106"/>
        <v>34.228</v>
      </c>
      <c r="H1028" s="11" t="str">
        <f t="shared" si="107"/>
        <v>3.591E-2</v>
      </c>
      <c r="I1028" s="2">
        <f t="shared" si="108"/>
        <v>47.9</v>
      </c>
      <c r="J1028" s="4">
        <f t="shared" si="109"/>
        <v>34.228</v>
      </c>
      <c r="K1028" s="9">
        <f t="shared" si="110"/>
        <v>23.9</v>
      </c>
      <c r="L1028" s="1">
        <f t="shared" si="100"/>
        <v>-0.300000000000022</v>
      </c>
    </row>
    <row r="1029" spans="1:12">
      <c r="A1029" s="2">
        <v>34.295</v>
      </c>
      <c r="B1029" s="10" t="s">
        <v>68</v>
      </c>
      <c r="C1029" s="4">
        <v>34.295</v>
      </c>
      <c r="D1029" s="4">
        <v>48</v>
      </c>
      <c r="G1029" s="2">
        <f t="shared" si="106"/>
        <v>34.262</v>
      </c>
      <c r="H1029" s="11" t="str">
        <f t="shared" si="107"/>
        <v>3.590E-2</v>
      </c>
      <c r="I1029" s="2">
        <f t="shared" si="108"/>
        <v>48.1</v>
      </c>
      <c r="J1029" s="4">
        <f t="shared" si="109"/>
        <v>34.262</v>
      </c>
      <c r="K1029" s="9">
        <f t="shared" si="110"/>
        <v>23.8</v>
      </c>
      <c r="L1029" s="1">
        <f t="shared" ref="L1029:L1080" si="111">IF(I1029&lt;230,MIN(K:K),MAX(K:K))</f>
        <v>-0.300000000000022</v>
      </c>
    </row>
    <row r="1030" spans="1:12">
      <c r="A1030" s="2">
        <v>34.329</v>
      </c>
      <c r="B1030" s="10" t="s">
        <v>94</v>
      </c>
      <c r="C1030" s="4">
        <v>34.329</v>
      </c>
      <c r="D1030" s="4">
        <v>47.4</v>
      </c>
      <c r="G1030" s="2">
        <f t="shared" si="106"/>
        <v>34.295</v>
      </c>
      <c r="H1030" s="11" t="str">
        <f t="shared" si="107"/>
        <v>3.591E-2</v>
      </c>
      <c r="I1030" s="2">
        <f t="shared" si="108"/>
        <v>48</v>
      </c>
      <c r="J1030" s="4">
        <f t="shared" si="109"/>
        <v>34.295</v>
      </c>
      <c r="K1030" s="9">
        <f t="shared" si="110"/>
        <v>23.9</v>
      </c>
      <c r="L1030" s="1">
        <f t="shared" si="111"/>
        <v>-0.300000000000022</v>
      </c>
    </row>
    <row r="1031" spans="1:12">
      <c r="A1031" s="2">
        <v>34.362</v>
      </c>
      <c r="B1031" s="10" t="s">
        <v>94</v>
      </c>
      <c r="C1031" s="4">
        <v>34.362</v>
      </c>
      <c r="D1031" s="4">
        <v>47.8</v>
      </c>
      <c r="G1031" s="2">
        <f t="shared" si="106"/>
        <v>34.329</v>
      </c>
      <c r="H1031" s="11" t="str">
        <f t="shared" si="107"/>
        <v>3.590E-2</v>
      </c>
      <c r="I1031" s="2">
        <f t="shared" si="108"/>
        <v>47.4</v>
      </c>
      <c r="J1031" s="4">
        <f t="shared" si="109"/>
        <v>34.329</v>
      </c>
      <c r="K1031" s="9">
        <f t="shared" si="110"/>
        <v>23.8</v>
      </c>
      <c r="L1031" s="1">
        <f t="shared" si="111"/>
        <v>-0.300000000000022</v>
      </c>
    </row>
    <row r="1032" spans="1:12">
      <c r="A1032" s="2">
        <v>34.396</v>
      </c>
      <c r="B1032" s="10" t="s">
        <v>70</v>
      </c>
      <c r="C1032" s="4">
        <v>34.396</v>
      </c>
      <c r="D1032" s="4">
        <v>47.5</v>
      </c>
      <c r="G1032" s="2">
        <f t="shared" si="106"/>
        <v>34.362</v>
      </c>
      <c r="H1032" s="11" t="str">
        <f t="shared" si="107"/>
        <v>3.590E-2</v>
      </c>
      <c r="I1032" s="2">
        <f t="shared" si="108"/>
        <v>47.8</v>
      </c>
      <c r="J1032" s="4">
        <f t="shared" si="109"/>
        <v>34.362</v>
      </c>
      <c r="K1032" s="9">
        <f t="shared" si="110"/>
        <v>23.8</v>
      </c>
      <c r="L1032" s="1">
        <f t="shared" si="111"/>
        <v>-0.300000000000022</v>
      </c>
    </row>
    <row r="1033" spans="1:12">
      <c r="A1033" s="2">
        <v>34.429</v>
      </c>
      <c r="B1033" s="10" t="s">
        <v>94</v>
      </c>
      <c r="C1033" s="4">
        <v>34.429</v>
      </c>
      <c r="D1033" s="4">
        <v>48.1</v>
      </c>
      <c r="G1033" s="2">
        <f t="shared" si="106"/>
        <v>34.396</v>
      </c>
      <c r="H1033" s="11" t="str">
        <f t="shared" si="107"/>
        <v>3.589E-2</v>
      </c>
      <c r="I1033" s="2">
        <f t="shared" si="108"/>
        <v>47.5</v>
      </c>
      <c r="J1033" s="4">
        <f t="shared" si="109"/>
        <v>34.396</v>
      </c>
      <c r="K1033" s="9">
        <f t="shared" si="110"/>
        <v>23.7</v>
      </c>
      <c r="L1033" s="1">
        <f t="shared" si="111"/>
        <v>-0.300000000000022</v>
      </c>
    </row>
    <row r="1034" spans="1:12">
      <c r="A1034" s="2">
        <v>34.462</v>
      </c>
      <c r="B1034" s="10" t="s">
        <v>94</v>
      </c>
      <c r="C1034" s="4">
        <v>34.462</v>
      </c>
      <c r="D1034" s="4">
        <v>47.7</v>
      </c>
      <c r="G1034" s="2">
        <f t="shared" si="106"/>
        <v>34.429</v>
      </c>
      <c r="H1034" s="11" t="str">
        <f t="shared" si="107"/>
        <v>3.590E-2</v>
      </c>
      <c r="I1034" s="2">
        <f t="shared" si="108"/>
        <v>48.1</v>
      </c>
      <c r="J1034" s="4">
        <f t="shared" si="109"/>
        <v>34.429</v>
      </c>
      <c r="K1034" s="9">
        <f t="shared" si="110"/>
        <v>23.8</v>
      </c>
      <c r="L1034" s="1">
        <f t="shared" si="111"/>
        <v>-0.300000000000022</v>
      </c>
    </row>
    <row r="1035" spans="1:12">
      <c r="A1035" s="2">
        <v>34.496</v>
      </c>
      <c r="B1035" s="10" t="s">
        <v>70</v>
      </c>
      <c r="C1035" s="4">
        <v>34.496</v>
      </c>
      <c r="D1035" s="4">
        <v>48.3</v>
      </c>
      <c r="G1035" s="2">
        <f t="shared" si="106"/>
        <v>34.462</v>
      </c>
      <c r="H1035" s="11" t="str">
        <f t="shared" si="107"/>
        <v>3.590E-2</v>
      </c>
      <c r="I1035" s="2">
        <f t="shared" si="108"/>
        <v>47.7</v>
      </c>
      <c r="J1035" s="4">
        <f t="shared" si="109"/>
        <v>34.462</v>
      </c>
      <c r="K1035" s="9">
        <f t="shared" si="110"/>
        <v>23.8</v>
      </c>
      <c r="L1035" s="1">
        <f t="shared" si="111"/>
        <v>-0.300000000000022</v>
      </c>
    </row>
    <row r="1036" spans="1:12">
      <c r="A1036" s="2">
        <v>34.529</v>
      </c>
      <c r="B1036" s="10" t="s">
        <v>178</v>
      </c>
      <c r="C1036" s="4">
        <v>34.529</v>
      </c>
      <c r="D1036" s="4">
        <v>47.8</v>
      </c>
      <c r="G1036" s="2">
        <f t="shared" si="106"/>
        <v>34.496</v>
      </c>
      <c r="H1036" s="11" t="str">
        <f t="shared" si="107"/>
        <v>3.589E-2</v>
      </c>
      <c r="I1036" s="2">
        <f t="shared" si="108"/>
        <v>48.3</v>
      </c>
      <c r="J1036" s="4">
        <f t="shared" si="109"/>
        <v>34.496</v>
      </c>
      <c r="K1036" s="9">
        <f t="shared" si="110"/>
        <v>23.7</v>
      </c>
      <c r="L1036" s="1">
        <f t="shared" si="111"/>
        <v>-0.300000000000022</v>
      </c>
    </row>
    <row r="1037" spans="1:12">
      <c r="A1037" s="2">
        <v>34.563</v>
      </c>
      <c r="B1037" s="10" t="s">
        <v>67</v>
      </c>
      <c r="C1037" s="4">
        <v>34.563</v>
      </c>
      <c r="D1037" s="4">
        <v>47.9</v>
      </c>
      <c r="G1037" s="2">
        <f t="shared" si="106"/>
        <v>34.529</v>
      </c>
      <c r="H1037" s="11" t="str">
        <f t="shared" si="107"/>
        <v>3.588E-2</v>
      </c>
      <c r="I1037" s="2">
        <f t="shared" si="108"/>
        <v>47.8</v>
      </c>
      <c r="J1037" s="4">
        <f t="shared" si="109"/>
        <v>34.529</v>
      </c>
      <c r="K1037" s="9">
        <f t="shared" si="110"/>
        <v>23.6</v>
      </c>
      <c r="L1037" s="1">
        <f t="shared" si="111"/>
        <v>-0.300000000000022</v>
      </c>
    </row>
    <row r="1038" spans="1:12">
      <c r="A1038" s="2">
        <v>34.596</v>
      </c>
      <c r="B1038" s="10" t="s">
        <v>67</v>
      </c>
      <c r="C1038" s="4">
        <v>34.596</v>
      </c>
      <c r="D1038" s="4">
        <v>48.4</v>
      </c>
      <c r="G1038" s="2">
        <f t="shared" si="106"/>
        <v>34.563</v>
      </c>
      <c r="H1038" s="11" t="str">
        <f t="shared" si="107"/>
        <v>3.587E-2</v>
      </c>
      <c r="I1038" s="2">
        <f t="shared" si="108"/>
        <v>47.9</v>
      </c>
      <c r="J1038" s="4">
        <f t="shared" si="109"/>
        <v>34.563</v>
      </c>
      <c r="K1038" s="9">
        <f t="shared" si="110"/>
        <v>23.5</v>
      </c>
      <c r="L1038" s="1">
        <f t="shared" si="111"/>
        <v>-0.300000000000022</v>
      </c>
    </row>
    <row r="1039" spans="1:12">
      <c r="A1039" s="2">
        <v>34.63</v>
      </c>
      <c r="B1039" s="10" t="s">
        <v>179</v>
      </c>
      <c r="C1039" s="4">
        <v>34.63</v>
      </c>
      <c r="D1039" s="4">
        <v>47.5</v>
      </c>
      <c r="G1039" s="2">
        <f t="shared" si="106"/>
        <v>34.596</v>
      </c>
      <c r="H1039" s="11" t="str">
        <f t="shared" si="107"/>
        <v>3.587E-2</v>
      </c>
      <c r="I1039" s="2">
        <f t="shared" si="108"/>
        <v>48.4</v>
      </c>
      <c r="J1039" s="4">
        <f t="shared" si="109"/>
        <v>34.596</v>
      </c>
      <c r="K1039" s="9">
        <f t="shared" si="110"/>
        <v>23.5</v>
      </c>
      <c r="L1039" s="1">
        <f t="shared" si="111"/>
        <v>-0.300000000000022</v>
      </c>
    </row>
    <row r="1040" spans="1:12">
      <c r="A1040" s="2">
        <v>34.663</v>
      </c>
      <c r="B1040" s="10" t="s">
        <v>179</v>
      </c>
      <c r="C1040" s="4">
        <v>34.663</v>
      </c>
      <c r="D1040" s="4">
        <v>47.4</v>
      </c>
      <c r="G1040" s="2">
        <f t="shared" si="106"/>
        <v>34.63</v>
      </c>
      <c r="H1040" s="11" t="str">
        <f t="shared" si="107"/>
        <v>3.586E-2</v>
      </c>
      <c r="I1040" s="2">
        <f t="shared" si="108"/>
        <v>47.5</v>
      </c>
      <c r="J1040" s="4">
        <f t="shared" si="109"/>
        <v>34.63</v>
      </c>
      <c r="K1040" s="9">
        <f t="shared" si="110"/>
        <v>23.4</v>
      </c>
      <c r="L1040" s="1">
        <f t="shared" si="111"/>
        <v>-0.300000000000022</v>
      </c>
    </row>
    <row r="1041" spans="1:12">
      <c r="A1041" s="2">
        <v>34.696</v>
      </c>
      <c r="B1041" s="10" t="s">
        <v>179</v>
      </c>
      <c r="C1041" s="4">
        <v>34.696</v>
      </c>
      <c r="D1041" s="4">
        <v>48.4</v>
      </c>
      <c r="G1041" s="2">
        <f t="shared" si="106"/>
        <v>34.663</v>
      </c>
      <c r="H1041" s="11" t="str">
        <f t="shared" si="107"/>
        <v>3.586E-2</v>
      </c>
      <c r="I1041" s="2">
        <f t="shared" si="108"/>
        <v>47.4</v>
      </c>
      <c r="J1041" s="4">
        <f t="shared" si="109"/>
        <v>34.663</v>
      </c>
      <c r="K1041" s="9">
        <f t="shared" si="110"/>
        <v>23.4</v>
      </c>
      <c r="L1041" s="1">
        <f t="shared" si="111"/>
        <v>-0.300000000000022</v>
      </c>
    </row>
    <row r="1042" spans="1:12">
      <c r="A1042" s="2">
        <v>34.73</v>
      </c>
      <c r="B1042" s="10" t="s">
        <v>180</v>
      </c>
      <c r="C1042" s="4">
        <v>34.73</v>
      </c>
      <c r="D1042" s="4">
        <v>48.4</v>
      </c>
      <c r="G1042" s="2">
        <f t="shared" si="106"/>
        <v>34.696</v>
      </c>
      <c r="H1042" s="11" t="str">
        <f t="shared" si="107"/>
        <v>3.586E-2</v>
      </c>
      <c r="I1042" s="2">
        <f t="shared" si="108"/>
        <v>48.4</v>
      </c>
      <c r="J1042" s="4">
        <f t="shared" si="109"/>
        <v>34.696</v>
      </c>
      <c r="K1042" s="9">
        <f t="shared" si="110"/>
        <v>23.4</v>
      </c>
      <c r="L1042" s="1">
        <f t="shared" si="111"/>
        <v>-0.300000000000022</v>
      </c>
    </row>
    <row r="1043" spans="1:12">
      <c r="A1043" s="2">
        <v>34.763</v>
      </c>
      <c r="B1043" s="10" t="s">
        <v>180</v>
      </c>
      <c r="C1043" s="4">
        <v>34.763</v>
      </c>
      <c r="D1043" s="4">
        <v>47.8</v>
      </c>
      <c r="G1043" s="2">
        <f t="shared" si="106"/>
        <v>34.73</v>
      </c>
      <c r="H1043" s="11" t="str">
        <f t="shared" si="107"/>
        <v>3.584E-2</v>
      </c>
      <c r="I1043" s="2">
        <f t="shared" si="108"/>
        <v>48.4</v>
      </c>
      <c r="J1043" s="4">
        <f t="shared" si="109"/>
        <v>34.73</v>
      </c>
      <c r="K1043" s="9">
        <f t="shared" si="110"/>
        <v>23.2</v>
      </c>
      <c r="L1043" s="1">
        <f t="shared" si="111"/>
        <v>-0.300000000000022</v>
      </c>
    </row>
    <row r="1044" spans="1:12">
      <c r="A1044" s="2">
        <v>34.797</v>
      </c>
      <c r="B1044" s="10" t="s">
        <v>301</v>
      </c>
      <c r="C1044" s="4">
        <v>34.797</v>
      </c>
      <c r="D1044" s="4">
        <v>47.7</v>
      </c>
      <c r="G1044" s="2">
        <f t="shared" si="106"/>
        <v>34.763</v>
      </c>
      <c r="H1044" s="11" t="str">
        <f t="shared" si="107"/>
        <v>3.584E-2</v>
      </c>
      <c r="I1044" s="2">
        <f t="shared" si="108"/>
        <v>47.8</v>
      </c>
      <c r="J1044" s="4">
        <f t="shared" si="109"/>
        <v>34.763</v>
      </c>
      <c r="K1044" s="9">
        <f t="shared" si="110"/>
        <v>23.2</v>
      </c>
      <c r="L1044" s="1">
        <f t="shared" si="111"/>
        <v>-0.300000000000022</v>
      </c>
    </row>
    <row r="1045" spans="1:12">
      <c r="A1045" s="2">
        <v>34.83</v>
      </c>
      <c r="B1045" s="10" t="s">
        <v>301</v>
      </c>
      <c r="C1045" s="4">
        <v>34.83</v>
      </c>
      <c r="D1045" s="4">
        <v>48</v>
      </c>
      <c r="G1045" s="2">
        <f t="shared" si="106"/>
        <v>34.797</v>
      </c>
      <c r="H1045" s="11" t="str">
        <f t="shared" si="107"/>
        <v>3.585E-2</v>
      </c>
      <c r="I1045" s="2">
        <f t="shared" si="108"/>
        <v>47.7</v>
      </c>
      <c r="J1045" s="4">
        <f t="shared" si="109"/>
        <v>34.797</v>
      </c>
      <c r="K1045" s="9">
        <f t="shared" si="110"/>
        <v>23.3</v>
      </c>
      <c r="L1045" s="1">
        <f t="shared" si="111"/>
        <v>-0.300000000000022</v>
      </c>
    </row>
    <row r="1046" spans="1:12">
      <c r="A1046" s="2">
        <v>34.864</v>
      </c>
      <c r="B1046" s="10" t="s">
        <v>301</v>
      </c>
      <c r="C1046" s="4">
        <v>34.864</v>
      </c>
      <c r="D1046" s="4">
        <v>48</v>
      </c>
      <c r="G1046" s="2">
        <f t="shared" si="106"/>
        <v>34.83</v>
      </c>
      <c r="H1046" s="11" t="str">
        <f t="shared" si="107"/>
        <v>3.585E-2</v>
      </c>
      <c r="I1046" s="2">
        <f t="shared" si="108"/>
        <v>48</v>
      </c>
      <c r="J1046" s="4">
        <f t="shared" si="109"/>
        <v>34.83</v>
      </c>
      <c r="K1046" s="9">
        <f t="shared" si="110"/>
        <v>23.3</v>
      </c>
      <c r="L1046" s="1">
        <f t="shared" si="111"/>
        <v>-0.300000000000022</v>
      </c>
    </row>
    <row r="1047" spans="1:12">
      <c r="A1047" s="2">
        <v>34.897</v>
      </c>
      <c r="B1047" s="10" t="s">
        <v>71</v>
      </c>
      <c r="C1047" s="4">
        <v>34.897</v>
      </c>
      <c r="D1047" s="4">
        <v>48</v>
      </c>
      <c r="G1047" s="2">
        <f t="shared" si="106"/>
        <v>34.864</v>
      </c>
      <c r="H1047" s="11" t="str">
        <f t="shared" si="107"/>
        <v>3.585E-2</v>
      </c>
      <c r="I1047" s="2">
        <f t="shared" si="108"/>
        <v>48</v>
      </c>
      <c r="J1047" s="4">
        <f t="shared" si="109"/>
        <v>34.864</v>
      </c>
      <c r="K1047" s="9">
        <f t="shared" si="110"/>
        <v>23.3</v>
      </c>
      <c r="L1047" s="1">
        <f t="shared" si="111"/>
        <v>-0.300000000000022</v>
      </c>
    </row>
    <row r="1048" spans="1:12">
      <c r="A1048" s="2">
        <v>34.93</v>
      </c>
      <c r="B1048" s="10" t="s">
        <v>180</v>
      </c>
      <c r="C1048" s="4">
        <v>34.93</v>
      </c>
      <c r="D1048" s="4">
        <v>48.3</v>
      </c>
      <c r="G1048" s="2">
        <f t="shared" si="106"/>
        <v>34.897</v>
      </c>
      <c r="H1048" s="11" t="str">
        <f t="shared" si="107"/>
        <v>3.583E-2</v>
      </c>
      <c r="I1048" s="2">
        <f t="shared" si="108"/>
        <v>48</v>
      </c>
      <c r="J1048" s="4">
        <f t="shared" si="109"/>
        <v>34.897</v>
      </c>
      <c r="K1048" s="9">
        <f t="shared" si="110"/>
        <v>23.1</v>
      </c>
      <c r="L1048" s="1">
        <f t="shared" si="111"/>
        <v>-0.300000000000022</v>
      </c>
    </row>
    <row r="1049" spans="1:12">
      <c r="A1049" s="2">
        <v>34.964</v>
      </c>
      <c r="B1049" s="10" t="s">
        <v>180</v>
      </c>
      <c r="C1049" s="4">
        <v>34.964</v>
      </c>
      <c r="D1049" s="4">
        <v>47.7</v>
      </c>
      <c r="G1049" s="2">
        <f t="shared" si="106"/>
        <v>34.93</v>
      </c>
      <c r="H1049" s="11" t="str">
        <f t="shared" si="107"/>
        <v>3.584E-2</v>
      </c>
      <c r="I1049" s="2">
        <f t="shared" si="108"/>
        <v>48.3</v>
      </c>
      <c r="J1049" s="4">
        <f t="shared" si="109"/>
        <v>34.93</v>
      </c>
      <c r="K1049" s="9">
        <f t="shared" si="110"/>
        <v>23.2</v>
      </c>
      <c r="L1049" s="1">
        <f t="shared" si="111"/>
        <v>-0.300000000000022</v>
      </c>
    </row>
    <row r="1050" spans="1:12">
      <c r="A1050" s="2">
        <v>34.997</v>
      </c>
      <c r="B1050" s="10" t="s">
        <v>301</v>
      </c>
      <c r="C1050" s="4">
        <v>34.997</v>
      </c>
      <c r="D1050" s="4">
        <v>48</v>
      </c>
      <c r="G1050" s="2">
        <f t="shared" si="106"/>
        <v>34.964</v>
      </c>
      <c r="H1050" s="11" t="str">
        <f t="shared" si="107"/>
        <v>3.584E-2</v>
      </c>
      <c r="I1050" s="2">
        <f t="shared" si="108"/>
        <v>47.7</v>
      </c>
      <c r="J1050" s="4">
        <f t="shared" si="109"/>
        <v>34.964</v>
      </c>
      <c r="K1050" s="9">
        <f t="shared" si="110"/>
        <v>23.2</v>
      </c>
      <c r="L1050" s="1">
        <f t="shared" si="111"/>
        <v>-0.300000000000022</v>
      </c>
    </row>
    <row r="1051" spans="1:12">
      <c r="A1051" s="2">
        <v>35.031</v>
      </c>
      <c r="B1051" s="10" t="s">
        <v>180</v>
      </c>
      <c r="C1051" s="4">
        <v>35.031</v>
      </c>
      <c r="D1051" s="4">
        <v>48.1</v>
      </c>
      <c r="G1051" s="2">
        <f t="shared" si="106"/>
        <v>34.997</v>
      </c>
      <c r="H1051" s="11" t="str">
        <f t="shared" si="107"/>
        <v>3.585E-2</v>
      </c>
      <c r="I1051" s="2">
        <f t="shared" si="108"/>
        <v>48</v>
      </c>
      <c r="J1051" s="4">
        <f t="shared" si="109"/>
        <v>34.997</v>
      </c>
      <c r="K1051" s="9">
        <f t="shared" si="110"/>
        <v>23.3</v>
      </c>
      <c r="L1051" s="1">
        <f t="shared" si="111"/>
        <v>-0.300000000000022</v>
      </c>
    </row>
    <row r="1052" spans="1:12">
      <c r="A1052" s="2">
        <v>35.064</v>
      </c>
      <c r="B1052" s="10" t="s">
        <v>301</v>
      </c>
      <c r="C1052" s="4">
        <v>35.064</v>
      </c>
      <c r="D1052" s="4">
        <v>47.5</v>
      </c>
      <c r="G1052" s="2">
        <f t="shared" si="106"/>
        <v>35.031</v>
      </c>
      <c r="H1052" s="11" t="str">
        <f t="shared" si="107"/>
        <v>3.584E-2</v>
      </c>
      <c r="I1052" s="2">
        <f t="shared" si="108"/>
        <v>48.1</v>
      </c>
      <c r="J1052" s="4">
        <f t="shared" si="109"/>
        <v>35.031</v>
      </c>
      <c r="K1052" s="9">
        <f t="shared" si="110"/>
        <v>23.2</v>
      </c>
      <c r="L1052" s="1">
        <f t="shared" si="111"/>
        <v>-0.300000000000022</v>
      </c>
    </row>
    <row r="1053" spans="1:12">
      <c r="A1053" s="2">
        <v>35.098</v>
      </c>
      <c r="B1053" s="10" t="s">
        <v>301</v>
      </c>
      <c r="C1053" s="4">
        <v>35.098</v>
      </c>
      <c r="D1053" s="4">
        <v>48.1</v>
      </c>
      <c r="G1053" s="2">
        <f t="shared" ref="G1053:G1080" si="112">A1052</f>
        <v>35.064</v>
      </c>
      <c r="H1053" s="11" t="str">
        <f t="shared" ref="H1053:H1080" si="113">B1052</f>
        <v>3.585E-2</v>
      </c>
      <c r="I1053" s="2">
        <f t="shared" ref="I1053:I1080" si="114">D1052</f>
        <v>47.5</v>
      </c>
      <c r="J1053" s="4">
        <f t="shared" ref="J1053:J1080" si="115">G1053</f>
        <v>35.064</v>
      </c>
      <c r="K1053" s="9">
        <f t="shared" ref="K1053:K1080" si="116">(H1053-$H$4)*10000</f>
        <v>23.3</v>
      </c>
      <c r="L1053" s="1">
        <f t="shared" si="111"/>
        <v>-0.300000000000022</v>
      </c>
    </row>
    <row r="1054" spans="1:12">
      <c r="A1054" s="2">
        <v>35.131</v>
      </c>
      <c r="B1054" s="10" t="s">
        <v>67</v>
      </c>
      <c r="C1054" s="4">
        <v>35.131</v>
      </c>
      <c r="D1054" s="4">
        <v>47.4</v>
      </c>
      <c r="G1054" s="2">
        <f t="shared" si="112"/>
        <v>35.098</v>
      </c>
      <c r="H1054" s="11" t="str">
        <f t="shared" si="113"/>
        <v>3.585E-2</v>
      </c>
      <c r="I1054" s="2">
        <f t="shared" si="114"/>
        <v>48.1</v>
      </c>
      <c r="J1054" s="4">
        <f t="shared" si="115"/>
        <v>35.098</v>
      </c>
      <c r="K1054" s="9">
        <f t="shared" si="116"/>
        <v>23.3</v>
      </c>
      <c r="L1054" s="1">
        <f t="shared" si="111"/>
        <v>-0.300000000000022</v>
      </c>
    </row>
    <row r="1055" spans="1:12">
      <c r="A1055" s="2">
        <v>35.164</v>
      </c>
      <c r="B1055" s="10" t="s">
        <v>179</v>
      </c>
      <c r="C1055" s="4">
        <v>35.164</v>
      </c>
      <c r="D1055" s="4">
        <v>48.1</v>
      </c>
      <c r="G1055" s="2">
        <f t="shared" si="112"/>
        <v>35.131</v>
      </c>
      <c r="H1055" s="11" t="str">
        <f t="shared" si="113"/>
        <v>3.587E-2</v>
      </c>
      <c r="I1055" s="2">
        <f t="shared" si="114"/>
        <v>47.4</v>
      </c>
      <c r="J1055" s="4">
        <f t="shared" si="115"/>
        <v>35.131</v>
      </c>
      <c r="K1055" s="9">
        <f t="shared" si="116"/>
        <v>23.5</v>
      </c>
      <c r="L1055" s="1">
        <f t="shared" si="111"/>
        <v>-0.300000000000022</v>
      </c>
    </row>
    <row r="1056" spans="1:12">
      <c r="A1056" s="2">
        <v>35.198</v>
      </c>
      <c r="B1056" s="10" t="s">
        <v>67</v>
      </c>
      <c r="C1056" s="4">
        <v>35.198</v>
      </c>
      <c r="D1056" s="4">
        <v>47.7</v>
      </c>
      <c r="G1056" s="2">
        <f t="shared" si="112"/>
        <v>35.164</v>
      </c>
      <c r="H1056" s="11" t="str">
        <f t="shared" si="113"/>
        <v>3.586E-2</v>
      </c>
      <c r="I1056" s="2">
        <f t="shared" si="114"/>
        <v>48.1</v>
      </c>
      <c r="J1056" s="4">
        <f t="shared" si="115"/>
        <v>35.164</v>
      </c>
      <c r="K1056" s="9">
        <f t="shared" si="116"/>
        <v>23.4</v>
      </c>
      <c r="L1056" s="1">
        <f t="shared" si="111"/>
        <v>-0.300000000000022</v>
      </c>
    </row>
    <row r="1057" spans="1:12">
      <c r="A1057" s="2">
        <v>35.231</v>
      </c>
      <c r="B1057" s="10" t="s">
        <v>178</v>
      </c>
      <c r="C1057" s="4">
        <v>35.231</v>
      </c>
      <c r="D1057" s="4">
        <v>47.9</v>
      </c>
      <c r="G1057" s="2">
        <f t="shared" si="112"/>
        <v>35.198</v>
      </c>
      <c r="H1057" s="11" t="str">
        <f t="shared" si="113"/>
        <v>3.587E-2</v>
      </c>
      <c r="I1057" s="2">
        <f t="shared" si="114"/>
        <v>47.7</v>
      </c>
      <c r="J1057" s="4">
        <f t="shared" si="115"/>
        <v>35.198</v>
      </c>
      <c r="K1057" s="9">
        <f t="shared" si="116"/>
        <v>23.5</v>
      </c>
      <c r="L1057" s="1">
        <f t="shared" si="111"/>
        <v>-0.300000000000022</v>
      </c>
    </row>
    <row r="1058" spans="1:12">
      <c r="A1058" s="2">
        <v>35.265</v>
      </c>
      <c r="B1058" s="10" t="s">
        <v>178</v>
      </c>
      <c r="C1058" s="4">
        <v>35.265</v>
      </c>
      <c r="D1058" s="4">
        <v>48.6</v>
      </c>
      <c r="G1058" s="2">
        <f t="shared" si="112"/>
        <v>35.231</v>
      </c>
      <c r="H1058" s="11" t="str">
        <f t="shared" si="113"/>
        <v>3.588E-2</v>
      </c>
      <c r="I1058" s="2">
        <f t="shared" si="114"/>
        <v>47.9</v>
      </c>
      <c r="J1058" s="4">
        <f t="shared" si="115"/>
        <v>35.231</v>
      </c>
      <c r="K1058" s="9">
        <f t="shared" si="116"/>
        <v>23.6</v>
      </c>
      <c r="L1058" s="1">
        <f t="shared" si="111"/>
        <v>-0.300000000000022</v>
      </c>
    </row>
    <row r="1059" spans="1:12">
      <c r="A1059" s="2">
        <v>35.298</v>
      </c>
      <c r="B1059" s="10" t="s">
        <v>178</v>
      </c>
      <c r="C1059" s="4">
        <v>35.298</v>
      </c>
      <c r="D1059" s="4">
        <v>48.2</v>
      </c>
      <c r="G1059" s="2">
        <f t="shared" si="112"/>
        <v>35.265</v>
      </c>
      <c r="H1059" s="11" t="str">
        <f t="shared" si="113"/>
        <v>3.588E-2</v>
      </c>
      <c r="I1059" s="2">
        <f t="shared" si="114"/>
        <v>48.6</v>
      </c>
      <c r="J1059" s="4">
        <f t="shared" si="115"/>
        <v>35.265</v>
      </c>
      <c r="K1059" s="9">
        <f t="shared" si="116"/>
        <v>23.6</v>
      </c>
      <c r="L1059" s="1">
        <f t="shared" si="111"/>
        <v>-0.300000000000022</v>
      </c>
    </row>
    <row r="1060" spans="1:12">
      <c r="A1060" s="2">
        <v>35.332</v>
      </c>
      <c r="B1060" s="10" t="s">
        <v>70</v>
      </c>
      <c r="C1060" s="4">
        <v>35.332</v>
      </c>
      <c r="D1060" s="4">
        <v>48.4</v>
      </c>
      <c r="G1060" s="2">
        <f t="shared" si="112"/>
        <v>35.298</v>
      </c>
      <c r="H1060" s="11" t="str">
        <f t="shared" si="113"/>
        <v>3.588E-2</v>
      </c>
      <c r="I1060" s="2">
        <f t="shared" si="114"/>
        <v>48.2</v>
      </c>
      <c r="J1060" s="4">
        <f t="shared" si="115"/>
        <v>35.298</v>
      </c>
      <c r="K1060" s="9">
        <f t="shared" si="116"/>
        <v>23.6</v>
      </c>
      <c r="L1060" s="1">
        <f t="shared" si="111"/>
        <v>-0.300000000000022</v>
      </c>
    </row>
    <row r="1061" spans="1:12">
      <c r="A1061" s="2">
        <v>35.365</v>
      </c>
      <c r="B1061" s="10" t="s">
        <v>94</v>
      </c>
      <c r="C1061" s="4">
        <v>35.365</v>
      </c>
      <c r="D1061" s="4">
        <v>47.8</v>
      </c>
      <c r="G1061" s="2">
        <f t="shared" si="112"/>
        <v>35.332</v>
      </c>
      <c r="H1061" s="11" t="str">
        <f t="shared" si="113"/>
        <v>3.589E-2</v>
      </c>
      <c r="I1061" s="2">
        <f t="shared" si="114"/>
        <v>48.4</v>
      </c>
      <c r="J1061" s="4">
        <f t="shared" si="115"/>
        <v>35.332</v>
      </c>
      <c r="K1061" s="9">
        <f t="shared" si="116"/>
        <v>23.7</v>
      </c>
      <c r="L1061" s="1">
        <f t="shared" si="111"/>
        <v>-0.300000000000022</v>
      </c>
    </row>
    <row r="1062" spans="1:12">
      <c r="A1062" s="2">
        <v>35.398</v>
      </c>
      <c r="B1062" s="10" t="s">
        <v>94</v>
      </c>
      <c r="C1062" s="4">
        <v>35.398</v>
      </c>
      <c r="D1062" s="4">
        <v>47.8</v>
      </c>
      <c r="G1062" s="2">
        <f t="shared" si="112"/>
        <v>35.365</v>
      </c>
      <c r="H1062" s="11" t="str">
        <f t="shared" si="113"/>
        <v>3.590E-2</v>
      </c>
      <c r="I1062" s="2">
        <f t="shared" si="114"/>
        <v>47.8</v>
      </c>
      <c r="J1062" s="4">
        <f t="shared" si="115"/>
        <v>35.365</v>
      </c>
      <c r="K1062" s="9">
        <f t="shared" si="116"/>
        <v>23.8</v>
      </c>
      <c r="L1062" s="1">
        <f t="shared" si="111"/>
        <v>-0.300000000000022</v>
      </c>
    </row>
    <row r="1063" spans="1:12">
      <c r="A1063" s="2">
        <v>35.432</v>
      </c>
      <c r="B1063" s="10" t="s">
        <v>94</v>
      </c>
      <c r="C1063" s="4">
        <v>35.432</v>
      </c>
      <c r="D1063" s="4">
        <v>47.8</v>
      </c>
      <c r="G1063" s="2">
        <f t="shared" si="112"/>
        <v>35.398</v>
      </c>
      <c r="H1063" s="11" t="str">
        <f t="shared" si="113"/>
        <v>3.590E-2</v>
      </c>
      <c r="I1063" s="2">
        <f t="shared" si="114"/>
        <v>47.8</v>
      </c>
      <c r="J1063" s="4">
        <f t="shared" si="115"/>
        <v>35.398</v>
      </c>
      <c r="K1063" s="9">
        <f t="shared" si="116"/>
        <v>23.8</v>
      </c>
      <c r="L1063" s="1">
        <f t="shared" si="111"/>
        <v>-0.300000000000022</v>
      </c>
    </row>
    <row r="1064" spans="1:12">
      <c r="A1064" s="2">
        <v>35.465</v>
      </c>
      <c r="B1064" s="10" t="s">
        <v>94</v>
      </c>
      <c r="C1064" s="4">
        <v>35.465</v>
      </c>
      <c r="D1064" s="4">
        <v>47.7</v>
      </c>
      <c r="G1064" s="2">
        <f t="shared" si="112"/>
        <v>35.432</v>
      </c>
      <c r="H1064" s="11" t="str">
        <f t="shared" si="113"/>
        <v>3.590E-2</v>
      </c>
      <c r="I1064" s="2">
        <f t="shared" si="114"/>
        <v>47.8</v>
      </c>
      <c r="J1064" s="4">
        <f t="shared" si="115"/>
        <v>35.432</v>
      </c>
      <c r="K1064" s="9">
        <f t="shared" si="116"/>
        <v>23.8</v>
      </c>
      <c r="L1064" s="1">
        <f t="shared" si="111"/>
        <v>-0.300000000000022</v>
      </c>
    </row>
    <row r="1065" spans="1:12">
      <c r="A1065" s="2">
        <v>35.499</v>
      </c>
      <c r="B1065" s="10" t="s">
        <v>70</v>
      </c>
      <c r="C1065" s="4">
        <v>35.499</v>
      </c>
      <c r="D1065" s="4">
        <v>47.9</v>
      </c>
      <c r="G1065" s="2">
        <f t="shared" si="112"/>
        <v>35.465</v>
      </c>
      <c r="H1065" s="11" t="str">
        <f t="shared" si="113"/>
        <v>3.590E-2</v>
      </c>
      <c r="I1065" s="2">
        <f t="shared" si="114"/>
        <v>47.7</v>
      </c>
      <c r="J1065" s="4">
        <f t="shared" si="115"/>
        <v>35.465</v>
      </c>
      <c r="K1065" s="9">
        <f t="shared" si="116"/>
        <v>23.8</v>
      </c>
      <c r="L1065" s="1">
        <f t="shared" si="111"/>
        <v>-0.300000000000022</v>
      </c>
    </row>
    <row r="1066" spans="1:12">
      <c r="A1066" s="2">
        <v>35.532</v>
      </c>
      <c r="B1066" s="10" t="s">
        <v>94</v>
      </c>
      <c r="C1066" s="4">
        <v>35.532</v>
      </c>
      <c r="D1066" s="4">
        <v>47.5</v>
      </c>
      <c r="G1066" s="2">
        <f t="shared" si="112"/>
        <v>35.499</v>
      </c>
      <c r="H1066" s="11" t="str">
        <f t="shared" si="113"/>
        <v>3.589E-2</v>
      </c>
      <c r="I1066" s="2">
        <f t="shared" si="114"/>
        <v>47.9</v>
      </c>
      <c r="J1066" s="4">
        <f t="shared" si="115"/>
        <v>35.499</v>
      </c>
      <c r="K1066" s="9">
        <f t="shared" si="116"/>
        <v>23.7</v>
      </c>
      <c r="L1066" s="1">
        <f t="shared" si="111"/>
        <v>-0.300000000000022</v>
      </c>
    </row>
    <row r="1067" spans="1:12">
      <c r="A1067" s="2">
        <v>35.566</v>
      </c>
      <c r="B1067" s="10" t="s">
        <v>70</v>
      </c>
      <c r="C1067" s="4">
        <v>35.566</v>
      </c>
      <c r="D1067" s="4">
        <v>47.6</v>
      </c>
      <c r="G1067" s="2">
        <f t="shared" si="112"/>
        <v>35.532</v>
      </c>
      <c r="H1067" s="11" t="str">
        <f t="shared" si="113"/>
        <v>3.590E-2</v>
      </c>
      <c r="I1067" s="2">
        <f t="shared" si="114"/>
        <v>47.5</v>
      </c>
      <c r="J1067" s="4">
        <f t="shared" si="115"/>
        <v>35.532</v>
      </c>
      <c r="K1067" s="9">
        <f t="shared" si="116"/>
        <v>23.8</v>
      </c>
      <c r="L1067" s="1">
        <f t="shared" si="111"/>
        <v>-0.300000000000022</v>
      </c>
    </row>
    <row r="1068" spans="1:12">
      <c r="A1068" s="2">
        <v>35.599</v>
      </c>
      <c r="B1068" s="10" t="s">
        <v>94</v>
      </c>
      <c r="C1068" s="4">
        <v>35.599</v>
      </c>
      <c r="D1068" s="4">
        <v>47.9</v>
      </c>
      <c r="G1068" s="2">
        <f t="shared" si="112"/>
        <v>35.566</v>
      </c>
      <c r="H1068" s="11" t="str">
        <f t="shared" si="113"/>
        <v>3.589E-2</v>
      </c>
      <c r="I1068" s="2">
        <f t="shared" si="114"/>
        <v>47.6</v>
      </c>
      <c r="J1068" s="4">
        <f t="shared" si="115"/>
        <v>35.566</v>
      </c>
      <c r="K1068" s="9">
        <f t="shared" si="116"/>
        <v>23.7</v>
      </c>
      <c r="L1068" s="1">
        <f t="shared" si="111"/>
        <v>-0.300000000000022</v>
      </c>
    </row>
    <row r="1069" spans="1:12">
      <c r="A1069" s="2">
        <v>35.632</v>
      </c>
      <c r="B1069" s="10" t="s">
        <v>94</v>
      </c>
      <c r="C1069" s="4">
        <v>35.632</v>
      </c>
      <c r="D1069" s="4">
        <v>47.5</v>
      </c>
      <c r="G1069" s="2">
        <f t="shared" si="112"/>
        <v>35.599</v>
      </c>
      <c r="H1069" s="11" t="str">
        <f t="shared" si="113"/>
        <v>3.590E-2</v>
      </c>
      <c r="I1069" s="2">
        <f t="shared" si="114"/>
        <v>47.9</v>
      </c>
      <c r="J1069" s="4">
        <f t="shared" si="115"/>
        <v>35.599</v>
      </c>
      <c r="K1069" s="9">
        <f t="shared" si="116"/>
        <v>23.8</v>
      </c>
      <c r="L1069" s="1">
        <f t="shared" si="111"/>
        <v>-0.300000000000022</v>
      </c>
    </row>
    <row r="1070" spans="1:12">
      <c r="A1070" s="2">
        <v>35.666</v>
      </c>
      <c r="B1070" s="10" t="s">
        <v>178</v>
      </c>
      <c r="C1070" s="4">
        <v>35.666</v>
      </c>
      <c r="D1070" s="4">
        <v>48</v>
      </c>
      <c r="G1070" s="2">
        <f t="shared" si="112"/>
        <v>35.632</v>
      </c>
      <c r="H1070" s="11" t="str">
        <f t="shared" si="113"/>
        <v>3.590E-2</v>
      </c>
      <c r="I1070" s="2">
        <f t="shared" si="114"/>
        <v>47.5</v>
      </c>
      <c r="J1070" s="4">
        <f t="shared" si="115"/>
        <v>35.632</v>
      </c>
      <c r="K1070" s="9">
        <f t="shared" si="116"/>
        <v>23.8</v>
      </c>
      <c r="L1070" s="1">
        <f t="shared" si="111"/>
        <v>-0.300000000000022</v>
      </c>
    </row>
    <row r="1071" spans="1:12">
      <c r="A1071" s="2">
        <v>35.699</v>
      </c>
      <c r="B1071" s="10" t="s">
        <v>70</v>
      </c>
      <c r="C1071" s="4">
        <v>35.699</v>
      </c>
      <c r="D1071" s="4">
        <v>47.7</v>
      </c>
      <c r="G1071" s="2">
        <f t="shared" si="112"/>
        <v>35.666</v>
      </c>
      <c r="H1071" s="11" t="str">
        <f t="shared" si="113"/>
        <v>3.588E-2</v>
      </c>
      <c r="I1071" s="2">
        <f t="shared" si="114"/>
        <v>48</v>
      </c>
      <c r="J1071" s="4">
        <f t="shared" si="115"/>
        <v>35.666</v>
      </c>
      <c r="K1071" s="9">
        <f t="shared" si="116"/>
        <v>23.6</v>
      </c>
      <c r="L1071" s="1">
        <f t="shared" si="111"/>
        <v>-0.300000000000022</v>
      </c>
    </row>
    <row r="1072" spans="1:12">
      <c r="A1072" s="2">
        <v>35.733</v>
      </c>
      <c r="B1072" s="10" t="s">
        <v>178</v>
      </c>
      <c r="C1072" s="4">
        <v>35.733</v>
      </c>
      <c r="D1072" s="4">
        <v>48.3</v>
      </c>
      <c r="G1072" s="2">
        <f t="shared" si="112"/>
        <v>35.699</v>
      </c>
      <c r="H1072" s="11" t="str">
        <f t="shared" si="113"/>
        <v>3.589E-2</v>
      </c>
      <c r="I1072" s="2">
        <f t="shared" si="114"/>
        <v>47.7</v>
      </c>
      <c r="J1072" s="4">
        <f t="shared" si="115"/>
        <v>35.699</v>
      </c>
      <c r="K1072" s="9">
        <f t="shared" si="116"/>
        <v>23.7</v>
      </c>
      <c r="L1072" s="1">
        <f t="shared" si="111"/>
        <v>-0.300000000000022</v>
      </c>
    </row>
    <row r="1073" spans="1:12">
      <c r="A1073" s="2">
        <v>35.766</v>
      </c>
      <c r="B1073" s="10" t="s">
        <v>70</v>
      </c>
      <c r="C1073" s="4">
        <v>35.766</v>
      </c>
      <c r="D1073" s="4">
        <v>48.1</v>
      </c>
      <c r="G1073" s="2">
        <f t="shared" si="112"/>
        <v>35.733</v>
      </c>
      <c r="H1073" s="11" t="str">
        <f t="shared" si="113"/>
        <v>3.588E-2</v>
      </c>
      <c r="I1073" s="2">
        <f t="shared" si="114"/>
        <v>48.3</v>
      </c>
      <c r="J1073" s="4">
        <f t="shared" si="115"/>
        <v>35.733</v>
      </c>
      <c r="K1073" s="9">
        <f t="shared" si="116"/>
        <v>23.6</v>
      </c>
      <c r="L1073" s="1">
        <f t="shared" si="111"/>
        <v>-0.300000000000022</v>
      </c>
    </row>
    <row r="1074" spans="1:12">
      <c r="A1074" s="2">
        <v>35.8</v>
      </c>
      <c r="B1074" s="10" t="s">
        <v>178</v>
      </c>
      <c r="C1074" s="4">
        <v>35.8</v>
      </c>
      <c r="D1074" s="4">
        <v>47.6</v>
      </c>
      <c r="G1074" s="2">
        <f t="shared" si="112"/>
        <v>35.766</v>
      </c>
      <c r="H1074" s="11" t="str">
        <f t="shared" si="113"/>
        <v>3.589E-2</v>
      </c>
      <c r="I1074" s="2">
        <f t="shared" si="114"/>
        <v>48.1</v>
      </c>
      <c r="J1074" s="4">
        <f t="shared" si="115"/>
        <v>35.766</v>
      </c>
      <c r="K1074" s="9">
        <f t="shared" si="116"/>
        <v>23.7</v>
      </c>
      <c r="L1074" s="1">
        <f t="shared" si="111"/>
        <v>-0.300000000000022</v>
      </c>
    </row>
    <row r="1075" spans="1:12">
      <c r="A1075" s="2">
        <v>35.833</v>
      </c>
      <c r="B1075" s="10" t="s">
        <v>178</v>
      </c>
      <c r="C1075" s="4">
        <v>35.833</v>
      </c>
      <c r="D1075" s="4">
        <v>48.1</v>
      </c>
      <c r="G1075" s="2">
        <f t="shared" si="112"/>
        <v>35.8</v>
      </c>
      <c r="H1075" s="11" t="str">
        <f t="shared" si="113"/>
        <v>3.588E-2</v>
      </c>
      <c r="I1075" s="2">
        <f t="shared" si="114"/>
        <v>47.6</v>
      </c>
      <c r="J1075" s="4">
        <f t="shared" si="115"/>
        <v>35.8</v>
      </c>
      <c r="K1075" s="9">
        <f t="shared" si="116"/>
        <v>23.6</v>
      </c>
      <c r="L1075" s="1">
        <f t="shared" si="111"/>
        <v>-0.300000000000022</v>
      </c>
    </row>
    <row r="1076" spans="1:12">
      <c r="A1076" s="2">
        <v>35.866</v>
      </c>
      <c r="B1076" s="10" t="s">
        <v>67</v>
      </c>
      <c r="C1076" s="4">
        <v>35.866</v>
      </c>
      <c r="D1076" s="4">
        <v>48.1</v>
      </c>
      <c r="G1076" s="2">
        <f t="shared" si="112"/>
        <v>35.833</v>
      </c>
      <c r="H1076" s="11" t="str">
        <f t="shared" si="113"/>
        <v>3.588E-2</v>
      </c>
      <c r="I1076" s="2">
        <f t="shared" si="114"/>
        <v>48.1</v>
      </c>
      <c r="J1076" s="4">
        <f t="shared" si="115"/>
        <v>35.833</v>
      </c>
      <c r="K1076" s="9">
        <f t="shared" si="116"/>
        <v>23.6</v>
      </c>
      <c r="L1076" s="1">
        <f t="shared" si="111"/>
        <v>-0.300000000000022</v>
      </c>
    </row>
    <row r="1077" spans="1:12">
      <c r="A1077" s="2">
        <v>35.9</v>
      </c>
      <c r="B1077" s="10" t="s">
        <v>67</v>
      </c>
      <c r="C1077" s="4">
        <v>35.9</v>
      </c>
      <c r="D1077" s="4">
        <v>48.1</v>
      </c>
      <c r="G1077" s="2">
        <f t="shared" si="112"/>
        <v>35.866</v>
      </c>
      <c r="H1077" s="11" t="str">
        <f t="shared" si="113"/>
        <v>3.587E-2</v>
      </c>
      <c r="I1077" s="2">
        <f t="shared" si="114"/>
        <v>48.1</v>
      </c>
      <c r="J1077" s="4">
        <f t="shared" si="115"/>
        <v>35.866</v>
      </c>
      <c r="K1077" s="9">
        <f t="shared" si="116"/>
        <v>23.5</v>
      </c>
      <c r="L1077" s="1">
        <f t="shared" si="111"/>
        <v>-0.300000000000022</v>
      </c>
    </row>
    <row r="1078" spans="1:12">
      <c r="A1078" s="2">
        <v>35.933</v>
      </c>
      <c r="B1078" s="10" t="s">
        <v>179</v>
      </c>
      <c r="C1078" s="4">
        <v>35.933</v>
      </c>
      <c r="D1078" s="4">
        <v>47.9</v>
      </c>
      <c r="G1078" s="2">
        <f t="shared" si="112"/>
        <v>35.9</v>
      </c>
      <c r="H1078" s="11" t="str">
        <f t="shared" si="113"/>
        <v>3.587E-2</v>
      </c>
      <c r="I1078" s="2">
        <f t="shared" si="114"/>
        <v>48.1</v>
      </c>
      <c r="J1078" s="4">
        <f t="shared" si="115"/>
        <v>35.9</v>
      </c>
      <c r="K1078" s="9">
        <f t="shared" si="116"/>
        <v>23.5</v>
      </c>
      <c r="L1078" s="1">
        <f t="shared" si="111"/>
        <v>-0.300000000000022</v>
      </c>
    </row>
    <row r="1079" spans="1:12">
      <c r="A1079" s="2">
        <v>35.967</v>
      </c>
      <c r="B1079" s="10" t="s">
        <v>67</v>
      </c>
      <c r="C1079" s="4">
        <v>35.967</v>
      </c>
      <c r="D1079" s="4">
        <v>47.9</v>
      </c>
      <c r="G1079" s="2">
        <f t="shared" si="112"/>
        <v>35.933</v>
      </c>
      <c r="H1079" s="11" t="str">
        <f t="shared" si="113"/>
        <v>3.586E-2</v>
      </c>
      <c r="I1079" s="2">
        <f t="shared" si="114"/>
        <v>47.9</v>
      </c>
      <c r="J1079" s="4">
        <f t="shared" si="115"/>
        <v>35.933</v>
      </c>
      <c r="K1079" s="9">
        <f t="shared" si="116"/>
        <v>23.4</v>
      </c>
      <c r="L1079" s="1">
        <f t="shared" si="111"/>
        <v>-0.300000000000022</v>
      </c>
    </row>
    <row r="1080" spans="1:12">
      <c r="A1080" s="2">
        <v>36</v>
      </c>
      <c r="B1080" s="10" t="s">
        <v>179</v>
      </c>
      <c r="C1080" s="4">
        <v>36</v>
      </c>
      <c r="D1080" s="4">
        <v>48.2</v>
      </c>
      <c r="G1080" s="2">
        <f t="shared" si="112"/>
        <v>35.967</v>
      </c>
      <c r="H1080" s="11" t="str">
        <f t="shared" si="113"/>
        <v>3.587E-2</v>
      </c>
      <c r="I1080" s="2">
        <f t="shared" si="114"/>
        <v>47.9</v>
      </c>
      <c r="J1080" s="4">
        <f t="shared" si="115"/>
        <v>35.967</v>
      </c>
      <c r="K1080" s="9">
        <f t="shared" si="116"/>
        <v>23.5</v>
      </c>
      <c r="L1080" s="1">
        <f t="shared" si="111"/>
        <v>-0.300000000000022</v>
      </c>
    </row>
  </sheetData>
  <mergeCells count="2">
    <mergeCell ref="G1:I1"/>
    <mergeCell ref="J1:L1"/>
  </mergeCells>
  <conditionalFormatting sqref="C$1:C$1048576">
    <cfRule type="cellIs" dxfId="0" priority="7" operator="greaterThan">
      <formula>250</formula>
    </cfRule>
    <cfRule type="cellIs" dxfId="0" priority="5" operator="greaterThan">
      <formula>248</formula>
    </cfRule>
    <cfRule type="cellIs" dxfId="0" priority="4" operator="greaterThan">
      <formula>230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1080">
    <cfRule type="cellIs" dxfId="0" priority="3" operator="greaterThan">
      <formula>250</formula>
    </cfRule>
    <cfRule type="cellIs" dxfId="0" priority="2" operator="greaterThan">
      <formula>248</formula>
    </cfRule>
    <cfRule type="cellIs" dxfId="0" priority="1" operator="greaterThan">
      <formula>230</formula>
    </cfRule>
  </conditionalFormatting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5"/>
  <sheetViews>
    <sheetView topLeftCell="D1" workbookViewId="0">
      <selection activeCell="D886" sqref="$A886:$XFD914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4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0.033</v>
      </c>
      <c r="B3" s="10" t="s">
        <v>322</v>
      </c>
      <c r="C3" s="4">
        <v>0.033</v>
      </c>
      <c r="D3" s="5">
        <v>46.1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0.067</v>
      </c>
      <c r="B4" s="10" t="s">
        <v>323</v>
      </c>
      <c r="C4" s="4">
        <v>0.067</v>
      </c>
      <c r="D4" s="5">
        <v>45.8</v>
      </c>
      <c r="E4" s="4"/>
      <c r="F4" s="4"/>
      <c r="G4" s="2">
        <f t="shared" ref="G4:G67" si="0">A3</f>
        <v>0.033</v>
      </c>
      <c r="H4" s="11" t="str">
        <f t="shared" ref="H4:H67" si="1">B3</f>
        <v>3.704E-2</v>
      </c>
      <c r="I4" s="2">
        <f t="shared" ref="I4:I67" si="2">D3</f>
        <v>46.1</v>
      </c>
      <c r="J4" s="4">
        <f t="shared" ref="J4:J67" si="3">G4</f>
        <v>0.033</v>
      </c>
      <c r="K4" s="9">
        <f t="shared" ref="K4:K67" si="4">(H4-$H$4)*10000</f>
        <v>0</v>
      </c>
      <c r="L4" s="1">
        <f t="shared" ref="L4:L67" si="5">IF(I4&lt;230,MIN(K:K),MAX(K:K))</f>
        <v>-3.49999999999996</v>
      </c>
    </row>
    <row r="5" s="1" customFormat="1" spans="1:12">
      <c r="A5" s="2">
        <v>0.1</v>
      </c>
      <c r="B5" s="10" t="s">
        <v>324</v>
      </c>
      <c r="C5" s="4">
        <v>0.1</v>
      </c>
      <c r="D5" s="5">
        <v>46.2</v>
      </c>
      <c r="E5" s="4"/>
      <c r="F5" s="4"/>
      <c r="G5" s="2">
        <f t="shared" si="0"/>
        <v>0.067</v>
      </c>
      <c r="H5" s="11" t="str">
        <f t="shared" si="1"/>
        <v>3.706E-2</v>
      </c>
      <c r="I5" s="2">
        <f t="shared" si="2"/>
        <v>45.8</v>
      </c>
      <c r="J5" s="4">
        <f t="shared" si="3"/>
        <v>0.067</v>
      </c>
      <c r="K5" s="9">
        <f t="shared" si="4"/>
        <v>0.200000000000061</v>
      </c>
      <c r="L5" s="1">
        <f t="shared" si="5"/>
        <v>-3.49999999999996</v>
      </c>
    </row>
    <row r="6" s="1" customFormat="1" spans="1:12">
      <c r="A6" s="2">
        <v>0.134</v>
      </c>
      <c r="B6" s="10" t="s">
        <v>324</v>
      </c>
      <c r="C6" s="4">
        <v>0.134</v>
      </c>
      <c r="D6" s="5">
        <v>46.3</v>
      </c>
      <c r="E6" s="4"/>
      <c r="F6" s="4"/>
      <c r="G6" s="2">
        <f t="shared" si="0"/>
        <v>0.1</v>
      </c>
      <c r="H6" s="11" t="str">
        <f t="shared" si="1"/>
        <v>3.705E-2</v>
      </c>
      <c r="I6" s="2">
        <f t="shared" si="2"/>
        <v>46.2</v>
      </c>
      <c r="J6" s="4">
        <f t="shared" si="3"/>
        <v>0.1</v>
      </c>
      <c r="K6" s="9">
        <f t="shared" si="4"/>
        <v>0.100000000000031</v>
      </c>
      <c r="L6" s="1">
        <f t="shared" si="5"/>
        <v>-3.49999999999996</v>
      </c>
    </row>
    <row r="7" s="1" customFormat="1" spans="1:12">
      <c r="A7" s="2">
        <v>0.167</v>
      </c>
      <c r="B7" s="10" t="s">
        <v>322</v>
      </c>
      <c r="C7" s="4">
        <v>0.167</v>
      </c>
      <c r="D7" s="5">
        <v>46</v>
      </c>
      <c r="E7" s="4"/>
      <c r="F7" s="4"/>
      <c r="G7" s="2">
        <f t="shared" si="0"/>
        <v>0.134</v>
      </c>
      <c r="H7" s="11" t="str">
        <f t="shared" si="1"/>
        <v>3.705E-2</v>
      </c>
      <c r="I7" s="2">
        <f t="shared" si="2"/>
        <v>46.3</v>
      </c>
      <c r="J7" s="4">
        <f t="shared" si="3"/>
        <v>0.134</v>
      </c>
      <c r="K7" s="9">
        <f t="shared" si="4"/>
        <v>0.100000000000031</v>
      </c>
      <c r="L7" s="1">
        <f t="shared" si="5"/>
        <v>-3.49999999999996</v>
      </c>
    </row>
    <row r="8" s="1" customFormat="1" spans="1:12">
      <c r="A8" s="2">
        <v>0.201</v>
      </c>
      <c r="B8" s="10" t="s">
        <v>322</v>
      </c>
      <c r="C8" s="4">
        <v>0.201</v>
      </c>
      <c r="D8" s="5">
        <v>46.1</v>
      </c>
      <c r="E8" s="4"/>
      <c r="F8" s="4"/>
      <c r="G8" s="2">
        <f t="shared" si="0"/>
        <v>0.167</v>
      </c>
      <c r="H8" s="11" t="str">
        <f t="shared" si="1"/>
        <v>3.704E-2</v>
      </c>
      <c r="I8" s="2">
        <f t="shared" si="2"/>
        <v>46</v>
      </c>
      <c r="J8" s="4">
        <f t="shared" si="3"/>
        <v>0.167</v>
      </c>
      <c r="K8" s="9">
        <f t="shared" si="4"/>
        <v>0</v>
      </c>
      <c r="L8" s="1">
        <f t="shared" si="5"/>
        <v>-3.49999999999996</v>
      </c>
    </row>
    <row r="9" s="1" customFormat="1" spans="1:12">
      <c r="A9" s="2">
        <v>0.234</v>
      </c>
      <c r="B9" s="10" t="s">
        <v>324</v>
      </c>
      <c r="C9" s="4">
        <v>0.234</v>
      </c>
      <c r="D9" s="5">
        <v>46</v>
      </c>
      <c r="E9" s="4"/>
      <c r="F9" s="4"/>
      <c r="G9" s="2">
        <f t="shared" si="0"/>
        <v>0.201</v>
      </c>
      <c r="H9" s="11" t="str">
        <f t="shared" si="1"/>
        <v>3.704E-2</v>
      </c>
      <c r="I9" s="2">
        <f t="shared" si="2"/>
        <v>46.1</v>
      </c>
      <c r="J9" s="4">
        <f t="shared" si="3"/>
        <v>0.201</v>
      </c>
      <c r="K9" s="9">
        <f t="shared" si="4"/>
        <v>0</v>
      </c>
      <c r="L9" s="1">
        <f t="shared" si="5"/>
        <v>-3.49999999999996</v>
      </c>
    </row>
    <row r="10" s="1" customFormat="1" spans="1:12">
      <c r="A10" s="2">
        <v>0.267</v>
      </c>
      <c r="B10" s="10" t="s">
        <v>322</v>
      </c>
      <c r="C10" s="4">
        <v>0.267</v>
      </c>
      <c r="D10" s="5">
        <v>45.7</v>
      </c>
      <c r="E10" s="4"/>
      <c r="F10" s="4"/>
      <c r="G10" s="2">
        <f t="shared" si="0"/>
        <v>0.234</v>
      </c>
      <c r="H10" s="11" t="str">
        <f t="shared" si="1"/>
        <v>3.705E-2</v>
      </c>
      <c r="I10" s="2">
        <f t="shared" si="2"/>
        <v>46</v>
      </c>
      <c r="J10" s="4">
        <f t="shared" si="3"/>
        <v>0.234</v>
      </c>
      <c r="K10" s="9">
        <f t="shared" si="4"/>
        <v>0.100000000000031</v>
      </c>
      <c r="L10" s="1">
        <f t="shared" si="5"/>
        <v>-3.49999999999996</v>
      </c>
    </row>
    <row r="11" s="1" customFormat="1" spans="1:12">
      <c r="A11" s="2">
        <v>0.301</v>
      </c>
      <c r="B11" s="10" t="s">
        <v>325</v>
      </c>
      <c r="C11" s="4">
        <v>0.301</v>
      </c>
      <c r="D11" s="5">
        <v>46.1</v>
      </c>
      <c r="E11" s="4"/>
      <c r="F11" s="4"/>
      <c r="G11" s="2">
        <f t="shared" si="0"/>
        <v>0.267</v>
      </c>
      <c r="H11" s="11" t="str">
        <f t="shared" si="1"/>
        <v>3.704E-2</v>
      </c>
      <c r="I11" s="2">
        <f t="shared" si="2"/>
        <v>45.7</v>
      </c>
      <c r="J11" s="4">
        <f t="shared" si="3"/>
        <v>0.267</v>
      </c>
      <c r="K11" s="9">
        <f t="shared" si="4"/>
        <v>0</v>
      </c>
      <c r="L11" s="1">
        <f t="shared" si="5"/>
        <v>-3.49999999999996</v>
      </c>
    </row>
    <row r="12" s="1" customFormat="1" spans="1:12">
      <c r="A12" s="2">
        <v>0.334</v>
      </c>
      <c r="B12" s="10" t="s">
        <v>325</v>
      </c>
      <c r="C12" s="4">
        <v>0.334</v>
      </c>
      <c r="D12" s="5">
        <v>45.8</v>
      </c>
      <c r="E12" s="4"/>
      <c r="F12" s="4"/>
      <c r="G12" s="2">
        <f t="shared" si="0"/>
        <v>0.301</v>
      </c>
      <c r="H12" s="11" t="str">
        <f t="shared" si="1"/>
        <v>3.703E-2</v>
      </c>
      <c r="I12" s="2">
        <f t="shared" si="2"/>
        <v>46.1</v>
      </c>
      <c r="J12" s="4">
        <f t="shared" si="3"/>
        <v>0.301</v>
      </c>
      <c r="K12" s="9">
        <f t="shared" si="4"/>
        <v>-0.0999999999999612</v>
      </c>
      <c r="L12" s="1">
        <f t="shared" si="5"/>
        <v>-3.49999999999996</v>
      </c>
    </row>
    <row r="13" s="1" customFormat="1" spans="1:12">
      <c r="A13" s="2">
        <v>0.368</v>
      </c>
      <c r="B13" s="10" t="s">
        <v>326</v>
      </c>
      <c r="C13" s="4">
        <v>0.368</v>
      </c>
      <c r="D13" s="5">
        <v>45.7</v>
      </c>
      <c r="E13" s="4"/>
      <c r="F13" s="4"/>
      <c r="G13" s="2">
        <f t="shared" si="0"/>
        <v>0.334</v>
      </c>
      <c r="H13" s="11" t="str">
        <f t="shared" si="1"/>
        <v>3.703E-2</v>
      </c>
      <c r="I13" s="2">
        <f t="shared" si="2"/>
        <v>45.8</v>
      </c>
      <c r="J13" s="4">
        <f t="shared" si="3"/>
        <v>0.334</v>
      </c>
      <c r="K13" s="9">
        <f t="shared" si="4"/>
        <v>-0.0999999999999612</v>
      </c>
      <c r="L13" s="1">
        <f t="shared" si="5"/>
        <v>-3.49999999999996</v>
      </c>
    </row>
    <row r="14" s="1" customFormat="1" spans="1:12">
      <c r="A14" s="2">
        <v>0.401</v>
      </c>
      <c r="B14" s="10" t="s">
        <v>326</v>
      </c>
      <c r="C14" s="4">
        <v>0.401</v>
      </c>
      <c r="D14" s="5">
        <v>46.2</v>
      </c>
      <c r="E14" s="4"/>
      <c r="F14" s="4"/>
      <c r="G14" s="2">
        <f t="shared" si="0"/>
        <v>0.368</v>
      </c>
      <c r="H14" s="11" t="str">
        <f t="shared" si="1"/>
        <v>3.701E-2</v>
      </c>
      <c r="I14" s="2">
        <f t="shared" si="2"/>
        <v>45.7</v>
      </c>
      <c r="J14" s="4">
        <f t="shared" si="3"/>
        <v>0.368</v>
      </c>
      <c r="K14" s="9">
        <f t="shared" si="4"/>
        <v>-0.299999999999953</v>
      </c>
      <c r="L14" s="1">
        <f t="shared" si="5"/>
        <v>-3.49999999999996</v>
      </c>
    </row>
    <row r="15" s="1" customFormat="1" spans="1:12">
      <c r="A15" s="2">
        <v>0.435</v>
      </c>
      <c r="B15" s="10" t="s">
        <v>327</v>
      </c>
      <c r="C15" s="4">
        <v>0.435</v>
      </c>
      <c r="D15" s="5">
        <v>46.4</v>
      </c>
      <c r="E15" s="4"/>
      <c r="F15" s="4"/>
      <c r="G15" s="2">
        <f t="shared" si="0"/>
        <v>0.401</v>
      </c>
      <c r="H15" s="11" t="str">
        <f t="shared" si="1"/>
        <v>3.701E-2</v>
      </c>
      <c r="I15" s="2">
        <f t="shared" si="2"/>
        <v>46.2</v>
      </c>
      <c r="J15" s="4">
        <f t="shared" si="3"/>
        <v>0.401</v>
      </c>
      <c r="K15" s="9">
        <f t="shared" si="4"/>
        <v>-0.299999999999953</v>
      </c>
      <c r="L15" s="1">
        <f t="shared" si="5"/>
        <v>-3.49999999999996</v>
      </c>
    </row>
    <row r="16" s="1" customFormat="1" spans="1:12">
      <c r="A16" s="2">
        <v>0.468</v>
      </c>
      <c r="B16" s="10" t="s">
        <v>327</v>
      </c>
      <c r="C16" s="4">
        <v>0.468</v>
      </c>
      <c r="D16" s="5">
        <v>45.6</v>
      </c>
      <c r="E16" s="4"/>
      <c r="F16" s="4"/>
      <c r="G16" s="2">
        <f t="shared" si="0"/>
        <v>0.435</v>
      </c>
      <c r="H16" s="11" t="str">
        <f t="shared" si="1"/>
        <v>3.700E-2</v>
      </c>
      <c r="I16" s="2">
        <f t="shared" si="2"/>
        <v>46.4</v>
      </c>
      <c r="J16" s="4">
        <f t="shared" si="3"/>
        <v>0.435</v>
      </c>
      <c r="K16" s="9">
        <f t="shared" si="4"/>
        <v>-0.399999999999984</v>
      </c>
      <c r="L16" s="1">
        <f t="shared" si="5"/>
        <v>-3.49999999999996</v>
      </c>
    </row>
    <row r="17" s="1" customFormat="1" spans="1:12">
      <c r="A17" s="2">
        <v>0.501</v>
      </c>
      <c r="B17" s="10" t="s">
        <v>328</v>
      </c>
      <c r="C17" s="4">
        <v>0.501</v>
      </c>
      <c r="D17" s="5">
        <v>45.8</v>
      </c>
      <c r="E17" s="4"/>
      <c r="F17" s="4"/>
      <c r="G17" s="2">
        <f t="shared" si="0"/>
        <v>0.468</v>
      </c>
      <c r="H17" s="11" t="str">
        <f t="shared" si="1"/>
        <v>3.700E-2</v>
      </c>
      <c r="I17" s="2">
        <f t="shared" si="2"/>
        <v>45.6</v>
      </c>
      <c r="J17" s="4">
        <f t="shared" si="3"/>
        <v>0.468</v>
      </c>
      <c r="K17" s="9">
        <f t="shared" si="4"/>
        <v>-0.399999999999984</v>
      </c>
      <c r="L17" s="1">
        <f t="shared" si="5"/>
        <v>-3.49999999999996</v>
      </c>
    </row>
    <row r="18" s="1" customFormat="1" spans="1:12">
      <c r="A18" s="2">
        <v>0.535</v>
      </c>
      <c r="B18" s="10" t="s">
        <v>329</v>
      </c>
      <c r="C18" s="4">
        <v>0.535</v>
      </c>
      <c r="D18" s="5">
        <v>45.7</v>
      </c>
      <c r="E18" s="4"/>
      <c r="F18" s="4"/>
      <c r="G18" s="2">
        <f t="shared" si="0"/>
        <v>0.501</v>
      </c>
      <c r="H18" s="11" t="str">
        <f t="shared" si="1"/>
        <v>3.699E-2</v>
      </c>
      <c r="I18" s="2">
        <f t="shared" si="2"/>
        <v>45.8</v>
      </c>
      <c r="J18" s="4">
        <f t="shared" si="3"/>
        <v>0.501</v>
      </c>
      <c r="K18" s="9">
        <f t="shared" si="4"/>
        <v>-0.499999999999945</v>
      </c>
      <c r="L18" s="1">
        <f t="shared" si="5"/>
        <v>-3.49999999999996</v>
      </c>
    </row>
    <row r="19" s="1" customFormat="1" spans="1:12">
      <c r="A19" s="2">
        <v>0.568</v>
      </c>
      <c r="B19" s="10" t="s">
        <v>328</v>
      </c>
      <c r="C19" s="4">
        <v>0.568</v>
      </c>
      <c r="D19" s="5">
        <v>46</v>
      </c>
      <c r="E19" s="4"/>
      <c r="F19" s="4"/>
      <c r="G19" s="2">
        <f t="shared" si="0"/>
        <v>0.535</v>
      </c>
      <c r="H19" s="11" t="str">
        <f t="shared" si="1"/>
        <v>3.698E-2</v>
      </c>
      <c r="I19" s="2">
        <f t="shared" si="2"/>
        <v>45.7</v>
      </c>
      <c r="J19" s="4">
        <f t="shared" si="3"/>
        <v>0.535</v>
      </c>
      <c r="K19" s="9">
        <f t="shared" si="4"/>
        <v>-0.599999999999976</v>
      </c>
      <c r="L19" s="1">
        <f t="shared" si="5"/>
        <v>-3.49999999999996</v>
      </c>
    </row>
    <row r="20" s="1" customFormat="1" spans="1:12">
      <c r="A20" s="2">
        <v>0.602</v>
      </c>
      <c r="B20" s="10" t="s">
        <v>328</v>
      </c>
      <c r="C20" s="4">
        <v>0.602</v>
      </c>
      <c r="D20" s="5">
        <v>46</v>
      </c>
      <c r="E20" s="4"/>
      <c r="F20" s="4"/>
      <c r="G20" s="2">
        <f t="shared" si="0"/>
        <v>0.568</v>
      </c>
      <c r="H20" s="11" t="str">
        <f t="shared" si="1"/>
        <v>3.699E-2</v>
      </c>
      <c r="I20" s="2">
        <f t="shared" si="2"/>
        <v>46</v>
      </c>
      <c r="J20" s="4">
        <f t="shared" si="3"/>
        <v>0.568</v>
      </c>
      <c r="K20" s="9">
        <f t="shared" si="4"/>
        <v>-0.499999999999945</v>
      </c>
      <c r="L20" s="1">
        <f t="shared" si="5"/>
        <v>-3.49999999999996</v>
      </c>
    </row>
    <row r="21" s="1" customFormat="1" spans="1:12">
      <c r="A21" s="2">
        <v>0.635</v>
      </c>
      <c r="B21" s="10" t="s">
        <v>330</v>
      </c>
      <c r="C21" s="4">
        <v>0.635</v>
      </c>
      <c r="D21" s="5">
        <v>46.4</v>
      </c>
      <c r="E21" s="4"/>
      <c r="F21" s="4"/>
      <c r="G21" s="2">
        <f t="shared" si="0"/>
        <v>0.602</v>
      </c>
      <c r="H21" s="11" t="str">
        <f t="shared" si="1"/>
        <v>3.699E-2</v>
      </c>
      <c r="I21" s="2">
        <f t="shared" si="2"/>
        <v>46</v>
      </c>
      <c r="J21" s="4">
        <f t="shared" si="3"/>
        <v>0.602</v>
      </c>
      <c r="K21" s="9">
        <f t="shared" si="4"/>
        <v>-0.499999999999945</v>
      </c>
      <c r="L21" s="1">
        <f t="shared" si="5"/>
        <v>-3.49999999999996</v>
      </c>
    </row>
    <row r="22" s="1" customFormat="1" spans="1:12">
      <c r="A22" s="2">
        <v>0.669</v>
      </c>
      <c r="B22" s="10" t="s">
        <v>330</v>
      </c>
      <c r="C22" s="4">
        <v>0.669</v>
      </c>
      <c r="D22" s="5">
        <v>45.9</v>
      </c>
      <c r="E22" s="4"/>
      <c r="F22" s="4"/>
      <c r="G22" s="2">
        <f t="shared" si="0"/>
        <v>0.635</v>
      </c>
      <c r="H22" s="11" t="str">
        <f t="shared" si="1"/>
        <v>3.697E-2</v>
      </c>
      <c r="I22" s="2">
        <f t="shared" si="2"/>
        <v>46.4</v>
      </c>
      <c r="J22" s="4">
        <f t="shared" si="3"/>
        <v>0.635</v>
      </c>
      <c r="K22" s="9">
        <f t="shared" si="4"/>
        <v>-0.699999999999937</v>
      </c>
      <c r="L22" s="1">
        <f t="shared" si="5"/>
        <v>-3.49999999999996</v>
      </c>
    </row>
    <row r="23" s="1" customFormat="1" spans="1:12">
      <c r="A23" s="2">
        <v>0.702</v>
      </c>
      <c r="B23" s="10" t="s">
        <v>330</v>
      </c>
      <c r="C23" s="4">
        <v>0.702</v>
      </c>
      <c r="D23" s="5">
        <v>46.2</v>
      </c>
      <c r="E23" s="4"/>
      <c r="F23" s="4"/>
      <c r="G23" s="2">
        <f t="shared" si="0"/>
        <v>0.669</v>
      </c>
      <c r="H23" s="11" t="str">
        <f t="shared" si="1"/>
        <v>3.697E-2</v>
      </c>
      <c r="I23" s="2">
        <f t="shared" si="2"/>
        <v>45.9</v>
      </c>
      <c r="J23" s="4">
        <f t="shared" si="3"/>
        <v>0.669</v>
      </c>
      <c r="K23" s="9">
        <f t="shared" si="4"/>
        <v>-0.699999999999937</v>
      </c>
      <c r="L23" s="1">
        <f t="shared" si="5"/>
        <v>-3.49999999999996</v>
      </c>
    </row>
    <row r="24" s="1" customFormat="1" spans="1:12">
      <c r="A24" s="2">
        <v>0.736</v>
      </c>
      <c r="B24" s="10" t="s">
        <v>329</v>
      </c>
      <c r="C24" s="4">
        <v>0.736</v>
      </c>
      <c r="D24" s="5">
        <v>45.8</v>
      </c>
      <c r="E24" s="4"/>
      <c r="F24" s="4"/>
      <c r="G24" s="2">
        <f t="shared" si="0"/>
        <v>0.702</v>
      </c>
      <c r="H24" s="11" t="str">
        <f t="shared" si="1"/>
        <v>3.697E-2</v>
      </c>
      <c r="I24" s="2">
        <f t="shared" si="2"/>
        <v>46.2</v>
      </c>
      <c r="J24" s="4">
        <f t="shared" si="3"/>
        <v>0.702</v>
      </c>
      <c r="K24" s="9">
        <f t="shared" si="4"/>
        <v>-0.699999999999937</v>
      </c>
      <c r="L24" s="1">
        <f t="shared" si="5"/>
        <v>-3.49999999999996</v>
      </c>
    </row>
    <row r="25" s="1" customFormat="1" spans="1:12">
      <c r="A25" s="2">
        <v>0.769</v>
      </c>
      <c r="B25" s="10" t="s">
        <v>328</v>
      </c>
      <c r="C25" s="4">
        <v>0.769</v>
      </c>
      <c r="D25" s="5">
        <v>45.8</v>
      </c>
      <c r="E25" s="4"/>
      <c r="F25" s="4"/>
      <c r="G25" s="2">
        <f t="shared" si="0"/>
        <v>0.736</v>
      </c>
      <c r="H25" s="11" t="str">
        <f t="shared" si="1"/>
        <v>3.698E-2</v>
      </c>
      <c r="I25" s="2">
        <f t="shared" si="2"/>
        <v>45.8</v>
      </c>
      <c r="J25" s="4">
        <f t="shared" si="3"/>
        <v>0.736</v>
      </c>
      <c r="K25" s="9">
        <f t="shared" si="4"/>
        <v>-0.599999999999976</v>
      </c>
      <c r="L25" s="1">
        <f t="shared" si="5"/>
        <v>-3.49999999999996</v>
      </c>
    </row>
    <row r="26" s="1" customFormat="1" spans="1:12">
      <c r="A26" s="2">
        <v>0.802</v>
      </c>
      <c r="B26" s="10" t="s">
        <v>329</v>
      </c>
      <c r="C26" s="4">
        <v>0.802</v>
      </c>
      <c r="D26" s="5">
        <v>46.3</v>
      </c>
      <c r="E26" s="4"/>
      <c r="F26" s="4"/>
      <c r="G26" s="2">
        <f t="shared" si="0"/>
        <v>0.769</v>
      </c>
      <c r="H26" s="11" t="str">
        <f t="shared" si="1"/>
        <v>3.699E-2</v>
      </c>
      <c r="I26" s="2">
        <f t="shared" si="2"/>
        <v>45.8</v>
      </c>
      <c r="J26" s="4">
        <f t="shared" si="3"/>
        <v>0.769</v>
      </c>
      <c r="K26" s="9">
        <f t="shared" si="4"/>
        <v>-0.499999999999945</v>
      </c>
      <c r="L26" s="1">
        <f t="shared" si="5"/>
        <v>-3.49999999999996</v>
      </c>
    </row>
    <row r="27" s="1" customFormat="1" spans="1:12">
      <c r="A27" s="2">
        <v>0.836</v>
      </c>
      <c r="B27" s="10" t="s">
        <v>327</v>
      </c>
      <c r="C27" s="4">
        <v>0.836</v>
      </c>
      <c r="D27" s="5">
        <v>46</v>
      </c>
      <c r="E27" s="4"/>
      <c r="F27" s="4"/>
      <c r="G27" s="2">
        <f t="shared" si="0"/>
        <v>0.802</v>
      </c>
      <c r="H27" s="11" t="str">
        <f t="shared" si="1"/>
        <v>3.698E-2</v>
      </c>
      <c r="I27" s="2">
        <f t="shared" si="2"/>
        <v>46.3</v>
      </c>
      <c r="J27" s="4">
        <f t="shared" si="3"/>
        <v>0.802</v>
      </c>
      <c r="K27" s="9">
        <f t="shared" si="4"/>
        <v>-0.599999999999976</v>
      </c>
      <c r="L27" s="1">
        <f t="shared" si="5"/>
        <v>-3.49999999999996</v>
      </c>
    </row>
    <row r="28" s="1" customFormat="1" spans="1:12">
      <c r="A28" s="2">
        <v>0.869</v>
      </c>
      <c r="B28" s="10" t="s">
        <v>326</v>
      </c>
      <c r="C28" s="4">
        <v>0.869</v>
      </c>
      <c r="D28" s="5">
        <v>45.6</v>
      </c>
      <c r="E28" s="4"/>
      <c r="F28" s="4"/>
      <c r="G28" s="2">
        <f t="shared" si="0"/>
        <v>0.836</v>
      </c>
      <c r="H28" s="11" t="str">
        <f t="shared" si="1"/>
        <v>3.700E-2</v>
      </c>
      <c r="I28" s="2">
        <f t="shared" si="2"/>
        <v>46</v>
      </c>
      <c r="J28" s="4">
        <f t="shared" si="3"/>
        <v>0.836</v>
      </c>
      <c r="K28" s="9">
        <f t="shared" si="4"/>
        <v>-0.399999999999984</v>
      </c>
      <c r="L28" s="1">
        <f t="shared" si="5"/>
        <v>-3.49999999999996</v>
      </c>
    </row>
    <row r="29" s="1" customFormat="1" spans="1:12">
      <c r="A29" s="2">
        <v>0.903</v>
      </c>
      <c r="B29" s="10" t="s">
        <v>326</v>
      </c>
      <c r="C29" s="4">
        <v>0.903</v>
      </c>
      <c r="D29" s="5">
        <v>46.3</v>
      </c>
      <c r="E29" s="4"/>
      <c r="F29" s="4"/>
      <c r="G29" s="2">
        <f t="shared" si="0"/>
        <v>0.869</v>
      </c>
      <c r="H29" s="11" t="str">
        <f t="shared" si="1"/>
        <v>3.701E-2</v>
      </c>
      <c r="I29" s="2">
        <f t="shared" si="2"/>
        <v>45.6</v>
      </c>
      <c r="J29" s="4">
        <f t="shared" si="3"/>
        <v>0.869</v>
      </c>
      <c r="K29" s="9">
        <f t="shared" si="4"/>
        <v>-0.299999999999953</v>
      </c>
      <c r="L29" s="1">
        <f t="shared" si="5"/>
        <v>-3.49999999999996</v>
      </c>
    </row>
    <row r="30" s="1" customFormat="1" spans="1:12">
      <c r="A30" s="2">
        <v>0.936</v>
      </c>
      <c r="B30" s="10" t="s">
        <v>331</v>
      </c>
      <c r="C30" s="4">
        <v>0.936</v>
      </c>
      <c r="D30" s="5">
        <v>46.2</v>
      </c>
      <c r="E30" s="4"/>
      <c r="F30" s="4"/>
      <c r="G30" s="2">
        <f t="shared" si="0"/>
        <v>0.903</v>
      </c>
      <c r="H30" s="11" t="str">
        <f t="shared" si="1"/>
        <v>3.701E-2</v>
      </c>
      <c r="I30" s="2">
        <f t="shared" si="2"/>
        <v>46.3</v>
      </c>
      <c r="J30" s="4">
        <f t="shared" si="3"/>
        <v>0.903</v>
      </c>
      <c r="K30" s="9">
        <f t="shared" si="4"/>
        <v>-0.299999999999953</v>
      </c>
      <c r="L30" s="1">
        <f t="shared" si="5"/>
        <v>-3.49999999999996</v>
      </c>
    </row>
    <row r="31" s="1" customFormat="1" spans="1:12">
      <c r="A31" s="2">
        <v>0.97</v>
      </c>
      <c r="B31" s="10" t="s">
        <v>325</v>
      </c>
      <c r="C31" s="4">
        <v>0.97</v>
      </c>
      <c r="D31" s="5">
        <v>46.2</v>
      </c>
      <c r="E31" s="4"/>
      <c r="F31" s="4"/>
      <c r="G31" s="2">
        <f t="shared" si="0"/>
        <v>0.936</v>
      </c>
      <c r="H31" s="11" t="str">
        <f t="shared" si="1"/>
        <v>3.702E-2</v>
      </c>
      <c r="I31" s="2">
        <f t="shared" si="2"/>
        <v>46.2</v>
      </c>
      <c r="J31" s="4">
        <f t="shared" si="3"/>
        <v>0.936</v>
      </c>
      <c r="K31" s="9">
        <f t="shared" si="4"/>
        <v>-0.199999999999992</v>
      </c>
      <c r="L31" s="1">
        <f t="shared" si="5"/>
        <v>-3.49999999999996</v>
      </c>
    </row>
    <row r="32" s="1" customFormat="1" spans="1:12">
      <c r="A32" s="2">
        <v>1.003</v>
      </c>
      <c r="B32" s="10" t="s">
        <v>322</v>
      </c>
      <c r="C32" s="4">
        <v>1.003</v>
      </c>
      <c r="D32" s="5">
        <v>45.4</v>
      </c>
      <c r="E32" s="4"/>
      <c r="F32" s="4"/>
      <c r="G32" s="2">
        <f t="shared" si="0"/>
        <v>0.97</v>
      </c>
      <c r="H32" s="11" t="str">
        <f t="shared" si="1"/>
        <v>3.703E-2</v>
      </c>
      <c r="I32" s="2">
        <f t="shared" si="2"/>
        <v>46.2</v>
      </c>
      <c r="J32" s="4">
        <f t="shared" si="3"/>
        <v>0.97</v>
      </c>
      <c r="K32" s="9">
        <f t="shared" si="4"/>
        <v>-0.0999999999999612</v>
      </c>
      <c r="L32" s="1">
        <f t="shared" si="5"/>
        <v>-3.49999999999996</v>
      </c>
    </row>
    <row r="33" s="1" customFormat="1" spans="1:12">
      <c r="A33" s="2">
        <v>1.036</v>
      </c>
      <c r="B33" s="10" t="s">
        <v>323</v>
      </c>
      <c r="C33" s="4">
        <v>1.036</v>
      </c>
      <c r="D33" s="5">
        <v>45.8</v>
      </c>
      <c r="E33" s="4"/>
      <c r="F33" s="4"/>
      <c r="G33" s="2">
        <f t="shared" si="0"/>
        <v>1.003</v>
      </c>
      <c r="H33" s="11" t="str">
        <f t="shared" si="1"/>
        <v>3.704E-2</v>
      </c>
      <c r="I33" s="2">
        <f t="shared" si="2"/>
        <v>45.4</v>
      </c>
      <c r="J33" s="4">
        <f t="shared" si="3"/>
        <v>1.003</v>
      </c>
      <c r="K33" s="9">
        <f t="shared" si="4"/>
        <v>0</v>
      </c>
      <c r="L33" s="1">
        <f t="shared" si="5"/>
        <v>-3.49999999999996</v>
      </c>
    </row>
    <row r="34" s="1" customFormat="1" spans="1:12">
      <c r="A34" s="2">
        <v>1.07</v>
      </c>
      <c r="B34" s="10" t="s">
        <v>324</v>
      </c>
      <c r="C34" s="4">
        <v>1.07</v>
      </c>
      <c r="D34" s="5">
        <v>46.4</v>
      </c>
      <c r="E34" s="4"/>
      <c r="F34" s="4"/>
      <c r="G34" s="2">
        <f t="shared" si="0"/>
        <v>1.036</v>
      </c>
      <c r="H34" s="11" t="str">
        <f t="shared" si="1"/>
        <v>3.706E-2</v>
      </c>
      <c r="I34" s="2">
        <f t="shared" si="2"/>
        <v>45.8</v>
      </c>
      <c r="J34" s="4">
        <f t="shared" si="3"/>
        <v>1.036</v>
      </c>
      <c r="K34" s="9">
        <f t="shared" si="4"/>
        <v>0.200000000000061</v>
      </c>
      <c r="L34" s="1">
        <f t="shared" si="5"/>
        <v>-3.49999999999996</v>
      </c>
    </row>
    <row r="35" s="1" customFormat="1" spans="1:12">
      <c r="A35" s="2">
        <v>1.103</v>
      </c>
      <c r="B35" s="10" t="s">
        <v>323</v>
      </c>
      <c r="C35" s="4">
        <v>1.103</v>
      </c>
      <c r="D35" s="5">
        <v>45.5</v>
      </c>
      <c r="E35" s="4"/>
      <c r="F35" s="4"/>
      <c r="G35" s="2">
        <f t="shared" si="0"/>
        <v>1.07</v>
      </c>
      <c r="H35" s="11" t="str">
        <f t="shared" si="1"/>
        <v>3.705E-2</v>
      </c>
      <c r="I35" s="2">
        <f t="shared" si="2"/>
        <v>46.4</v>
      </c>
      <c r="J35" s="4">
        <f t="shared" si="3"/>
        <v>1.07</v>
      </c>
      <c r="K35" s="9">
        <f t="shared" si="4"/>
        <v>0.100000000000031</v>
      </c>
      <c r="L35" s="1">
        <f t="shared" si="5"/>
        <v>-3.49999999999996</v>
      </c>
    </row>
    <row r="36" s="1" customFormat="1" spans="1:12">
      <c r="A36" s="2">
        <v>1.137</v>
      </c>
      <c r="B36" s="10" t="s">
        <v>323</v>
      </c>
      <c r="C36" s="4">
        <v>1.137</v>
      </c>
      <c r="D36" s="5">
        <v>46.1</v>
      </c>
      <c r="E36" s="4"/>
      <c r="F36" s="4"/>
      <c r="G36" s="2">
        <f t="shared" si="0"/>
        <v>1.103</v>
      </c>
      <c r="H36" s="11" t="str">
        <f t="shared" si="1"/>
        <v>3.706E-2</v>
      </c>
      <c r="I36" s="2">
        <f t="shared" si="2"/>
        <v>45.5</v>
      </c>
      <c r="J36" s="4">
        <f t="shared" si="3"/>
        <v>1.103</v>
      </c>
      <c r="K36" s="9">
        <f t="shared" si="4"/>
        <v>0.200000000000061</v>
      </c>
      <c r="L36" s="1">
        <f t="shared" si="5"/>
        <v>-3.49999999999996</v>
      </c>
    </row>
    <row r="37" s="1" customFormat="1" spans="1:12">
      <c r="A37" s="2">
        <v>1.17</v>
      </c>
      <c r="B37" s="10" t="s">
        <v>332</v>
      </c>
      <c r="C37" s="4">
        <v>1.17</v>
      </c>
      <c r="D37" s="5">
        <v>46.1</v>
      </c>
      <c r="E37" s="4"/>
      <c r="F37" s="4"/>
      <c r="G37" s="2">
        <f t="shared" si="0"/>
        <v>1.137</v>
      </c>
      <c r="H37" s="11" t="str">
        <f t="shared" si="1"/>
        <v>3.706E-2</v>
      </c>
      <c r="I37" s="2">
        <f t="shared" si="2"/>
        <v>46.1</v>
      </c>
      <c r="J37" s="4">
        <f t="shared" si="3"/>
        <v>1.137</v>
      </c>
      <c r="K37" s="9">
        <f t="shared" si="4"/>
        <v>0.200000000000061</v>
      </c>
      <c r="L37" s="1">
        <f t="shared" si="5"/>
        <v>-3.49999999999996</v>
      </c>
    </row>
    <row r="38" s="1" customFormat="1" spans="1:12">
      <c r="A38" s="2">
        <v>1.204</v>
      </c>
      <c r="B38" s="10" t="s">
        <v>332</v>
      </c>
      <c r="C38" s="4">
        <v>1.204</v>
      </c>
      <c r="D38" s="5">
        <v>46.4</v>
      </c>
      <c r="E38" s="4"/>
      <c r="F38" s="4"/>
      <c r="G38" s="2">
        <f t="shared" si="0"/>
        <v>1.17</v>
      </c>
      <c r="H38" s="11" t="str">
        <f t="shared" si="1"/>
        <v>3.707E-2</v>
      </c>
      <c r="I38" s="2">
        <f t="shared" si="2"/>
        <v>46.1</v>
      </c>
      <c r="J38" s="4">
        <f t="shared" si="3"/>
        <v>1.17</v>
      </c>
      <c r="K38" s="9">
        <f t="shared" si="4"/>
        <v>0.300000000000022</v>
      </c>
      <c r="L38" s="1">
        <f t="shared" si="5"/>
        <v>-3.49999999999996</v>
      </c>
    </row>
    <row r="39" s="1" customFormat="1" spans="1:12">
      <c r="A39" s="2">
        <v>1.237</v>
      </c>
      <c r="B39" s="10" t="s">
        <v>332</v>
      </c>
      <c r="C39" s="4">
        <v>1.237</v>
      </c>
      <c r="D39" s="5">
        <v>46</v>
      </c>
      <c r="E39" s="4"/>
      <c r="F39" s="4"/>
      <c r="G39" s="2">
        <f t="shared" si="0"/>
        <v>1.204</v>
      </c>
      <c r="H39" s="11" t="str">
        <f t="shared" si="1"/>
        <v>3.707E-2</v>
      </c>
      <c r="I39" s="2">
        <f t="shared" si="2"/>
        <v>46.4</v>
      </c>
      <c r="J39" s="4">
        <f t="shared" si="3"/>
        <v>1.204</v>
      </c>
      <c r="K39" s="9">
        <f t="shared" si="4"/>
        <v>0.300000000000022</v>
      </c>
      <c r="L39" s="1">
        <f t="shared" si="5"/>
        <v>-3.49999999999996</v>
      </c>
    </row>
    <row r="40" s="1" customFormat="1" spans="1:12">
      <c r="A40" s="2">
        <v>1.27</v>
      </c>
      <c r="B40" s="10" t="s">
        <v>332</v>
      </c>
      <c r="C40" s="4">
        <v>1.27</v>
      </c>
      <c r="D40" s="5">
        <v>45.9</v>
      </c>
      <c r="E40" s="4"/>
      <c r="F40" s="4"/>
      <c r="G40" s="2">
        <f t="shared" si="0"/>
        <v>1.237</v>
      </c>
      <c r="H40" s="11" t="str">
        <f t="shared" si="1"/>
        <v>3.707E-2</v>
      </c>
      <c r="I40" s="2">
        <f t="shared" si="2"/>
        <v>46</v>
      </c>
      <c r="J40" s="4">
        <f t="shared" si="3"/>
        <v>1.237</v>
      </c>
      <c r="K40" s="9">
        <f t="shared" si="4"/>
        <v>0.300000000000022</v>
      </c>
      <c r="L40" s="1">
        <f t="shared" si="5"/>
        <v>-3.49999999999996</v>
      </c>
    </row>
    <row r="41" s="1" customFormat="1" spans="1:12">
      <c r="A41" s="2">
        <v>1.304</v>
      </c>
      <c r="B41" s="10" t="s">
        <v>333</v>
      </c>
      <c r="C41" s="4">
        <v>1.304</v>
      </c>
      <c r="D41" s="5">
        <v>46</v>
      </c>
      <c r="E41" s="4"/>
      <c r="F41" s="4"/>
      <c r="G41" s="2">
        <f t="shared" si="0"/>
        <v>1.27</v>
      </c>
      <c r="H41" s="11" t="str">
        <f t="shared" si="1"/>
        <v>3.707E-2</v>
      </c>
      <c r="I41" s="2">
        <f t="shared" si="2"/>
        <v>45.9</v>
      </c>
      <c r="J41" s="4">
        <f t="shared" si="3"/>
        <v>1.27</v>
      </c>
      <c r="K41" s="9">
        <f t="shared" si="4"/>
        <v>0.300000000000022</v>
      </c>
      <c r="L41" s="1">
        <f t="shared" si="5"/>
        <v>-3.49999999999996</v>
      </c>
    </row>
    <row r="42" s="1" customFormat="1" spans="1:12">
      <c r="A42" s="2">
        <v>1.337</v>
      </c>
      <c r="B42" s="10" t="s">
        <v>333</v>
      </c>
      <c r="C42" s="4">
        <v>1.337</v>
      </c>
      <c r="D42" s="5">
        <v>46.3</v>
      </c>
      <c r="E42" s="4"/>
      <c r="F42" s="4"/>
      <c r="G42" s="2">
        <f t="shared" si="0"/>
        <v>1.304</v>
      </c>
      <c r="H42" s="11" t="str">
        <f t="shared" si="1"/>
        <v>3.708E-2</v>
      </c>
      <c r="I42" s="2">
        <f t="shared" si="2"/>
        <v>46</v>
      </c>
      <c r="J42" s="4">
        <f t="shared" si="3"/>
        <v>1.304</v>
      </c>
      <c r="K42" s="9">
        <f t="shared" si="4"/>
        <v>0.400000000000053</v>
      </c>
      <c r="L42" s="1">
        <f t="shared" si="5"/>
        <v>-3.49999999999996</v>
      </c>
    </row>
    <row r="43" s="1" customFormat="1" spans="1:12">
      <c r="A43" s="2">
        <v>1.371</v>
      </c>
      <c r="B43" s="10" t="s">
        <v>333</v>
      </c>
      <c r="C43" s="4">
        <v>1.371</v>
      </c>
      <c r="D43" s="5">
        <v>45.9</v>
      </c>
      <c r="E43" s="4"/>
      <c r="F43" s="4"/>
      <c r="G43" s="2">
        <f t="shared" si="0"/>
        <v>1.337</v>
      </c>
      <c r="H43" s="11" t="str">
        <f t="shared" si="1"/>
        <v>3.708E-2</v>
      </c>
      <c r="I43" s="2">
        <f t="shared" si="2"/>
        <v>46.3</v>
      </c>
      <c r="J43" s="4">
        <f t="shared" si="3"/>
        <v>1.337</v>
      </c>
      <c r="K43" s="9">
        <f t="shared" si="4"/>
        <v>0.400000000000053</v>
      </c>
      <c r="L43" s="1">
        <f t="shared" si="5"/>
        <v>-3.49999999999996</v>
      </c>
    </row>
    <row r="44" s="1" customFormat="1" spans="1:12">
      <c r="A44" s="2">
        <v>1.404</v>
      </c>
      <c r="B44" s="10" t="s">
        <v>332</v>
      </c>
      <c r="C44" s="4">
        <v>1.404</v>
      </c>
      <c r="D44" s="5">
        <v>46.2</v>
      </c>
      <c r="E44" s="4"/>
      <c r="F44" s="4"/>
      <c r="G44" s="2">
        <f t="shared" si="0"/>
        <v>1.371</v>
      </c>
      <c r="H44" s="11" t="str">
        <f t="shared" si="1"/>
        <v>3.708E-2</v>
      </c>
      <c r="I44" s="2">
        <f t="shared" si="2"/>
        <v>45.9</v>
      </c>
      <c r="J44" s="4">
        <f t="shared" si="3"/>
        <v>1.371</v>
      </c>
      <c r="K44" s="9">
        <f t="shared" si="4"/>
        <v>0.400000000000053</v>
      </c>
      <c r="L44" s="1">
        <f t="shared" si="5"/>
        <v>-3.49999999999996</v>
      </c>
    </row>
    <row r="45" s="1" customFormat="1" spans="1:12">
      <c r="A45" s="2">
        <v>1.438</v>
      </c>
      <c r="B45" s="10" t="s">
        <v>323</v>
      </c>
      <c r="C45" s="4">
        <v>1.438</v>
      </c>
      <c r="D45" s="5">
        <v>46.1</v>
      </c>
      <c r="E45" s="4"/>
      <c r="F45" s="4"/>
      <c r="G45" s="2">
        <f t="shared" si="0"/>
        <v>1.404</v>
      </c>
      <c r="H45" s="11" t="str">
        <f t="shared" si="1"/>
        <v>3.707E-2</v>
      </c>
      <c r="I45" s="2">
        <f t="shared" si="2"/>
        <v>46.2</v>
      </c>
      <c r="J45" s="4">
        <f t="shared" si="3"/>
        <v>1.404</v>
      </c>
      <c r="K45" s="9">
        <f t="shared" si="4"/>
        <v>0.300000000000022</v>
      </c>
      <c r="L45" s="1">
        <f t="shared" si="5"/>
        <v>-3.49999999999996</v>
      </c>
    </row>
    <row r="46" s="1" customFormat="1" spans="1:12">
      <c r="A46" s="2">
        <v>1.471</v>
      </c>
      <c r="B46" s="10" t="s">
        <v>323</v>
      </c>
      <c r="C46" s="4">
        <v>1.471</v>
      </c>
      <c r="D46" s="5">
        <v>46.2</v>
      </c>
      <c r="E46" s="4"/>
      <c r="F46" s="4"/>
      <c r="G46" s="2">
        <f t="shared" si="0"/>
        <v>1.438</v>
      </c>
      <c r="H46" s="11" t="str">
        <f t="shared" si="1"/>
        <v>3.706E-2</v>
      </c>
      <c r="I46" s="2">
        <f t="shared" si="2"/>
        <v>46.1</v>
      </c>
      <c r="J46" s="4">
        <f t="shared" si="3"/>
        <v>1.438</v>
      </c>
      <c r="K46" s="9">
        <f t="shared" si="4"/>
        <v>0.200000000000061</v>
      </c>
      <c r="L46" s="1">
        <f t="shared" si="5"/>
        <v>-3.49999999999996</v>
      </c>
    </row>
    <row r="47" s="1" customFormat="1" spans="1:12">
      <c r="A47" s="2">
        <v>1.504</v>
      </c>
      <c r="B47" s="10" t="s">
        <v>324</v>
      </c>
      <c r="C47" s="4">
        <v>1.504</v>
      </c>
      <c r="D47" s="5">
        <v>46.4</v>
      </c>
      <c r="E47" s="4"/>
      <c r="F47" s="4"/>
      <c r="G47" s="2">
        <f t="shared" si="0"/>
        <v>1.471</v>
      </c>
      <c r="H47" s="11" t="str">
        <f t="shared" si="1"/>
        <v>3.706E-2</v>
      </c>
      <c r="I47" s="2">
        <f t="shared" si="2"/>
        <v>46.2</v>
      </c>
      <c r="J47" s="4">
        <f t="shared" si="3"/>
        <v>1.471</v>
      </c>
      <c r="K47" s="9">
        <f t="shared" si="4"/>
        <v>0.200000000000061</v>
      </c>
      <c r="L47" s="1">
        <f t="shared" si="5"/>
        <v>-3.49999999999996</v>
      </c>
    </row>
    <row r="48" s="1" customFormat="1" spans="1:12">
      <c r="A48" s="2">
        <v>1.538</v>
      </c>
      <c r="B48" s="10" t="s">
        <v>324</v>
      </c>
      <c r="C48" s="4">
        <v>1.538</v>
      </c>
      <c r="D48" s="5">
        <v>45.9</v>
      </c>
      <c r="E48" s="4"/>
      <c r="F48" s="4"/>
      <c r="G48" s="2">
        <f t="shared" si="0"/>
        <v>1.504</v>
      </c>
      <c r="H48" s="11" t="str">
        <f t="shared" si="1"/>
        <v>3.705E-2</v>
      </c>
      <c r="I48" s="2">
        <f t="shared" si="2"/>
        <v>46.4</v>
      </c>
      <c r="J48" s="4">
        <f t="shared" si="3"/>
        <v>1.504</v>
      </c>
      <c r="K48" s="9">
        <f t="shared" si="4"/>
        <v>0.100000000000031</v>
      </c>
      <c r="L48" s="1">
        <f t="shared" si="5"/>
        <v>-3.49999999999996</v>
      </c>
    </row>
    <row r="49" s="1" customFormat="1" spans="1:12">
      <c r="A49" s="2">
        <v>1.571</v>
      </c>
      <c r="B49" s="10" t="s">
        <v>322</v>
      </c>
      <c r="C49" s="4">
        <v>1.571</v>
      </c>
      <c r="D49" s="5">
        <v>46</v>
      </c>
      <c r="E49" s="4"/>
      <c r="F49" s="4"/>
      <c r="G49" s="2">
        <f t="shared" si="0"/>
        <v>1.538</v>
      </c>
      <c r="H49" s="11" t="str">
        <f t="shared" si="1"/>
        <v>3.705E-2</v>
      </c>
      <c r="I49" s="2">
        <f t="shared" si="2"/>
        <v>45.9</v>
      </c>
      <c r="J49" s="4">
        <f t="shared" si="3"/>
        <v>1.538</v>
      </c>
      <c r="K49" s="9">
        <f t="shared" si="4"/>
        <v>0.100000000000031</v>
      </c>
      <c r="L49" s="1">
        <f t="shared" si="5"/>
        <v>-3.49999999999996</v>
      </c>
    </row>
    <row r="50" s="1" customFormat="1" spans="1:12">
      <c r="A50" s="2">
        <v>1.605</v>
      </c>
      <c r="B50" s="10" t="s">
        <v>322</v>
      </c>
      <c r="C50" s="4">
        <v>1.605</v>
      </c>
      <c r="D50" s="5">
        <v>46.8</v>
      </c>
      <c r="E50" s="4"/>
      <c r="F50" s="4"/>
      <c r="G50" s="2">
        <f t="shared" si="0"/>
        <v>1.571</v>
      </c>
      <c r="H50" s="11" t="str">
        <f t="shared" si="1"/>
        <v>3.704E-2</v>
      </c>
      <c r="I50" s="2">
        <f t="shared" si="2"/>
        <v>46</v>
      </c>
      <c r="J50" s="4">
        <f t="shared" si="3"/>
        <v>1.571</v>
      </c>
      <c r="K50" s="9">
        <f t="shared" si="4"/>
        <v>0</v>
      </c>
      <c r="L50" s="1">
        <f t="shared" si="5"/>
        <v>-3.49999999999996</v>
      </c>
    </row>
    <row r="51" s="1" customFormat="1" spans="1:12">
      <c r="A51" s="2">
        <v>1.638</v>
      </c>
      <c r="B51" s="10" t="s">
        <v>331</v>
      </c>
      <c r="C51" s="4">
        <v>1.638</v>
      </c>
      <c r="D51" s="5">
        <v>46.1</v>
      </c>
      <c r="E51" s="4"/>
      <c r="F51" s="4"/>
      <c r="G51" s="2">
        <f t="shared" si="0"/>
        <v>1.605</v>
      </c>
      <c r="H51" s="11" t="str">
        <f t="shared" si="1"/>
        <v>3.704E-2</v>
      </c>
      <c r="I51" s="2">
        <f t="shared" si="2"/>
        <v>46.8</v>
      </c>
      <c r="J51" s="4">
        <f t="shared" si="3"/>
        <v>1.605</v>
      </c>
      <c r="K51" s="9">
        <f t="shared" si="4"/>
        <v>0</v>
      </c>
      <c r="L51" s="1">
        <f t="shared" si="5"/>
        <v>-3.49999999999996</v>
      </c>
    </row>
    <row r="52" s="1" customFormat="1" spans="1:12">
      <c r="A52" s="2">
        <v>1.672</v>
      </c>
      <c r="B52" s="10" t="s">
        <v>331</v>
      </c>
      <c r="C52" s="4">
        <v>1.672</v>
      </c>
      <c r="D52" s="5">
        <v>46.2</v>
      </c>
      <c r="E52" s="4"/>
      <c r="F52" s="4"/>
      <c r="G52" s="2">
        <f t="shared" si="0"/>
        <v>1.638</v>
      </c>
      <c r="H52" s="11" t="str">
        <f t="shared" si="1"/>
        <v>3.702E-2</v>
      </c>
      <c r="I52" s="2">
        <f t="shared" si="2"/>
        <v>46.1</v>
      </c>
      <c r="J52" s="4">
        <f t="shared" si="3"/>
        <v>1.638</v>
      </c>
      <c r="K52" s="9">
        <f t="shared" si="4"/>
        <v>-0.199999999999992</v>
      </c>
      <c r="L52" s="1">
        <f t="shared" si="5"/>
        <v>-3.49999999999996</v>
      </c>
    </row>
    <row r="53" s="1" customFormat="1" spans="1:12">
      <c r="A53" s="2">
        <v>1.705</v>
      </c>
      <c r="B53" s="10" t="s">
        <v>326</v>
      </c>
      <c r="C53" s="4">
        <v>1.705</v>
      </c>
      <c r="D53" s="5">
        <v>45.9</v>
      </c>
      <c r="E53" s="4"/>
      <c r="F53" s="4"/>
      <c r="G53" s="2">
        <f t="shared" si="0"/>
        <v>1.672</v>
      </c>
      <c r="H53" s="11" t="str">
        <f t="shared" si="1"/>
        <v>3.702E-2</v>
      </c>
      <c r="I53" s="2">
        <f t="shared" si="2"/>
        <v>46.2</v>
      </c>
      <c r="J53" s="4">
        <f t="shared" si="3"/>
        <v>1.672</v>
      </c>
      <c r="K53" s="9">
        <f t="shared" si="4"/>
        <v>-0.199999999999992</v>
      </c>
      <c r="L53" s="1">
        <f t="shared" si="5"/>
        <v>-3.49999999999996</v>
      </c>
    </row>
    <row r="54" s="1" customFormat="1" spans="1:12">
      <c r="A54" s="2">
        <v>1.739</v>
      </c>
      <c r="B54" s="10" t="s">
        <v>327</v>
      </c>
      <c r="C54" s="4">
        <v>1.739</v>
      </c>
      <c r="D54" s="5">
        <v>45.8</v>
      </c>
      <c r="E54" s="4"/>
      <c r="F54" s="4"/>
      <c r="G54" s="2">
        <f t="shared" si="0"/>
        <v>1.705</v>
      </c>
      <c r="H54" s="11" t="str">
        <f t="shared" si="1"/>
        <v>3.701E-2</v>
      </c>
      <c r="I54" s="2">
        <f t="shared" si="2"/>
        <v>45.9</v>
      </c>
      <c r="J54" s="4">
        <f t="shared" si="3"/>
        <v>1.705</v>
      </c>
      <c r="K54" s="9">
        <f t="shared" si="4"/>
        <v>-0.299999999999953</v>
      </c>
      <c r="L54" s="1">
        <f t="shared" si="5"/>
        <v>-3.49999999999996</v>
      </c>
    </row>
    <row r="55" s="1" customFormat="1" spans="1:12">
      <c r="A55" s="2">
        <v>1.772</v>
      </c>
      <c r="B55" s="10" t="s">
        <v>327</v>
      </c>
      <c r="C55" s="4">
        <v>1.772</v>
      </c>
      <c r="D55" s="5">
        <v>46</v>
      </c>
      <c r="E55" s="4"/>
      <c r="F55" s="4"/>
      <c r="G55" s="2">
        <f t="shared" si="0"/>
        <v>1.739</v>
      </c>
      <c r="H55" s="11" t="str">
        <f t="shared" si="1"/>
        <v>3.700E-2</v>
      </c>
      <c r="I55" s="2">
        <f t="shared" si="2"/>
        <v>45.8</v>
      </c>
      <c r="J55" s="4">
        <f t="shared" si="3"/>
        <v>1.739</v>
      </c>
      <c r="K55" s="9">
        <f t="shared" si="4"/>
        <v>-0.399999999999984</v>
      </c>
      <c r="L55" s="1">
        <f t="shared" si="5"/>
        <v>-3.49999999999996</v>
      </c>
    </row>
    <row r="56" s="1" customFormat="1" spans="1:12">
      <c r="A56" s="2">
        <v>1.805</v>
      </c>
      <c r="B56" s="10" t="s">
        <v>327</v>
      </c>
      <c r="C56" s="4">
        <v>1.805</v>
      </c>
      <c r="D56" s="5">
        <v>46.1</v>
      </c>
      <c r="E56" s="4"/>
      <c r="F56" s="4"/>
      <c r="G56" s="2">
        <f t="shared" si="0"/>
        <v>1.772</v>
      </c>
      <c r="H56" s="11" t="str">
        <f t="shared" si="1"/>
        <v>3.700E-2</v>
      </c>
      <c r="I56" s="2">
        <f t="shared" si="2"/>
        <v>46</v>
      </c>
      <c r="J56" s="4">
        <f t="shared" si="3"/>
        <v>1.772</v>
      </c>
      <c r="K56" s="9">
        <f t="shared" si="4"/>
        <v>-0.399999999999984</v>
      </c>
      <c r="L56" s="1">
        <f t="shared" si="5"/>
        <v>-3.49999999999996</v>
      </c>
    </row>
    <row r="57" s="1" customFormat="1" spans="1:12">
      <c r="A57" s="2">
        <v>1.839</v>
      </c>
      <c r="B57" s="10" t="s">
        <v>328</v>
      </c>
      <c r="C57" s="4">
        <v>1.839</v>
      </c>
      <c r="D57" s="5">
        <v>45.9</v>
      </c>
      <c r="E57" s="4"/>
      <c r="F57" s="4"/>
      <c r="G57" s="2">
        <f t="shared" si="0"/>
        <v>1.805</v>
      </c>
      <c r="H57" s="11" t="str">
        <f t="shared" si="1"/>
        <v>3.700E-2</v>
      </c>
      <c r="I57" s="2">
        <f t="shared" si="2"/>
        <v>46.1</v>
      </c>
      <c r="J57" s="4">
        <f t="shared" si="3"/>
        <v>1.805</v>
      </c>
      <c r="K57" s="9">
        <f t="shared" si="4"/>
        <v>-0.399999999999984</v>
      </c>
      <c r="L57" s="1">
        <f t="shared" si="5"/>
        <v>-3.49999999999996</v>
      </c>
    </row>
    <row r="58" s="1" customFormat="1" spans="1:12">
      <c r="A58" s="2">
        <v>1.872</v>
      </c>
      <c r="B58" s="10" t="s">
        <v>328</v>
      </c>
      <c r="C58" s="4">
        <v>1.872</v>
      </c>
      <c r="D58" s="5">
        <v>45.9</v>
      </c>
      <c r="E58" s="4"/>
      <c r="F58" s="4"/>
      <c r="G58" s="2">
        <f t="shared" si="0"/>
        <v>1.839</v>
      </c>
      <c r="H58" s="11" t="str">
        <f t="shared" si="1"/>
        <v>3.699E-2</v>
      </c>
      <c r="I58" s="2">
        <f t="shared" si="2"/>
        <v>45.9</v>
      </c>
      <c r="J58" s="4">
        <f t="shared" si="3"/>
        <v>1.839</v>
      </c>
      <c r="K58" s="9">
        <f t="shared" si="4"/>
        <v>-0.499999999999945</v>
      </c>
      <c r="L58" s="1">
        <f t="shared" si="5"/>
        <v>-3.49999999999996</v>
      </c>
    </row>
    <row r="59" s="1" customFormat="1" spans="1:12">
      <c r="A59" s="2">
        <v>1.906</v>
      </c>
      <c r="B59" s="10" t="s">
        <v>329</v>
      </c>
      <c r="C59" s="4">
        <v>1.906</v>
      </c>
      <c r="D59" s="5">
        <v>46.5</v>
      </c>
      <c r="E59" s="4"/>
      <c r="F59" s="4"/>
      <c r="G59" s="2">
        <f t="shared" si="0"/>
        <v>1.872</v>
      </c>
      <c r="H59" s="11" t="str">
        <f t="shared" si="1"/>
        <v>3.699E-2</v>
      </c>
      <c r="I59" s="2">
        <f t="shared" si="2"/>
        <v>45.9</v>
      </c>
      <c r="J59" s="4">
        <f t="shared" si="3"/>
        <v>1.872</v>
      </c>
      <c r="K59" s="9">
        <f t="shared" si="4"/>
        <v>-0.499999999999945</v>
      </c>
      <c r="L59" s="1">
        <f t="shared" si="5"/>
        <v>-3.49999999999996</v>
      </c>
    </row>
    <row r="60" s="1" customFormat="1" spans="1:12">
      <c r="A60" s="2">
        <v>1.939</v>
      </c>
      <c r="B60" s="10" t="s">
        <v>330</v>
      </c>
      <c r="C60" s="4">
        <v>1.939</v>
      </c>
      <c r="D60" s="5">
        <v>46.2</v>
      </c>
      <c r="E60" s="4"/>
      <c r="F60" s="4"/>
      <c r="G60" s="2">
        <f t="shared" si="0"/>
        <v>1.906</v>
      </c>
      <c r="H60" s="11" t="str">
        <f t="shared" si="1"/>
        <v>3.698E-2</v>
      </c>
      <c r="I60" s="2">
        <f t="shared" si="2"/>
        <v>46.5</v>
      </c>
      <c r="J60" s="4">
        <f t="shared" si="3"/>
        <v>1.906</v>
      </c>
      <c r="K60" s="9">
        <f t="shared" si="4"/>
        <v>-0.599999999999976</v>
      </c>
      <c r="L60" s="1">
        <f t="shared" si="5"/>
        <v>-3.49999999999996</v>
      </c>
    </row>
    <row r="61" s="1" customFormat="1" spans="1:12">
      <c r="A61" s="2">
        <v>1.973</v>
      </c>
      <c r="B61" s="10" t="s">
        <v>329</v>
      </c>
      <c r="C61" s="4">
        <v>1.973</v>
      </c>
      <c r="D61" s="5">
        <v>46</v>
      </c>
      <c r="E61" s="4"/>
      <c r="F61" s="4"/>
      <c r="G61" s="2">
        <f t="shared" si="0"/>
        <v>1.939</v>
      </c>
      <c r="H61" s="11" t="str">
        <f t="shared" si="1"/>
        <v>3.697E-2</v>
      </c>
      <c r="I61" s="2">
        <f t="shared" si="2"/>
        <v>46.2</v>
      </c>
      <c r="J61" s="4">
        <f t="shared" si="3"/>
        <v>1.939</v>
      </c>
      <c r="K61" s="9">
        <f t="shared" si="4"/>
        <v>-0.699999999999937</v>
      </c>
      <c r="L61" s="1">
        <f t="shared" si="5"/>
        <v>-3.49999999999996</v>
      </c>
    </row>
    <row r="62" s="1" customFormat="1" spans="1:12">
      <c r="A62" s="2">
        <v>2.006</v>
      </c>
      <c r="B62" s="10" t="s">
        <v>330</v>
      </c>
      <c r="C62" s="4">
        <v>2.006</v>
      </c>
      <c r="D62" s="5">
        <v>46.4</v>
      </c>
      <c r="E62" s="4"/>
      <c r="F62" s="4"/>
      <c r="G62" s="2">
        <f t="shared" si="0"/>
        <v>1.973</v>
      </c>
      <c r="H62" s="11" t="str">
        <f t="shared" si="1"/>
        <v>3.698E-2</v>
      </c>
      <c r="I62" s="2">
        <f t="shared" si="2"/>
        <v>46</v>
      </c>
      <c r="J62" s="4">
        <f t="shared" si="3"/>
        <v>1.973</v>
      </c>
      <c r="K62" s="9">
        <f t="shared" si="4"/>
        <v>-0.599999999999976</v>
      </c>
      <c r="L62" s="1">
        <f t="shared" si="5"/>
        <v>-3.49999999999996</v>
      </c>
    </row>
    <row r="63" s="1" customFormat="1" spans="1:12">
      <c r="A63" s="2">
        <v>2.039</v>
      </c>
      <c r="B63" s="10" t="s">
        <v>330</v>
      </c>
      <c r="C63" s="4">
        <v>2.039</v>
      </c>
      <c r="D63" s="5">
        <v>45.7</v>
      </c>
      <c r="E63" s="4"/>
      <c r="F63" s="4"/>
      <c r="G63" s="2">
        <f t="shared" si="0"/>
        <v>2.006</v>
      </c>
      <c r="H63" s="11" t="str">
        <f t="shared" si="1"/>
        <v>3.697E-2</v>
      </c>
      <c r="I63" s="2">
        <f t="shared" si="2"/>
        <v>46.4</v>
      </c>
      <c r="J63" s="4">
        <f t="shared" si="3"/>
        <v>2.006</v>
      </c>
      <c r="K63" s="9">
        <f t="shared" si="4"/>
        <v>-0.699999999999937</v>
      </c>
      <c r="L63" s="1">
        <f t="shared" si="5"/>
        <v>-3.49999999999996</v>
      </c>
    </row>
    <row r="64" s="1" customFormat="1" spans="1:12">
      <c r="A64" s="2">
        <v>2.073</v>
      </c>
      <c r="B64" s="10" t="s">
        <v>329</v>
      </c>
      <c r="C64" s="4">
        <v>2.073</v>
      </c>
      <c r="D64" s="5">
        <v>45.5</v>
      </c>
      <c r="E64" s="4"/>
      <c r="F64" s="4"/>
      <c r="G64" s="2">
        <f t="shared" si="0"/>
        <v>2.039</v>
      </c>
      <c r="H64" s="11" t="str">
        <f t="shared" si="1"/>
        <v>3.697E-2</v>
      </c>
      <c r="I64" s="2">
        <f t="shared" si="2"/>
        <v>45.7</v>
      </c>
      <c r="J64" s="4">
        <f t="shared" si="3"/>
        <v>2.039</v>
      </c>
      <c r="K64" s="9">
        <f t="shared" si="4"/>
        <v>-0.699999999999937</v>
      </c>
      <c r="L64" s="1">
        <f t="shared" si="5"/>
        <v>-3.49999999999996</v>
      </c>
    </row>
    <row r="65" s="1" customFormat="1" spans="1:12">
      <c r="A65" s="2">
        <v>2.106</v>
      </c>
      <c r="B65" s="10" t="s">
        <v>329</v>
      </c>
      <c r="C65" s="4">
        <v>2.106</v>
      </c>
      <c r="D65" s="5">
        <v>45.9</v>
      </c>
      <c r="E65" s="4"/>
      <c r="F65" s="4"/>
      <c r="G65" s="2">
        <f t="shared" si="0"/>
        <v>2.073</v>
      </c>
      <c r="H65" s="11" t="str">
        <f t="shared" si="1"/>
        <v>3.698E-2</v>
      </c>
      <c r="I65" s="2">
        <f t="shared" si="2"/>
        <v>45.5</v>
      </c>
      <c r="J65" s="4">
        <f t="shared" si="3"/>
        <v>2.073</v>
      </c>
      <c r="K65" s="9">
        <f t="shared" si="4"/>
        <v>-0.599999999999976</v>
      </c>
      <c r="L65" s="1">
        <f t="shared" si="5"/>
        <v>-3.49999999999996</v>
      </c>
    </row>
    <row r="66" s="1" customFormat="1" spans="1:12">
      <c r="A66" s="2">
        <v>2.14</v>
      </c>
      <c r="B66" s="10" t="s">
        <v>327</v>
      </c>
      <c r="C66" s="4">
        <v>2.14</v>
      </c>
      <c r="D66" s="5">
        <v>46</v>
      </c>
      <c r="E66" s="4"/>
      <c r="F66" s="4"/>
      <c r="G66" s="2">
        <f t="shared" si="0"/>
        <v>2.106</v>
      </c>
      <c r="H66" s="11" t="str">
        <f t="shared" si="1"/>
        <v>3.698E-2</v>
      </c>
      <c r="I66" s="2">
        <f t="shared" si="2"/>
        <v>45.9</v>
      </c>
      <c r="J66" s="4">
        <f t="shared" si="3"/>
        <v>2.106</v>
      </c>
      <c r="K66" s="9">
        <f t="shared" si="4"/>
        <v>-0.599999999999976</v>
      </c>
      <c r="L66" s="1">
        <f t="shared" si="5"/>
        <v>-3.49999999999996</v>
      </c>
    </row>
    <row r="67" s="1" customFormat="1" spans="1:12">
      <c r="A67" s="2">
        <v>2.173</v>
      </c>
      <c r="B67" s="10" t="s">
        <v>327</v>
      </c>
      <c r="C67" s="4">
        <v>2.173</v>
      </c>
      <c r="D67" s="5">
        <v>45.9</v>
      </c>
      <c r="E67" s="4"/>
      <c r="F67" s="4"/>
      <c r="G67" s="2">
        <f t="shared" si="0"/>
        <v>2.14</v>
      </c>
      <c r="H67" s="11" t="str">
        <f t="shared" si="1"/>
        <v>3.700E-2</v>
      </c>
      <c r="I67" s="2">
        <f t="shared" si="2"/>
        <v>46</v>
      </c>
      <c r="J67" s="4">
        <f t="shared" si="3"/>
        <v>2.14</v>
      </c>
      <c r="K67" s="9">
        <f t="shared" si="4"/>
        <v>-0.399999999999984</v>
      </c>
      <c r="L67" s="1">
        <f t="shared" si="5"/>
        <v>-3.49999999999996</v>
      </c>
    </row>
    <row r="68" s="1" customFormat="1" spans="1:12">
      <c r="A68" s="2">
        <v>2.207</v>
      </c>
      <c r="B68" s="10" t="s">
        <v>326</v>
      </c>
      <c r="C68" s="4">
        <v>2.207</v>
      </c>
      <c r="D68" s="5">
        <v>46.2</v>
      </c>
      <c r="E68" s="4"/>
      <c r="F68" s="4"/>
      <c r="G68" s="2">
        <f t="shared" ref="G68:G131" si="6">A67</f>
        <v>2.173</v>
      </c>
      <c r="H68" s="11" t="str">
        <f t="shared" ref="H68:H131" si="7">B67</f>
        <v>3.700E-2</v>
      </c>
      <c r="I68" s="2">
        <f t="shared" ref="I68:I131" si="8">D67</f>
        <v>45.9</v>
      </c>
      <c r="J68" s="4">
        <f t="shared" ref="J68:J131" si="9">G68</f>
        <v>2.173</v>
      </c>
      <c r="K68" s="9">
        <f t="shared" ref="K68:K131" si="10">(H68-$H$4)*10000</f>
        <v>-0.399999999999984</v>
      </c>
      <c r="L68" s="1">
        <f t="shared" ref="L68:L131" si="11">IF(I68&lt;230,MIN(K:K),MAX(K:K))</f>
        <v>-3.49999999999996</v>
      </c>
    </row>
    <row r="69" s="1" customFormat="1" spans="1:12">
      <c r="A69" s="2">
        <v>2.24</v>
      </c>
      <c r="B69" s="10" t="s">
        <v>331</v>
      </c>
      <c r="C69" s="4">
        <v>2.24</v>
      </c>
      <c r="D69" s="5">
        <v>46.5</v>
      </c>
      <c r="E69" s="4"/>
      <c r="F69" s="4"/>
      <c r="G69" s="2">
        <f t="shared" si="6"/>
        <v>2.207</v>
      </c>
      <c r="H69" s="11" t="str">
        <f t="shared" si="7"/>
        <v>3.701E-2</v>
      </c>
      <c r="I69" s="2">
        <f t="shared" si="8"/>
        <v>46.2</v>
      </c>
      <c r="J69" s="4">
        <f t="shared" si="9"/>
        <v>2.207</v>
      </c>
      <c r="K69" s="9">
        <f t="shared" si="10"/>
        <v>-0.299999999999953</v>
      </c>
      <c r="L69" s="1">
        <f t="shared" si="11"/>
        <v>-3.49999999999996</v>
      </c>
    </row>
    <row r="70" s="1" customFormat="1" spans="1:12">
      <c r="A70" s="2">
        <v>2.273</v>
      </c>
      <c r="B70" s="10" t="s">
        <v>325</v>
      </c>
      <c r="C70" s="4">
        <v>2.273</v>
      </c>
      <c r="D70" s="5">
        <v>46.3</v>
      </c>
      <c r="E70" s="4"/>
      <c r="F70" s="4"/>
      <c r="G70" s="2">
        <f t="shared" si="6"/>
        <v>2.24</v>
      </c>
      <c r="H70" s="11" t="str">
        <f t="shared" si="7"/>
        <v>3.702E-2</v>
      </c>
      <c r="I70" s="2">
        <f t="shared" si="8"/>
        <v>46.5</v>
      </c>
      <c r="J70" s="4">
        <f t="shared" si="9"/>
        <v>2.24</v>
      </c>
      <c r="K70" s="9">
        <f t="shared" si="10"/>
        <v>-0.199999999999992</v>
      </c>
      <c r="L70" s="1">
        <f t="shared" si="11"/>
        <v>-3.49999999999996</v>
      </c>
    </row>
    <row r="71" s="1" customFormat="1" spans="1:12">
      <c r="A71" s="2">
        <v>2.307</v>
      </c>
      <c r="B71" s="10" t="s">
        <v>322</v>
      </c>
      <c r="C71" s="4">
        <v>2.307</v>
      </c>
      <c r="D71" s="5">
        <v>46</v>
      </c>
      <c r="E71" s="4"/>
      <c r="F71" s="4"/>
      <c r="G71" s="2">
        <f t="shared" si="6"/>
        <v>2.273</v>
      </c>
      <c r="H71" s="11" t="str">
        <f t="shared" si="7"/>
        <v>3.703E-2</v>
      </c>
      <c r="I71" s="2">
        <f t="shared" si="8"/>
        <v>46.3</v>
      </c>
      <c r="J71" s="4">
        <f t="shared" si="9"/>
        <v>2.273</v>
      </c>
      <c r="K71" s="9">
        <f t="shared" si="10"/>
        <v>-0.0999999999999612</v>
      </c>
      <c r="L71" s="1">
        <f t="shared" si="11"/>
        <v>-3.49999999999996</v>
      </c>
    </row>
    <row r="72" s="1" customFormat="1" spans="1:12">
      <c r="A72" s="2">
        <v>2.34</v>
      </c>
      <c r="B72" s="10" t="s">
        <v>324</v>
      </c>
      <c r="C72" s="4">
        <v>2.34</v>
      </c>
      <c r="D72" s="5">
        <v>45.8</v>
      </c>
      <c r="E72" s="4"/>
      <c r="F72" s="4"/>
      <c r="G72" s="2">
        <f t="shared" si="6"/>
        <v>2.307</v>
      </c>
      <c r="H72" s="11" t="str">
        <f t="shared" si="7"/>
        <v>3.704E-2</v>
      </c>
      <c r="I72" s="2">
        <f t="shared" si="8"/>
        <v>46</v>
      </c>
      <c r="J72" s="4">
        <f t="shared" si="9"/>
        <v>2.307</v>
      </c>
      <c r="K72" s="9">
        <f t="shared" si="10"/>
        <v>0</v>
      </c>
      <c r="L72" s="1">
        <f t="shared" si="11"/>
        <v>-3.49999999999996</v>
      </c>
    </row>
    <row r="73" s="1" customFormat="1" spans="1:12">
      <c r="A73" s="2">
        <v>2.374</v>
      </c>
      <c r="B73" s="10" t="s">
        <v>324</v>
      </c>
      <c r="C73" s="4">
        <v>2.374</v>
      </c>
      <c r="D73" s="5">
        <v>46.1</v>
      </c>
      <c r="E73" s="4"/>
      <c r="F73" s="4"/>
      <c r="G73" s="2">
        <f t="shared" si="6"/>
        <v>2.34</v>
      </c>
      <c r="H73" s="11" t="str">
        <f t="shared" si="7"/>
        <v>3.705E-2</v>
      </c>
      <c r="I73" s="2">
        <f t="shared" si="8"/>
        <v>45.8</v>
      </c>
      <c r="J73" s="4">
        <f t="shared" si="9"/>
        <v>2.34</v>
      </c>
      <c r="K73" s="9">
        <f t="shared" si="10"/>
        <v>0.100000000000031</v>
      </c>
      <c r="L73" s="1">
        <f t="shared" si="11"/>
        <v>-3.49999999999996</v>
      </c>
    </row>
    <row r="74" s="1" customFormat="1" spans="1:12">
      <c r="A74" s="2">
        <v>2.407</v>
      </c>
      <c r="B74" s="10" t="s">
        <v>324</v>
      </c>
      <c r="C74" s="4">
        <v>2.407</v>
      </c>
      <c r="D74" s="5">
        <v>45.6</v>
      </c>
      <c r="E74" s="4"/>
      <c r="F74" s="4"/>
      <c r="G74" s="2">
        <f t="shared" si="6"/>
        <v>2.374</v>
      </c>
      <c r="H74" s="11" t="str">
        <f t="shared" si="7"/>
        <v>3.705E-2</v>
      </c>
      <c r="I74" s="2">
        <f t="shared" si="8"/>
        <v>46.1</v>
      </c>
      <c r="J74" s="4">
        <f t="shared" si="9"/>
        <v>2.374</v>
      </c>
      <c r="K74" s="9">
        <f t="shared" si="10"/>
        <v>0.100000000000031</v>
      </c>
      <c r="L74" s="1">
        <f t="shared" si="11"/>
        <v>-3.49999999999996</v>
      </c>
    </row>
    <row r="75" s="1" customFormat="1" spans="1:12">
      <c r="A75" s="2">
        <v>2.441</v>
      </c>
      <c r="B75" s="10" t="s">
        <v>323</v>
      </c>
      <c r="C75" s="4">
        <v>2.441</v>
      </c>
      <c r="D75" s="5">
        <v>45.7</v>
      </c>
      <c r="E75" s="4"/>
      <c r="F75" s="4"/>
      <c r="G75" s="2">
        <f t="shared" si="6"/>
        <v>2.407</v>
      </c>
      <c r="H75" s="11" t="str">
        <f t="shared" si="7"/>
        <v>3.705E-2</v>
      </c>
      <c r="I75" s="2">
        <f t="shared" si="8"/>
        <v>45.6</v>
      </c>
      <c r="J75" s="4">
        <f t="shared" si="9"/>
        <v>2.407</v>
      </c>
      <c r="K75" s="9">
        <f t="shared" si="10"/>
        <v>0.100000000000031</v>
      </c>
      <c r="L75" s="1">
        <f t="shared" si="11"/>
        <v>-3.49999999999996</v>
      </c>
    </row>
    <row r="76" s="1" customFormat="1" spans="1:12">
      <c r="A76" s="2">
        <v>2.474</v>
      </c>
      <c r="B76" s="10" t="s">
        <v>332</v>
      </c>
      <c r="C76" s="4">
        <v>2.474</v>
      </c>
      <c r="D76" s="5">
        <v>46</v>
      </c>
      <c r="E76" s="4"/>
      <c r="F76" s="4"/>
      <c r="G76" s="2">
        <f t="shared" si="6"/>
        <v>2.441</v>
      </c>
      <c r="H76" s="11" t="str">
        <f t="shared" si="7"/>
        <v>3.706E-2</v>
      </c>
      <c r="I76" s="2">
        <f t="shared" si="8"/>
        <v>45.7</v>
      </c>
      <c r="J76" s="4">
        <f t="shared" si="9"/>
        <v>2.441</v>
      </c>
      <c r="K76" s="9">
        <f t="shared" si="10"/>
        <v>0.200000000000061</v>
      </c>
      <c r="L76" s="1">
        <f t="shared" si="11"/>
        <v>-3.49999999999996</v>
      </c>
    </row>
    <row r="77" s="1" customFormat="1" spans="1:12">
      <c r="A77" s="2">
        <v>2.507</v>
      </c>
      <c r="B77" s="10" t="s">
        <v>333</v>
      </c>
      <c r="C77" s="4">
        <v>2.507</v>
      </c>
      <c r="D77" s="5">
        <v>46</v>
      </c>
      <c r="E77" s="4"/>
      <c r="F77" s="4"/>
      <c r="G77" s="2">
        <f t="shared" si="6"/>
        <v>2.474</v>
      </c>
      <c r="H77" s="11" t="str">
        <f t="shared" si="7"/>
        <v>3.707E-2</v>
      </c>
      <c r="I77" s="2">
        <f t="shared" si="8"/>
        <v>46</v>
      </c>
      <c r="J77" s="4">
        <f t="shared" si="9"/>
        <v>2.474</v>
      </c>
      <c r="K77" s="9">
        <f t="shared" si="10"/>
        <v>0.300000000000022</v>
      </c>
      <c r="L77" s="1">
        <f t="shared" si="11"/>
        <v>-3.49999999999996</v>
      </c>
    </row>
    <row r="78" s="1" customFormat="1" spans="1:12">
      <c r="A78" s="2">
        <v>2.541</v>
      </c>
      <c r="B78" s="10" t="s">
        <v>333</v>
      </c>
      <c r="C78" s="4">
        <v>2.541</v>
      </c>
      <c r="D78" s="5">
        <v>46</v>
      </c>
      <c r="E78" s="4"/>
      <c r="F78" s="4"/>
      <c r="G78" s="2">
        <f t="shared" si="6"/>
        <v>2.507</v>
      </c>
      <c r="H78" s="11" t="str">
        <f t="shared" si="7"/>
        <v>3.708E-2</v>
      </c>
      <c r="I78" s="2">
        <f t="shared" si="8"/>
        <v>46</v>
      </c>
      <c r="J78" s="4">
        <f t="shared" si="9"/>
        <v>2.507</v>
      </c>
      <c r="K78" s="9">
        <f t="shared" si="10"/>
        <v>0.400000000000053</v>
      </c>
      <c r="L78" s="1">
        <f t="shared" si="11"/>
        <v>-3.49999999999996</v>
      </c>
    </row>
    <row r="79" s="1" customFormat="1" spans="1:12">
      <c r="A79" s="2">
        <v>2.574</v>
      </c>
      <c r="B79" s="10" t="s">
        <v>334</v>
      </c>
      <c r="C79" s="4">
        <v>2.574</v>
      </c>
      <c r="D79" s="5">
        <v>46.1</v>
      </c>
      <c r="E79" s="4"/>
      <c r="F79" s="4"/>
      <c r="G79" s="2">
        <f t="shared" si="6"/>
        <v>2.541</v>
      </c>
      <c r="H79" s="11" t="str">
        <f t="shared" si="7"/>
        <v>3.708E-2</v>
      </c>
      <c r="I79" s="2">
        <f t="shared" si="8"/>
        <v>46</v>
      </c>
      <c r="J79" s="4">
        <f t="shared" si="9"/>
        <v>2.541</v>
      </c>
      <c r="K79" s="9">
        <f t="shared" si="10"/>
        <v>0.400000000000053</v>
      </c>
      <c r="L79" s="1">
        <f t="shared" si="11"/>
        <v>-3.49999999999996</v>
      </c>
    </row>
    <row r="80" s="1" customFormat="1" spans="1:12">
      <c r="A80" s="2">
        <v>2.608</v>
      </c>
      <c r="B80" s="10" t="s">
        <v>333</v>
      </c>
      <c r="C80" s="4">
        <v>2.608</v>
      </c>
      <c r="D80" s="5">
        <v>46.1</v>
      </c>
      <c r="E80" s="4"/>
      <c r="F80" s="4"/>
      <c r="G80" s="2">
        <f t="shared" si="6"/>
        <v>2.574</v>
      </c>
      <c r="H80" s="11" t="str">
        <f t="shared" si="7"/>
        <v>3.709E-2</v>
      </c>
      <c r="I80" s="2">
        <f t="shared" si="8"/>
        <v>46.1</v>
      </c>
      <c r="J80" s="4">
        <f t="shared" si="9"/>
        <v>2.574</v>
      </c>
      <c r="K80" s="9">
        <f t="shared" si="10"/>
        <v>0.500000000000014</v>
      </c>
      <c r="L80" s="1">
        <f t="shared" si="11"/>
        <v>-3.49999999999996</v>
      </c>
    </row>
    <row r="81" s="1" customFormat="1" spans="1:12">
      <c r="A81" s="2">
        <v>2.641</v>
      </c>
      <c r="B81" s="10" t="s">
        <v>333</v>
      </c>
      <c r="C81" s="4">
        <v>2.641</v>
      </c>
      <c r="D81" s="5">
        <v>46.2</v>
      </c>
      <c r="E81" s="4"/>
      <c r="F81" s="4"/>
      <c r="G81" s="2">
        <f t="shared" si="6"/>
        <v>2.608</v>
      </c>
      <c r="H81" s="11" t="str">
        <f t="shared" si="7"/>
        <v>3.708E-2</v>
      </c>
      <c r="I81" s="2">
        <f t="shared" si="8"/>
        <v>46.1</v>
      </c>
      <c r="J81" s="4">
        <f t="shared" si="9"/>
        <v>2.608</v>
      </c>
      <c r="K81" s="9">
        <f t="shared" si="10"/>
        <v>0.400000000000053</v>
      </c>
      <c r="L81" s="1">
        <f t="shared" si="11"/>
        <v>-3.49999999999996</v>
      </c>
    </row>
    <row r="82" s="1" customFormat="1" spans="1:12">
      <c r="A82" s="2">
        <v>2.675</v>
      </c>
      <c r="B82" s="10" t="s">
        <v>333</v>
      </c>
      <c r="C82" s="4">
        <v>2.675</v>
      </c>
      <c r="D82" s="5">
        <v>46.3</v>
      </c>
      <c r="E82" s="4"/>
      <c r="F82" s="4"/>
      <c r="G82" s="2">
        <f t="shared" si="6"/>
        <v>2.641</v>
      </c>
      <c r="H82" s="11" t="str">
        <f t="shared" si="7"/>
        <v>3.708E-2</v>
      </c>
      <c r="I82" s="2">
        <f t="shared" si="8"/>
        <v>46.2</v>
      </c>
      <c r="J82" s="4">
        <f t="shared" si="9"/>
        <v>2.641</v>
      </c>
      <c r="K82" s="9">
        <f t="shared" si="10"/>
        <v>0.400000000000053</v>
      </c>
      <c r="L82" s="1">
        <f t="shared" si="11"/>
        <v>-3.49999999999996</v>
      </c>
    </row>
    <row r="83" s="1" customFormat="1" spans="1:12">
      <c r="A83" s="2">
        <v>2.708</v>
      </c>
      <c r="B83" s="10" t="s">
        <v>332</v>
      </c>
      <c r="C83" s="4">
        <v>2.708</v>
      </c>
      <c r="D83" s="5">
        <v>46.5</v>
      </c>
      <c r="E83" s="4"/>
      <c r="F83" s="4"/>
      <c r="G83" s="2">
        <f t="shared" si="6"/>
        <v>2.675</v>
      </c>
      <c r="H83" s="11" t="str">
        <f t="shared" si="7"/>
        <v>3.708E-2</v>
      </c>
      <c r="I83" s="2">
        <f t="shared" si="8"/>
        <v>46.3</v>
      </c>
      <c r="J83" s="4">
        <f t="shared" si="9"/>
        <v>2.675</v>
      </c>
      <c r="K83" s="9">
        <f t="shared" si="10"/>
        <v>0.400000000000053</v>
      </c>
      <c r="L83" s="1">
        <f t="shared" si="11"/>
        <v>-3.49999999999996</v>
      </c>
    </row>
    <row r="84" s="1" customFormat="1" spans="1:12">
      <c r="A84" s="2">
        <v>2.742</v>
      </c>
      <c r="B84" s="10" t="s">
        <v>332</v>
      </c>
      <c r="C84" s="4">
        <v>2.742</v>
      </c>
      <c r="D84" s="5">
        <v>46.3</v>
      </c>
      <c r="E84" s="4"/>
      <c r="F84" s="4"/>
      <c r="G84" s="2">
        <f t="shared" si="6"/>
        <v>2.708</v>
      </c>
      <c r="H84" s="11" t="str">
        <f t="shared" si="7"/>
        <v>3.707E-2</v>
      </c>
      <c r="I84" s="2">
        <f t="shared" si="8"/>
        <v>46.5</v>
      </c>
      <c r="J84" s="4">
        <f t="shared" si="9"/>
        <v>2.708</v>
      </c>
      <c r="K84" s="9">
        <f t="shared" si="10"/>
        <v>0.300000000000022</v>
      </c>
      <c r="L84" s="1">
        <f t="shared" si="11"/>
        <v>-3.49999999999996</v>
      </c>
    </row>
    <row r="85" s="1" customFormat="1" spans="1:12">
      <c r="A85" s="2">
        <v>2.775</v>
      </c>
      <c r="B85" s="10" t="s">
        <v>323</v>
      </c>
      <c r="C85" s="4">
        <v>2.775</v>
      </c>
      <c r="D85" s="5">
        <v>46.5</v>
      </c>
      <c r="E85" s="4"/>
      <c r="F85" s="4"/>
      <c r="G85" s="2">
        <f t="shared" si="6"/>
        <v>2.742</v>
      </c>
      <c r="H85" s="11" t="str">
        <f t="shared" si="7"/>
        <v>3.707E-2</v>
      </c>
      <c r="I85" s="2">
        <f t="shared" si="8"/>
        <v>46.3</v>
      </c>
      <c r="J85" s="4">
        <f t="shared" si="9"/>
        <v>2.742</v>
      </c>
      <c r="K85" s="9">
        <f t="shared" si="10"/>
        <v>0.300000000000022</v>
      </c>
      <c r="L85" s="1">
        <f t="shared" si="11"/>
        <v>-3.49999999999996</v>
      </c>
    </row>
    <row r="86" s="1" customFormat="1" spans="1:12">
      <c r="A86" s="2">
        <v>2.808</v>
      </c>
      <c r="B86" s="10" t="s">
        <v>323</v>
      </c>
      <c r="C86" s="4">
        <v>2.808</v>
      </c>
      <c r="D86" s="5">
        <v>46.3</v>
      </c>
      <c r="E86" s="4"/>
      <c r="F86" s="4"/>
      <c r="G86" s="2">
        <f t="shared" si="6"/>
        <v>2.775</v>
      </c>
      <c r="H86" s="11" t="str">
        <f t="shared" si="7"/>
        <v>3.706E-2</v>
      </c>
      <c r="I86" s="2">
        <f t="shared" si="8"/>
        <v>46.5</v>
      </c>
      <c r="J86" s="4">
        <f t="shared" si="9"/>
        <v>2.775</v>
      </c>
      <c r="K86" s="9">
        <f t="shared" si="10"/>
        <v>0.200000000000061</v>
      </c>
      <c r="L86" s="1">
        <f t="shared" si="11"/>
        <v>-3.49999999999996</v>
      </c>
    </row>
    <row r="87" s="1" customFormat="1" spans="1:12">
      <c r="A87" s="2">
        <v>2.842</v>
      </c>
      <c r="B87" s="10" t="s">
        <v>323</v>
      </c>
      <c r="C87" s="4">
        <v>2.842</v>
      </c>
      <c r="D87" s="5">
        <v>46.2</v>
      </c>
      <c r="E87" s="4"/>
      <c r="F87" s="4"/>
      <c r="G87" s="2">
        <f t="shared" si="6"/>
        <v>2.808</v>
      </c>
      <c r="H87" s="11" t="str">
        <f t="shared" si="7"/>
        <v>3.706E-2</v>
      </c>
      <c r="I87" s="2">
        <f t="shared" si="8"/>
        <v>46.3</v>
      </c>
      <c r="J87" s="4">
        <f t="shared" si="9"/>
        <v>2.808</v>
      </c>
      <c r="K87" s="9">
        <f t="shared" si="10"/>
        <v>0.200000000000061</v>
      </c>
      <c r="L87" s="1">
        <f t="shared" si="11"/>
        <v>-3.49999999999996</v>
      </c>
    </row>
    <row r="88" s="1" customFormat="1" spans="1:12">
      <c r="A88" s="2">
        <v>2.875</v>
      </c>
      <c r="B88" s="10" t="s">
        <v>322</v>
      </c>
      <c r="C88" s="4">
        <v>2.875</v>
      </c>
      <c r="D88" s="5">
        <v>45.6</v>
      </c>
      <c r="E88" s="4"/>
      <c r="F88" s="4"/>
      <c r="G88" s="2">
        <f t="shared" si="6"/>
        <v>2.842</v>
      </c>
      <c r="H88" s="11" t="str">
        <f t="shared" si="7"/>
        <v>3.706E-2</v>
      </c>
      <c r="I88" s="2">
        <f t="shared" si="8"/>
        <v>46.2</v>
      </c>
      <c r="J88" s="4">
        <f t="shared" si="9"/>
        <v>2.842</v>
      </c>
      <c r="K88" s="9">
        <f t="shared" si="10"/>
        <v>0.200000000000061</v>
      </c>
      <c r="L88" s="1">
        <f t="shared" si="11"/>
        <v>-3.49999999999996</v>
      </c>
    </row>
    <row r="89" s="1" customFormat="1" spans="1:12">
      <c r="A89" s="2">
        <v>2.909</v>
      </c>
      <c r="B89" s="10" t="s">
        <v>322</v>
      </c>
      <c r="C89" s="4">
        <v>2.909</v>
      </c>
      <c r="D89" s="5">
        <v>46</v>
      </c>
      <c r="E89" s="4"/>
      <c r="F89" s="4"/>
      <c r="G89" s="2">
        <f t="shared" si="6"/>
        <v>2.875</v>
      </c>
      <c r="H89" s="11" t="str">
        <f t="shared" si="7"/>
        <v>3.704E-2</v>
      </c>
      <c r="I89" s="2">
        <f t="shared" si="8"/>
        <v>45.6</v>
      </c>
      <c r="J89" s="4">
        <f t="shared" si="9"/>
        <v>2.875</v>
      </c>
      <c r="K89" s="9">
        <f t="shared" si="10"/>
        <v>0</v>
      </c>
      <c r="L89" s="1">
        <f t="shared" si="11"/>
        <v>-3.49999999999996</v>
      </c>
    </row>
    <row r="90" s="1" customFormat="1" spans="1:12">
      <c r="A90" s="2">
        <v>2.942</v>
      </c>
      <c r="B90" s="10" t="s">
        <v>325</v>
      </c>
      <c r="C90" s="4">
        <v>2.942</v>
      </c>
      <c r="D90" s="5">
        <v>46.3</v>
      </c>
      <c r="E90" s="4"/>
      <c r="F90" s="4"/>
      <c r="G90" s="2">
        <f t="shared" si="6"/>
        <v>2.909</v>
      </c>
      <c r="H90" s="11" t="str">
        <f t="shared" si="7"/>
        <v>3.704E-2</v>
      </c>
      <c r="I90" s="2">
        <f t="shared" si="8"/>
        <v>46</v>
      </c>
      <c r="J90" s="4">
        <f t="shared" si="9"/>
        <v>2.909</v>
      </c>
      <c r="K90" s="9">
        <f t="shared" si="10"/>
        <v>0</v>
      </c>
      <c r="L90" s="1">
        <f t="shared" si="11"/>
        <v>-3.49999999999996</v>
      </c>
    </row>
    <row r="91" s="1" customFormat="1" spans="1:12">
      <c r="A91" s="2">
        <v>2.976</v>
      </c>
      <c r="B91" s="10" t="s">
        <v>325</v>
      </c>
      <c r="C91" s="4">
        <v>2.976</v>
      </c>
      <c r="D91" s="5">
        <v>46.1</v>
      </c>
      <c r="E91" s="4"/>
      <c r="F91" s="4"/>
      <c r="G91" s="2">
        <f t="shared" si="6"/>
        <v>2.942</v>
      </c>
      <c r="H91" s="11" t="str">
        <f t="shared" si="7"/>
        <v>3.703E-2</v>
      </c>
      <c r="I91" s="2">
        <f t="shared" si="8"/>
        <v>46.3</v>
      </c>
      <c r="J91" s="4">
        <f t="shared" si="9"/>
        <v>2.942</v>
      </c>
      <c r="K91" s="9">
        <f t="shared" si="10"/>
        <v>-0.0999999999999612</v>
      </c>
      <c r="L91" s="1">
        <f t="shared" si="11"/>
        <v>-3.49999999999996</v>
      </c>
    </row>
    <row r="92" s="1" customFormat="1" spans="1:12">
      <c r="A92" s="2">
        <v>3.009</v>
      </c>
      <c r="B92" s="10" t="s">
        <v>326</v>
      </c>
      <c r="C92" s="4">
        <v>3.009</v>
      </c>
      <c r="D92" s="5">
        <v>46.4</v>
      </c>
      <c r="E92" s="4"/>
      <c r="F92" s="4"/>
      <c r="G92" s="2">
        <f t="shared" si="6"/>
        <v>2.976</v>
      </c>
      <c r="H92" s="11" t="str">
        <f t="shared" si="7"/>
        <v>3.703E-2</v>
      </c>
      <c r="I92" s="2">
        <f t="shared" si="8"/>
        <v>46.1</v>
      </c>
      <c r="J92" s="4">
        <f t="shared" si="9"/>
        <v>2.976</v>
      </c>
      <c r="K92" s="9">
        <f t="shared" si="10"/>
        <v>-0.0999999999999612</v>
      </c>
      <c r="L92" s="1">
        <f t="shared" si="11"/>
        <v>-3.49999999999996</v>
      </c>
    </row>
    <row r="93" s="1" customFormat="1" spans="1:12">
      <c r="A93" s="2">
        <v>3.042</v>
      </c>
      <c r="B93" s="10" t="s">
        <v>326</v>
      </c>
      <c r="C93" s="4">
        <v>3.042</v>
      </c>
      <c r="D93" s="5">
        <v>46.8</v>
      </c>
      <c r="E93" s="4"/>
      <c r="F93" s="4"/>
      <c r="G93" s="2">
        <f t="shared" si="6"/>
        <v>3.009</v>
      </c>
      <c r="H93" s="11" t="str">
        <f t="shared" si="7"/>
        <v>3.701E-2</v>
      </c>
      <c r="I93" s="2">
        <f t="shared" si="8"/>
        <v>46.4</v>
      </c>
      <c r="J93" s="4">
        <f t="shared" si="9"/>
        <v>3.009</v>
      </c>
      <c r="K93" s="9">
        <f t="shared" si="10"/>
        <v>-0.299999999999953</v>
      </c>
      <c r="L93" s="1">
        <f t="shared" si="11"/>
        <v>-3.49999999999996</v>
      </c>
    </row>
    <row r="94" s="1" customFormat="1" spans="1:12">
      <c r="A94" s="2">
        <v>3.076</v>
      </c>
      <c r="B94" s="10" t="s">
        <v>327</v>
      </c>
      <c r="C94" s="4">
        <v>3.076</v>
      </c>
      <c r="D94" s="5">
        <v>45.6</v>
      </c>
      <c r="E94" s="4"/>
      <c r="F94" s="4"/>
      <c r="G94" s="2">
        <f t="shared" si="6"/>
        <v>3.042</v>
      </c>
      <c r="H94" s="11" t="str">
        <f t="shared" si="7"/>
        <v>3.701E-2</v>
      </c>
      <c r="I94" s="2">
        <f t="shared" si="8"/>
        <v>46.8</v>
      </c>
      <c r="J94" s="4">
        <f t="shared" si="9"/>
        <v>3.042</v>
      </c>
      <c r="K94" s="9">
        <f t="shared" si="10"/>
        <v>-0.299999999999953</v>
      </c>
      <c r="L94" s="1">
        <f t="shared" si="11"/>
        <v>-3.49999999999996</v>
      </c>
    </row>
    <row r="95" s="1" customFormat="1" spans="1:12">
      <c r="A95" s="2">
        <v>3.109</v>
      </c>
      <c r="B95" s="10" t="s">
        <v>327</v>
      </c>
      <c r="C95" s="4">
        <v>3.109</v>
      </c>
      <c r="D95" s="5">
        <v>46.1</v>
      </c>
      <c r="E95" s="4"/>
      <c r="F95" s="4"/>
      <c r="G95" s="2">
        <f t="shared" si="6"/>
        <v>3.076</v>
      </c>
      <c r="H95" s="11" t="str">
        <f t="shared" si="7"/>
        <v>3.700E-2</v>
      </c>
      <c r="I95" s="2">
        <f t="shared" si="8"/>
        <v>45.6</v>
      </c>
      <c r="J95" s="4">
        <f t="shared" si="9"/>
        <v>3.076</v>
      </c>
      <c r="K95" s="9">
        <f t="shared" si="10"/>
        <v>-0.399999999999984</v>
      </c>
      <c r="L95" s="1">
        <f t="shared" si="11"/>
        <v>-3.49999999999996</v>
      </c>
    </row>
    <row r="96" s="1" customFormat="1" spans="1:12">
      <c r="A96" s="2">
        <v>3.143</v>
      </c>
      <c r="B96" s="10" t="s">
        <v>328</v>
      </c>
      <c r="C96" s="4">
        <v>3.143</v>
      </c>
      <c r="D96" s="5">
        <v>46.6</v>
      </c>
      <c r="E96" s="4"/>
      <c r="F96" s="4"/>
      <c r="G96" s="2">
        <f t="shared" si="6"/>
        <v>3.109</v>
      </c>
      <c r="H96" s="11" t="str">
        <f t="shared" si="7"/>
        <v>3.700E-2</v>
      </c>
      <c r="I96" s="2">
        <f t="shared" si="8"/>
        <v>46.1</v>
      </c>
      <c r="J96" s="4">
        <f t="shared" si="9"/>
        <v>3.109</v>
      </c>
      <c r="K96" s="9">
        <f t="shared" si="10"/>
        <v>-0.399999999999984</v>
      </c>
      <c r="L96" s="1">
        <f t="shared" si="11"/>
        <v>-3.49999999999996</v>
      </c>
    </row>
    <row r="97" s="1" customFormat="1" spans="1:12">
      <c r="A97" s="2">
        <v>3.176</v>
      </c>
      <c r="B97" s="10" t="s">
        <v>328</v>
      </c>
      <c r="C97" s="4">
        <v>3.176</v>
      </c>
      <c r="D97" s="5">
        <v>45.8</v>
      </c>
      <c r="E97" s="4"/>
      <c r="F97" s="4"/>
      <c r="G97" s="2">
        <f t="shared" si="6"/>
        <v>3.143</v>
      </c>
      <c r="H97" s="11" t="str">
        <f t="shared" si="7"/>
        <v>3.699E-2</v>
      </c>
      <c r="I97" s="2">
        <f t="shared" si="8"/>
        <v>46.6</v>
      </c>
      <c r="J97" s="4">
        <f t="shared" si="9"/>
        <v>3.143</v>
      </c>
      <c r="K97" s="9">
        <f t="shared" si="10"/>
        <v>-0.499999999999945</v>
      </c>
      <c r="L97" s="1">
        <f t="shared" si="11"/>
        <v>-3.49999999999996</v>
      </c>
    </row>
    <row r="98" s="1" customFormat="1" spans="1:12">
      <c r="A98" s="2">
        <v>3.21</v>
      </c>
      <c r="B98" s="10" t="s">
        <v>328</v>
      </c>
      <c r="C98" s="4">
        <v>3.21</v>
      </c>
      <c r="D98" s="5">
        <v>46.9</v>
      </c>
      <c r="E98" s="4"/>
      <c r="F98" s="4"/>
      <c r="G98" s="2">
        <f t="shared" si="6"/>
        <v>3.176</v>
      </c>
      <c r="H98" s="11" t="str">
        <f t="shared" si="7"/>
        <v>3.699E-2</v>
      </c>
      <c r="I98" s="2">
        <f t="shared" si="8"/>
        <v>45.8</v>
      </c>
      <c r="J98" s="4">
        <f t="shared" si="9"/>
        <v>3.176</v>
      </c>
      <c r="K98" s="9">
        <f t="shared" si="10"/>
        <v>-0.499999999999945</v>
      </c>
      <c r="L98" s="1">
        <f t="shared" si="11"/>
        <v>-3.49999999999996</v>
      </c>
    </row>
    <row r="99" s="1" customFormat="1" spans="1:12">
      <c r="A99" s="2">
        <v>3.243</v>
      </c>
      <c r="B99" s="10" t="s">
        <v>329</v>
      </c>
      <c r="C99" s="4">
        <v>3.243</v>
      </c>
      <c r="D99" s="5">
        <v>45.5</v>
      </c>
      <c r="E99" s="4"/>
      <c r="F99" s="4"/>
      <c r="G99" s="2">
        <f t="shared" si="6"/>
        <v>3.21</v>
      </c>
      <c r="H99" s="11" t="str">
        <f t="shared" si="7"/>
        <v>3.699E-2</v>
      </c>
      <c r="I99" s="2">
        <f t="shared" si="8"/>
        <v>46.9</v>
      </c>
      <c r="J99" s="4">
        <f t="shared" si="9"/>
        <v>3.21</v>
      </c>
      <c r="K99" s="9">
        <f t="shared" si="10"/>
        <v>-0.499999999999945</v>
      </c>
      <c r="L99" s="1">
        <f t="shared" si="11"/>
        <v>-3.49999999999996</v>
      </c>
    </row>
    <row r="100" s="1" customFormat="1" spans="1:12">
      <c r="A100" s="2">
        <v>3.276</v>
      </c>
      <c r="B100" s="10" t="s">
        <v>330</v>
      </c>
      <c r="C100" s="4">
        <v>3.276</v>
      </c>
      <c r="D100" s="5">
        <v>46.1</v>
      </c>
      <c r="E100" s="4"/>
      <c r="F100" s="4"/>
      <c r="G100" s="2">
        <f t="shared" si="6"/>
        <v>3.243</v>
      </c>
      <c r="H100" s="11" t="str">
        <f t="shared" si="7"/>
        <v>3.698E-2</v>
      </c>
      <c r="I100" s="2">
        <f t="shared" si="8"/>
        <v>45.5</v>
      </c>
      <c r="J100" s="4">
        <f t="shared" si="9"/>
        <v>3.243</v>
      </c>
      <c r="K100" s="9">
        <f t="shared" si="10"/>
        <v>-0.599999999999976</v>
      </c>
      <c r="L100" s="1">
        <f t="shared" si="11"/>
        <v>-3.49999999999996</v>
      </c>
    </row>
    <row r="101" s="1" customFormat="1" spans="1:12">
      <c r="A101" s="2">
        <v>3.31</v>
      </c>
      <c r="B101" s="10" t="s">
        <v>329</v>
      </c>
      <c r="C101" s="4">
        <v>3.31</v>
      </c>
      <c r="D101" s="5">
        <v>45.7</v>
      </c>
      <c r="E101" s="4"/>
      <c r="F101" s="4"/>
      <c r="G101" s="2">
        <f t="shared" si="6"/>
        <v>3.276</v>
      </c>
      <c r="H101" s="11" t="str">
        <f t="shared" si="7"/>
        <v>3.697E-2</v>
      </c>
      <c r="I101" s="2">
        <f t="shared" si="8"/>
        <v>46.1</v>
      </c>
      <c r="J101" s="4">
        <f t="shared" si="9"/>
        <v>3.276</v>
      </c>
      <c r="K101" s="9">
        <f t="shared" si="10"/>
        <v>-0.699999999999937</v>
      </c>
      <c r="L101" s="1">
        <f t="shared" si="11"/>
        <v>-3.49999999999996</v>
      </c>
    </row>
    <row r="102" s="1" customFormat="1" spans="1:12">
      <c r="A102" s="2">
        <v>3.343</v>
      </c>
      <c r="B102" s="10" t="s">
        <v>330</v>
      </c>
      <c r="C102" s="4">
        <v>3.343</v>
      </c>
      <c r="D102" s="5">
        <v>46.2</v>
      </c>
      <c r="E102" s="4"/>
      <c r="F102" s="4"/>
      <c r="G102" s="2">
        <f t="shared" si="6"/>
        <v>3.31</v>
      </c>
      <c r="H102" s="11" t="str">
        <f t="shared" si="7"/>
        <v>3.698E-2</v>
      </c>
      <c r="I102" s="2">
        <f t="shared" si="8"/>
        <v>45.7</v>
      </c>
      <c r="J102" s="4">
        <f t="shared" si="9"/>
        <v>3.31</v>
      </c>
      <c r="K102" s="9">
        <f t="shared" si="10"/>
        <v>-0.599999999999976</v>
      </c>
      <c r="L102" s="1">
        <f t="shared" si="11"/>
        <v>-3.49999999999996</v>
      </c>
    </row>
    <row r="103" s="1" customFormat="1" spans="1:12">
      <c r="A103" s="2">
        <v>3.377</v>
      </c>
      <c r="B103" s="10" t="s">
        <v>328</v>
      </c>
      <c r="C103" s="4">
        <v>3.377</v>
      </c>
      <c r="D103" s="5">
        <v>46.5</v>
      </c>
      <c r="E103" s="4"/>
      <c r="F103" s="4"/>
      <c r="G103" s="2">
        <f t="shared" si="6"/>
        <v>3.343</v>
      </c>
      <c r="H103" s="11" t="str">
        <f t="shared" si="7"/>
        <v>3.697E-2</v>
      </c>
      <c r="I103" s="2">
        <f t="shared" si="8"/>
        <v>46.2</v>
      </c>
      <c r="J103" s="4">
        <f t="shared" si="9"/>
        <v>3.343</v>
      </c>
      <c r="K103" s="9">
        <f t="shared" si="10"/>
        <v>-0.699999999999937</v>
      </c>
      <c r="L103" s="1">
        <f t="shared" si="11"/>
        <v>-3.49999999999996</v>
      </c>
    </row>
    <row r="104" s="1" customFormat="1" spans="1:12">
      <c r="A104" s="2">
        <v>3.41</v>
      </c>
      <c r="B104" s="10" t="s">
        <v>328</v>
      </c>
      <c r="C104" s="4">
        <v>3.41</v>
      </c>
      <c r="D104" s="5">
        <v>46.1</v>
      </c>
      <c r="E104" s="4"/>
      <c r="F104" s="4"/>
      <c r="G104" s="2">
        <f t="shared" si="6"/>
        <v>3.377</v>
      </c>
      <c r="H104" s="11" t="str">
        <f t="shared" si="7"/>
        <v>3.699E-2</v>
      </c>
      <c r="I104" s="2">
        <f t="shared" si="8"/>
        <v>46.5</v>
      </c>
      <c r="J104" s="4">
        <f t="shared" si="9"/>
        <v>3.377</v>
      </c>
      <c r="K104" s="9">
        <f t="shared" si="10"/>
        <v>-0.499999999999945</v>
      </c>
      <c r="L104" s="1">
        <f t="shared" si="11"/>
        <v>-3.49999999999996</v>
      </c>
    </row>
    <row r="105" s="1" customFormat="1" spans="1:12">
      <c r="A105" s="2">
        <v>3.444</v>
      </c>
      <c r="B105" s="10" t="s">
        <v>328</v>
      </c>
      <c r="C105" s="4">
        <v>3.444</v>
      </c>
      <c r="D105" s="5">
        <v>46.2</v>
      </c>
      <c r="E105" s="4"/>
      <c r="F105" s="4"/>
      <c r="G105" s="2">
        <f t="shared" si="6"/>
        <v>3.41</v>
      </c>
      <c r="H105" s="11" t="str">
        <f t="shared" si="7"/>
        <v>3.699E-2</v>
      </c>
      <c r="I105" s="2">
        <f t="shared" si="8"/>
        <v>46.1</v>
      </c>
      <c r="J105" s="4">
        <f t="shared" si="9"/>
        <v>3.41</v>
      </c>
      <c r="K105" s="9">
        <f t="shared" si="10"/>
        <v>-0.499999999999945</v>
      </c>
      <c r="L105" s="1">
        <f t="shared" si="11"/>
        <v>-3.49999999999996</v>
      </c>
    </row>
    <row r="106" s="1" customFormat="1" spans="1:12">
      <c r="A106" s="2">
        <v>3.477</v>
      </c>
      <c r="B106" s="10" t="s">
        <v>328</v>
      </c>
      <c r="C106" s="4">
        <v>3.477</v>
      </c>
      <c r="D106" s="5">
        <v>46.5</v>
      </c>
      <c r="E106" s="4"/>
      <c r="F106" s="4"/>
      <c r="G106" s="2">
        <f t="shared" si="6"/>
        <v>3.444</v>
      </c>
      <c r="H106" s="11" t="str">
        <f t="shared" si="7"/>
        <v>3.699E-2</v>
      </c>
      <c r="I106" s="2">
        <f t="shared" si="8"/>
        <v>46.2</v>
      </c>
      <c r="J106" s="4">
        <f t="shared" si="9"/>
        <v>3.444</v>
      </c>
      <c r="K106" s="9">
        <f t="shared" si="10"/>
        <v>-0.499999999999945</v>
      </c>
      <c r="L106" s="1">
        <f t="shared" si="11"/>
        <v>-3.49999999999996</v>
      </c>
    </row>
    <row r="107" s="1" customFormat="1" spans="1:12">
      <c r="A107" s="2">
        <v>3.51</v>
      </c>
      <c r="B107" s="10" t="s">
        <v>327</v>
      </c>
      <c r="C107" s="4">
        <v>3.51</v>
      </c>
      <c r="D107" s="5">
        <v>46.4</v>
      </c>
      <c r="E107" s="4"/>
      <c r="F107" s="4"/>
      <c r="G107" s="2">
        <f t="shared" si="6"/>
        <v>3.477</v>
      </c>
      <c r="H107" s="11" t="str">
        <f t="shared" si="7"/>
        <v>3.699E-2</v>
      </c>
      <c r="I107" s="2">
        <f t="shared" si="8"/>
        <v>46.5</v>
      </c>
      <c r="J107" s="4">
        <f t="shared" si="9"/>
        <v>3.477</v>
      </c>
      <c r="K107" s="9">
        <f t="shared" si="10"/>
        <v>-0.499999999999945</v>
      </c>
      <c r="L107" s="1">
        <f t="shared" si="11"/>
        <v>-3.49999999999996</v>
      </c>
    </row>
    <row r="108" s="1" customFormat="1" spans="1:12">
      <c r="A108" s="2">
        <v>3.544</v>
      </c>
      <c r="B108" s="10" t="s">
        <v>326</v>
      </c>
      <c r="C108" s="4">
        <v>3.544</v>
      </c>
      <c r="D108" s="5">
        <v>45.7</v>
      </c>
      <c r="E108" s="4"/>
      <c r="F108" s="4"/>
      <c r="G108" s="2">
        <f t="shared" si="6"/>
        <v>3.51</v>
      </c>
      <c r="H108" s="11" t="str">
        <f t="shared" si="7"/>
        <v>3.700E-2</v>
      </c>
      <c r="I108" s="2">
        <f t="shared" si="8"/>
        <v>46.4</v>
      </c>
      <c r="J108" s="4">
        <f t="shared" si="9"/>
        <v>3.51</v>
      </c>
      <c r="K108" s="9">
        <f t="shared" si="10"/>
        <v>-0.399999999999984</v>
      </c>
      <c r="L108" s="1">
        <f t="shared" si="11"/>
        <v>-3.49999999999996</v>
      </c>
    </row>
    <row r="109" s="1" customFormat="1" spans="1:12">
      <c r="A109" s="2">
        <v>3.577</v>
      </c>
      <c r="B109" s="10" t="s">
        <v>331</v>
      </c>
      <c r="C109" s="4">
        <v>3.577</v>
      </c>
      <c r="D109" s="5">
        <v>45.7</v>
      </c>
      <c r="E109" s="4"/>
      <c r="F109" s="4"/>
      <c r="G109" s="2">
        <f t="shared" si="6"/>
        <v>3.544</v>
      </c>
      <c r="H109" s="11" t="str">
        <f t="shared" si="7"/>
        <v>3.701E-2</v>
      </c>
      <c r="I109" s="2">
        <f t="shared" si="8"/>
        <v>45.7</v>
      </c>
      <c r="J109" s="4">
        <f t="shared" si="9"/>
        <v>3.544</v>
      </c>
      <c r="K109" s="9">
        <f t="shared" si="10"/>
        <v>-0.299999999999953</v>
      </c>
      <c r="L109" s="1">
        <f t="shared" si="11"/>
        <v>-3.49999999999996</v>
      </c>
    </row>
    <row r="110" s="1" customFormat="1" spans="1:12">
      <c r="A110" s="2">
        <v>3.611</v>
      </c>
      <c r="B110" s="10" t="s">
        <v>325</v>
      </c>
      <c r="C110" s="4">
        <v>3.611</v>
      </c>
      <c r="D110" s="5">
        <v>45.9</v>
      </c>
      <c r="E110" s="4"/>
      <c r="F110" s="4"/>
      <c r="G110" s="2">
        <f t="shared" si="6"/>
        <v>3.577</v>
      </c>
      <c r="H110" s="11" t="str">
        <f t="shared" si="7"/>
        <v>3.702E-2</v>
      </c>
      <c r="I110" s="2">
        <f t="shared" si="8"/>
        <v>45.7</v>
      </c>
      <c r="J110" s="4">
        <f t="shared" si="9"/>
        <v>3.577</v>
      </c>
      <c r="K110" s="9">
        <f t="shared" si="10"/>
        <v>-0.199999999999992</v>
      </c>
      <c r="L110" s="1">
        <f t="shared" si="11"/>
        <v>-3.49999999999996</v>
      </c>
    </row>
    <row r="111" s="1" customFormat="1" spans="1:12">
      <c r="A111" s="2">
        <v>3.644</v>
      </c>
      <c r="B111" s="10" t="s">
        <v>324</v>
      </c>
      <c r="C111" s="4">
        <v>3.644</v>
      </c>
      <c r="D111" s="5">
        <v>45.9</v>
      </c>
      <c r="E111" s="4"/>
      <c r="F111" s="4"/>
      <c r="G111" s="2">
        <f t="shared" si="6"/>
        <v>3.611</v>
      </c>
      <c r="H111" s="11" t="str">
        <f t="shared" si="7"/>
        <v>3.703E-2</v>
      </c>
      <c r="I111" s="2">
        <f t="shared" si="8"/>
        <v>45.9</v>
      </c>
      <c r="J111" s="4">
        <f t="shared" si="9"/>
        <v>3.611</v>
      </c>
      <c r="K111" s="9">
        <f t="shared" si="10"/>
        <v>-0.0999999999999612</v>
      </c>
      <c r="L111" s="1">
        <f t="shared" si="11"/>
        <v>-3.49999999999996</v>
      </c>
    </row>
    <row r="112" s="1" customFormat="1" spans="1:12">
      <c r="A112" s="2">
        <v>3.678</v>
      </c>
      <c r="B112" s="10" t="s">
        <v>324</v>
      </c>
      <c r="C112" s="4">
        <v>3.678</v>
      </c>
      <c r="D112" s="5">
        <v>46</v>
      </c>
      <c r="E112" s="4"/>
      <c r="F112" s="4"/>
      <c r="G112" s="2">
        <f t="shared" si="6"/>
        <v>3.644</v>
      </c>
      <c r="H112" s="11" t="str">
        <f t="shared" si="7"/>
        <v>3.705E-2</v>
      </c>
      <c r="I112" s="2">
        <f t="shared" si="8"/>
        <v>45.9</v>
      </c>
      <c r="J112" s="4">
        <f t="shared" si="9"/>
        <v>3.644</v>
      </c>
      <c r="K112" s="9">
        <f t="shared" si="10"/>
        <v>0.100000000000031</v>
      </c>
      <c r="L112" s="1">
        <f t="shared" si="11"/>
        <v>-3.49999999999996</v>
      </c>
    </row>
    <row r="113" s="1" customFormat="1" spans="1:12">
      <c r="A113" s="2">
        <v>3.711</v>
      </c>
      <c r="B113" s="10" t="s">
        <v>323</v>
      </c>
      <c r="C113" s="4">
        <v>3.711</v>
      </c>
      <c r="D113" s="5">
        <v>46.4</v>
      </c>
      <c r="E113" s="4"/>
      <c r="F113" s="4"/>
      <c r="G113" s="2">
        <f t="shared" si="6"/>
        <v>3.678</v>
      </c>
      <c r="H113" s="11" t="str">
        <f t="shared" si="7"/>
        <v>3.705E-2</v>
      </c>
      <c r="I113" s="2">
        <f t="shared" si="8"/>
        <v>46</v>
      </c>
      <c r="J113" s="4">
        <f t="shared" si="9"/>
        <v>3.678</v>
      </c>
      <c r="K113" s="9">
        <f t="shared" si="10"/>
        <v>0.100000000000031</v>
      </c>
      <c r="L113" s="1">
        <f t="shared" si="11"/>
        <v>-3.49999999999996</v>
      </c>
    </row>
    <row r="114" s="1" customFormat="1" spans="1:12">
      <c r="A114" s="2">
        <v>3.745</v>
      </c>
      <c r="B114" s="10" t="s">
        <v>323</v>
      </c>
      <c r="C114" s="4">
        <v>3.745</v>
      </c>
      <c r="D114" s="5">
        <v>46.1</v>
      </c>
      <c r="E114" s="4"/>
      <c r="F114" s="4"/>
      <c r="G114" s="2">
        <f t="shared" si="6"/>
        <v>3.711</v>
      </c>
      <c r="H114" s="11" t="str">
        <f t="shared" si="7"/>
        <v>3.706E-2</v>
      </c>
      <c r="I114" s="2">
        <f t="shared" si="8"/>
        <v>46.4</v>
      </c>
      <c r="J114" s="4">
        <f t="shared" si="9"/>
        <v>3.711</v>
      </c>
      <c r="K114" s="9">
        <f t="shared" si="10"/>
        <v>0.200000000000061</v>
      </c>
      <c r="L114" s="1">
        <f t="shared" si="11"/>
        <v>-3.49999999999996</v>
      </c>
    </row>
    <row r="115" s="1" customFormat="1" spans="1:12">
      <c r="A115" s="2">
        <v>3.778</v>
      </c>
      <c r="B115" s="10" t="s">
        <v>332</v>
      </c>
      <c r="C115" s="4">
        <v>3.778</v>
      </c>
      <c r="D115" s="5">
        <v>177.3</v>
      </c>
      <c r="E115" s="4"/>
      <c r="F115" s="4"/>
      <c r="G115" s="2">
        <f t="shared" si="6"/>
        <v>3.745</v>
      </c>
      <c r="H115" s="11" t="str">
        <f t="shared" si="7"/>
        <v>3.706E-2</v>
      </c>
      <c r="I115" s="2">
        <f t="shared" si="8"/>
        <v>46.1</v>
      </c>
      <c r="J115" s="4">
        <f t="shared" si="9"/>
        <v>3.745</v>
      </c>
      <c r="K115" s="9">
        <f t="shared" si="10"/>
        <v>0.200000000000061</v>
      </c>
      <c r="L115" s="1">
        <f t="shared" si="11"/>
        <v>-3.49999999999996</v>
      </c>
    </row>
    <row r="116" s="1" customFormat="1" spans="1:12">
      <c r="A116" s="2">
        <v>3.811</v>
      </c>
      <c r="B116" s="10" t="s">
        <v>323</v>
      </c>
      <c r="C116" s="4">
        <v>3.811</v>
      </c>
      <c r="D116" s="5">
        <v>253.8</v>
      </c>
      <c r="E116" s="4"/>
      <c r="F116" s="4"/>
      <c r="G116" s="2">
        <f t="shared" si="6"/>
        <v>3.778</v>
      </c>
      <c r="H116" s="11" t="str">
        <f t="shared" si="7"/>
        <v>3.707E-2</v>
      </c>
      <c r="I116" s="2">
        <f t="shared" si="8"/>
        <v>177.3</v>
      </c>
      <c r="J116" s="4">
        <f t="shared" si="9"/>
        <v>3.778</v>
      </c>
      <c r="K116" s="9">
        <f t="shared" si="10"/>
        <v>0.300000000000022</v>
      </c>
      <c r="L116" s="1">
        <f t="shared" si="11"/>
        <v>-3.49999999999996</v>
      </c>
    </row>
    <row r="117" s="1" customFormat="1" spans="1:12">
      <c r="A117" s="2">
        <v>3.845</v>
      </c>
      <c r="B117" s="10" t="s">
        <v>332</v>
      </c>
      <c r="C117" s="4">
        <v>3.845</v>
      </c>
      <c r="D117" s="5">
        <v>253.8</v>
      </c>
      <c r="E117" s="4"/>
      <c r="F117" s="4"/>
      <c r="G117" s="2">
        <f t="shared" si="6"/>
        <v>3.811</v>
      </c>
      <c r="H117" s="11" t="str">
        <f t="shared" si="7"/>
        <v>3.706E-2</v>
      </c>
      <c r="I117" s="2">
        <f t="shared" si="8"/>
        <v>253.8</v>
      </c>
      <c r="J117" s="4">
        <f t="shared" si="9"/>
        <v>3.811</v>
      </c>
      <c r="K117" s="9">
        <f t="shared" si="10"/>
        <v>0.200000000000061</v>
      </c>
      <c r="L117" s="1">
        <f t="shared" si="11"/>
        <v>16.1</v>
      </c>
    </row>
    <row r="118" s="1" customFormat="1" spans="1:12">
      <c r="A118" s="2">
        <v>3.878</v>
      </c>
      <c r="B118" s="10" t="s">
        <v>323</v>
      </c>
      <c r="C118" s="4">
        <v>3.878</v>
      </c>
      <c r="D118" s="5">
        <v>253.8</v>
      </c>
      <c r="E118" s="4"/>
      <c r="F118" s="4"/>
      <c r="G118" s="2">
        <f t="shared" si="6"/>
        <v>3.845</v>
      </c>
      <c r="H118" s="11" t="str">
        <f t="shared" si="7"/>
        <v>3.707E-2</v>
      </c>
      <c r="I118" s="2">
        <f t="shared" si="8"/>
        <v>253.8</v>
      </c>
      <c r="J118" s="4">
        <f t="shared" si="9"/>
        <v>3.845</v>
      </c>
      <c r="K118" s="9">
        <f t="shared" si="10"/>
        <v>0.300000000000022</v>
      </c>
      <c r="L118" s="1">
        <f t="shared" si="11"/>
        <v>16.1</v>
      </c>
    </row>
    <row r="119" s="1" customFormat="1" spans="1:12">
      <c r="A119" s="2">
        <v>3.912</v>
      </c>
      <c r="B119" s="10" t="s">
        <v>324</v>
      </c>
      <c r="C119" s="4">
        <v>3.912</v>
      </c>
      <c r="D119" s="5">
        <v>253.8</v>
      </c>
      <c r="E119" s="4"/>
      <c r="F119" s="4"/>
      <c r="G119" s="2">
        <f t="shared" si="6"/>
        <v>3.878</v>
      </c>
      <c r="H119" s="11" t="str">
        <f t="shared" si="7"/>
        <v>3.706E-2</v>
      </c>
      <c r="I119" s="2">
        <f t="shared" si="8"/>
        <v>253.8</v>
      </c>
      <c r="J119" s="4">
        <f t="shared" si="9"/>
        <v>3.878</v>
      </c>
      <c r="K119" s="9">
        <f t="shared" si="10"/>
        <v>0.200000000000061</v>
      </c>
      <c r="L119" s="1">
        <f t="shared" si="11"/>
        <v>16.1</v>
      </c>
    </row>
    <row r="120" s="1" customFormat="1" spans="1:12">
      <c r="A120" s="2">
        <v>3.945</v>
      </c>
      <c r="B120" s="10" t="s">
        <v>322</v>
      </c>
      <c r="C120" s="4">
        <v>3.945</v>
      </c>
      <c r="D120" s="5">
        <v>253.8</v>
      </c>
      <c r="E120" s="4"/>
      <c r="F120" s="4"/>
      <c r="G120" s="2">
        <f t="shared" si="6"/>
        <v>3.912</v>
      </c>
      <c r="H120" s="11" t="str">
        <f t="shared" si="7"/>
        <v>3.705E-2</v>
      </c>
      <c r="I120" s="2">
        <f t="shared" si="8"/>
        <v>253.8</v>
      </c>
      <c r="J120" s="4">
        <f t="shared" si="9"/>
        <v>3.912</v>
      </c>
      <c r="K120" s="9">
        <f t="shared" si="10"/>
        <v>0.100000000000031</v>
      </c>
      <c r="L120" s="1">
        <f t="shared" si="11"/>
        <v>16.1</v>
      </c>
    </row>
    <row r="121" s="1" customFormat="1" spans="1:12">
      <c r="A121" s="2">
        <v>3.979</v>
      </c>
      <c r="B121" s="10" t="s">
        <v>322</v>
      </c>
      <c r="C121" s="4">
        <v>3.979</v>
      </c>
      <c r="D121" s="5">
        <v>253.8</v>
      </c>
      <c r="E121" s="4"/>
      <c r="F121" s="4"/>
      <c r="G121" s="2">
        <f t="shared" si="6"/>
        <v>3.945</v>
      </c>
      <c r="H121" s="11" t="str">
        <f t="shared" si="7"/>
        <v>3.704E-2</v>
      </c>
      <c r="I121" s="2">
        <f t="shared" si="8"/>
        <v>253.8</v>
      </c>
      <c r="J121" s="4">
        <f t="shared" si="9"/>
        <v>3.945</v>
      </c>
      <c r="K121" s="9">
        <f t="shared" si="10"/>
        <v>0</v>
      </c>
      <c r="L121" s="1">
        <f t="shared" si="11"/>
        <v>16.1</v>
      </c>
    </row>
    <row r="122" s="1" customFormat="1" spans="1:12">
      <c r="A122" s="2">
        <v>4.012</v>
      </c>
      <c r="B122" s="10" t="s">
        <v>331</v>
      </c>
      <c r="C122" s="4">
        <v>4.012</v>
      </c>
      <c r="D122" s="5">
        <v>253.8</v>
      </c>
      <c r="E122" s="4"/>
      <c r="F122" s="4"/>
      <c r="G122" s="2">
        <f t="shared" si="6"/>
        <v>3.979</v>
      </c>
      <c r="H122" s="11" t="str">
        <f t="shared" si="7"/>
        <v>3.704E-2</v>
      </c>
      <c r="I122" s="2">
        <f t="shared" si="8"/>
        <v>253.8</v>
      </c>
      <c r="J122" s="4">
        <f t="shared" si="9"/>
        <v>3.979</v>
      </c>
      <c r="K122" s="9">
        <f t="shared" si="10"/>
        <v>0</v>
      </c>
      <c r="L122" s="1">
        <f t="shared" si="11"/>
        <v>16.1</v>
      </c>
    </row>
    <row r="123" s="1" customFormat="1" spans="1:12">
      <c r="A123" s="2">
        <v>4.045</v>
      </c>
      <c r="B123" s="10" t="s">
        <v>327</v>
      </c>
      <c r="C123" s="4">
        <v>4.045</v>
      </c>
      <c r="D123" s="5">
        <v>253.8</v>
      </c>
      <c r="E123" s="4"/>
      <c r="F123" s="4"/>
      <c r="G123" s="2">
        <f t="shared" si="6"/>
        <v>4.012</v>
      </c>
      <c r="H123" s="11" t="str">
        <f t="shared" si="7"/>
        <v>3.702E-2</v>
      </c>
      <c r="I123" s="2">
        <f t="shared" si="8"/>
        <v>253.8</v>
      </c>
      <c r="J123" s="4">
        <f t="shared" si="9"/>
        <v>4.012</v>
      </c>
      <c r="K123" s="9">
        <f t="shared" si="10"/>
        <v>-0.199999999999992</v>
      </c>
      <c r="L123" s="1">
        <f t="shared" si="11"/>
        <v>16.1</v>
      </c>
    </row>
    <row r="124" s="1" customFormat="1" spans="1:12">
      <c r="A124" s="2">
        <v>4.079</v>
      </c>
      <c r="B124" s="10" t="s">
        <v>326</v>
      </c>
      <c r="C124" s="4">
        <v>4.079</v>
      </c>
      <c r="D124" s="5">
        <v>253.8</v>
      </c>
      <c r="E124" s="4"/>
      <c r="F124" s="4"/>
      <c r="G124" s="2">
        <f t="shared" si="6"/>
        <v>4.045</v>
      </c>
      <c r="H124" s="11" t="str">
        <f t="shared" si="7"/>
        <v>3.700E-2</v>
      </c>
      <c r="I124" s="2">
        <f t="shared" si="8"/>
        <v>253.8</v>
      </c>
      <c r="J124" s="4">
        <f t="shared" si="9"/>
        <v>4.045</v>
      </c>
      <c r="K124" s="9">
        <f t="shared" si="10"/>
        <v>-0.399999999999984</v>
      </c>
      <c r="L124" s="1">
        <f t="shared" si="11"/>
        <v>16.1</v>
      </c>
    </row>
    <row r="125" s="1" customFormat="1" spans="1:12">
      <c r="A125" s="2">
        <v>4.112</v>
      </c>
      <c r="B125" s="10" t="s">
        <v>327</v>
      </c>
      <c r="C125" s="4">
        <v>4.112</v>
      </c>
      <c r="D125" s="5">
        <v>253.8</v>
      </c>
      <c r="E125" s="4"/>
      <c r="F125" s="4"/>
      <c r="G125" s="2">
        <f t="shared" si="6"/>
        <v>4.079</v>
      </c>
      <c r="H125" s="11" t="str">
        <f t="shared" si="7"/>
        <v>3.701E-2</v>
      </c>
      <c r="I125" s="2">
        <f t="shared" si="8"/>
        <v>253.8</v>
      </c>
      <c r="J125" s="4">
        <f t="shared" si="9"/>
        <v>4.079</v>
      </c>
      <c r="K125" s="9">
        <f t="shared" si="10"/>
        <v>-0.299999999999953</v>
      </c>
      <c r="L125" s="1">
        <f t="shared" si="11"/>
        <v>16.1</v>
      </c>
    </row>
    <row r="126" s="1" customFormat="1" spans="1:12">
      <c r="A126" s="2">
        <v>4.146</v>
      </c>
      <c r="B126" s="10" t="s">
        <v>328</v>
      </c>
      <c r="C126" s="4">
        <v>4.146</v>
      </c>
      <c r="D126" s="5">
        <v>253.8</v>
      </c>
      <c r="E126" s="4"/>
      <c r="F126" s="4"/>
      <c r="G126" s="2">
        <f t="shared" si="6"/>
        <v>4.112</v>
      </c>
      <c r="H126" s="11" t="str">
        <f t="shared" si="7"/>
        <v>3.700E-2</v>
      </c>
      <c r="I126" s="2">
        <f t="shared" si="8"/>
        <v>253.8</v>
      </c>
      <c r="J126" s="4">
        <f t="shared" si="9"/>
        <v>4.112</v>
      </c>
      <c r="K126" s="9">
        <f t="shared" si="10"/>
        <v>-0.399999999999984</v>
      </c>
      <c r="L126" s="1">
        <f t="shared" si="11"/>
        <v>16.1</v>
      </c>
    </row>
    <row r="127" s="1" customFormat="1" spans="1:12">
      <c r="A127" s="2">
        <v>4.179</v>
      </c>
      <c r="B127" s="10" t="s">
        <v>327</v>
      </c>
      <c r="C127" s="4">
        <v>4.179</v>
      </c>
      <c r="D127" s="5">
        <v>253.8</v>
      </c>
      <c r="E127" s="4"/>
      <c r="F127" s="4"/>
      <c r="G127" s="2">
        <f t="shared" si="6"/>
        <v>4.146</v>
      </c>
      <c r="H127" s="11" t="str">
        <f t="shared" si="7"/>
        <v>3.699E-2</v>
      </c>
      <c r="I127" s="2">
        <f t="shared" si="8"/>
        <v>253.8</v>
      </c>
      <c r="J127" s="4">
        <f t="shared" si="9"/>
        <v>4.146</v>
      </c>
      <c r="K127" s="9">
        <f t="shared" si="10"/>
        <v>-0.499999999999945</v>
      </c>
      <c r="L127" s="1">
        <f t="shared" si="11"/>
        <v>16.1</v>
      </c>
    </row>
    <row r="128" s="1" customFormat="1" spans="1:12">
      <c r="A128" s="2">
        <v>4.213</v>
      </c>
      <c r="B128" s="10" t="s">
        <v>329</v>
      </c>
      <c r="C128" s="4">
        <v>4.213</v>
      </c>
      <c r="D128" s="5">
        <v>253.8</v>
      </c>
      <c r="E128" s="4"/>
      <c r="F128" s="4"/>
      <c r="G128" s="2">
        <f t="shared" si="6"/>
        <v>4.179</v>
      </c>
      <c r="H128" s="11" t="str">
        <f t="shared" si="7"/>
        <v>3.700E-2</v>
      </c>
      <c r="I128" s="2">
        <f t="shared" si="8"/>
        <v>253.8</v>
      </c>
      <c r="J128" s="4">
        <f t="shared" si="9"/>
        <v>4.179</v>
      </c>
      <c r="K128" s="9">
        <f t="shared" si="10"/>
        <v>-0.399999999999984</v>
      </c>
      <c r="L128" s="1">
        <f t="shared" si="11"/>
        <v>16.1</v>
      </c>
    </row>
    <row r="129" s="1" customFormat="1" spans="1:12">
      <c r="A129" s="2">
        <v>4.246</v>
      </c>
      <c r="B129" s="10" t="s">
        <v>329</v>
      </c>
      <c r="C129" s="4">
        <v>4.246</v>
      </c>
      <c r="D129" s="5">
        <v>253.8</v>
      </c>
      <c r="E129" s="4"/>
      <c r="F129" s="4"/>
      <c r="G129" s="2">
        <f t="shared" si="6"/>
        <v>4.213</v>
      </c>
      <c r="H129" s="11" t="str">
        <f t="shared" si="7"/>
        <v>3.698E-2</v>
      </c>
      <c r="I129" s="2">
        <f t="shared" si="8"/>
        <v>253.8</v>
      </c>
      <c r="J129" s="4">
        <f t="shared" si="9"/>
        <v>4.213</v>
      </c>
      <c r="K129" s="9">
        <f t="shared" si="10"/>
        <v>-0.599999999999976</v>
      </c>
      <c r="L129" s="1">
        <f t="shared" si="11"/>
        <v>16.1</v>
      </c>
    </row>
    <row r="130" s="1" customFormat="1" spans="1:12">
      <c r="A130" s="2">
        <v>4.279</v>
      </c>
      <c r="B130" s="10" t="s">
        <v>328</v>
      </c>
      <c r="C130" s="4">
        <v>4.279</v>
      </c>
      <c r="D130" s="5">
        <v>253.8</v>
      </c>
      <c r="E130" s="4"/>
      <c r="F130" s="4"/>
      <c r="G130" s="2">
        <f t="shared" si="6"/>
        <v>4.246</v>
      </c>
      <c r="H130" s="11" t="str">
        <f t="shared" si="7"/>
        <v>3.698E-2</v>
      </c>
      <c r="I130" s="2">
        <f t="shared" si="8"/>
        <v>253.8</v>
      </c>
      <c r="J130" s="4">
        <f t="shared" si="9"/>
        <v>4.246</v>
      </c>
      <c r="K130" s="9">
        <f t="shared" si="10"/>
        <v>-0.599999999999976</v>
      </c>
      <c r="L130" s="1">
        <f t="shared" si="11"/>
        <v>16.1</v>
      </c>
    </row>
    <row r="131" s="1" customFormat="1" spans="1:12">
      <c r="A131" s="2">
        <v>4.313</v>
      </c>
      <c r="B131" s="10" t="s">
        <v>328</v>
      </c>
      <c r="C131" s="4">
        <v>4.313</v>
      </c>
      <c r="D131" s="5">
        <v>253.8</v>
      </c>
      <c r="E131" s="4"/>
      <c r="F131" s="4"/>
      <c r="G131" s="2">
        <f t="shared" si="6"/>
        <v>4.279</v>
      </c>
      <c r="H131" s="11" t="str">
        <f t="shared" si="7"/>
        <v>3.699E-2</v>
      </c>
      <c r="I131" s="2">
        <f t="shared" si="8"/>
        <v>253.8</v>
      </c>
      <c r="J131" s="4">
        <f t="shared" si="9"/>
        <v>4.279</v>
      </c>
      <c r="K131" s="9">
        <f t="shared" si="10"/>
        <v>-0.499999999999945</v>
      </c>
      <c r="L131" s="1">
        <f t="shared" si="11"/>
        <v>16.1</v>
      </c>
    </row>
    <row r="132" s="1" customFormat="1" spans="1:12">
      <c r="A132" s="2">
        <v>4.346</v>
      </c>
      <c r="B132" s="10" t="s">
        <v>327</v>
      </c>
      <c r="C132" s="4">
        <v>4.346</v>
      </c>
      <c r="D132" s="5">
        <v>253.8</v>
      </c>
      <c r="E132" s="4"/>
      <c r="F132" s="4"/>
      <c r="G132" s="2">
        <f t="shared" ref="G132:G195" si="12">A131</f>
        <v>4.313</v>
      </c>
      <c r="H132" s="11" t="str">
        <f t="shared" ref="H132:H195" si="13">B131</f>
        <v>3.699E-2</v>
      </c>
      <c r="I132" s="2">
        <f t="shared" ref="I132:I195" si="14">D131</f>
        <v>253.8</v>
      </c>
      <c r="J132" s="4">
        <f t="shared" ref="J132:J195" si="15">G132</f>
        <v>4.313</v>
      </c>
      <c r="K132" s="9">
        <f t="shared" ref="K132:K195" si="16">(H132-$H$4)*10000</f>
        <v>-0.499999999999945</v>
      </c>
      <c r="L132" s="1">
        <f t="shared" ref="L132:L195" si="17">IF(I132&lt;230,MIN(K:K),MAX(K:K))</f>
        <v>16.1</v>
      </c>
    </row>
    <row r="133" s="1" customFormat="1" spans="1:12">
      <c r="A133" s="2">
        <v>4.38</v>
      </c>
      <c r="B133" s="10" t="s">
        <v>331</v>
      </c>
      <c r="C133" s="4">
        <v>4.38</v>
      </c>
      <c r="D133" s="5">
        <v>253.8</v>
      </c>
      <c r="E133" s="4"/>
      <c r="F133" s="4"/>
      <c r="G133" s="2">
        <f t="shared" si="12"/>
        <v>4.346</v>
      </c>
      <c r="H133" s="11" t="str">
        <f t="shared" si="13"/>
        <v>3.700E-2</v>
      </c>
      <c r="I133" s="2">
        <f t="shared" si="14"/>
        <v>253.8</v>
      </c>
      <c r="J133" s="4">
        <f t="shared" si="15"/>
        <v>4.346</v>
      </c>
      <c r="K133" s="9">
        <f t="shared" si="16"/>
        <v>-0.399999999999984</v>
      </c>
      <c r="L133" s="1">
        <f t="shared" si="17"/>
        <v>16.1</v>
      </c>
    </row>
    <row r="134" s="1" customFormat="1" spans="1:12">
      <c r="A134" s="2">
        <v>4.413</v>
      </c>
      <c r="B134" s="10" t="s">
        <v>331</v>
      </c>
      <c r="C134" s="4">
        <v>4.413</v>
      </c>
      <c r="D134" s="5">
        <v>253.8</v>
      </c>
      <c r="E134" s="4"/>
      <c r="F134" s="4"/>
      <c r="G134" s="2">
        <f t="shared" si="12"/>
        <v>4.38</v>
      </c>
      <c r="H134" s="11" t="str">
        <f t="shared" si="13"/>
        <v>3.702E-2</v>
      </c>
      <c r="I134" s="2">
        <f t="shared" si="14"/>
        <v>253.8</v>
      </c>
      <c r="J134" s="4">
        <f t="shared" si="15"/>
        <v>4.38</v>
      </c>
      <c r="K134" s="9">
        <f t="shared" si="16"/>
        <v>-0.199999999999992</v>
      </c>
      <c r="L134" s="1">
        <f t="shared" si="17"/>
        <v>16.1</v>
      </c>
    </row>
    <row r="135" s="1" customFormat="1" spans="1:12">
      <c r="A135" s="2">
        <v>4.447</v>
      </c>
      <c r="B135" s="10" t="s">
        <v>325</v>
      </c>
      <c r="C135" s="4">
        <v>4.447</v>
      </c>
      <c r="D135" s="5">
        <v>253.8</v>
      </c>
      <c r="E135" s="4"/>
      <c r="F135" s="4"/>
      <c r="G135" s="2">
        <f t="shared" si="12"/>
        <v>4.413</v>
      </c>
      <c r="H135" s="11" t="str">
        <f t="shared" si="13"/>
        <v>3.702E-2</v>
      </c>
      <c r="I135" s="2">
        <f t="shared" si="14"/>
        <v>253.8</v>
      </c>
      <c r="J135" s="4">
        <f t="shared" si="15"/>
        <v>4.413</v>
      </c>
      <c r="K135" s="9">
        <f t="shared" si="16"/>
        <v>-0.199999999999992</v>
      </c>
      <c r="L135" s="1">
        <f t="shared" si="17"/>
        <v>16.1</v>
      </c>
    </row>
    <row r="136" s="1" customFormat="1" spans="1:12">
      <c r="A136" s="2">
        <v>4.48</v>
      </c>
      <c r="B136" s="10" t="s">
        <v>322</v>
      </c>
      <c r="C136" s="4">
        <v>4.48</v>
      </c>
      <c r="D136" s="5">
        <v>253.8</v>
      </c>
      <c r="E136" s="4"/>
      <c r="F136" s="4"/>
      <c r="G136" s="2">
        <f t="shared" si="12"/>
        <v>4.447</v>
      </c>
      <c r="H136" s="11" t="str">
        <f t="shared" si="13"/>
        <v>3.703E-2</v>
      </c>
      <c r="I136" s="2">
        <f t="shared" si="14"/>
        <v>253.8</v>
      </c>
      <c r="J136" s="4">
        <f t="shared" si="15"/>
        <v>4.447</v>
      </c>
      <c r="K136" s="9">
        <f t="shared" si="16"/>
        <v>-0.0999999999999612</v>
      </c>
      <c r="L136" s="1">
        <f t="shared" si="17"/>
        <v>16.1</v>
      </c>
    </row>
    <row r="137" s="1" customFormat="1" spans="1:12">
      <c r="A137" s="2">
        <v>4.513</v>
      </c>
      <c r="B137" s="10" t="s">
        <v>324</v>
      </c>
      <c r="C137" s="4">
        <v>4.513</v>
      </c>
      <c r="D137" s="5">
        <v>253.8</v>
      </c>
      <c r="E137" s="4"/>
      <c r="F137" s="4"/>
      <c r="G137" s="2">
        <f t="shared" si="12"/>
        <v>4.48</v>
      </c>
      <c r="H137" s="11" t="str">
        <f t="shared" si="13"/>
        <v>3.704E-2</v>
      </c>
      <c r="I137" s="2">
        <f t="shared" si="14"/>
        <v>253.8</v>
      </c>
      <c r="J137" s="4">
        <f t="shared" si="15"/>
        <v>4.48</v>
      </c>
      <c r="K137" s="9">
        <f t="shared" si="16"/>
        <v>0</v>
      </c>
      <c r="L137" s="1">
        <f t="shared" si="17"/>
        <v>16.1</v>
      </c>
    </row>
    <row r="138" s="1" customFormat="1" spans="1:12">
      <c r="A138" s="2">
        <v>4.547</v>
      </c>
      <c r="B138" s="10" t="s">
        <v>323</v>
      </c>
      <c r="C138" s="4">
        <v>4.547</v>
      </c>
      <c r="D138" s="5">
        <v>253.8</v>
      </c>
      <c r="E138" s="4"/>
      <c r="F138" s="4"/>
      <c r="G138" s="2">
        <f t="shared" si="12"/>
        <v>4.513</v>
      </c>
      <c r="H138" s="11" t="str">
        <f t="shared" si="13"/>
        <v>3.705E-2</v>
      </c>
      <c r="I138" s="2">
        <f t="shared" si="14"/>
        <v>253.8</v>
      </c>
      <c r="J138" s="4">
        <f t="shared" si="15"/>
        <v>4.513</v>
      </c>
      <c r="K138" s="9">
        <f t="shared" si="16"/>
        <v>0.100000000000031</v>
      </c>
      <c r="L138" s="1">
        <f t="shared" si="17"/>
        <v>16.1</v>
      </c>
    </row>
    <row r="139" s="1" customFormat="1" spans="1:12">
      <c r="A139" s="2">
        <v>4.58</v>
      </c>
      <c r="B139" s="10" t="s">
        <v>332</v>
      </c>
      <c r="C139" s="4">
        <v>4.58</v>
      </c>
      <c r="D139" s="5">
        <v>253.8</v>
      </c>
      <c r="E139" s="4"/>
      <c r="F139" s="4"/>
      <c r="G139" s="2">
        <f t="shared" si="12"/>
        <v>4.547</v>
      </c>
      <c r="H139" s="11" t="str">
        <f t="shared" si="13"/>
        <v>3.706E-2</v>
      </c>
      <c r="I139" s="2">
        <f t="shared" si="14"/>
        <v>253.8</v>
      </c>
      <c r="J139" s="4">
        <f t="shared" si="15"/>
        <v>4.547</v>
      </c>
      <c r="K139" s="9">
        <f t="shared" si="16"/>
        <v>0.200000000000061</v>
      </c>
      <c r="L139" s="1">
        <f t="shared" si="17"/>
        <v>16.1</v>
      </c>
    </row>
    <row r="140" s="1" customFormat="1" spans="1:12">
      <c r="A140" s="2">
        <v>4.614</v>
      </c>
      <c r="B140" s="10" t="s">
        <v>333</v>
      </c>
      <c r="C140" s="4">
        <v>4.614</v>
      </c>
      <c r="D140" s="5">
        <v>251.5</v>
      </c>
      <c r="E140" s="4"/>
      <c r="F140" s="4"/>
      <c r="G140" s="2">
        <f t="shared" si="12"/>
        <v>4.58</v>
      </c>
      <c r="H140" s="11" t="str">
        <f t="shared" si="13"/>
        <v>3.707E-2</v>
      </c>
      <c r="I140" s="2">
        <f t="shared" si="14"/>
        <v>253.8</v>
      </c>
      <c r="J140" s="4">
        <f t="shared" si="15"/>
        <v>4.58</v>
      </c>
      <c r="K140" s="9">
        <f t="shared" si="16"/>
        <v>0.300000000000022</v>
      </c>
      <c r="L140" s="1">
        <f t="shared" si="17"/>
        <v>16.1</v>
      </c>
    </row>
    <row r="141" s="1" customFormat="1" spans="1:12">
      <c r="A141" s="2">
        <v>4.647</v>
      </c>
      <c r="B141" s="10" t="s">
        <v>334</v>
      </c>
      <c r="C141" s="4">
        <v>4.647</v>
      </c>
      <c r="D141" s="5">
        <v>47.3</v>
      </c>
      <c r="E141" s="4"/>
      <c r="F141" s="4"/>
      <c r="G141" s="2">
        <f t="shared" si="12"/>
        <v>4.614</v>
      </c>
      <c r="H141" s="11" t="str">
        <f t="shared" si="13"/>
        <v>3.708E-2</v>
      </c>
      <c r="I141" s="2">
        <f t="shared" si="14"/>
        <v>251.5</v>
      </c>
      <c r="J141" s="4">
        <f t="shared" si="15"/>
        <v>4.614</v>
      </c>
      <c r="K141" s="9">
        <f t="shared" si="16"/>
        <v>0.400000000000053</v>
      </c>
      <c r="L141" s="1">
        <f t="shared" si="17"/>
        <v>16.1</v>
      </c>
    </row>
    <row r="142" s="1" customFormat="1" spans="1:12">
      <c r="A142" s="2">
        <v>4.681</v>
      </c>
      <c r="B142" s="10" t="s">
        <v>335</v>
      </c>
      <c r="C142" s="4">
        <v>4.681</v>
      </c>
      <c r="D142" s="5">
        <v>47.5</v>
      </c>
      <c r="E142" s="4"/>
      <c r="F142" s="4"/>
      <c r="G142" s="2">
        <f t="shared" si="12"/>
        <v>4.647</v>
      </c>
      <c r="H142" s="11" t="str">
        <f t="shared" si="13"/>
        <v>3.709E-2</v>
      </c>
      <c r="I142" s="2">
        <f t="shared" si="14"/>
        <v>47.3</v>
      </c>
      <c r="J142" s="4">
        <f t="shared" si="15"/>
        <v>4.647</v>
      </c>
      <c r="K142" s="9">
        <f t="shared" si="16"/>
        <v>0.500000000000014</v>
      </c>
      <c r="L142" s="1">
        <f t="shared" si="17"/>
        <v>-3.49999999999996</v>
      </c>
    </row>
    <row r="143" s="1" customFormat="1" spans="1:12">
      <c r="A143" s="2">
        <v>4.714</v>
      </c>
      <c r="B143" s="10" t="s">
        <v>336</v>
      </c>
      <c r="C143" s="4">
        <v>4.714</v>
      </c>
      <c r="D143" s="5">
        <v>47.1</v>
      </c>
      <c r="E143" s="4"/>
      <c r="F143" s="4"/>
      <c r="G143" s="2">
        <f t="shared" si="12"/>
        <v>4.681</v>
      </c>
      <c r="H143" s="11" t="str">
        <f t="shared" si="13"/>
        <v>3.711E-2</v>
      </c>
      <c r="I143" s="2">
        <f t="shared" si="14"/>
        <v>47.5</v>
      </c>
      <c r="J143" s="4">
        <f t="shared" si="15"/>
        <v>4.681</v>
      </c>
      <c r="K143" s="9">
        <f t="shared" si="16"/>
        <v>0.700000000000006</v>
      </c>
      <c r="L143" s="1">
        <f t="shared" si="17"/>
        <v>-3.49999999999996</v>
      </c>
    </row>
    <row r="144" s="1" customFormat="1" spans="1:12">
      <c r="A144" s="2">
        <v>4.748</v>
      </c>
      <c r="B144" s="10" t="s">
        <v>337</v>
      </c>
      <c r="C144" s="4">
        <v>4.748</v>
      </c>
      <c r="D144" s="5">
        <v>46.8</v>
      </c>
      <c r="E144" s="4"/>
      <c r="F144" s="4"/>
      <c r="G144" s="2">
        <f t="shared" si="12"/>
        <v>4.714</v>
      </c>
      <c r="H144" s="11" t="str">
        <f t="shared" si="13"/>
        <v>3.713E-2</v>
      </c>
      <c r="I144" s="2">
        <f t="shared" si="14"/>
        <v>47.1</v>
      </c>
      <c r="J144" s="4">
        <f t="shared" si="15"/>
        <v>4.714</v>
      </c>
      <c r="K144" s="9">
        <f t="shared" si="16"/>
        <v>0.900000000000067</v>
      </c>
      <c r="L144" s="1">
        <f t="shared" si="17"/>
        <v>-3.49999999999996</v>
      </c>
    </row>
    <row r="145" s="1" customFormat="1" spans="1:12">
      <c r="A145" s="2">
        <v>4.781</v>
      </c>
      <c r="B145" s="10" t="s">
        <v>338</v>
      </c>
      <c r="C145" s="4">
        <v>4.781</v>
      </c>
      <c r="D145" s="5">
        <v>46.8</v>
      </c>
      <c r="E145" s="4"/>
      <c r="F145" s="4"/>
      <c r="G145" s="2">
        <f t="shared" si="12"/>
        <v>4.748</v>
      </c>
      <c r="H145" s="11" t="str">
        <f t="shared" si="13"/>
        <v>3.716E-2</v>
      </c>
      <c r="I145" s="2">
        <f t="shared" si="14"/>
        <v>46.8</v>
      </c>
      <c r="J145" s="4">
        <f t="shared" si="15"/>
        <v>4.748</v>
      </c>
      <c r="K145" s="9">
        <f t="shared" si="16"/>
        <v>1.20000000000002</v>
      </c>
      <c r="L145" s="1">
        <f t="shared" si="17"/>
        <v>-3.49999999999996</v>
      </c>
    </row>
    <row r="146" s="1" customFormat="1" spans="1:12">
      <c r="A146" s="2">
        <v>4.814</v>
      </c>
      <c r="B146" s="10" t="s">
        <v>339</v>
      </c>
      <c r="C146" s="4">
        <v>4.814</v>
      </c>
      <c r="D146" s="5">
        <v>46</v>
      </c>
      <c r="E146" s="4"/>
      <c r="F146" s="4"/>
      <c r="G146" s="2">
        <f t="shared" si="12"/>
        <v>4.781</v>
      </c>
      <c r="H146" s="11" t="str">
        <f t="shared" si="13"/>
        <v>3.717E-2</v>
      </c>
      <c r="I146" s="2">
        <f t="shared" si="14"/>
        <v>46.8</v>
      </c>
      <c r="J146" s="4">
        <f t="shared" si="15"/>
        <v>4.781</v>
      </c>
      <c r="K146" s="9">
        <f t="shared" si="16"/>
        <v>1.30000000000005</v>
      </c>
      <c r="L146" s="1">
        <f t="shared" si="17"/>
        <v>-3.49999999999996</v>
      </c>
    </row>
    <row r="147" s="1" customFormat="1" spans="1:12">
      <c r="A147" s="2">
        <v>4.848</v>
      </c>
      <c r="B147" s="10" t="s">
        <v>339</v>
      </c>
      <c r="C147" s="4">
        <v>4.848</v>
      </c>
      <c r="D147" s="5">
        <v>46.5</v>
      </c>
      <c r="E147" s="4"/>
      <c r="F147" s="4"/>
      <c r="G147" s="2">
        <f t="shared" si="12"/>
        <v>4.814</v>
      </c>
      <c r="H147" s="11" t="str">
        <f t="shared" si="13"/>
        <v>3.719E-2</v>
      </c>
      <c r="I147" s="2">
        <f t="shared" si="14"/>
        <v>46</v>
      </c>
      <c r="J147" s="4">
        <f t="shared" si="15"/>
        <v>4.814</v>
      </c>
      <c r="K147" s="9">
        <f t="shared" si="16"/>
        <v>1.50000000000004</v>
      </c>
      <c r="L147" s="1">
        <f t="shared" si="17"/>
        <v>-3.49999999999996</v>
      </c>
    </row>
    <row r="148" s="1" customFormat="1" spans="1:12">
      <c r="A148" s="2">
        <v>4.881</v>
      </c>
      <c r="B148" s="10" t="s">
        <v>340</v>
      </c>
      <c r="C148" s="4">
        <v>4.881</v>
      </c>
      <c r="D148" s="5">
        <v>46.2</v>
      </c>
      <c r="E148" s="4"/>
      <c r="F148" s="4"/>
      <c r="G148" s="2">
        <f t="shared" si="12"/>
        <v>4.848</v>
      </c>
      <c r="H148" s="11" t="str">
        <f t="shared" si="13"/>
        <v>3.719E-2</v>
      </c>
      <c r="I148" s="2">
        <f t="shared" si="14"/>
        <v>46.5</v>
      </c>
      <c r="J148" s="4">
        <f t="shared" si="15"/>
        <v>4.848</v>
      </c>
      <c r="K148" s="9">
        <f t="shared" si="16"/>
        <v>1.50000000000004</v>
      </c>
      <c r="L148" s="1">
        <f t="shared" si="17"/>
        <v>-3.49999999999996</v>
      </c>
    </row>
    <row r="149" s="1" customFormat="1" spans="1:12">
      <c r="A149" s="2">
        <v>4.915</v>
      </c>
      <c r="B149" s="10" t="s">
        <v>341</v>
      </c>
      <c r="C149" s="4">
        <v>4.915</v>
      </c>
      <c r="D149" s="5">
        <v>46.3</v>
      </c>
      <c r="E149" s="4"/>
      <c r="F149" s="4"/>
      <c r="G149" s="2">
        <f t="shared" si="12"/>
        <v>4.881</v>
      </c>
      <c r="H149" s="11" t="str">
        <f t="shared" si="13"/>
        <v>3.721E-2</v>
      </c>
      <c r="I149" s="2">
        <f t="shared" si="14"/>
        <v>46.2</v>
      </c>
      <c r="J149" s="4">
        <f t="shared" si="15"/>
        <v>4.881</v>
      </c>
      <c r="K149" s="9">
        <f t="shared" si="16"/>
        <v>1.70000000000003</v>
      </c>
      <c r="L149" s="1">
        <f t="shared" si="17"/>
        <v>-3.49999999999996</v>
      </c>
    </row>
    <row r="150" s="1" customFormat="1" spans="1:12">
      <c r="A150" s="2">
        <v>4.948</v>
      </c>
      <c r="B150" s="10" t="s">
        <v>342</v>
      </c>
      <c r="C150" s="4">
        <v>4.948</v>
      </c>
      <c r="D150" s="5">
        <v>46</v>
      </c>
      <c r="E150" s="4"/>
      <c r="F150" s="4"/>
      <c r="G150" s="2">
        <f t="shared" si="12"/>
        <v>4.915</v>
      </c>
      <c r="H150" s="11" t="str">
        <f t="shared" si="13"/>
        <v>3.731E-2</v>
      </c>
      <c r="I150" s="2">
        <f t="shared" si="14"/>
        <v>46.3</v>
      </c>
      <c r="J150" s="4">
        <f t="shared" si="15"/>
        <v>4.915</v>
      </c>
      <c r="K150" s="9">
        <f t="shared" si="16"/>
        <v>2.70000000000006</v>
      </c>
      <c r="L150" s="1">
        <f t="shared" si="17"/>
        <v>-3.49999999999996</v>
      </c>
    </row>
    <row r="151" s="1" customFormat="1" spans="1:12">
      <c r="A151" s="2">
        <v>4.982</v>
      </c>
      <c r="B151" s="10" t="s">
        <v>343</v>
      </c>
      <c r="C151" s="4">
        <v>4.982</v>
      </c>
      <c r="D151" s="5">
        <v>46.5</v>
      </c>
      <c r="E151" s="4"/>
      <c r="F151" s="4"/>
      <c r="G151" s="2">
        <f t="shared" si="12"/>
        <v>4.948</v>
      </c>
      <c r="H151" s="11" t="str">
        <f t="shared" si="13"/>
        <v>3.735E-2</v>
      </c>
      <c r="I151" s="2">
        <f t="shared" si="14"/>
        <v>46</v>
      </c>
      <c r="J151" s="4">
        <f t="shared" si="15"/>
        <v>4.948</v>
      </c>
      <c r="K151" s="9">
        <f t="shared" si="16"/>
        <v>3.10000000000005</v>
      </c>
      <c r="L151" s="1">
        <f t="shared" si="17"/>
        <v>-3.49999999999996</v>
      </c>
    </row>
    <row r="152" s="1" customFormat="1" spans="1:12">
      <c r="A152" s="2">
        <v>5.015</v>
      </c>
      <c r="B152" s="10" t="s">
        <v>344</v>
      </c>
      <c r="C152" s="4">
        <v>5.015</v>
      </c>
      <c r="D152" s="5">
        <v>46.4</v>
      </c>
      <c r="E152" s="4"/>
      <c r="F152" s="4"/>
      <c r="G152" s="2">
        <f t="shared" si="12"/>
        <v>4.982</v>
      </c>
      <c r="H152" s="11" t="str">
        <f t="shared" si="13"/>
        <v>3.739E-2</v>
      </c>
      <c r="I152" s="2">
        <f t="shared" si="14"/>
        <v>46.5</v>
      </c>
      <c r="J152" s="4">
        <f t="shared" si="15"/>
        <v>4.982</v>
      </c>
      <c r="K152" s="9">
        <f t="shared" si="16"/>
        <v>3.50000000000003</v>
      </c>
      <c r="L152" s="1">
        <f t="shared" si="17"/>
        <v>-3.49999999999996</v>
      </c>
    </row>
    <row r="153" s="1" customFormat="1" spans="1:12">
      <c r="A153" s="2">
        <v>5.048</v>
      </c>
      <c r="B153" s="10" t="s">
        <v>345</v>
      </c>
      <c r="C153" s="4">
        <v>5.048</v>
      </c>
      <c r="D153" s="5">
        <v>46.9</v>
      </c>
      <c r="E153" s="4"/>
      <c r="F153" s="4"/>
      <c r="G153" s="2">
        <f t="shared" si="12"/>
        <v>5.015</v>
      </c>
      <c r="H153" s="11" t="str">
        <f t="shared" si="13"/>
        <v>3.740E-2</v>
      </c>
      <c r="I153" s="2">
        <f t="shared" si="14"/>
        <v>46.4</v>
      </c>
      <c r="J153" s="4">
        <f t="shared" si="15"/>
        <v>5.015</v>
      </c>
      <c r="K153" s="9">
        <f t="shared" si="16"/>
        <v>3.60000000000006</v>
      </c>
      <c r="L153" s="1">
        <f t="shared" si="17"/>
        <v>-3.49999999999996</v>
      </c>
    </row>
    <row r="154" s="1" customFormat="1" spans="1:12">
      <c r="A154" s="2">
        <v>5.082</v>
      </c>
      <c r="B154" s="10" t="s">
        <v>345</v>
      </c>
      <c r="C154" s="4">
        <v>5.082</v>
      </c>
      <c r="D154" s="5">
        <v>46</v>
      </c>
      <c r="E154" s="4"/>
      <c r="F154" s="4"/>
      <c r="G154" s="2">
        <f t="shared" si="12"/>
        <v>5.048</v>
      </c>
      <c r="H154" s="11" t="str">
        <f t="shared" si="13"/>
        <v>3.741E-2</v>
      </c>
      <c r="I154" s="2">
        <f t="shared" si="14"/>
        <v>46.9</v>
      </c>
      <c r="J154" s="4">
        <f t="shared" si="15"/>
        <v>5.048</v>
      </c>
      <c r="K154" s="9">
        <f t="shared" si="16"/>
        <v>3.70000000000002</v>
      </c>
      <c r="L154" s="1">
        <f t="shared" si="17"/>
        <v>-3.49999999999996</v>
      </c>
    </row>
    <row r="155" s="1" customFormat="1" spans="1:12">
      <c r="A155" s="2">
        <v>5.115</v>
      </c>
      <c r="B155" s="10" t="s">
        <v>344</v>
      </c>
      <c r="C155" s="4">
        <v>5.115</v>
      </c>
      <c r="D155" s="5">
        <v>46.5</v>
      </c>
      <c r="E155" s="4"/>
      <c r="F155" s="4"/>
      <c r="G155" s="2">
        <f t="shared" si="12"/>
        <v>5.082</v>
      </c>
      <c r="H155" s="11" t="str">
        <f t="shared" si="13"/>
        <v>3.741E-2</v>
      </c>
      <c r="I155" s="2">
        <f t="shared" si="14"/>
        <v>46</v>
      </c>
      <c r="J155" s="4">
        <f t="shared" si="15"/>
        <v>5.082</v>
      </c>
      <c r="K155" s="9">
        <f t="shared" si="16"/>
        <v>3.70000000000002</v>
      </c>
      <c r="L155" s="1">
        <f t="shared" si="17"/>
        <v>-3.49999999999996</v>
      </c>
    </row>
    <row r="156" s="1" customFormat="1" spans="1:12">
      <c r="A156" s="2">
        <v>5.149</v>
      </c>
      <c r="B156" s="10" t="s">
        <v>346</v>
      </c>
      <c r="C156" s="4">
        <v>5.149</v>
      </c>
      <c r="D156" s="5">
        <v>46.2</v>
      </c>
      <c r="E156" s="4"/>
      <c r="F156" s="4"/>
      <c r="G156" s="2">
        <f t="shared" si="12"/>
        <v>5.115</v>
      </c>
      <c r="H156" s="11" t="str">
        <f t="shared" si="13"/>
        <v>3.740E-2</v>
      </c>
      <c r="I156" s="2">
        <f t="shared" si="14"/>
        <v>46.5</v>
      </c>
      <c r="J156" s="4">
        <f t="shared" si="15"/>
        <v>5.115</v>
      </c>
      <c r="K156" s="9">
        <f t="shared" si="16"/>
        <v>3.60000000000006</v>
      </c>
      <c r="L156" s="1">
        <f t="shared" si="17"/>
        <v>-3.49999999999996</v>
      </c>
    </row>
    <row r="157" s="1" customFormat="1" spans="1:12">
      <c r="A157" s="2">
        <v>5.182</v>
      </c>
      <c r="B157" s="10" t="s">
        <v>347</v>
      </c>
      <c r="C157" s="4">
        <v>5.182</v>
      </c>
      <c r="D157" s="5">
        <v>45.9</v>
      </c>
      <c r="E157" s="4"/>
      <c r="F157" s="4"/>
      <c r="G157" s="2">
        <f t="shared" si="12"/>
        <v>5.149</v>
      </c>
      <c r="H157" s="11" t="str">
        <f t="shared" si="13"/>
        <v>3.738E-2</v>
      </c>
      <c r="I157" s="2">
        <f t="shared" si="14"/>
        <v>46.2</v>
      </c>
      <c r="J157" s="4">
        <f t="shared" si="15"/>
        <v>5.149</v>
      </c>
      <c r="K157" s="9">
        <f t="shared" si="16"/>
        <v>3.4</v>
      </c>
      <c r="L157" s="1">
        <f t="shared" si="17"/>
        <v>-3.49999999999996</v>
      </c>
    </row>
    <row r="158" s="1" customFormat="1" spans="1:12">
      <c r="A158" s="2">
        <v>5.216</v>
      </c>
      <c r="B158" s="10" t="s">
        <v>348</v>
      </c>
      <c r="C158" s="4">
        <v>5.216</v>
      </c>
      <c r="D158" s="5">
        <v>45.8</v>
      </c>
      <c r="E158" s="4"/>
      <c r="F158" s="4"/>
      <c r="G158" s="2">
        <f t="shared" si="12"/>
        <v>5.182</v>
      </c>
      <c r="H158" s="11" t="str">
        <f t="shared" si="13"/>
        <v>3.737E-2</v>
      </c>
      <c r="I158" s="2">
        <f t="shared" si="14"/>
        <v>45.9</v>
      </c>
      <c r="J158" s="4">
        <f t="shared" si="15"/>
        <v>5.182</v>
      </c>
      <c r="K158" s="9">
        <f t="shared" si="16"/>
        <v>3.30000000000004</v>
      </c>
      <c r="L158" s="1">
        <f t="shared" si="17"/>
        <v>-3.49999999999996</v>
      </c>
    </row>
    <row r="159" s="1" customFormat="1" spans="1:12">
      <c r="A159" s="2">
        <v>5.249</v>
      </c>
      <c r="B159" s="10" t="s">
        <v>349</v>
      </c>
      <c r="C159" s="4">
        <v>5.249</v>
      </c>
      <c r="D159" s="5">
        <v>45.5</v>
      </c>
      <c r="E159" s="4"/>
      <c r="F159" s="4"/>
      <c r="G159" s="2">
        <f t="shared" si="12"/>
        <v>5.216</v>
      </c>
      <c r="H159" s="11" t="str">
        <f t="shared" si="13"/>
        <v>3.736E-2</v>
      </c>
      <c r="I159" s="2">
        <f t="shared" si="14"/>
        <v>45.8</v>
      </c>
      <c r="J159" s="4">
        <f t="shared" si="15"/>
        <v>5.216</v>
      </c>
      <c r="K159" s="9">
        <f t="shared" si="16"/>
        <v>3.20000000000001</v>
      </c>
      <c r="L159" s="1">
        <f t="shared" si="17"/>
        <v>-3.49999999999996</v>
      </c>
    </row>
    <row r="160" s="1" customFormat="1" spans="1:12">
      <c r="A160" s="2">
        <v>5.282</v>
      </c>
      <c r="B160" s="10" t="s">
        <v>350</v>
      </c>
      <c r="C160" s="4">
        <v>5.282</v>
      </c>
      <c r="D160" s="5">
        <v>46</v>
      </c>
      <c r="E160" s="4"/>
      <c r="F160" s="4"/>
      <c r="G160" s="2">
        <f t="shared" si="12"/>
        <v>5.249</v>
      </c>
      <c r="H160" s="11" t="str">
        <f t="shared" si="13"/>
        <v>3.733E-2</v>
      </c>
      <c r="I160" s="2">
        <f t="shared" si="14"/>
        <v>45.5</v>
      </c>
      <c r="J160" s="4">
        <f t="shared" si="15"/>
        <v>5.249</v>
      </c>
      <c r="K160" s="9">
        <f t="shared" si="16"/>
        <v>2.90000000000006</v>
      </c>
      <c r="L160" s="1">
        <f t="shared" si="17"/>
        <v>-3.49999999999996</v>
      </c>
    </row>
    <row r="161" s="1" customFormat="1" spans="1:12">
      <c r="A161" s="2">
        <v>5.316</v>
      </c>
      <c r="B161" s="10" t="s">
        <v>341</v>
      </c>
      <c r="C161" s="4">
        <v>5.316</v>
      </c>
      <c r="D161" s="5">
        <v>46.2</v>
      </c>
      <c r="E161" s="4"/>
      <c r="F161" s="4"/>
      <c r="G161" s="2">
        <f t="shared" si="12"/>
        <v>5.282</v>
      </c>
      <c r="H161" s="11" t="str">
        <f t="shared" si="13"/>
        <v>3.732E-2</v>
      </c>
      <c r="I161" s="2">
        <f t="shared" si="14"/>
        <v>46</v>
      </c>
      <c r="J161" s="4">
        <f t="shared" si="15"/>
        <v>5.282</v>
      </c>
      <c r="K161" s="9">
        <f t="shared" si="16"/>
        <v>2.80000000000002</v>
      </c>
      <c r="L161" s="1">
        <f t="shared" si="17"/>
        <v>-3.49999999999996</v>
      </c>
    </row>
    <row r="162" s="1" customFormat="1" spans="1:12">
      <c r="A162" s="2">
        <v>5.349</v>
      </c>
      <c r="B162" s="10" t="s">
        <v>351</v>
      </c>
      <c r="C162" s="4">
        <v>5.349</v>
      </c>
      <c r="D162" s="5">
        <v>46.2</v>
      </c>
      <c r="E162" s="4"/>
      <c r="F162" s="4"/>
      <c r="G162" s="2">
        <f t="shared" si="12"/>
        <v>5.316</v>
      </c>
      <c r="H162" s="11" t="str">
        <f t="shared" si="13"/>
        <v>3.731E-2</v>
      </c>
      <c r="I162" s="2">
        <f t="shared" si="14"/>
        <v>46.2</v>
      </c>
      <c r="J162" s="4">
        <f t="shared" si="15"/>
        <v>5.316</v>
      </c>
      <c r="K162" s="9">
        <f t="shared" si="16"/>
        <v>2.70000000000006</v>
      </c>
      <c r="L162" s="1">
        <f t="shared" si="17"/>
        <v>-3.49999999999996</v>
      </c>
    </row>
    <row r="163" s="1" customFormat="1" spans="1:12">
      <c r="A163" s="2">
        <v>5.383</v>
      </c>
      <c r="B163" s="10" t="s">
        <v>352</v>
      </c>
      <c r="C163" s="4">
        <v>5.383</v>
      </c>
      <c r="D163" s="5">
        <v>46.3</v>
      </c>
      <c r="E163" s="4"/>
      <c r="F163" s="4"/>
      <c r="G163" s="2">
        <f t="shared" si="12"/>
        <v>5.349</v>
      </c>
      <c r="H163" s="11" t="str">
        <f t="shared" si="13"/>
        <v>3.727E-2</v>
      </c>
      <c r="I163" s="2">
        <f t="shared" si="14"/>
        <v>46.2</v>
      </c>
      <c r="J163" s="4">
        <f t="shared" si="15"/>
        <v>5.349</v>
      </c>
      <c r="K163" s="9">
        <f t="shared" si="16"/>
        <v>2.30000000000001</v>
      </c>
      <c r="L163" s="1">
        <f t="shared" si="17"/>
        <v>-3.49999999999996</v>
      </c>
    </row>
    <row r="164" s="1" customFormat="1" spans="1:12">
      <c r="A164" s="2">
        <v>5.416</v>
      </c>
      <c r="B164" s="10" t="s">
        <v>353</v>
      </c>
      <c r="C164" s="4">
        <v>5.416</v>
      </c>
      <c r="D164" s="5">
        <v>46.1</v>
      </c>
      <c r="E164" s="4"/>
      <c r="F164" s="4"/>
      <c r="G164" s="2">
        <f t="shared" si="12"/>
        <v>5.383</v>
      </c>
      <c r="H164" s="11" t="str">
        <f t="shared" si="13"/>
        <v>3.726E-2</v>
      </c>
      <c r="I164" s="2">
        <f t="shared" si="14"/>
        <v>46.3</v>
      </c>
      <c r="J164" s="4">
        <f t="shared" si="15"/>
        <v>5.383</v>
      </c>
      <c r="K164" s="9">
        <f t="shared" si="16"/>
        <v>2.20000000000005</v>
      </c>
      <c r="L164" s="1">
        <f t="shared" si="17"/>
        <v>-3.49999999999996</v>
      </c>
    </row>
    <row r="165" s="1" customFormat="1" spans="1:12">
      <c r="A165" s="2">
        <v>5.45</v>
      </c>
      <c r="B165" s="10" t="s">
        <v>340</v>
      </c>
      <c r="C165" s="4">
        <v>5.45</v>
      </c>
      <c r="D165" s="5">
        <v>175</v>
      </c>
      <c r="E165" s="4"/>
      <c r="F165" s="4"/>
      <c r="G165" s="2">
        <f t="shared" si="12"/>
        <v>5.416</v>
      </c>
      <c r="H165" s="11" t="str">
        <f t="shared" si="13"/>
        <v>3.722E-2</v>
      </c>
      <c r="I165" s="2">
        <f t="shared" si="14"/>
        <v>46.1</v>
      </c>
      <c r="J165" s="4">
        <f t="shared" si="15"/>
        <v>5.416</v>
      </c>
      <c r="K165" s="9">
        <f t="shared" si="16"/>
        <v>1.80000000000007</v>
      </c>
      <c r="L165" s="1">
        <f t="shared" si="17"/>
        <v>-3.49999999999996</v>
      </c>
    </row>
    <row r="166" s="1" customFormat="1" spans="1:12">
      <c r="A166" s="2">
        <v>5.483</v>
      </c>
      <c r="B166" s="10" t="s">
        <v>339</v>
      </c>
      <c r="C166" s="4">
        <v>5.483</v>
      </c>
      <c r="D166" s="5">
        <v>253.8</v>
      </c>
      <c r="E166" s="4"/>
      <c r="F166" s="4"/>
      <c r="G166" s="2">
        <f t="shared" si="12"/>
        <v>5.45</v>
      </c>
      <c r="H166" s="11" t="str">
        <f t="shared" si="13"/>
        <v>3.721E-2</v>
      </c>
      <c r="I166" s="2">
        <f t="shared" si="14"/>
        <v>175</v>
      </c>
      <c r="J166" s="4">
        <f t="shared" si="15"/>
        <v>5.45</v>
      </c>
      <c r="K166" s="9">
        <f t="shared" si="16"/>
        <v>1.70000000000003</v>
      </c>
      <c r="L166" s="1">
        <f t="shared" si="17"/>
        <v>-3.49999999999996</v>
      </c>
    </row>
    <row r="167" s="1" customFormat="1" spans="1:12">
      <c r="A167" s="2">
        <v>5.516</v>
      </c>
      <c r="B167" s="10" t="s">
        <v>337</v>
      </c>
      <c r="C167" s="4">
        <v>5.516</v>
      </c>
      <c r="D167" s="5">
        <v>253.8</v>
      </c>
      <c r="E167" s="4"/>
      <c r="F167" s="4"/>
      <c r="G167" s="2">
        <f t="shared" si="12"/>
        <v>5.483</v>
      </c>
      <c r="H167" s="11" t="str">
        <f t="shared" si="13"/>
        <v>3.719E-2</v>
      </c>
      <c r="I167" s="2">
        <f t="shared" si="14"/>
        <v>253.8</v>
      </c>
      <c r="J167" s="4">
        <f t="shared" si="15"/>
        <v>5.483</v>
      </c>
      <c r="K167" s="9">
        <f t="shared" si="16"/>
        <v>1.50000000000004</v>
      </c>
      <c r="L167" s="1">
        <f t="shared" si="17"/>
        <v>16.1</v>
      </c>
    </row>
    <row r="168" s="1" customFormat="1" spans="1:12">
      <c r="A168" s="2">
        <v>5.55</v>
      </c>
      <c r="B168" s="10" t="s">
        <v>324</v>
      </c>
      <c r="C168" s="4">
        <v>5.55</v>
      </c>
      <c r="D168" s="5">
        <v>253.8</v>
      </c>
      <c r="E168" s="4"/>
      <c r="F168" s="4"/>
      <c r="G168" s="2">
        <f t="shared" si="12"/>
        <v>5.516</v>
      </c>
      <c r="H168" s="11" t="str">
        <f t="shared" si="13"/>
        <v>3.716E-2</v>
      </c>
      <c r="I168" s="2">
        <f t="shared" si="14"/>
        <v>253.8</v>
      </c>
      <c r="J168" s="4">
        <f t="shared" si="15"/>
        <v>5.516</v>
      </c>
      <c r="K168" s="9">
        <f t="shared" si="16"/>
        <v>1.20000000000002</v>
      </c>
      <c r="L168" s="1">
        <f t="shared" si="17"/>
        <v>16.1</v>
      </c>
    </row>
    <row r="169" s="1" customFormat="1" spans="1:12">
      <c r="A169" s="2">
        <v>5.583</v>
      </c>
      <c r="B169" s="10" t="s">
        <v>328</v>
      </c>
      <c r="C169" s="4">
        <v>5.583</v>
      </c>
      <c r="D169" s="5">
        <v>253.8</v>
      </c>
      <c r="E169" s="4"/>
      <c r="F169" s="4"/>
      <c r="G169" s="2">
        <f t="shared" si="12"/>
        <v>5.55</v>
      </c>
      <c r="H169" s="11" t="str">
        <f t="shared" si="13"/>
        <v>3.705E-2</v>
      </c>
      <c r="I169" s="2">
        <f t="shared" si="14"/>
        <v>253.8</v>
      </c>
      <c r="J169" s="4">
        <f t="shared" si="15"/>
        <v>5.55</v>
      </c>
      <c r="K169" s="9">
        <f t="shared" si="16"/>
        <v>0.100000000000031</v>
      </c>
      <c r="L169" s="1">
        <f t="shared" si="17"/>
        <v>16.1</v>
      </c>
    </row>
    <row r="170" s="1" customFormat="1" spans="1:12">
      <c r="A170" s="2">
        <v>5.617</v>
      </c>
      <c r="B170" s="10" t="s">
        <v>354</v>
      </c>
      <c r="C170" s="4">
        <v>5.617</v>
      </c>
      <c r="D170" s="5">
        <v>253.8</v>
      </c>
      <c r="E170" s="4"/>
      <c r="F170" s="4"/>
      <c r="G170" s="2">
        <f t="shared" si="12"/>
        <v>5.583</v>
      </c>
      <c r="H170" s="11" t="str">
        <f t="shared" si="13"/>
        <v>3.699E-2</v>
      </c>
      <c r="I170" s="2">
        <f t="shared" si="14"/>
        <v>253.8</v>
      </c>
      <c r="J170" s="4">
        <f t="shared" si="15"/>
        <v>5.583</v>
      </c>
      <c r="K170" s="9">
        <f t="shared" si="16"/>
        <v>-0.499999999999945</v>
      </c>
      <c r="L170" s="1">
        <f t="shared" si="17"/>
        <v>16.1</v>
      </c>
    </row>
    <row r="171" s="1" customFormat="1" spans="1:12">
      <c r="A171" s="2">
        <v>5.65</v>
      </c>
      <c r="B171" s="10" t="s">
        <v>355</v>
      </c>
      <c r="C171" s="4">
        <v>5.65</v>
      </c>
      <c r="D171" s="5">
        <v>253.8</v>
      </c>
      <c r="E171" s="4"/>
      <c r="F171" s="4"/>
      <c r="G171" s="2">
        <f t="shared" si="12"/>
        <v>5.617</v>
      </c>
      <c r="H171" s="11" t="str">
        <f t="shared" si="13"/>
        <v>3.694E-2</v>
      </c>
      <c r="I171" s="2">
        <f t="shared" si="14"/>
        <v>253.8</v>
      </c>
      <c r="J171" s="4">
        <f t="shared" si="15"/>
        <v>5.617</v>
      </c>
      <c r="K171" s="9">
        <f t="shared" si="16"/>
        <v>-0.999999999999959</v>
      </c>
      <c r="L171" s="1">
        <f t="shared" si="17"/>
        <v>16.1</v>
      </c>
    </row>
    <row r="172" s="1" customFormat="1" spans="1:12">
      <c r="A172" s="2">
        <v>5.684</v>
      </c>
      <c r="B172" s="10" t="s">
        <v>356</v>
      </c>
      <c r="C172" s="4">
        <v>5.684</v>
      </c>
      <c r="D172" s="5">
        <v>253.9</v>
      </c>
      <c r="E172" s="4"/>
      <c r="F172" s="4"/>
      <c r="G172" s="2">
        <f t="shared" si="12"/>
        <v>5.65</v>
      </c>
      <c r="H172" s="11" t="str">
        <f t="shared" si="13"/>
        <v>3.692E-2</v>
      </c>
      <c r="I172" s="2">
        <f t="shared" si="14"/>
        <v>253.8</v>
      </c>
      <c r="J172" s="4">
        <f t="shared" si="15"/>
        <v>5.65</v>
      </c>
      <c r="K172" s="9">
        <f t="shared" si="16"/>
        <v>-1.19999999999995</v>
      </c>
      <c r="L172" s="1">
        <f t="shared" si="17"/>
        <v>16.1</v>
      </c>
    </row>
    <row r="173" s="1" customFormat="1" spans="1:12">
      <c r="A173" s="2">
        <v>5.717</v>
      </c>
      <c r="B173" s="10" t="s">
        <v>357</v>
      </c>
      <c r="C173" s="4">
        <v>5.717</v>
      </c>
      <c r="D173" s="5">
        <v>253.9</v>
      </c>
      <c r="E173" s="4"/>
      <c r="F173" s="4"/>
      <c r="G173" s="2">
        <f t="shared" si="12"/>
        <v>5.684</v>
      </c>
      <c r="H173" s="11" t="str">
        <f t="shared" si="13"/>
        <v>3.691E-2</v>
      </c>
      <c r="I173" s="2">
        <f t="shared" si="14"/>
        <v>253.9</v>
      </c>
      <c r="J173" s="4">
        <f t="shared" si="15"/>
        <v>5.684</v>
      </c>
      <c r="K173" s="9">
        <f t="shared" si="16"/>
        <v>-1.29999999999998</v>
      </c>
      <c r="L173" s="1">
        <f t="shared" si="17"/>
        <v>16.1</v>
      </c>
    </row>
    <row r="174" s="1" customFormat="1" spans="1:12">
      <c r="A174" s="2">
        <v>5.751</v>
      </c>
      <c r="B174" s="10" t="s">
        <v>358</v>
      </c>
      <c r="C174" s="4">
        <v>5.751</v>
      </c>
      <c r="D174" s="5">
        <v>253.9</v>
      </c>
      <c r="E174" s="4"/>
      <c r="F174" s="4"/>
      <c r="G174" s="2">
        <f t="shared" si="12"/>
        <v>5.717</v>
      </c>
      <c r="H174" s="11" t="str">
        <f t="shared" si="13"/>
        <v>3.689E-2</v>
      </c>
      <c r="I174" s="2">
        <f t="shared" si="14"/>
        <v>253.9</v>
      </c>
      <c r="J174" s="4">
        <f t="shared" si="15"/>
        <v>5.717</v>
      </c>
      <c r="K174" s="9">
        <f t="shared" si="16"/>
        <v>-1.49999999999997</v>
      </c>
      <c r="L174" s="1">
        <f t="shared" si="17"/>
        <v>16.1</v>
      </c>
    </row>
    <row r="175" s="1" customFormat="1" spans="1:12">
      <c r="A175" s="2">
        <v>5.784</v>
      </c>
      <c r="B175" s="10" t="s">
        <v>358</v>
      </c>
      <c r="C175" s="4">
        <v>5.784</v>
      </c>
      <c r="D175" s="5">
        <v>253.9</v>
      </c>
      <c r="E175" s="4"/>
      <c r="F175" s="4"/>
      <c r="G175" s="2">
        <f t="shared" si="12"/>
        <v>5.751</v>
      </c>
      <c r="H175" s="11" t="str">
        <f t="shared" si="13"/>
        <v>3.690E-2</v>
      </c>
      <c r="I175" s="2">
        <f t="shared" si="14"/>
        <v>253.9</v>
      </c>
      <c r="J175" s="4">
        <f t="shared" si="15"/>
        <v>5.751</v>
      </c>
      <c r="K175" s="9">
        <f t="shared" si="16"/>
        <v>-1.39999999999994</v>
      </c>
      <c r="L175" s="1">
        <f t="shared" si="17"/>
        <v>16.1</v>
      </c>
    </row>
    <row r="176" s="1" customFormat="1" spans="1:12">
      <c r="A176" s="2">
        <v>5.817</v>
      </c>
      <c r="B176" s="10" t="s">
        <v>355</v>
      </c>
      <c r="C176" s="4">
        <v>5.817</v>
      </c>
      <c r="D176" s="5">
        <v>253.8</v>
      </c>
      <c r="E176" s="4"/>
      <c r="F176" s="4"/>
      <c r="G176" s="2">
        <f t="shared" si="12"/>
        <v>5.784</v>
      </c>
      <c r="H176" s="11" t="str">
        <f t="shared" si="13"/>
        <v>3.690E-2</v>
      </c>
      <c r="I176" s="2">
        <f t="shared" si="14"/>
        <v>253.9</v>
      </c>
      <c r="J176" s="4">
        <f t="shared" si="15"/>
        <v>5.784</v>
      </c>
      <c r="K176" s="9">
        <f t="shared" si="16"/>
        <v>-1.39999999999994</v>
      </c>
      <c r="L176" s="1">
        <f t="shared" si="17"/>
        <v>16.1</v>
      </c>
    </row>
    <row r="177" s="1" customFormat="1" spans="1:12">
      <c r="A177" s="2">
        <v>5.851</v>
      </c>
      <c r="B177" s="10" t="s">
        <v>354</v>
      </c>
      <c r="C177" s="4">
        <v>5.851</v>
      </c>
      <c r="D177" s="5">
        <v>253.9</v>
      </c>
      <c r="E177" s="4"/>
      <c r="F177" s="4"/>
      <c r="G177" s="2">
        <f t="shared" si="12"/>
        <v>5.817</v>
      </c>
      <c r="H177" s="11" t="str">
        <f t="shared" si="13"/>
        <v>3.692E-2</v>
      </c>
      <c r="I177" s="2">
        <f t="shared" si="14"/>
        <v>253.8</v>
      </c>
      <c r="J177" s="4">
        <f t="shared" si="15"/>
        <v>5.817</v>
      </c>
      <c r="K177" s="9">
        <f t="shared" si="16"/>
        <v>-1.19999999999995</v>
      </c>
      <c r="L177" s="1">
        <f t="shared" si="17"/>
        <v>16.1</v>
      </c>
    </row>
    <row r="178" s="1" customFormat="1" spans="1:12">
      <c r="A178" s="2">
        <v>5.884</v>
      </c>
      <c r="B178" s="10" t="s">
        <v>330</v>
      </c>
      <c r="C178" s="4">
        <v>5.884</v>
      </c>
      <c r="D178" s="5">
        <v>253.8</v>
      </c>
      <c r="E178" s="4"/>
      <c r="F178" s="4"/>
      <c r="G178" s="2">
        <f t="shared" si="12"/>
        <v>5.851</v>
      </c>
      <c r="H178" s="11" t="str">
        <f t="shared" si="13"/>
        <v>3.694E-2</v>
      </c>
      <c r="I178" s="2">
        <f t="shared" si="14"/>
        <v>253.9</v>
      </c>
      <c r="J178" s="4">
        <f t="shared" si="15"/>
        <v>5.851</v>
      </c>
      <c r="K178" s="9">
        <f t="shared" si="16"/>
        <v>-0.999999999999959</v>
      </c>
      <c r="L178" s="1">
        <f t="shared" si="17"/>
        <v>16.1</v>
      </c>
    </row>
    <row r="179" s="1" customFormat="1" spans="1:12">
      <c r="A179" s="2">
        <v>5.918</v>
      </c>
      <c r="B179" s="10" t="s">
        <v>328</v>
      </c>
      <c r="C179" s="4">
        <v>5.918</v>
      </c>
      <c r="D179" s="5">
        <v>253.9</v>
      </c>
      <c r="E179" s="4"/>
      <c r="F179" s="4"/>
      <c r="G179" s="2">
        <f t="shared" si="12"/>
        <v>5.884</v>
      </c>
      <c r="H179" s="11" t="str">
        <f t="shared" si="13"/>
        <v>3.697E-2</v>
      </c>
      <c r="I179" s="2">
        <f t="shared" si="14"/>
        <v>253.8</v>
      </c>
      <c r="J179" s="4">
        <f t="shared" si="15"/>
        <v>5.884</v>
      </c>
      <c r="K179" s="9">
        <f t="shared" si="16"/>
        <v>-0.699999999999937</v>
      </c>
      <c r="L179" s="1">
        <f t="shared" si="17"/>
        <v>16.1</v>
      </c>
    </row>
    <row r="180" s="1" customFormat="1" spans="1:12">
      <c r="A180" s="2">
        <v>5.951</v>
      </c>
      <c r="B180" s="10" t="s">
        <v>326</v>
      </c>
      <c r="C180" s="4">
        <v>5.951</v>
      </c>
      <c r="D180" s="5">
        <v>253.9</v>
      </c>
      <c r="E180" s="4"/>
      <c r="F180" s="4"/>
      <c r="G180" s="2">
        <f t="shared" si="12"/>
        <v>5.918</v>
      </c>
      <c r="H180" s="11" t="str">
        <f t="shared" si="13"/>
        <v>3.699E-2</v>
      </c>
      <c r="I180" s="2">
        <f t="shared" si="14"/>
        <v>253.9</v>
      </c>
      <c r="J180" s="4">
        <f t="shared" si="15"/>
        <v>5.918</v>
      </c>
      <c r="K180" s="9">
        <f t="shared" si="16"/>
        <v>-0.499999999999945</v>
      </c>
      <c r="L180" s="1">
        <f t="shared" si="17"/>
        <v>16.1</v>
      </c>
    </row>
    <row r="181" s="1" customFormat="1" spans="1:12">
      <c r="A181" s="2">
        <v>5.985</v>
      </c>
      <c r="B181" s="10" t="s">
        <v>325</v>
      </c>
      <c r="C181" s="4">
        <v>5.985</v>
      </c>
      <c r="D181" s="5">
        <v>253.9</v>
      </c>
      <c r="E181" s="4"/>
      <c r="F181" s="4"/>
      <c r="G181" s="2">
        <f t="shared" si="12"/>
        <v>5.951</v>
      </c>
      <c r="H181" s="11" t="str">
        <f t="shared" si="13"/>
        <v>3.701E-2</v>
      </c>
      <c r="I181" s="2">
        <f t="shared" si="14"/>
        <v>253.9</v>
      </c>
      <c r="J181" s="4">
        <f t="shared" si="15"/>
        <v>5.951</v>
      </c>
      <c r="K181" s="9">
        <f t="shared" si="16"/>
        <v>-0.299999999999953</v>
      </c>
      <c r="L181" s="1">
        <f t="shared" si="17"/>
        <v>16.1</v>
      </c>
    </row>
    <row r="182" s="1" customFormat="1" spans="1:12">
      <c r="A182" s="2">
        <v>6.018</v>
      </c>
      <c r="B182" s="10" t="s">
        <v>323</v>
      </c>
      <c r="C182" s="4">
        <v>6.018</v>
      </c>
      <c r="D182" s="5">
        <v>253.8</v>
      </c>
      <c r="E182" s="4"/>
      <c r="F182" s="4"/>
      <c r="G182" s="2">
        <f t="shared" si="12"/>
        <v>5.985</v>
      </c>
      <c r="H182" s="11" t="str">
        <f t="shared" si="13"/>
        <v>3.703E-2</v>
      </c>
      <c r="I182" s="2">
        <f t="shared" si="14"/>
        <v>253.9</v>
      </c>
      <c r="J182" s="4">
        <f t="shared" si="15"/>
        <v>5.985</v>
      </c>
      <c r="K182" s="9">
        <f t="shared" si="16"/>
        <v>-0.0999999999999612</v>
      </c>
      <c r="L182" s="1">
        <f t="shared" si="17"/>
        <v>16.1</v>
      </c>
    </row>
    <row r="183" s="1" customFormat="1" spans="1:12">
      <c r="A183" s="2">
        <v>6.051</v>
      </c>
      <c r="B183" s="10" t="s">
        <v>334</v>
      </c>
      <c r="C183" s="4">
        <v>6.051</v>
      </c>
      <c r="D183" s="5">
        <v>253.8</v>
      </c>
      <c r="E183" s="4"/>
      <c r="F183" s="4"/>
      <c r="G183" s="2">
        <f t="shared" si="12"/>
        <v>6.018</v>
      </c>
      <c r="H183" s="11" t="str">
        <f t="shared" si="13"/>
        <v>3.706E-2</v>
      </c>
      <c r="I183" s="2">
        <f t="shared" si="14"/>
        <v>253.8</v>
      </c>
      <c r="J183" s="4">
        <f t="shared" si="15"/>
        <v>6.018</v>
      </c>
      <c r="K183" s="9">
        <f t="shared" si="16"/>
        <v>0.200000000000061</v>
      </c>
      <c r="L183" s="1">
        <f t="shared" si="17"/>
        <v>16.1</v>
      </c>
    </row>
    <row r="184" s="1" customFormat="1" spans="1:12">
      <c r="A184" s="2">
        <v>6.085</v>
      </c>
      <c r="B184" s="10" t="s">
        <v>359</v>
      </c>
      <c r="C184" s="4">
        <v>6.085</v>
      </c>
      <c r="D184" s="5">
        <v>253.8</v>
      </c>
      <c r="E184" s="4"/>
      <c r="F184" s="4"/>
      <c r="G184" s="2">
        <f t="shared" si="12"/>
        <v>6.051</v>
      </c>
      <c r="H184" s="11" t="str">
        <f t="shared" si="13"/>
        <v>3.709E-2</v>
      </c>
      <c r="I184" s="2">
        <f t="shared" si="14"/>
        <v>253.8</v>
      </c>
      <c r="J184" s="4">
        <f t="shared" si="15"/>
        <v>6.051</v>
      </c>
      <c r="K184" s="9">
        <f t="shared" si="16"/>
        <v>0.500000000000014</v>
      </c>
      <c r="L184" s="1">
        <f t="shared" si="17"/>
        <v>16.1</v>
      </c>
    </row>
    <row r="185" s="1" customFormat="1" spans="1:12">
      <c r="A185" s="2">
        <v>6.118</v>
      </c>
      <c r="B185" s="10" t="s">
        <v>360</v>
      </c>
      <c r="C185" s="4">
        <v>6.118</v>
      </c>
      <c r="D185" s="5">
        <v>253.8</v>
      </c>
      <c r="E185" s="4"/>
      <c r="F185" s="4"/>
      <c r="G185" s="2">
        <f t="shared" si="12"/>
        <v>6.085</v>
      </c>
      <c r="H185" s="11" t="str">
        <f t="shared" si="13"/>
        <v>3.714E-2</v>
      </c>
      <c r="I185" s="2">
        <f t="shared" si="14"/>
        <v>253.8</v>
      </c>
      <c r="J185" s="4">
        <f t="shared" si="15"/>
        <v>6.085</v>
      </c>
      <c r="K185" s="9">
        <f t="shared" si="16"/>
        <v>1.00000000000003</v>
      </c>
      <c r="L185" s="1">
        <f t="shared" si="17"/>
        <v>16.1</v>
      </c>
    </row>
    <row r="186" s="1" customFormat="1" spans="1:12">
      <c r="A186" s="2">
        <v>6.152</v>
      </c>
      <c r="B186" s="10" t="s">
        <v>361</v>
      </c>
      <c r="C186" s="4">
        <v>6.152</v>
      </c>
      <c r="D186" s="5">
        <v>253.8</v>
      </c>
      <c r="E186" s="4"/>
      <c r="F186" s="4"/>
      <c r="G186" s="2">
        <f t="shared" si="12"/>
        <v>6.118</v>
      </c>
      <c r="H186" s="11" t="str">
        <f t="shared" si="13"/>
        <v>3.718E-2</v>
      </c>
      <c r="I186" s="2">
        <f t="shared" si="14"/>
        <v>253.8</v>
      </c>
      <c r="J186" s="4">
        <f t="shared" si="15"/>
        <v>6.118</v>
      </c>
      <c r="K186" s="9">
        <f t="shared" si="16"/>
        <v>1.40000000000001</v>
      </c>
      <c r="L186" s="1">
        <f t="shared" si="17"/>
        <v>16.1</v>
      </c>
    </row>
    <row r="187" s="1" customFormat="1" spans="1:12">
      <c r="A187" s="2">
        <v>6.185</v>
      </c>
      <c r="B187" s="10" t="s">
        <v>348</v>
      </c>
      <c r="C187" s="4">
        <v>6.185</v>
      </c>
      <c r="D187" s="5">
        <v>253.8</v>
      </c>
      <c r="E187" s="4"/>
      <c r="F187" s="4"/>
      <c r="G187" s="2">
        <f t="shared" si="12"/>
        <v>6.152</v>
      </c>
      <c r="H187" s="11" t="str">
        <f t="shared" si="13"/>
        <v>3.724E-2</v>
      </c>
      <c r="I187" s="2">
        <f t="shared" si="14"/>
        <v>253.8</v>
      </c>
      <c r="J187" s="4">
        <f t="shared" si="15"/>
        <v>6.152</v>
      </c>
      <c r="K187" s="9">
        <f t="shared" si="16"/>
        <v>2.00000000000006</v>
      </c>
      <c r="L187" s="1">
        <f t="shared" si="17"/>
        <v>16.1</v>
      </c>
    </row>
    <row r="188" s="1" customFormat="1" spans="1:12">
      <c r="A188" s="2">
        <v>6.219</v>
      </c>
      <c r="B188" s="10" t="s">
        <v>362</v>
      </c>
      <c r="C188" s="4">
        <v>6.219</v>
      </c>
      <c r="D188" s="5">
        <v>253.8</v>
      </c>
      <c r="E188" s="4"/>
      <c r="F188" s="4"/>
      <c r="G188" s="2">
        <f t="shared" si="12"/>
        <v>6.185</v>
      </c>
      <c r="H188" s="11" t="str">
        <f t="shared" si="13"/>
        <v>3.736E-2</v>
      </c>
      <c r="I188" s="2">
        <f t="shared" si="14"/>
        <v>253.8</v>
      </c>
      <c r="J188" s="4">
        <f t="shared" si="15"/>
        <v>6.185</v>
      </c>
      <c r="K188" s="9">
        <f t="shared" si="16"/>
        <v>3.20000000000001</v>
      </c>
      <c r="L188" s="1">
        <f t="shared" si="17"/>
        <v>16.1</v>
      </c>
    </row>
    <row r="189" s="1" customFormat="1" spans="1:12">
      <c r="A189" s="2">
        <v>6.252</v>
      </c>
      <c r="B189" s="10" t="s">
        <v>363</v>
      </c>
      <c r="C189" s="4">
        <v>6.252</v>
      </c>
      <c r="D189" s="5">
        <v>253.8</v>
      </c>
      <c r="E189" s="4"/>
      <c r="F189" s="4"/>
      <c r="G189" s="2">
        <f t="shared" si="12"/>
        <v>6.219</v>
      </c>
      <c r="H189" s="11" t="str">
        <f t="shared" si="13"/>
        <v>3.744E-2</v>
      </c>
      <c r="I189" s="2">
        <f t="shared" si="14"/>
        <v>253.8</v>
      </c>
      <c r="J189" s="4">
        <f t="shared" si="15"/>
        <v>6.219</v>
      </c>
      <c r="K189" s="9">
        <f t="shared" si="16"/>
        <v>4.00000000000005</v>
      </c>
      <c r="L189" s="1">
        <f t="shared" si="17"/>
        <v>16.1</v>
      </c>
    </row>
    <row r="190" s="1" customFormat="1" spans="1:12">
      <c r="A190" s="2">
        <v>6.285</v>
      </c>
      <c r="B190" s="10" t="s">
        <v>364</v>
      </c>
      <c r="C190" s="4">
        <v>6.285</v>
      </c>
      <c r="D190" s="5">
        <v>253.8</v>
      </c>
      <c r="E190" s="4"/>
      <c r="F190" s="4"/>
      <c r="G190" s="2">
        <f t="shared" si="12"/>
        <v>6.252</v>
      </c>
      <c r="H190" s="11" t="str">
        <f t="shared" si="13"/>
        <v>3.751E-2</v>
      </c>
      <c r="I190" s="2">
        <f t="shared" si="14"/>
        <v>253.8</v>
      </c>
      <c r="J190" s="4">
        <f t="shared" si="15"/>
        <v>6.252</v>
      </c>
      <c r="K190" s="9">
        <f t="shared" si="16"/>
        <v>4.70000000000005</v>
      </c>
      <c r="L190" s="1">
        <f t="shared" si="17"/>
        <v>16.1</v>
      </c>
    </row>
    <row r="191" s="1" customFormat="1" spans="1:12">
      <c r="A191" s="2">
        <v>6.319</v>
      </c>
      <c r="B191" s="10" t="s">
        <v>365</v>
      </c>
      <c r="C191" s="4">
        <v>6.319</v>
      </c>
      <c r="D191" s="5">
        <v>68.5</v>
      </c>
      <c r="E191" s="4"/>
      <c r="F191" s="4"/>
      <c r="G191" s="2">
        <f t="shared" si="12"/>
        <v>6.285</v>
      </c>
      <c r="H191" s="11" t="str">
        <f t="shared" si="13"/>
        <v>3.764E-2</v>
      </c>
      <c r="I191" s="2">
        <f t="shared" si="14"/>
        <v>253.8</v>
      </c>
      <c r="J191" s="4">
        <f t="shared" si="15"/>
        <v>6.285</v>
      </c>
      <c r="K191" s="9">
        <f t="shared" si="16"/>
        <v>6.00000000000003</v>
      </c>
      <c r="L191" s="1">
        <f t="shared" si="17"/>
        <v>16.1</v>
      </c>
    </row>
    <row r="192" s="1" customFormat="1" spans="1:12">
      <c r="A192" s="2">
        <v>6.352</v>
      </c>
      <c r="B192" s="10" t="s">
        <v>366</v>
      </c>
      <c r="C192" s="4">
        <v>6.352</v>
      </c>
      <c r="D192" s="5">
        <v>68.7</v>
      </c>
      <c r="E192" s="4"/>
      <c r="F192" s="4"/>
      <c r="G192" s="2">
        <f t="shared" si="12"/>
        <v>6.319</v>
      </c>
      <c r="H192" s="11" t="str">
        <f t="shared" si="13"/>
        <v>3.773E-2</v>
      </c>
      <c r="I192" s="2">
        <f t="shared" si="14"/>
        <v>68.5</v>
      </c>
      <c r="J192" s="4">
        <f t="shared" si="15"/>
        <v>6.319</v>
      </c>
      <c r="K192" s="9">
        <f t="shared" si="16"/>
        <v>6.90000000000003</v>
      </c>
      <c r="L192" s="1">
        <f t="shared" si="17"/>
        <v>-3.49999999999996</v>
      </c>
    </row>
    <row r="193" s="1" customFormat="1" spans="1:12">
      <c r="A193" s="2">
        <v>6.386</v>
      </c>
      <c r="B193" s="10" t="s">
        <v>367</v>
      </c>
      <c r="C193" s="4">
        <v>6.386</v>
      </c>
      <c r="D193" s="5">
        <v>68.4</v>
      </c>
      <c r="E193" s="4"/>
      <c r="F193" s="4"/>
      <c r="G193" s="2">
        <f t="shared" si="12"/>
        <v>6.352</v>
      </c>
      <c r="H193" s="11" t="str">
        <f t="shared" si="13"/>
        <v>3.783E-2</v>
      </c>
      <c r="I193" s="2">
        <f t="shared" si="14"/>
        <v>68.7</v>
      </c>
      <c r="J193" s="4">
        <f t="shared" si="15"/>
        <v>6.352</v>
      </c>
      <c r="K193" s="9">
        <f t="shared" si="16"/>
        <v>7.90000000000006</v>
      </c>
      <c r="L193" s="1">
        <f t="shared" si="17"/>
        <v>-3.49999999999996</v>
      </c>
    </row>
    <row r="194" s="1" customFormat="1" spans="1:12">
      <c r="A194" s="2">
        <v>6.419</v>
      </c>
      <c r="B194" s="10" t="s">
        <v>368</v>
      </c>
      <c r="C194" s="4">
        <v>6.419</v>
      </c>
      <c r="D194" s="5">
        <v>68.6</v>
      </c>
      <c r="E194" s="4"/>
      <c r="F194" s="4"/>
      <c r="G194" s="2">
        <f t="shared" si="12"/>
        <v>6.386</v>
      </c>
      <c r="H194" s="11" t="str">
        <f t="shared" si="13"/>
        <v>3.799E-2</v>
      </c>
      <c r="I194" s="2">
        <f t="shared" si="14"/>
        <v>68.4</v>
      </c>
      <c r="J194" s="4">
        <f t="shared" si="15"/>
        <v>6.386</v>
      </c>
      <c r="K194" s="9">
        <f t="shared" si="16"/>
        <v>9.50000000000006</v>
      </c>
      <c r="L194" s="1">
        <f t="shared" si="17"/>
        <v>-3.49999999999996</v>
      </c>
    </row>
    <row r="195" s="1" customFormat="1" spans="1:12">
      <c r="A195" s="2">
        <v>6.453</v>
      </c>
      <c r="B195" s="10" t="s">
        <v>369</v>
      </c>
      <c r="C195" s="4">
        <v>6.453</v>
      </c>
      <c r="D195" s="5">
        <v>68.5</v>
      </c>
      <c r="E195" s="4"/>
      <c r="F195" s="4"/>
      <c r="G195" s="2">
        <f t="shared" si="12"/>
        <v>6.419</v>
      </c>
      <c r="H195" s="11" t="str">
        <f t="shared" si="13"/>
        <v>3.808E-2</v>
      </c>
      <c r="I195" s="2">
        <f t="shared" si="14"/>
        <v>68.6</v>
      </c>
      <c r="J195" s="4">
        <f t="shared" si="15"/>
        <v>6.419</v>
      </c>
      <c r="K195" s="9">
        <f t="shared" si="16"/>
        <v>10.4000000000001</v>
      </c>
      <c r="L195" s="1">
        <f t="shared" si="17"/>
        <v>-3.49999999999996</v>
      </c>
    </row>
    <row r="196" s="1" customFormat="1" spans="1:12">
      <c r="A196" s="2">
        <v>6.486</v>
      </c>
      <c r="B196" s="10" t="s">
        <v>370</v>
      </c>
      <c r="C196" s="4">
        <v>6.486</v>
      </c>
      <c r="D196" s="5">
        <v>68.3</v>
      </c>
      <c r="E196" s="4"/>
      <c r="F196" s="4"/>
      <c r="G196" s="2">
        <f t="shared" ref="G196:G259" si="18">A195</f>
        <v>6.453</v>
      </c>
      <c r="H196" s="11" t="str">
        <f t="shared" ref="H196:H259" si="19">B195</f>
        <v>3.812E-2</v>
      </c>
      <c r="I196" s="2">
        <f t="shared" ref="I196:I259" si="20">D195</f>
        <v>68.5</v>
      </c>
      <c r="J196" s="4">
        <f t="shared" ref="J196:J259" si="21">G196</f>
        <v>6.453</v>
      </c>
      <c r="K196" s="9">
        <f t="shared" ref="K196:K259" si="22">(H196-$H$4)*10000</f>
        <v>10.8</v>
      </c>
      <c r="L196" s="1">
        <f t="shared" ref="L196:L259" si="23">IF(I196&lt;230,MIN(K:K),MAX(K:K))</f>
        <v>-3.49999999999996</v>
      </c>
    </row>
    <row r="197" s="1" customFormat="1" spans="1:12">
      <c r="A197" s="2">
        <v>6.519</v>
      </c>
      <c r="B197" s="10" t="s">
        <v>371</v>
      </c>
      <c r="C197" s="4">
        <v>6.519</v>
      </c>
      <c r="D197" s="5">
        <v>68.2</v>
      </c>
      <c r="E197" s="4"/>
      <c r="F197" s="4"/>
      <c r="G197" s="2">
        <f t="shared" si="18"/>
        <v>6.486</v>
      </c>
      <c r="H197" s="11" t="str">
        <f t="shared" si="19"/>
        <v>3.825E-2</v>
      </c>
      <c r="I197" s="2">
        <f t="shared" si="20"/>
        <v>68.3</v>
      </c>
      <c r="J197" s="4">
        <f t="shared" si="21"/>
        <v>6.486</v>
      </c>
      <c r="K197" s="9">
        <f t="shared" si="22"/>
        <v>12.1</v>
      </c>
      <c r="L197" s="1">
        <f t="shared" si="23"/>
        <v>-3.49999999999996</v>
      </c>
    </row>
    <row r="198" s="1" customFormat="1" spans="1:12">
      <c r="A198" s="2">
        <v>6.553</v>
      </c>
      <c r="B198" s="10" t="s">
        <v>372</v>
      </c>
      <c r="C198" s="4">
        <v>6.553</v>
      </c>
      <c r="D198" s="5">
        <v>68.3</v>
      </c>
      <c r="E198" s="4"/>
      <c r="F198" s="4"/>
      <c r="G198" s="2">
        <f t="shared" si="18"/>
        <v>6.519</v>
      </c>
      <c r="H198" s="11" t="str">
        <f t="shared" si="19"/>
        <v>3.834E-2</v>
      </c>
      <c r="I198" s="2">
        <f t="shared" si="20"/>
        <v>68.2</v>
      </c>
      <c r="J198" s="4">
        <f t="shared" si="21"/>
        <v>6.519</v>
      </c>
      <c r="K198" s="9">
        <f t="shared" si="22"/>
        <v>13</v>
      </c>
      <c r="L198" s="1">
        <f t="shared" si="23"/>
        <v>-3.49999999999996</v>
      </c>
    </row>
    <row r="199" s="1" customFormat="1" spans="1:12">
      <c r="A199" s="2">
        <v>6.586</v>
      </c>
      <c r="B199" s="10" t="s">
        <v>372</v>
      </c>
      <c r="C199" s="4">
        <v>6.586</v>
      </c>
      <c r="D199" s="5">
        <v>68.4</v>
      </c>
      <c r="E199" s="4"/>
      <c r="F199" s="4"/>
      <c r="G199" s="2">
        <f t="shared" si="18"/>
        <v>6.553</v>
      </c>
      <c r="H199" s="11" t="str">
        <f t="shared" si="19"/>
        <v>3.839E-2</v>
      </c>
      <c r="I199" s="2">
        <f t="shared" si="20"/>
        <v>68.3</v>
      </c>
      <c r="J199" s="4">
        <f t="shared" si="21"/>
        <v>6.553</v>
      </c>
      <c r="K199" s="9">
        <f t="shared" si="22"/>
        <v>13.5</v>
      </c>
      <c r="L199" s="1">
        <f t="shared" si="23"/>
        <v>-3.49999999999996</v>
      </c>
    </row>
    <row r="200" s="1" customFormat="1" spans="1:12">
      <c r="A200" s="2">
        <v>6.62</v>
      </c>
      <c r="B200" s="10" t="s">
        <v>372</v>
      </c>
      <c r="C200" s="4">
        <v>6.62</v>
      </c>
      <c r="D200" s="5">
        <v>68.5</v>
      </c>
      <c r="E200" s="4"/>
      <c r="F200" s="4"/>
      <c r="G200" s="2">
        <f t="shared" si="18"/>
        <v>6.586</v>
      </c>
      <c r="H200" s="11" t="str">
        <f t="shared" si="19"/>
        <v>3.839E-2</v>
      </c>
      <c r="I200" s="2">
        <f t="shared" si="20"/>
        <v>68.4</v>
      </c>
      <c r="J200" s="4">
        <f t="shared" si="21"/>
        <v>6.586</v>
      </c>
      <c r="K200" s="9">
        <f t="shared" si="22"/>
        <v>13.5</v>
      </c>
      <c r="L200" s="1">
        <f t="shared" si="23"/>
        <v>-3.49999999999996</v>
      </c>
    </row>
    <row r="201" s="1" customFormat="1" spans="1:12">
      <c r="A201" s="2">
        <v>6.653</v>
      </c>
      <c r="B201" s="10" t="s">
        <v>373</v>
      </c>
      <c r="C201" s="4">
        <v>6.653</v>
      </c>
      <c r="D201" s="5">
        <v>68.5</v>
      </c>
      <c r="E201" s="4"/>
      <c r="F201" s="4"/>
      <c r="G201" s="2">
        <f t="shared" si="18"/>
        <v>6.62</v>
      </c>
      <c r="H201" s="11" t="str">
        <f t="shared" si="19"/>
        <v>3.839E-2</v>
      </c>
      <c r="I201" s="2">
        <f t="shared" si="20"/>
        <v>68.5</v>
      </c>
      <c r="J201" s="4">
        <f t="shared" si="21"/>
        <v>6.62</v>
      </c>
      <c r="K201" s="9">
        <f t="shared" si="22"/>
        <v>13.5</v>
      </c>
      <c r="L201" s="1">
        <f t="shared" si="23"/>
        <v>-3.49999999999996</v>
      </c>
    </row>
    <row r="202" s="1" customFormat="1" spans="1:12">
      <c r="A202" s="2">
        <v>6.687</v>
      </c>
      <c r="B202" s="10" t="s">
        <v>373</v>
      </c>
      <c r="C202" s="4">
        <v>6.687</v>
      </c>
      <c r="D202" s="5">
        <v>68.4</v>
      </c>
      <c r="E202" s="4"/>
      <c r="F202" s="4"/>
      <c r="G202" s="2">
        <f t="shared" si="18"/>
        <v>6.653</v>
      </c>
      <c r="H202" s="11" t="str">
        <f t="shared" si="19"/>
        <v>3.836E-2</v>
      </c>
      <c r="I202" s="2">
        <f t="shared" si="20"/>
        <v>68.5</v>
      </c>
      <c r="J202" s="4">
        <f t="shared" si="21"/>
        <v>6.653</v>
      </c>
      <c r="K202" s="9">
        <f t="shared" si="22"/>
        <v>13.2</v>
      </c>
      <c r="L202" s="1">
        <f t="shared" si="23"/>
        <v>-3.49999999999996</v>
      </c>
    </row>
    <row r="203" s="1" customFormat="1" spans="1:12">
      <c r="A203" s="2">
        <v>6.72</v>
      </c>
      <c r="B203" s="10" t="s">
        <v>374</v>
      </c>
      <c r="C203" s="4">
        <v>6.72</v>
      </c>
      <c r="D203" s="5">
        <v>68.3</v>
      </c>
      <c r="E203" s="4"/>
      <c r="F203" s="4"/>
      <c r="G203" s="2">
        <f t="shared" si="18"/>
        <v>6.687</v>
      </c>
      <c r="H203" s="11" t="str">
        <f t="shared" si="19"/>
        <v>3.836E-2</v>
      </c>
      <c r="I203" s="2">
        <f t="shared" si="20"/>
        <v>68.4</v>
      </c>
      <c r="J203" s="4">
        <f t="shared" si="21"/>
        <v>6.687</v>
      </c>
      <c r="K203" s="9">
        <f t="shared" si="22"/>
        <v>13.2</v>
      </c>
      <c r="L203" s="1">
        <f t="shared" si="23"/>
        <v>-3.49999999999996</v>
      </c>
    </row>
    <row r="204" s="1" customFormat="1" spans="1:12">
      <c r="A204" s="2">
        <v>6.754</v>
      </c>
      <c r="B204" s="10" t="s">
        <v>375</v>
      </c>
      <c r="C204" s="4">
        <v>6.754</v>
      </c>
      <c r="D204" s="5">
        <v>68.2</v>
      </c>
      <c r="E204" s="4"/>
      <c r="F204" s="4"/>
      <c r="G204" s="2">
        <f t="shared" si="18"/>
        <v>6.72</v>
      </c>
      <c r="H204" s="11" t="str">
        <f t="shared" si="19"/>
        <v>3.832E-2</v>
      </c>
      <c r="I204" s="2">
        <f t="shared" si="20"/>
        <v>68.3</v>
      </c>
      <c r="J204" s="4">
        <f t="shared" si="21"/>
        <v>6.72</v>
      </c>
      <c r="K204" s="9">
        <f t="shared" si="22"/>
        <v>12.8</v>
      </c>
      <c r="L204" s="1">
        <f t="shared" si="23"/>
        <v>-3.49999999999996</v>
      </c>
    </row>
    <row r="205" s="1" customFormat="1" spans="1:12">
      <c r="A205" s="2">
        <v>6.787</v>
      </c>
      <c r="B205" s="10" t="s">
        <v>376</v>
      </c>
      <c r="C205" s="4">
        <v>6.787</v>
      </c>
      <c r="D205" s="5">
        <v>68.2</v>
      </c>
      <c r="E205" s="4"/>
      <c r="F205" s="4"/>
      <c r="G205" s="2">
        <f t="shared" si="18"/>
        <v>6.754</v>
      </c>
      <c r="H205" s="11" t="str">
        <f t="shared" si="19"/>
        <v>3.828E-2</v>
      </c>
      <c r="I205" s="2">
        <f t="shared" si="20"/>
        <v>68.2</v>
      </c>
      <c r="J205" s="4">
        <f t="shared" si="21"/>
        <v>6.754</v>
      </c>
      <c r="K205" s="9">
        <f t="shared" si="22"/>
        <v>12.4000000000001</v>
      </c>
      <c r="L205" s="1">
        <f t="shared" si="23"/>
        <v>-3.49999999999996</v>
      </c>
    </row>
    <row r="206" s="1" customFormat="1" spans="1:12">
      <c r="A206" s="2">
        <v>6.82</v>
      </c>
      <c r="B206" s="10" t="s">
        <v>377</v>
      </c>
      <c r="C206" s="4">
        <v>6.82</v>
      </c>
      <c r="D206" s="5">
        <v>68.2</v>
      </c>
      <c r="E206" s="4"/>
      <c r="F206" s="4"/>
      <c r="G206" s="2">
        <f t="shared" si="18"/>
        <v>6.787</v>
      </c>
      <c r="H206" s="11" t="str">
        <f t="shared" si="19"/>
        <v>3.823E-2</v>
      </c>
      <c r="I206" s="2">
        <f t="shared" si="20"/>
        <v>68.2</v>
      </c>
      <c r="J206" s="4">
        <f t="shared" si="21"/>
        <v>6.787</v>
      </c>
      <c r="K206" s="9">
        <f t="shared" si="22"/>
        <v>11.9</v>
      </c>
      <c r="L206" s="1">
        <f t="shared" si="23"/>
        <v>-3.49999999999996</v>
      </c>
    </row>
    <row r="207" s="1" customFormat="1" spans="1:12">
      <c r="A207" s="2">
        <v>6.854</v>
      </c>
      <c r="B207" s="10" t="s">
        <v>378</v>
      </c>
      <c r="C207" s="4">
        <v>6.854</v>
      </c>
      <c r="D207" s="5">
        <v>68.2</v>
      </c>
      <c r="E207" s="4"/>
      <c r="F207" s="4"/>
      <c r="G207" s="2">
        <f t="shared" si="18"/>
        <v>6.82</v>
      </c>
      <c r="H207" s="11" t="str">
        <f t="shared" si="19"/>
        <v>3.819E-2</v>
      </c>
      <c r="I207" s="2">
        <f t="shared" si="20"/>
        <v>68.2</v>
      </c>
      <c r="J207" s="4">
        <f t="shared" si="21"/>
        <v>6.82</v>
      </c>
      <c r="K207" s="9">
        <f t="shared" si="22"/>
        <v>11.5000000000001</v>
      </c>
      <c r="L207" s="1">
        <f t="shared" si="23"/>
        <v>-3.49999999999996</v>
      </c>
    </row>
    <row r="208" s="1" customFormat="1" spans="1:12">
      <c r="A208" s="2">
        <v>6.887</v>
      </c>
      <c r="B208" s="10" t="s">
        <v>379</v>
      </c>
      <c r="C208" s="4">
        <v>6.887</v>
      </c>
      <c r="D208" s="5">
        <v>68.2</v>
      </c>
      <c r="E208" s="4"/>
      <c r="F208" s="4"/>
      <c r="G208" s="2">
        <f t="shared" si="18"/>
        <v>6.854</v>
      </c>
      <c r="H208" s="11" t="str">
        <f t="shared" si="19"/>
        <v>3.814E-2</v>
      </c>
      <c r="I208" s="2">
        <f t="shared" si="20"/>
        <v>68.2</v>
      </c>
      <c r="J208" s="4">
        <f t="shared" si="21"/>
        <v>6.854</v>
      </c>
      <c r="K208" s="9">
        <f t="shared" si="22"/>
        <v>11</v>
      </c>
      <c r="L208" s="1">
        <f t="shared" si="23"/>
        <v>-3.49999999999996</v>
      </c>
    </row>
    <row r="209" s="1" customFormat="1" spans="1:12">
      <c r="A209" s="2">
        <v>6.921</v>
      </c>
      <c r="B209" s="10" t="s">
        <v>380</v>
      </c>
      <c r="C209" s="4">
        <v>6.921</v>
      </c>
      <c r="D209" s="5">
        <v>68.1</v>
      </c>
      <c r="E209" s="4"/>
      <c r="F209" s="4"/>
      <c r="G209" s="2">
        <f t="shared" si="18"/>
        <v>6.887</v>
      </c>
      <c r="H209" s="11" t="str">
        <f t="shared" si="19"/>
        <v>3.810E-2</v>
      </c>
      <c r="I209" s="2">
        <f t="shared" si="20"/>
        <v>68.2</v>
      </c>
      <c r="J209" s="4">
        <f t="shared" si="21"/>
        <v>6.887</v>
      </c>
      <c r="K209" s="9">
        <f t="shared" si="22"/>
        <v>10.6000000000001</v>
      </c>
      <c r="L209" s="1">
        <f t="shared" si="23"/>
        <v>-3.49999999999996</v>
      </c>
    </row>
    <row r="210" s="1" customFormat="1" spans="1:12">
      <c r="A210" s="2">
        <v>6.954</v>
      </c>
      <c r="B210" s="10" t="s">
        <v>381</v>
      </c>
      <c r="C210" s="4">
        <v>6.954</v>
      </c>
      <c r="D210" s="5">
        <v>68.2</v>
      </c>
      <c r="E210" s="4"/>
      <c r="F210" s="4"/>
      <c r="G210" s="2">
        <f t="shared" si="18"/>
        <v>6.921</v>
      </c>
      <c r="H210" s="11" t="str">
        <f t="shared" si="19"/>
        <v>3.794E-2</v>
      </c>
      <c r="I210" s="2">
        <f t="shared" si="20"/>
        <v>68.1</v>
      </c>
      <c r="J210" s="4">
        <f t="shared" si="21"/>
        <v>6.921</v>
      </c>
      <c r="K210" s="9">
        <f t="shared" si="22"/>
        <v>9.00000000000005</v>
      </c>
      <c r="L210" s="1">
        <f t="shared" si="23"/>
        <v>-3.49999999999996</v>
      </c>
    </row>
    <row r="211" s="1" customFormat="1" spans="1:12">
      <c r="A211" s="2">
        <v>6.988</v>
      </c>
      <c r="B211" s="10" t="s">
        <v>382</v>
      </c>
      <c r="C211" s="4">
        <v>6.988</v>
      </c>
      <c r="D211" s="5">
        <v>68.2</v>
      </c>
      <c r="E211" s="4"/>
      <c r="F211" s="4"/>
      <c r="G211" s="2">
        <f t="shared" si="18"/>
        <v>6.954</v>
      </c>
      <c r="H211" s="11" t="str">
        <f t="shared" si="19"/>
        <v>3.784E-2</v>
      </c>
      <c r="I211" s="2">
        <f t="shared" si="20"/>
        <v>68.2</v>
      </c>
      <c r="J211" s="4">
        <f t="shared" si="21"/>
        <v>6.954</v>
      </c>
      <c r="K211" s="9">
        <f t="shared" si="22"/>
        <v>8.00000000000002</v>
      </c>
      <c r="L211" s="1">
        <f t="shared" si="23"/>
        <v>-3.49999999999996</v>
      </c>
    </row>
    <row r="212" s="1" customFormat="1" spans="1:12">
      <c r="A212" s="2">
        <v>7.021</v>
      </c>
      <c r="B212" s="10" t="s">
        <v>383</v>
      </c>
      <c r="C212" s="4">
        <v>7.021</v>
      </c>
      <c r="D212" s="5">
        <v>68.1</v>
      </c>
      <c r="E212" s="4"/>
      <c r="F212" s="4"/>
      <c r="G212" s="2">
        <f t="shared" si="18"/>
        <v>6.988</v>
      </c>
      <c r="H212" s="11" t="str">
        <f t="shared" si="19"/>
        <v>3.771E-2</v>
      </c>
      <c r="I212" s="2">
        <f t="shared" si="20"/>
        <v>68.2</v>
      </c>
      <c r="J212" s="4">
        <f t="shared" si="21"/>
        <v>6.988</v>
      </c>
      <c r="K212" s="9">
        <f t="shared" si="22"/>
        <v>6.70000000000004</v>
      </c>
      <c r="L212" s="1">
        <f t="shared" si="23"/>
        <v>-3.49999999999996</v>
      </c>
    </row>
    <row r="213" s="1" customFormat="1" spans="1:12">
      <c r="A213" s="2">
        <v>7.054</v>
      </c>
      <c r="B213" s="10" t="s">
        <v>384</v>
      </c>
      <c r="C213" s="4">
        <v>7.054</v>
      </c>
      <c r="D213" s="5">
        <v>68.2</v>
      </c>
      <c r="E213" s="4"/>
      <c r="F213" s="4"/>
      <c r="G213" s="2">
        <f t="shared" si="18"/>
        <v>7.021</v>
      </c>
      <c r="H213" s="11" t="str">
        <f t="shared" si="19"/>
        <v>3.755E-2</v>
      </c>
      <c r="I213" s="2">
        <f t="shared" si="20"/>
        <v>68.1</v>
      </c>
      <c r="J213" s="4">
        <f t="shared" si="21"/>
        <v>7.021</v>
      </c>
      <c r="K213" s="9">
        <f t="shared" si="22"/>
        <v>5.10000000000004</v>
      </c>
      <c r="L213" s="1">
        <f t="shared" si="23"/>
        <v>-3.49999999999996</v>
      </c>
    </row>
    <row r="214" s="1" customFormat="1" spans="1:12">
      <c r="A214" s="2">
        <v>7.088</v>
      </c>
      <c r="B214" s="10" t="s">
        <v>385</v>
      </c>
      <c r="C214" s="4">
        <v>7.088</v>
      </c>
      <c r="D214" s="5">
        <v>68.1</v>
      </c>
      <c r="E214" s="4"/>
      <c r="F214" s="4"/>
      <c r="G214" s="2">
        <f t="shared" si="18"/>
        <v>7.054</v>
      </c>
      <c r="H214" s="11" t="str">
        <f t="shared" si="19"/>
        <v>3.745E-2</v>
      </c>
      <c r="I214" s="2">
        <f t="shared" si="20"/>
        <v>68.2</v>
      </c>
      <c r="J214" s="4">
        <f t="shared" si="21"/>
        <v>7.054</v>
      </c>
      <c r="K214" s="9">
        <f t="shared" si="22"/>
        <v>4.10000000000001</v>
      </c>
      <c r="L214" s="1">
        <f t="shared" si="23"/>
        <v>-3.49999999999996</v>
      </c>
    </row>
    <row r="215" s="1" customFormat="1" spans="1:12">
      <c r="A215" s="2">
        <v>7.121</v>
      </c>
      <c r="B215" s="10" t="s">
        <v>340</v>
      </c>
      <c r="C215" s="4">
        <v>7.121</v>
      </c>
      <c r="D215" s="5">
        <v>68.2</v>
      </c>
      <c r="E215" s="4"/>
      <c r="F215" s="4"/>
      <c r="G215" s="2">
        <f t="shared" si="18"/>
        <v>7.088</v>
      </c>
      <c r="H215" s="11" t="str">
        <f t="shared" si="19"/>
        <v>3.730E-2</v>
      </c>
      <c r="I215" s="2">
        <f t="shared" si="20"/>
        <v>68.1</v>
      </c>
      <c r="J215" s="4">
        <f t="shared" si="21"/>
        <v>7.088</v>
      </c>
      <c r="K215" s="9">
        <f t="shared" si="22"/>
        <v>2.60000000000003</v>
      </c>
      <c r="L215" s="1">
        <f t="shared" si="23"/>
        <v>-3.49999999999996</v>
      </c>
    </row>
    <row r="216" s="1" customFormat="1" spans="1:12">
      <c r="A216" s="2">
        <v>7.155</v>
      </c>
      <c r="B216" s="10" t="s">
        <v>359</v>
      </c>
      <c r="C216" s="4">
        <v>7.155</v>
      </c>
      <c r="D216" s="5">
        <v>253.4</v>
      </c>
      <c r="E216" s="4"/>
      <c r="F216" s="4"/>
      <c r="G216" s="2">
        <f t="shared" si="18"/>
        <v>7.121</v>
      </c>
      <c r="H216" s="11" t="str">
        <f t="shared" si="19"/>
        <v>3.721E-2</v>
      </c>
      <c r="I216" s="2">
        <f t="shared" si="20"/>
        <v>68.2</v>
      </c>
      <c r="J216" s="4">
        <f t="shared" si="21"/>
        <v>7.121</v>
      </c>
      <c r="K216" s="9">
        <f t="shared" si="22"/>
        <v>1.70000000000003</v>
      </c>
      <c r="L216" s="1">
        <f t="shared" si="23"/>
        <v>-3.49999999999996</v>
      </c>
    </row>
    <row r="217" s="1" customFormat="1" spans="1:12">
      <c r="A217" s="2">
        <v>7.188</v>
      </c>
      <c r="B217" s="10" t="s">
        <v>331</v>
      </c>
      <c r="C217" s="4">
        <v>7.188</v>
      </c>
      <c r="D217" s="5">
        <v>253.8</v>
      </c>
      <c r="E217" s="4"/>
      <c r="F217" s="4"/>
      <c r="G217" s="2">
        <f t="shared" si="18"/>
        <v>7.155</v>
      </c>
      <c r="H217" s="11" t="str">
        <f t="shared" si="19"/>
        <v>3.714E-2</v>
      </c>
      <c r="I217" s="2">
        <f t="shared" si="20"/>
        <v>253.4</v>
      </c>
      <c r="J217" s="4">
        <f t="shared" si="21"/>
        <v>7.155</v>
      </c>
      <c r="K217" s="9">
        <f t="shared" si="22"/>
        <v>1.00000000000003</v>
      </c>
      <c r="L217" s="1">
        <f t="shared" si="23"/>
        <v>16.1</v>
      </c>
    </row>
    <row r="218" s="1" customFormat="1" spans="1:12">
      <c r="A218" s="2">
        <v>7.222</v>
      </c>
      <c r="B218" s="10" t="s">
        <v>354</v>
      </c>
      <c r="C218" s="4">
        <v>7.222</v>
      </c>
      <c r="D218" s="5">
        <v>253.8</v>
      </c>
      <c r="E218" s="4"/>
      <c r="F218" s="4"/>
      <c r="G218" s="2">
        <f t="shared" si="18"/>
        <v>7.188</v>
      </c>
      <c r="H218" s="11" t="str">
        <f t="shared" si="19"/>
        <v>3.702E-2</v>
      </c>
      <c r="I218" s="2">
        <f t="shared" si="20"/>
        <v>253.8</v>
      </c>
      <c r="J218" s="4">
        <f t="shared" si="21"/>
        <v>7.188</v>
      </c>
      <c r="K218" s="9">
        <f t="shared" si="22"/>
        <v>-0.199999999999992</v>
      </c>
      <c r="L218" s="1">
        <f t="shared" si="23"/>
        <v>16.1</v>
      </c>
    </row>
    <row r="219" s="1" customFormat="1" spans="1:12">
      <c r="A219" s="2">
        <v>7.255</v>
      </c>
      <c r="B219" s="10" t="s">
        <v>357</v>
      </c>
      <c r="C219" s="4">
        <v>7.255</v>
      </c>
      <c r="D219" s="5">
        <v>253.8</v>
      </c>
      <c r="E219" s="4"/>
      <c r="F219" s="4"/>
      <c r="G219" s="2">
        <f t="shared" si="18"/>
        <v>7.222</v>
      </c>
      <c r="H219" s="11" t="str">
        <f t="shared" si="19"/>
        <v>3.694E-2</v>
      </c>
      <c r="I219" s="2">
        <f t="shared" si="20"/>
        <v>253.8</v>
      </c>
      <c r="J219" s="4">
        <f t="shared" si="21"/>
        <v>7.222</v>
      </c>
      <c r="K219" s="9">
        <f t="shared" si="22"/>
        <v>-0.999999999999959</v>
      </c>
      <c r="L219" s="1">
        <f t="shared" si="23"/>
        <v>16.1</v>
      </c>
    </row>
    <row r="220" s="1" customFormat="1" spans="1:12">
      <c r="A220" s="2">
        <v>7.288</v>
      </c>
      <c r="B220" s="10" t="s">
        <v>386</v>
      </c>
      <c r="C220" s="4">
        <v>7.288</v>
      </c>
      <c r="D220" s="5">
        <v>253.8</v>
      </c>
      <c r="E220" s="4"/>
      <c r="F220" s="4"/>
      <c r="G220" s="2">
        <f t="shared" si="18"/>
        <v>7.255</v>
      </c>
      <c r="H220" s="11" t="str">
        <f t="shared" si="19"/>
        <v>3.689E-2</v>
      </c>
      <c r="I220" s="2">
        <f t="shared" si="20"/>
        <v>253.8</v>
      </c>
      <c r="J220" s="4">
        <f t="shared" si="21"/>
        <v>7.255</v>
      </c>
      <c r="K220" s="9">
        <f t="shared" si="22"/>
        <v>-1.49999999999997</v>
      </c>
      <c r="L220" s="1">
        <f t="shared" si="23"/>
        <v>16.1</v>
      </c>
    </row>
    <row r="221" s="1" customFormat="1" spans="1:12">
      <c r="A221" s="2">
        <v>7.322</v>
      </c>
      <c r="B221" s="10" t="s">
        <v>387</v>
      </c>
      <c r="C221" s="4">
        <v>7.322</v>
      </c>
      <c r="D221" s="5">
        <v>253.8</v>
      </c>
      <c r="E221" s="4"/>
      <c r="F221" s="4"/>
      <c r="G221" s="2">
        <f t="shared" si="18"/>
        <v>7.288</v>
      </c>
      <c r="H221" s="11" t="str">
        <f t="shared" si="19"/>
        <v>3.683E-2</v>
      </c>
      <c r="I221" s="2">
        <f t="shared" si="20"/>
        <v>253.8</v>
      </c>
      <c r="J221" s="4">
        <f t="shared" si="21"/>
        <v>7.288</v>
      </c>
      <c r="K221" s="9">
        <f t="shared" si="22"/>
        <v>-2.09999999999995</v>
      </c>
      <c r="L221" s="1">
        <f t="shared" si="23"/>
        <v>16.1</v>
      </c>
    </row>
    <row r="222" s="1" customFormat="1" spans="1:12">
      <c r="A222" s="2">
        <v>7.355</v>
      </c>
      <c r="B222" s="10" t="s">
        <v>388</v>
      </c>
      <c r="C222" s="4">
        <v>7.355</v>
      </c>
      <c r="D222" s="5">
        <v>253.8</v>
      </c>
      <c r="E222" s="4"/>
      <c r="F222" s="4"/>
      <c r="G222" s="2">
        <f t="shared" si="18"/>
        <v>7.322</v>
      </c>
      <c r="H222" s="11" t="str">
        <f t="shared" si="19"/>
        <v>3.675E-2</v>
      </c>
      <c r="I222" s="2">
        <f t="shared" si="20"/>
        <v>253.8</v>
      </c>
      <c r="J222" s="4">
        <f t="shared" si="21"/>
        <v>7.322</v>
      </c>
      <c r="K222" s="9">
        <f t="shared" si="22"/>
        <v>-2.89999999999999</v>
      </c>
      <c r="L222" s="1">
        <f t="shared" si="23"/>
        <v>16.1</v>
      </c>
    </row>
    <row r="223" s="1" customFormat="1" spans="1:12">
      <c r="A223" s="2">
        <v>7.389</v>
      </c>
      <c r="B223" s="10" t="s">
        <v>389</v>
      </c>
      <c r="C223" s="4">
        <v>7.389</v>
      </c>
      <c r="D223" s="5">
        <v>253.8</v>
      </c>
      <c r="E223" s="4"/>
      <c r="F223" s="4"/>
      <c r="G223" s="2">
        <f t="shared" si="18"/>
        <v>7.355</v>
      </c>
      <c r="H223" s="11" t="str">
        <f t="shared" si="19"/>
        <v>3.671E-2</v>
      </c>
      <c r="I223" s="2">
        <f t="shared" si="20"/>
        <v>253.8</v>
      </c>
      <c r="J223" s="4">
        <f t="shared" si="21"/>
        <v>7.355</v>
      </c>
      <c r="K223" s="9">
        <f t="shared" si="22"/>
        <v>-3.29999999999997</v>
      </c>
      <c r="L223" s="1">
        <f t="shared" si="23"/>
        <v>16.1</v>
      </c>
    </row>
    <row r="224" s="1" customFormat="1" spans="1:12">
      <c r="A224" s="2">
        <v>7.422</v>
      </c>
      <c r="B224" s="10" t="s">
        <v>389</v>
      </c>
      <c r="C224" s="4">
        <v>7.422</v>
      </c>
      <c r="D224" s="5">
        <v>253.8</v>
      </c>
      <c r="E224" s="4"/>
      <c r="F224" s="4"/>
      <c r="G224" s="2">
        <f t="shared" si="18"/>
        <v>7.389</v>
      </c>
      <c r="H224" s="11" t="str">
        <f t="shared" si="19"/>
        <v>3.669E-2</v>
      </c>
      <c r="I224" s="2">
        <f t="shared" si="20"/>
        <v>253.8</v>
      </c>
      <c r="J224" s="4">
        <f t="shared" si="21"/>
        <v>7.389</v>
      </c>
      <c r="K224" s="9">
        <f t="shared" si="22"/>
        <v>-3.49999999999996</v>
      </c>
      <c r="L224" s="1">
        <f t="shared" si="23"/>
        <v>16.1</v>
      </c>
    </row>
    <row r="225" s="1" customFormat="1" spans="1:12">
      <c r="A225" s="2">
        <v>7.456</v>
      </c>
      <c r="B225" s="10" t="s">
        <v>388</v>
      </c>
      <c r="C225" s="4">
        <v>7.456</v>
      </c>
      <c r="D225" s="5">
        <v>253.8</v>
      </c>
      <c r="E225" s="4"/>
      <c r="F225" s="4"/>
      <c r="G225" s="2">
        <f t="shared" si="18"/>
        <v>7.422</v>
      </c>
      <c r="H225" s="11" t="str">
        <f t="shared" si="19"/>
        <v>3.669E-2</v>
      </c>
      <c r="I225" s="2">
        <f t="shared" si="20"/>
        <v>253.8</v>
      </c>
      <c r="J225" s="4">
        <f t="shared" si="21"/>
        <v>7.422</v>
      </c>
      <c r="K225" s="9">
        <f t="shared" si="22"/>
        <v>-3.49999999999996</v>
      </c>
      <c r="L225" s="1">
        <f t="shared" si="23"/>
        <v>16.1</v>
      </c>
    </row>
    <row r="226" s="1" customFormat="1" spans="1:12">
      <c r="A226" s="2">
        <v>7.489</v>
      </c>
      <c r="B226" s="10" t="s">
        <v>390</v>
      </c>
      <c r="C226" s="4">
        <v>7.489</v>
      </c>
      <c r="D226" s="5">
        <v>253.8</v>
      </c>
      <c r="E226" s="4"/>
      <c r="F226" s="4"/>
      <c r="G226" s="2">
        <f t="shared" si="18"/>
        <v>7.456</v>
      </c>
      <c r="H226" s="11" t="str">
        <f t="shared" si="19"/>
        <v>3.671E-2</v>
      </c>
      <c r="I226" s="2">
        <f t="shared" si="20"/>
        <v>253.8</v>
      </c>
      <c r="J226" s="4">
        <f t="shared" si="21"/>
        <v>7.456</v>
      </c>
      <c r="K226" s="9">
        <f t="shared" si="22"/>
        <v>-3.29999999999997</v>
      </c>
      <c r="L226" s="1">
        <f t="shared" si="23"/>
        <v>16.1</v>
      </c>
    </row>
    <row r="227" s="1" customFormat="1" spans="1:12">
      <c r="A227" s="2">
        <v>7.522</v>
      </c>
      <c r="B227" s="10" t="s">
        <v>391</v>
      </c>
      <c r="C227" s="4">
        <v>7.522</v>
      </c>
      <c r="D227" s="5">
        <v>253.8</v>
      </c>
      <c r="E227" s="4"/>
      <c r="F227" s="4"/>
      <c r="G227" s="2">
        <f t="shared" si="18"/>
        <v>7.489</v>
      </c>
      <c r="H227" s="11" t="str">
        <f t="shared" si="19"/>
        <v>3.673E-2</v>
      </c>
      <c r="I227" s="2">
        <f t="shared" si="20"/>
        <v>253.8</v>
      </c>
      <c r="J227" s="4">
        <f t="shared" si="21"/>
        <v>7.489</v>
      </c>
      <c r="K227" s="9">
        <f t="shared" si="22"/>
        <v>-3.09999999999998</v>
      </c>
      <c r="L227" s="1">
        <f t="shared" si="23"/>
        <v>16.1</v>
      </c>
    </row>
    <row r="228" s="1" customFormat="1" spans="1:12">
      <c r="A228" s="2">
        <v>7.556</v>
      </c>
      <c r="B228" s="10" t="s">
        <v>392</v>
      </c>
      <c r="C228" s="4">
        <v>7.556</v>
      </c>
      <c r="D228" s="5">
        <v>253.8</v>
      </c>
      <c r="E228" s="4"/>
      <c r="F228" s="4"/>
      <c r="G228" s="2">
        <f t="shared" si="18"/>
        <v>7.522</v>
      </c>
      <c r="H228" s="11" t="str">
        <f t="shared" si="19"/>
        <v>3.677E-2</v>
      </c>
      <c r="I228" s="2">
        <f t="shared" si="20"/>
        <v>253.8</v>
      </c>
      <c r="J228" s="4">
        <f t="shared" si="21"/>
        <v>7.522</v>
      </c>
      <c r="K228" s="9">
        <f t="shared" si="22"/>
        <v>-2.69999999999999</v>
      </c>
      <c r="L228" s="1">
        <f t="shared" si="23"/>
        <v>16.1</v>
      </c>
    </row>
    <row r="229" s="1" customFormat="1" spans="1:12">
      <c r="A229" s="2">
        <v>7.589</v>
      </c>
      <c r="B229" s="10" t="s">
        <v>393</v>
      </c>
      <c r="C229" s="4">
        <v>7.589</v>
      </c>
      <c r="D229" s="5">
        <v>253.9</v>
      </c>
      <c r="E229" s="4"/>
      <c r="F229" s="4"/>
      <c r="G229" s="2">
        <f t="shared" si="18"/>
        <v>7.556</v>
      </c>
      <c r="H229" s="11" t="str">
        <f t="shared" si="19"/>
        <v>3.681E-2</v>
      </c>
      <c r="I229" s="2">
        <f t="shared" si="20"/>
        <v>253.8</v>
      </c>
      <c r="J229" s="4">
        <f t="shared" si="21"/>
        <v>7.556</v>
      </c>
      <c r="K229" s="9">
        <f t="shared" si="22"/>
        <v>-2.29999999999994</v>
      </c>
      <c r="L229" s="1">
        <f t="shared" si="23"/>
        <v>16.1</v>
      </c>
    </row>
    <row r="230" s="1" customFormat="1" spans="1:12">
      <c r="A230" s="2">
        <v>7.623</v>
      </c>
      <c r="B230" s="10" t="s">
        <v>354</v>
      </c>
      <c r="C230" s="4">
        <v>7.623</v>
      </c>
      <c r="D230" s="5">
        <v>253.8</v>
      </c>
      <c r="E230" s="4"/>
      <c r="F230" s="4"/>
      <c r="G230" s="2">
        <f t="shared" si="18"/>
        <v>7.589</v>
      </c>
      <c r="H230" s="11" t="str">
        <f t="shared" si="19"/>
        <v>3.685E-2</v>
      </c>
      <c r="I230" s="2">
        <f t="shared" si="20"/>
        <v>253.9</v>
      </c>
      <c r="J230" s="4">
        <f t="shared" si="21"/>
        <v>7.589</v>
      </c>
      <c r="K230" s="9">
        <f t="shared" si="22"/>
        <v>-1.89999999999996</v>
      </c>
      <c r="L230" s="1">
        <f t="shared" si="23"/>
        <v>16.1</v>
      </c>
    </row>
    <row r="231" s="1" customFormat="1" spans="1:12">
      <c r="A231" s="2">
        <v>7.656</v>
      </c>
      <c r="B231" s="10" t="s">
        <v>332</v>
      </c>
      <c r="C231" s="4">
        <v>7.656</v>
      </c>
      <c r="D231" s="5">
        <v>253.8</v>
      </c>
      <c r="E231" s="4"/>
      <c r="F231" s="4"/>
      <c r="G231" s="2">
        <f t="shared" si="18"/>
        <v>7.623</v>
      </c>
      <c r="H231" s="11" t="str">
        <f t="shared" si="19"/>
        <v>3.694E-2</v>
      </c>
      <c r="I231" s="2">
        <f t="shared" si="20"/>
        <v>253.8</v>
      </c>
      <c r="J231" s="4">
        <f t="shared" si="21"/>
        <v>7.623</v>
      </c>
      <c r="K231" s="9">
        <f t="shared" si="22"/>
        <v>-0.999999999999959</v>
      </c>
      <c r="L231" s="1">
        <f t="shared" si="23"/>
        <v>16.1</v>
      </c>
    </row>
    <row r="232" s="1" customFormat="1" spans="1:12">
      <c r="A232" s="2">
        <v>7.69</v>
      </c>
      <c r="B232" s="10" t="s">
        <v>338</v>
      </c>
      <c r="C232" s="4">
        <v>7.69</v>
      </c>
      <c r="D232" s="5">
        <v>253.8</v>
      </c>
      <c r="E232" s="4"/>
      <c r="F232" s="4"/>
      <c r="G232" s="2">
        <f t="shared" si="18"/>
        <v>7.656</v>
      </c>
      <c r="H232" s="11" t="str">
        <f t="shared" si="19"/>
        <v>3.707E-2</v>
      </c>
      <c r="I232" s="2">
        <f t="shared" si="20"/>
        <v>253.8</v>
      </c>
      <c r="J232" s="4">
        <f t="shared" si="21"/>
        <v>7.656</v>
      </c>
      <c r="K232" s="9">
        <f t="shared" si="22"/>
        <v>0.300000000000022</v>
      </c>
      <c r="L232" s="1">
        <f t="shared" si="23"/>
        <v>16.1</v>
      </c>
    </row>
    <row r="233" s="1" customFormat="1" spans="1:12">
      <c r="A233" s="2">
        <v>7.723</v>
      </c>
      <c r="B233" s="10" t="s">
        <v>352</v>
      </c>
      <c r="C233" s="4">
        <v>7.723</v>
      </c>
      <c r="D233" s="5">
        <v>253.8</v>
      </c>
      <c r="E233" s="4"/>
      <c r="F233" s="4"/>
      <c r="G233" s="2">
        <f t="shared" si="18"/>
        <v>7.69</v>
      </c>
      <c r="H233" s="11" t="str">
        <f t="shared" si="19"/>
        <v>3.717E-2</v>
      </c>
      <c r="I233" s="2">
        <f t="shared" si="20"/>
        <v>253.8</v>
      </c>
      <c r="J233" s="4">
        <f t="shared" si="21"/>
        <v>7.69</v>
      </c>
      <c r="K233" s="9">
        <f t="shared" si="22"/>
        <v>1.30000000000005</v>
      </c>
      <c r="L233" s="1">
        <f t="shared" si="23"/>
        <v>16.1</v>
      </c>
    </row>
    <row r="234" s="1" customFormat="1" spans="1:12">
      <c r="A234" s="2">
        <v>7.756</v>
      </c>
      <c r="B234" s="10" t="s">
        <v>394</v>
      </c>
      <c r="C234" s="4">
        <v>7.756</v>
      </c>
      <c r="D234" s="5">
        <v>253.8</v>
      </c>
      <c r="E234" s="4"/>
      <c r="F234" s="4"/>
      <c r="G234" s="2">
        <f t="shared" si="18"/>
        <v>7.723</v>
      </c>
      <c r="H234" s="11" t="str">
        <f t="shared" si="19"/>
        <v>3.726E-2</v>
      </c>
      <c r="I234" s="2">
        <f t="shared" si="20"/>
        <v>253.8</v>
      </c>
      <c r="J234" s="4">
        <f t="shared" si="21"/>
        <v>7.723</v>
      </c>
      <c r="K234" s="9">
        <f t="shared" si="22"/>
        <v>2.20000000000005</v>
      </c>
      <c r="L234" s="1">
        <f t="shared" si="23"/>
        <v>16.1</v>
      </c>
    </row>
    <row r="235" s="1" customFormat="1" spans="1:12">
      <c r="A235" s="2">
        <v>7.79</v>
      </c>
      <c r="B235" s="10" t="s">
        <v>383</v>
      </c>
      <c r="C235" s="4">
        <v>7.79</v>
      </c>
      <c r="D235" s="5">
        <v>253.8</v>
      </c>
      <c r="E235" s="4"/>
      <c r="F235" s="4"/>
      <c r="G235" s="2">
        <f t="shared" si="18"/>
        <v>7.756</v>
      </c>
      <c r="H235" s="11" t="str">
        <f t="shared" si="19"/>
        <v>3.742E-2</v>
      </c>
      <c r="I235" s="2">
        <f t="shared" si="20"/>
        <v>253.8</v>
      </c>
      <c r="J235" s="4">
        <f t="shared" si="21"/>
        <v>7.756</v>
      </c>
      <c r="K235" s="9">
        <f t="shared" si="22"/>
        <v>3.80000000000005</v>
      </c>
      <c r="L235" s="1">
        <f t="shared" si="23"/>
        <v>16.1</v>
      </c>
    </row>
    <row r="236" s="1" customFormat="1" spans="1:12">
      <c r="A236" s="2">
        <v>7.823</v>
      </c>
      <c r="B236" s="10" t="s">
        <v>395</v>
      </c>
      <c r="C236" s="4">
        <v>7.823</v>
      </c>
      <c r="D236" s="5">
        <v>253.8</v>
      </c>
      <c r="E236" s="4"/>
      <c r="F236" s="4"/>
      <c r="G236" s="2">
        <f t="shared" si="18"/>
        <v>7.79</v>
      </c>
      <c r="H236" s="11" t="str">
        <f t="shared" si="19"/>
        <v>3.755E-2</v>
      </c>
      <c r="I236" s="2">
        <f t="shared" si="20"/>
        <v>253.8</v>
      </c>
      <c r="J236" s="4">
        <f t="shared" si="21"/>
        <v>7.79</v>
      </c>
      <c r="K236" s="9">
        <f t="shared" si="22"/>
        <v>5.10000000000004</v>
      </c>
      <c r="L236" s="1">
        <f t="shared" si="23"/>
        <v>16.1</v>
      </c>
    </row>
    <row r="237" s="1" customFormat="1" spans="1:12">
      <c r="A237" s="2">
        <v>7.857</v>
      </c>
      <c r="B237" s="10" t="s">
        <v>396</v>
      </c>
      <c r="C237" s="4">
        <v>7.857</v>
      </c>
      <c r="D237" s="5">
        <v>253.8</v>
      </c>
      <c r="E237" s="4"/>
      <c r="F237" s="4"/>
      <c r="G237" s="2">
        <f t="shared" si="18"/>
        <v>7.823</v>
      </c>
      <c r="H237" s="11" t="str">
        <f t="shared" si="19"/>
        <v>3.774E-2</v>
      </c>
      <c r="I237" s="2">
        <f t="shared" si="20"/>
        <v>253.8</v>
      </c>
      <c r="J237" s="4">
        <f t="shared" si="21"/>
        <v>7.823</v>
      </c>
      <c r="K237" s="9">
        <f t="shared" si="22"/>
        <v>7.00000000000006</v>
      </c>
      <c r="L237" s="1">
        <f t="shared" si="23"/>
        <v>16.1</v>
      </c>
    </row>
    <row r="238" s="1" customFormat="1" spans="1:12">
      <c r="A238" s="2">
        <v>7.89</v>
      </c>
      <c r="B238" s="10" t="s">
        <v>397</v>
      </c>
      <c r="C238" s="4">
        <v>7.89</v>
      </c>
      <c r="D238" s="5">
        <v>253.8</v>
      </c>
      <c r="E238" s="4"/>
      <c r="F238" s="4"/>
      <c r="G238" s="2">
        <f t="shared" si="18"/>
        <v>7.857</v>
      </c>
      <c r="H238" s="11" t="str">
        <f t="shared" si="19"/>
        <v>3.787E-2</v>
      </c>
      <c r="I238" s="2">
        <f t="shared" si="20"/>
        <v>253.8</v>
      </c>
      <c r="J238" s="4">
        <f t="shared" si="21"/>
        <v>7.857</v>
      </c>
      <c r="K238" s="9">
        <f t="shared" si="22"/>
        <v>8.30000000000004</v>
      </c>
      <c r="L238" s="1">
        <f t="shared" si="23"/>
        <v>16.1</v>
      </c>
    </row>
    <row r="239" s="1" customFormat="1" spans="1:12">
      <c r="A239" s="2">
        <v>7.924</v>
      </c>
      <c r="B239" s="10" t="s">
        <v>379</v>
      </c>
      <c r="C239" s="4">
        <v>7.924</v>
      </c>
      <c r="D239" s="5">
        <v>253.8</v>
      </c>
      <c r="E239" s="4"/>
      <c r="F239" s="4"/>
      <c r="G239" s="2">
        <f t="shared" si="18"/>
        <v>7.89</v>
      </c>
      <c r="H239" s="11" t="str">
        <f t="shared" si="19"/>
        <v>3.802E-2</v>
      </c>
      <c r="I239" s="2">
        <f t="shared" si="20"/>
        <v>253.8</v>
      </c>
      <c r="J239" s="4">
        <f t="shared" si="21"/>
        <v>7.89</v>
      </c>
      <c r="K239" s="9">
        <f t="shared" si="22"/>
        <v>9.80000000000002</v>
      </c>
      <c r="L239" s="1">
        <f t="shared" si="23"/>
        <v>16.1</v>
      </c>
    </row>
    <row r="240" s="1" customFormat="1" spans="1:12">
      <c r="A240" s="2">
        <v>7.957</v>
      </c>
      <c r="B240" s="10" t="s">
        <v>377</v>
      </c>
      <c r="C240" s="4">
        <v>7.957</v>
      </c>
      <c r="D240" s="5">
        <v>253.8</v>
      </c>
      <c r="E240" s="4"/>
      <c r="F240" s="4"/>
      <c r="G240" s="2">
        <f t="shared" si="18"/>
        <v>7.924</v>
      </c>
      <c r="H240" s="11" t="str">
        <f t="shared" si="19"/>
        <v>3.810E-2</v>
      </c>
      <c r="I240" s="2">
        <f t="shared" si="20"/>
        <v>253.8</v>
      </c>
      <c r="J240" s="4">
        <f t="shared" si="21"/>
        <v>7.924</v>
      </c>
      <c r="K240" s="9">
        <f t="shared" si="22"/>
        <v>10.6000000000001</v>
      </c>
      <c r="L240" s="1">
        <f t="shared" si="23"/>
        <v>16.1</v>
      </c>
    </row>
    <row r="241" s="1" customFormat="1" spans="1:12">
      <c r="A241" s="2">
        <v>7.991</v>
      </c>
      <c r="B241" s="10" t="s">
        <v>374</v>
      </c>
      <c r="C241" s="4">
        <v>7.991</v>
      </c>
      <c r="D241" s="5">
        <v>245.9</v>
      </c>
      <c r="E241" s="4"/>
      <c r="F241" s="4"/>
      <c r="G241" s="2">
        <f t="shared" si="18"/>
        <v>7.957</v>
      </c>
      <c r="H241" s="11" t="str">
        <f t="shared" si="19"/>
        <v>3.819E-2</v>
      </c>
      <c r="I241" s="2">
        <f t="shared" si="20"/>
        <v>253.8</v>
      </c>
      <c r="J241" s="4">
        <f t="shared" si="21"/>
        <v>7.957</v>
      </c>
      <c r="K241" s="9">
        <f t="shared" si="22"/>
        <v>11.5000000000001</v>
      </c>
      <c r="L241" s="1">
        <f t="shared" si="23"/>
        <v>16.1</v>
      </c>
    </row>
    <row r="242" s="1" customFormat="1" spans="1:12">
      <c r="A242" s="2">
        <v>8.024</v>
      </c>
      <c r="B242" s="10" t="s">
        <v>398</v>
      </c>
      <c r="C242" s="4">
        <v>8.024</v>
      </c>
      <c r="D242" s="5">
        <v>80.5</v>
      </c>
      <c r="E242" s="4"/>
      <c r="F242" s="4"/>
      <c r="G242" s="2">
        <f t="shared" si="18"/>
        <v>7.991</v>
      </c>
      <c r="H242" s="11" t="str">
        <f t="shared" si="19"/>
        <v>3.832E-2</v>
      </c>
      <c r="I242" s="2">
        <f t="shared" si="20"/>
        <v>245.9</v>
      </c>
      <c r="J242" s="4">
        <f t="shared" si="21"/>
        <v>7.991</v>
      </c>
      <c r="K242" s="9">
        <f t="shared" si="22"/>
        <v>12.8</v>
      </c>
      <c r="L242" s="1">
        <f t="shared" si="23"/>
        <v>16.1</v>
      </c>
    </row>
    <row r="243" s="1" customFormat="1" spans="1:12">
      <c r="A243" s="2">
        <v>8.057</v>
      </c>
      <c r="B243" s="10" t="s">
        <v>399</v>
      </c>
      <c r="C243" s="4">
        <v>8.057</v>
      </c>
      <c r="D243" s="5">
        <v>101.6</v>
      </c>
      <c r="E243" s="4"/>
      <c r="F243" s="4"/>
      <c r="G243" s="2">
        <f t="shared" si="18"/>
        <v>8.024</v>
      </c>
      <c r="H243" s="11" t="str">
        <f t="shared" si="19"/>
        <v>3.842E-2</v>
      </c>
      <c r="I243" s="2">
        <f t="shared" si="20"/>
        <v>80.5</v>
      </c>
      <c r="J243" s="4">
        <f t="shared" si="21"/>
        <v>8.024</v>
      </c>
      <c r="K243" s="9">
        <f t="shared" si="22"/>
        <v>13.8000000000001</v>
      </c>
      <c r="L243" s="1">
        <f t="shared" si="23"/>
        <v>-3.49999999999996</v>
      </c>
    </row>
    <row r="244" s="1" customFormat="1" spans="1:12">
      <c r="A244" s="2">
        <v>8.091</v>
      </c>
      <c r="B244" s="10" t="s">
        <v>400</v>
      </c>
      <c r="C244" s="4">
        <v>8.091</v>
      </c>
      <c r="D244" s="5">
        <v>99.3</v>
      </c>
      <c r="E244" s="4"/>
      <c r="F244" s="4"/>
      <c r="G244" s="2">
        <f t="shared" si="18"/>
        <v>8.057</v>
      </c>
      <c r="H244" s="11" t="str">
        <f t="shared" si="19"/>
        <v>3.849E-2</v>
      </c>
      <c r="I244" s="2">
        <f t="shared" si="20"/>
        <v>101.6</v>
      </c>
      <c r="J244" s="4">
        <f t="shared" si="21"/>
        <v>8.057</v>
      </c>
      <c r="K244" s="9">
        <f t="shared" si="22"/>
        <v>14.5000000000001</v>
      </c>
      <c r="L244" s="1">
        <f t="shared" si="23"/>
        <v>-3.49999999999996</v>
      </c>
    </row>
    <row r="245" s="1" customFormat="1" spans="1:12">
      <c r="A245" s="2">
        <v>8.124</v>
      </c>
      <c r="B245" s="10" t="s">
        <v>401</v>
      </c>
      <c r="C245" s="4">
        <v>8.124</v>
      </c>
      <c r="D245" s="5">
        <v>96.8</v>
      </c>
      <c r="E245" s="4"/>
      <c r="F245" s="4"/>
      <c r="G245" s="2">
        <f t="shared" si="18"/>
        <v>8.091</v>
      </c>
      <c r="H245" s="11" t="str">
        <f t="shared" si="19"/>
        <v>3.857E-2</v>
      </c>
      <c r="I245" s="2">
        <f t="shared" si="20"/>
        <v>99.3</v>
      </c>
      <c r="J245" s="4">
        <f t="shared" si="21"/>
        <v>8.091</v>
      </c>
      <c r="K245" s="9">
        <f t="shared" si="22"/>
        <v>15.3</v>
      </c>
      <c r="L245" s="1">
        <f t="shared" si="23"/>
        <v>-3.49999999999996</v>
      </c>
    </row>
    <row r="246" s="1" customFormat="1" spans="1:12">
      <c r="A246" s="2">
        <v>8.158</v>
      </c>
      <c r="B246" s="10" t="s">
        <v>402</v>
      </c>
      <c r="C246" s="4">
        <v>8.158</v>
      </c>
      <c r="D246" s="5">
        <v>95.2</v>
      </c>
      <c r="E246" s="4"/>
      <c r="F246" s="4"/>
      <c r="G246" s="2">
        <f t="shared" si="18"/>
        <v>8.124</v>
      </c>
      <c r="H246" s="11" t="str">
        <f t="shared" si="19"/>
        <v>3.863E-2</v>
      </c>
      <c r="I246" s="2">
        <f t="shared" si="20"/>
        <v>96.8</v>
      </c>
      <c r="J246" s="4">
        <f t="shared" si="21"/>
        <v>8.124</v>
      </c>
      <c r="K246" s="9">
        <f t="shared" si="22"/>
        <v>15.9</v>
      </c>
      <c r="L246" s="1">
        <f t="shared" si="23"/>
        <v>-3.49999999999996</v>
      </c>
    </row>
    <row r="247" s="1" customFormat="1" spans="1:12">
      <c r="A247" s="2">
        <v>8.191</v>
      </c>
      <c r="B247" s="10" t="s">
        <v>403</v>
      </c>
      <c r="C247" s="4">
        <v>8.191</v>
      </c>
      <c r="D247" s="5">
        <v>92.6</v>
      </c>
      <c r="E247" s="4"/>
      <c r="F247" s="4"/>
      <c r="G247" s="2">
        <f t="shared" si="18"/>
        <v>8.158</v>
      </c>
      <c r="H247" s="11" t="str">
        <f t="shared" si="19"/>
        <v>3.865E-2</v>
      </c>
      <c r="I247" s="2">
        <f t="shared" si="20"/>
        <v>95.2</v>
      </c>
      <c r="J247" s="4">
        <f t="shared" si="21"/>
        <v>8.158</v>
      </c>
      <c r="K247" s="9">
        <f t="shared" si="22"/>
        <v>16.1</v>
      </c>
      <c r="L247" s="1">
        <f t="shared" si="23"/>
        <v>-3.49999999999996</v>
      </c>
    </row>
    <row r="248" s="1" customFormat="1" spans="1:12">
      <c r="A248" s="2">
        <v>8.225</v>
      </c>
      <c r="B248" s="10" t="s">
        <v>402</v>
      </c>
      <c r="C248" s="4">
        <v>8.225</v>
      </c>
      <c r="D248" s="5">
        <v>92.7</v>
      </c>
      <c r="E248" s="4"/>
      <c r="F248" s="4"/>
      <c r="G248" s="2">
        <f t="shared" si="18"/>
        <v>8.191</v>
      </c>
      <c r="H248" s="11" t="str">
        <f t="shared" si="19"/>
        <v>3.864E-2</v>
      </c>
      <c r="I248" s="2">
        <f t="shared" si="20"/>
        <v>92.6</v>
      </c>
      <c r="J248" s="4">
        <f t="shared" si="21"/>
        <v>8.191</v>
      </c>
      <c r="K248" s="9">
        <f t="shared" si="22"/>
        <v>16</v>
      </c>
      <c r="L248" s="1">
        <f t="shared" si="23"/>
        <v>-3.49999999999996</v>
      </c>
    </row>
    <row r="249" s="1" customFormat="1" spans="1:12">
      <c r="A249" s="2">
        <v>8.258</v>
      </c>
      <c r="B249" s="10" t="s">
        <v>404</v>
      </c>
      <c r="C249" s="4">
        <v>8.258</v>
      </c>
      <c r="D249" s="5">
        <v>90</v>
      </c>
      <c r="E249" s="4"/>
      <c r="F249" s="4"/>
      <c r="G249" s="2">
        <f t="shared" si="18"/>
        <v>8.225</v>
      </c>
      <c r="H249" s="11" t="str">
        <f t="shared" si="19"/>
        <v>3.865E-2</v>
      </c>
      <c r="I249" s="2">
        <f t="shared" si="20"/>
        <v>92.7</v>
      </c>
      <c r="J249" s="4">
        <f t="shared" si="21"/>
        <v>8.225</v>
      </c>
      <c r="K249" s="9">
        <f t="shared" si="22"/>
        <v>16.1</v>
      </c>
      <c r="L249" s="1">
        <f t="shared" si="23"/>
        <v>-3.49999999999996</v>
      </c>
    </row>
    <row r="250" s="1" customFormat="1" spans="1:12">
      <c r="A250" s="2">
        <v>8.291</v>
      </c>
      <c r="B250" s="10" t="s">
        <v>405</v>
      </c>
      <c r="C250" s="4">
        <v>8.291</v>
      </c>
      <c r="D250" s="5">
        <v>88.1</v>
      </c>
      <c r="E250" s="4"/>
      <c r="F250" s="4"/>
      <c r="G250" s="2">
        <f t="shared" si="18"/>
        <v>8.258</v>
      </c>
      <c r="H250" s="11" t="str">
        <f t="shared" si="19"/>
        <v>3.861E-2</v>
      </c>
      <c r="I250" s="2">
        <f t="shared" si="20"/>
        <v>90</v>
      </c>
      <c r="J250" s="4">
        <f t="shared" si="21"/>
        <v>8.258</v>
      </c>
      <c r="K250" s="9">
        <f t="shared" si="22"/>
        <v>15.7</v>
      </c>
      <c r="L250" s="1">
        <f t="shared" si="23"/>
        <v>-3.49999999999996</v>
      </c>
    </row>
    <row r="251" s="1" customFormat="1" spans="1:12">
      <c r="A251" s="2">
        <v>8.325</v>
      </c>
      <c r="B251" s="10" t="s">
        <v>406</v>
      </c>
      <c r="C251" s="4">
        <v>8.325</v>
      </c>
      <c r="D251" s="5">
        <v>85.9</v>
      </c>
      <c r="E251" s="4"/>
      <c r="F251" s="4"/>
      <c r="G251" s="2">
        <f t="shared" si="18"/>
        <v>8.291</v>
      </c>
      <c r="H251" s="11" t="str">
        <f t="shared" si="19"/>
        <v>3.858E-2</v>
      </c>
      <c r="I251" s="2">
        <f t="shared" si="20"/>
        <v>88.1</v>
      </c>
      <c r="J251" s="4">
        <f t="shared" si="21"/>
        <v>8.291</v>
      </c>
      <c r="K251" s="9">
        <f t="shared" si="22"/>
        <v>15.4000000000001</v>
      </c>
      <c r="L251" s="1">
        <f t="shared" si="23"/>
        <v>-3.49999999999996</v>
      </c>
    </row>
    <row r="252" s="1" customFormat="1" spans="1:12">
      <c r="A252" s="2">
        <v>8.358</v>
      </c>
      <c r="B252" s="10" t="s">
        <v>407</v>
      </c>
      <c r="C252" s="4">
        <v>8.358</v>
      </c>
      <c r="D252" s="5">
        <v>85.8</v>
      </c>
      <c r="E252" s="4"/>
      <c r="F252" s="4"/>
      <c r="G252" s="2">
        <f t="shared" si="18"/>
        <v>8.325</v>
      </c>
      <c r="H252" s="11" t="str">
        <f t="shared" si="19"/>
        <v>3.855E-2</v>
      </c>
      <c r="I252" s="2">
        <f t="shared" si="20"/>
        <v>85.9</v>
      </c>
      <c r="J252" s="4">
        <f t="shared" si="21"/>
        <v>8.325</v>
      </c>
      <c r="K252" s="9">
        <f t="shared" si="22"/>
        <v>15.1</v>
      </c>
      <c r="L252" s="1">
        <f t="shared" si="23"/>
        <v>-3.49999999999996</v>
      </c>
    </row>
    <row r="253" s="1" customFormat="1" spans="1:12">
      <c r="A253" s="2">
        <v>8.392</v>
      </c>
      <c r="B253" s="10" t="s">
        <v>408</v>
      </c>
      <c r="C253" s="4">
        <v>8.392</v>
      </c>
      <c r="D253" s="5">
        <v>83.5</v>
      </c>
      <c r="E253" s="4"/>
      <c r="F253" s="4"/>
      <c r="G253" s="2">
        <f t="shared" si="18"/>
        <v>8.358</v>
      </c>
      <c r="H253" s="11" t="str">
        <f t="shared" si="19"/>
        <v>3.852E-2</v>
      </c>
      <c r="I253" s="2">
        <f t="shared" si="20"/>
        <v>85.8</v>
      </c>
      <c r="J253" s="4">
        <f t="shared" si="21"/>
        <v>8.358</v>
      </c>
      <c r="K253" s="9">
        <f t="shared" si="22"/>
        <v>14.8</v>
      </c>
      <c r="L253" s="1">
        <f t="shared" si="23"/>
        <v>-3.49999999999996</v>
      </c>
    </row>
    <row r="254" s="1" customFormat="1" spans="1:12">
      <c r="A254" s="2">
        <v>8.425</v>
      </c>
      <c r="B254" s="10" t="s">
        <v>409</v>
      </c>
      <c r="C254" s="4">
        <v>8.425</v>
      </c>
      <c r="D254" s="5">
        <v>81.7</v>
      </c>
      <c r="E254" s="4"/>
      <c r="F254" s="4"/>
      <c r="G254" s="2">
        <f t="shared" si="18"/>
        <v>8.392</v>
      </c>
      <c r="H254" s="11" t="str">
        <f t="shared" si="19"/>
        <v>3.846E-2</v>
      </c>
      <c r="I254" s="2">
        <f t="shared" si="20"/>
        <v>83.5</v>
      </c>
      <c r="J254" s="4">
        <f t="shared" si="21"/>
        <v>8.392</v>
      </c>
      <c r="K254" s="9">
        <f t="shared" si="22"/>
        <v>14.2</v>
      </c>
      <c r="L254" s="1">
        <f t="shared" si="23"/>
        <v>-3.49999999999996</v>
      </c>
    </row>
    <row r="255" s="1" customFormat="1" spans="1:12">
      <c r="A255" s="2">
        <v>8.459</v>
      </c>
      <c r="B255" s="10" t="s">
        <v>410</v>
      </c>
      <c r="C255" s="4">
        <v>8.459</v>
      </c>
      <c r="D255" s="5">
        <v>80.3</v>
      </c>
      <c r="E255" s="4"/>
      <c r="F255" s="4"/>
      <c r="G255" s="2">
        <f t="shared" si="18"/>
        <v>8.425</v>
      </c>
      <c r="H255" s="11" t="str">
        <f t="shared" si="19"/>
        <v>3.841E-2</v>
      </c>
      <c r="I255" s="2">
        <f t="shared" si="20"/>
        <v>81.7</v>
      </c>
      <c r="J255" s="4">
        <f t="shared" si="21"/>
        <v>8.425</v>
      </c>
      <c r="K255" s="9">
        <f t="shared" si="22"/>
        <v>13.7</v>
      </c>
      <c r="L255" s="1">
        <f t="shared" si="23"/>
        <v>-3.49999999999996</v>
      </c>
    </row>
    <row r="256" s="1" customFormat="1" spans="1:12">
      <c r="A256" s="2">
        <v>8.492</v>
      </c>
      <c r="B256" s="10" t="s">
        <v>378</v>
      </c>
      <c r="C256" s="4">
        <v>8.492</v>
      </c>
      <c r="D256" s="5">
        <v>79.7</v>
      </c>
      <c r="E256" s="4"/>
      <c r="F256" s="4"/>
      <c r="G256" s="2">
        <f t="shared" si="18"/>
        <v>8.459</v>
      </c>
      <c r="H256" s="11" t="str">
        <f t="shared" si="19"/>
        <v>3.824E-2</v>
      </c>
      <c r="I256" s="2">
        <f t="shared" si="20"/>
        <v>80.3</v>
      </c>
      <c r="J256" s="4">
        <f t="shared" si="21"/>
        <v>8.459</v>
      </c>
      <c r="K256" s="9">
        <f t="shared" si="22"/>
        <v>12.0000000000001</v>
      </c>
      <c r="L256" s="1">
        <f t="shared" si="23"/>
        <v>-3.49999999999996</v>
      </c>
    </row>
    <row r="257" s="1" customFormat="1" spans="1:12">
      <c r="A257" s="2">
        <v>8.525</v>
      </c>
      <c r="B257" s="10" t="s">
        <v>411</v>
      </c>
      <c r="C257" s="4">
        <v>8.525</v>
      </c>
      <c r="D257" s="5">
        <v>78.8</v>
      </c>
      <c r="E257" s="4"/>
      <c r="F257" s="4"/>
      <c r="G257" s="2">
        <f t="shared" si="18"/>
        <v>8.492</v>
      </c>
      <c r="H257" s="11" t="str">
        <f t="shared" si="19"/>
        <v>3.814E-2</v>
      </c>
      <c r="I257" s="2">
        <f t="shared" si="20"/>
        <v>79.7</v>
      </c>
      <c r="J257" s="4">
        <f t="shared" si="21"/>
        <v>8.492</v>
      </c>
      <c r="K257" s="9">
        <f t="shared" si="22"/>
        <v>11</v>
      </c>
      <c r="L257" s="1">
        <f t="shared" si="23"/>
        <v>-3.49999999999996</v>
      </c>
    </row>
    <row r="258" s="1" customFormat="1" spans="1:12">
      <c r="A258" s="2">
        <v>8.559</v>
      </c>
      <c r="B258" s="10" t="s">
        <v>412</v>
      </c>
      <c r="C258" s="4">
        <v>8.559</v>
      </c>
      <c r="D258" s="5">
        <v>76.9</v>
      </c>
      <c r="E258" s="4"/>
      <c r="F258" s="4"/>
      <c r="G258" s="2">
        <f t="shared" si="18"/>
        <v>8.525</v>
      </c>
      <c r="H258" s="11" t="str">
        <f t="shared" si="19"/>
        <v>3.806E-2</v>
      </c>
      <c r="I258" s="2">
        <f t="shared" si="20"/>
        <v>78.8</v>
      </c>
      <c r="J258" s="4">
        <f t="shared" si="21"/>
        <v>8.525</v>
      </c>
      <c r="K258" s="9">
        <f t="shared" si="22"/>
        <v>10.2</v>
      </c>
      <c r="L258" s="1">
        <f t="shared" si="23"/>
        <v>-3.49999999999996</v>
      </c>
    </row>
    <row r="259" s="1" customFormat="1" spans="1:12">
      <c r="A259" s="2">
        <v>8.592</v>
      </c>
      <c r="B259" s="10" t="s">
        <v>413</v>
      </c>
      <c r="C259" s="4">
        <v>8.592</v>
      </c>
      <c r="D259" s="5">
        <v>76.4</v>
      </c>
      <c r="E259" s="4"/>
      <c r="F259" s="4"/>
      <c r="G259" s="2">
        <f t="shared" si="18"/>
        <v>8.559</v>
      </c>
      <c r="H259" s="11" t="str">
        <f t="shared" si="19"/>
        <v>3.791E-2</v>
      </c>
      <c r="I259" s="2">
        <f t="shared" si="20"/>
        <v>76.9</v>
      </c>
      <c r="J259" s="4">
        <f t="shared" si="21"/>
        <v>8.559</v>
      </c>
      <c r="K259" s="9">
        <f t="shared" si="22"/>
        <v>8.70000000000003</v>
      </c>
      <c r="L259" s="1">
        <f t="shared" si="23"/>
        <v>-3.49999999999996</v>
      </c>
    </row>
    <row r="260" s="1" customFormat="1" spans="1:12">
      <c r="A260" s="2">
        <v>8.626</v>
      </c>
      <c r="B260" s="10" t="s">
        <v>414</v>
      </c>
      <c r="C260" s="4">
        <v>8.626</v>
      </c>
      <c r="D260" s="5">
        <v>75.6</v>
      </c>
      <c r="E260" s="4"/>
      <c r="F260" s="4"/>
      <c r="G260" s="2">
        <f t="shared" ref="G260:G323" si="24">A259</f>
        <v>8.592</v>
      </c>
      <c r="H260" s="11" t="str">
        <f t="shared" ref="H260:H323" si="25">B259</f>
        <v>3.779E-2</v>
      </c>
      <c r="I260" s="2">
        <f t="shared" ref="I260:I323" si="26">D259</f>
        <v>76.4</v>
      </c>
      <c r="J260" s="4">
        <f t="shared" ref="J260:J323" si="27">G260</f>
        <v>8.592</v>
      </c>
      <c r="K260" s="9">
        <f t="shared" ref="K260:K323" si="28">(H260-$H$4)*10000</f>
        <v>7.50000000000001</v>
      </c>
      <c r="L260" s="1">
        <f t="shared" ref="L260:L323" si="29">IF(I260&lt;230,MIN(K:K),MAX(K:K))</f>
        <v>-3.49999999999996</v>
      </c>
    </row>
    <row r="261" s="1" customFormat="1" spans="1:12">
      <c r="A261" s="2">
        <v>8.659</v>
      </c>
      <c r="B261" s="10" t="s">
        <v>415</v>
      </c>
      <c r="C261" s="4">
        <v>8.659</v>
      </c>
      <c r="D261" s="5">
        <v>74.4</v>
      </c>
      <c r="E261" s="4"/>
      <c r="F261" s="4"/>
      <c r="G261" s="2">
        <f t="shared" si="24"/>
        <v>8.626</v>
      </c>
      <c r="H261" s="11" t="str">
        <f t="shared" si="25"/>
        <v>3.760E-2</v>
      </c>
      <c r="I261" s="2">
        <f t="shared" si="26"/>
        <v>75.6</v>
      </c>
      <c r="J261" s="4">
        <f t="shared" si="27"/>
        <v>8.626</v>
      </c>
      <c r="K261" s="9">
        <f t="shared" si="28"/>
        <v>5.60000000000005</v>
      </c>
      <c r="L261" s="1">
        <f t="shared" si="29"/>
        <v>-3.49999999999996</v>
      </c>
    </row>
    <row r="262" s="1" customFormat="1" spans="1:12">
      <c r="A262" s="2">
        <v>8.693</v>
      </c>
      <c r="B262" s="10" t="s">
        <v>342</v>
      </c>
      <c r="C262" s="4">
        <v>8.693</v>
      </c>
      <c r="D262" s="5">
        <v>74.2</v>
      </c>
      <c r="E262" s="4"/>
      <c r="F262" s="4"/>
      <c r="G262" s="2">
        <f t="shared" si="24"/>
        <v>8.659</v>
      </c>
      <c r="H262" s="11" t="str">
        <f t="shared" si="25"/>
        <v>3.749E-2</v>
      </c>
      <c r="I262" s="2">
        <f t="shared" si="26"/>
        <v>74.4</v>
      </c>
      <c r="J262" s="4">
        <f t="shared" si="27"/>
        <v>8.659</v>
      </c>
      <c r="K262" s="9">
        <f t="shared" si="28"/>
        <v>4.50000000000006</v>
      </c>
      <c r="L262" s="1">
        <f t="shared" si="29"/>
        <v>-3.49999999999996</v>
      </c>
    </row>
    <row r="263" s="1" customFormat="1" spans="1:12">
      <c r="A263" s="2">
        <v>8.726</v>
      </c>
      <c r="B263" s="10" t="s">
        <v>361</v>
      </c>
      <c r="C263" s="4">
        <v>8.726</v>
      </c>
      <c r="D263" s="5">
        <v>73.1</v>
      </c>
      <c r="E263" s="4"/>
      <c r="F263" s="4"/>
      <c r="G263" s="2">
        <f t="shared" si="24"/>
        <v>8.693</v>
      </c>
      <c r="H263" s="11" t="str">
        <f t="shared" si="25"/>
        <v>3.735E-2</v>
      </c>
      <c r="I263" s="2">
        <f t="shared" si="26"/>
        <v>74.2</v>
      </c>
      <c r="J263" s="4">
        <f t="shared" si="27"/>
        <v>8.693</v>
      </c>
      <c r="K263" s="9">
        <f t="shared" si="28"/>
        <v>3.10000000000005</v>
      </c>
      <c r="L263" s="1">
        <f t="shared" si="29"/>
        <v>-3.49999999999996</v>
      </c>
    </row>
    <row r="264" s="1" customFormat="1" spans="1:12">
      <c r="A264" s="2">
        <v>8.759</v>
      </c>
      <c r="B264" s="10" t="s">
        <v>339</v>
      </c>
      <c r="C264" s="4">
        <v>8.759</v>
      </c>
      <c r="D264" s="5">
        <v>72.6</v>
      </c>
      <c r="E264" s="4"/>
      <c r="F264" s="4"/>
      <c r="G264" s="2">
        <f t="shared" si="24"/>
        <v>8.726</v>
      </c>
      <c r="H264" s="11" t="str">
        <f t="shared" si="25"/>
        <v>3.724E-2</v>
      </c>
      <c r="I264" s="2">
        <f t="shared" si="26"/>
        <v>73.1</v>
      </c>
      <c r="J264" s="4">
        <f t="shared" si="27"/>
        <v>8.726</v>
      </c>
      <c r="K264" s="9">
        <f t="shared" si="28"/>
        <v>2.00000000000006</v>
      </c>
      <c r="L264" s="1">
        <f t="shared" si="29"/>
        <v>-3.49999999999996</v>
      </c>
    </row>
    <row r="265" s="1" customFormat="1" spans="1:12">
      <c r="A265" s="2">
        <v>8.793</v>
      </c>
      <c r="B265" s="10" t="s">
        <v>338</v>
      </c>
      <c r="C265" s="4">
        <v>8.793</v>
      </c>
      <c r="D265" s="5">
        <v>72</v>
      </c>
      <c r="E265" s="4"/>
      <c r="F265" s="4"/>
      <c r="G265" s="2">
        <f t="shared" si="24"/>
        <v>8.759</v>
      </c>
      <c r="H265" s="11" t="str">
        <f t="shared" si="25"/>
        <v>3.719E-2</v>
      </c>
      <c r="I265" s="2">
        <f t="shared" si="26"/>
        <v>72.6</v>
      </c>
      <c r="J265" s="4">
        <f t="shared" si="27"/>
        <v>8.759</v>
      </c>
      <c r="K265" s="9">
        <f t="shared" si="28"/>
        <v>1.50000000000004</v>
      </c>
      <c r="L265" s="1">
        <f t="shared" si="29"/>
        <v>-3.49999999999996</v>
      </c>
    </row>
    <row r="266" s="1" customFormat="1" spans="1:12">
      <c r="A266" s="2">
        <v>8.826</v>
      </c>
      <c r="B266" s="10" t="s">
        <v>333</v>
      </c>
      <c r="C266" s="4">
        <v>8.826</v>
      </c>
      <c r="D266" s="5">
        <v>228.2</v>
      </c>
      <c r="E266" s="4"/>
      <c r="F266" s="4"/>
      <c r="G266" s="2">
        <f t="shared" si="24"/>
        <v>8.793</v>
      </c>
      <c r="H266" s="11" t="str">
        <f t="shared" si="25"/>
        <v>3.717E-2</v>
      </c>
      <c r="I266" s="2">
        <f t="shared" si="26"/>
        <v>72</v>
      </c>
      <c r="J266" s="4">
        <f t="shared" si="27"/>
        <v>8.793</v>
      </c>
      <c r="K266" s="9">
        <f t="shared" si="28"/>
        <v>1.30000000000005</v>
      </c>
      <c r="L266" s="1">
        <f t="shared" si="29"/>
        <v>-3.49999999999996</v>
      </c>
    </row>
    <row r="267" s="1" customFormat="1" spans="1:12">
      <c r="A267" s="2">
        <v>8.86</v>
      </c>
      <c r="B267" s="10" t="s">
        <v>325</v>
      </c>
      <c r="C267" s="4">
        <v>8.86</v>
      </c>
      <c r="D267" s="5">
        <v>253.8</v>
      </c>
      <c r="E267" s="4"/>
      <c r="F267" s="4"/>
      <c r="G267" s="2">
        <f t="shared" si="24"/>
        <v>8.826</v>
      </c>
      <c r="H267" s="11" t="str">
        <f t="shared" si="25"/>
        <v>3.708E-2</v>
      </c>
      <c r="I267" s="2">
        <f t="shared" si="26"/>
        <v>228.2</v>
      </c>
      <c r="J267" s="4">
        <f t="shared" si="27"/>
        <v>8.826</v>
      </c>
      <c r="K267" s="9">
        <f t="shared" si="28"/>
        <v>0.400000000000053</v>
      </c>
      <c r="L267" s="1">
        <f t="shared" si="29"/>
        <v>-3.49999999999996</v>
      </c>
    </row>
    <row r="268" s="1" customFormat="1" spans="1:12">
      <c r="A268" s="2">
        <v>8.893</v>
      </c>
      <c r="B268" s="10" t="s">
        <v>326</v>
      </c>
      <c r="C268" s="4">
        <v>8.893</v>
      </c>
      <c r="D268" s="5">
        <v>253.8</v>
      </c>
      <c r="E268" s="4"/>
      <c r="F268" s="4"/>
      <c r="G268" s="2">
        <f t="shared" si="24"/>
        <v>8.86</v>
      </c>
      <c r="H268" s="11" t="str">
        <f t="shared" si="25"/>
        <v>3.703E-2</v>
      </c>
      <c r="I268" s="2">
        <f t="shared" si="26"/>
        <v>253.8</v>
      </c>
      <c r="J268" s="4">
        <f t="shared" si="27"/>
        <v>8.86</v>
      </c>
      <c r="K268" s="9">
        <f t="shared" si="28"/>
        <v>-0.0999999999999612</v>
      </c>
      <c r="L268" s="1">
        <f t="shared" si="29"/>
        <v>16.1</v>
      </c>
    </row>
    <row r="269" s="1" customFormat="1" spans="1:12">
      <c r="A269" s="2">
        <v>8.927</v>
      </c>
      <c r="B269" s="10" t="s">
        <v>327</v>
      </c>
      <c r="C269" s="4">
        <v>8.927</v>
      </c>
      <c r="D269" s="5">
        <v>253.8</v>
      </c>
      <c r="E269" s="4"/>
      <c r="F269" s="4"/>
      <c r="G269" s="2">
        <f t="shared" si="24"/>
        <v>8.893</v>
      </c>
      <c r="H269" s="11" t="str">
        <f t="shared" si="25"/>
        <v>3.701E-2</v>
      </c>
      <c r="I269" s="2">
        <f t="shared" si="26"/>
        <v>253.8</v>
      </c>
      <c r="J269" s="4">
        <f t="shared" si="27"/>
        <v>8.893</v>
      </c>
      <c r="K269" s="9">
        <f t="shared" si="28"/>
        <v>-0.299999999999953</v>
      </c>
      <c r="L269" s="1">
        <f t="shared" si="29"/>
        <v>16.1</v>
      </c>
    </row>
    <row r="270" s="1" customFormat="1" spans="1:12">
      <c r="A270" s="2">
        <v>8.96</v>
      </c>
      <c r="B270" s="10" t="s">
        <v>327</v>
      </c>
      <c r="C270" s="4">
        <v>8.96</v>
      </c>
      <c r="D270" s="5">
        <v>253.8</v>
      </c>
      <c r="E270" s="4"/>
      <c r="F270" s="4"/>
      <c r="G270" s="2">
        <f t="shared" si="24"/>
        <v>8.927</v>
      </c>
      <c r="H270" s="11" t="str">
        <f t="shared" si="25"/>
        <v>3.700E-2</v>
      </c>
      <c r="I270" s="2">
        <f t="shared" si="26"/>
        <v>253.8</v>
      </c>
      <c r="J270" s="4">
        <f t="shared" si="27"/>
        <v>8.927</v>
      </c>
      <c r="K270" s="9">
        <f t="shared" si="28"/>
        <v>-0.399999999999984</v>
      </c>
      <c r="L270" s="1">
        <f t="shared" si="29"/>
        <v>16.1</v>
      </c>
    </row>
    <row r="271" s="1" customFormat="1" spans="1:12">
      <c r="A271" s="2">
        <v>8.994</v>
      </c>
      <c r="B271" s="10" t="s">
        <v>325</v>
      </c>
      <c r="C271" s="4">
        <v>8.994</v>
      </c>
      <c r="D271" s="5">
        <v>253.8</v>
      </c>
      <c r="E271" s="4"/>
      <c r="F271" s="4"/>
      <c r="G271" s="2">
        <f t="shared" si="24"/>
        <v>8.96</v>
      </c>
      <c r="H271" s="11" t="str">
        <f t="shared" si="25"/>
        <v>3.700E-2</v>
      </c>
      <c r="I271" s="2">
        <f t="shared" si="26"/>
        <v>253.8</v>
      </c>
      <c r="J271" s="4">
        <f t="shared" si="27"/>
        <v>8.96</v>
      </c>
      <c r="K271" s="9">
        <f t="shared" si="28"/>
        <v>-0.399999999999984</v>
      </c>
      <c r="L271" s="1">
        <f t="shared" si="29"/>
        <v>16.1</v>
      </c>
    </row>
    <row r="272" s="1" customFormat="1" spans="1:12">
      <c r="A272" s="2">
        <v>9.027</v>
      </c>
      <c r="B272" s="10" t="s">
        <v>324</v>
      </c>
      <c r="C272" s="4">
        <v>9.027</v>
      </c>
      <c r="D272" s="5">
        <v>253.9</v>
      </c>
      <c r="E272" s="4"/>
      <c r="F272" s="4"/>
      <c r="G272" s="2">
        <f t="shared" si="24"/>
        <v>8.994</v>
      </c>
      <c r="H272" s="11" t="str">
        <f t="shared" si="25"/>
        <v>3.703E-2</v>
      </c>
      <c r="I272" s="2">
        <f t="shared" si="26"/>
        <v>253.8</v>
      </c>
      <c r="J272" s="4">
        <f t="shared" si="27"/>
        <v>8.994</v>
      </c>
      <c r="K272" s="9">
        <f t="shared" si="28"/>
        <v>-0.0999999999999612</v>
      </c>
      <c r="L272" s="1">
        <f t="shared" si="29"/>
        <v>16.1</v>
      </c>
    </row>
    <row r="273" s="1" customFormat="1" spans="1:12">
      <c r="A273" s="2">
        <v>9.06</v>
      </c>
      <c r="B273" s="10" t="s">
        <v>332</v>
      </c>
      <c r="C273" s="4">
        <v>9.06</v>
      </c>
      <c r="D273" s="5">
        <v>253.8</v>
      </c>
      <c r="E273" s="4"/>
      <c r="F273" s="4"/>
      <c r="G273" s="2">
        <f t="shared" si="24"/>
        <v>9.027</v>
      </c>
      <c r="H273" s="11" t="str">
        <f t="shared" si="25"/>
        <v>3.705E-2</v>
      </c>
      <c r="I273" s="2">
        <f t="shared" si="26"/>
        <v>253.9</v>
      </c>
      <c r="J273" s="4">
        <f t="shared" si="27"/>
        <v>9.027</v>
      </c>
      <c r="K273" s="9">
        <f t="shared" si="28"/>
        <v>0.100000000000031</v>
      </c>
      <c r="L273" s="1">
        <f t="shared" si="29"/>
        <v>16.1</v>
      </c>
    </row>
    <row r="274" s="1" customFormat="1" spans="1:12">
      <c r="A274" s="2">
        <v>9.094</v>
      </c>
      <c r="B274" s="10" t="s">
        <v>335</v>
      </c>
      <c r="C274" s="4">
        <v>9.094</v>
      </c>
      <c r="D274" s="5">
        <v>253.8</v>
      </c>
      <c r="E274" s="4"/>
      <c r="F274" s="4"/>
      <c r="G274" s="2">
        <f t="shared" si="24"/>
        <v>9.06</v>
      </c>
      <c r="H274" s="11" t="str">
        <f t="shared" si="25"/>
        <v>3.707E-2</v>
      </c>
      <c r="I274" s="2">
        <f t="shared" si="26"/>
        <v>253.8</v>
      </c>
      <c r="J274" s="4">
        <f t="shared" si="27"/>
        <v>9.06</v>
      </c>
      <c r="K274" s="9">
        <f t="shared" si="28"/>
        <v>0.300000000000022</v>
      </c>
      <c r="L274" s="1">
        <f t="shared" si="29"/>
        <v>16.1</v>
      </c>
    </row>
    <row r="275" s="1" customFormat="1" spans="1:12">
      <c r="A275" s="2">
        <v>9.127</v>
      </c>
      <c r="B275" s="10" t="s">
        <v>336</v>
      </c>
      <c r="C275" s="4">
        <v>9.127</v>
      </c>
      <c r="D275" s="5">
        <v>253.9</v>
      </c>
      <c r="E275" s="4"/>
      <c r="F275" s="4"/>
      <c r="G275" s="2">
        <f t="shared" si="24"/>
        <v>9.094</v>
      </c>
      <c r="H275" s="11" t="str">
        <f t="shared" si="25"/>
        <v>3.711E-2</v>
      </c>
      <c r="I275" s="2">
        <f t="shared" si="26"/>
        <v>253.8</v>
      </c>
      <c r="J275" s="4">
        <f t="shared" si="27"/>
        <v>9.094</v>
      </c>
      <c r="K275" s="9">
        <f t="shared" si="28"/>
        <v>0.700000000000006</v>
      </c>
      <c r="L275" s="1">
        <f t="shared" si="29"/>
        <v>16.1</v>
      </c>
    </row>
    <row r="276" s="1" customFormat="1" spans="1:12">
      <c r="A276" s="2">
        <v>9.161</v>
      </c>
      <c r="B276" s="10" t="s">
        <v>360</v>
      </c>
      <c r="C276" s="4">
        <v>9.161</v>
      </c>
      <c r="D276" s="5">
        <v>253.8</v>
      </c>
      <c r="E276" s="4"/>
      <c r="F276" s="4"/>
      <c r="G276" s="2">
        <f t="shared" si="24"/>
        <v>9.127</v>
      </c>
      <c r="H276" s="11" t="str">
        <f t="shared" si="25"/>
        <v>3.713E-2</v>
      </c>
      <c r="I276" s="2">
        <f t="shared" si="26"/>
        <v>253.9</v>
      </c>
      <c r="J276" s="4">
        <f t="shared" si="27"/>
        <v>9.127</v>
      </c>
      <c r="K276" s="9">
        <f t="shared" si="28"/>
        <v>0.900000000000067</v>
      </c>
      <c r="L276" s="1">
        <f t="shared" si="29"/>
        <v>16.1</v>
      </c>
    </row>
    <row r="277" s="1" customFormat="1" spans="1:12">
      <c r="A277" s="2">
        <v>9.194</v>
      </c>
      <c r="B277" s="10" t="s">
        <v>416</v>
      </c>
      <c r="C277" s="4">
        <v>9.194</v>
      </c>
      <c r="D277" s="5">
        <v>253.8</v>
      </c>
      <c r="E277" s="4"/>
      <c r="F277" s="4"/>
      <c r="G277" s="2">
        <f t="shared" si="24"/>
        <v>9.161</v>
      </c>
      <c r="H277" s="11" t="str">
        <f t="shared" si="25"/>
        <v>3.718E-2</v>
      </c>
      <c r="I277" s="2">
        <f t="shared" si="26"/>
        <v>253.8</v>
      </c>
      <c r="J277" s="4">
        <f t="shared" si="27"/>
        <v>9.161</v>
      </c>
      <c r="K277" s="9">
        <f t="shared" si="28"/>
        <v>1.40000000000001</v>
      </c>
      <c r="L277" s="1">
        <f t="shared" si="29"/>
        <v>16.1</v>
      </c>
    </row>
    <row r="278" s="1" customFormat="1" spans="1:12">
      <c r="A278" s="2">
        <v>9.228</v>
      </c>
      <c r="B278" s="10" t="s">
        <v>346</v>
      </c>
      <c r="C278" s="4">
        <v>9.228</v>
      </c>
      <c r="D278" s="5">
        <v>253.9</v>
      </c>
      <c r="E278" s="4"/>
      <c r="F278" s="4"/>
      <c r="G278" s="2">
        <f t="shared" si="24"/>
        <v>9.194</v>
      </c>
      <c r="H278" s="11" t="str">
        <f t="shared" si="25"/>
        <v>3.725E-2</v>
      </c>
      <c r="I278" s="2">
        <f t="shared" si="26"/>
        <v>253.8</v>
      </c>
      <c r="J278" s="4">
        <f t="shared" si="27"/>
        <v>9.194</v>
      </c>
      <c r="K278" s="9">
        <f t="shared" si="28"/>
        <v>2.10000000000002</v>
      </c>
      <c r="L278" s="1">
        <f t="shared" si="29"/>
        <v>16.1</v>
      </c>
    </row>
    <row r="279" s="1" customFormat="1" spans="1:12">
      <c r="A279" s="2">
        <v>9.261</v>
      </c>
      <c r="B279" s="10" t="s">
        <v>417</v>
      </c>
      <c r="C279" s="4">
        <v>9.261</v>
      </c>
      <c r="D279" s="5">
        <v>253.9</v>
      </c>
      <c r="E279" s="4"/>
      <c r="F279" s="4"/>
      <c r="G279" s="2">
        <f t="shared" si="24"/>
        <v>9.228</v>
      </c>
      <c r="H279" s="11" t="str">
        <f t="shared" si="25"/>
        <v>3.738E-2</v>
      </c>
      <c r="I279" s="2">
        <f t="shared" si="26"/>
        <v>253.9</v>
      </c>
      <c r="J279" s="4">
        <f t="shared" si="27"/>
        <v>9.228</v>
      </c>
      <c r="K279" s="9">
        <f t="shared" si="28"/>
        <v>3.4</v>
      </c>
      <c r="L279" s="1">
        <f t="shared" si="29"/>
        <v>16.1</v>
      </c>
    </row>
    <row r="280" s="1" customFormat="1" spans="1:12">
      <c r="A280" s="2">
        <v>9.294</v>
      </c>
      <c r="B280" s="10" t="s">
        <v>418</v>
      </c>
      <c r="C280" s="4">
        <v>9.294</v>
      </c>
      <c r="D280" s="5">
        <v>253.9</v>
      </c>
      <c r="E280" s="4"/>
      <c r="F280" s="4"/>
      <c r="G280" s="2">
        <f t="shared" si="24"/>
        <v>9.261</v>
      </c>
      <c r="H280" s="11" t="str">
        <f t="shared" si="25"/>
        <v>3.748E-2</v>
      </c>
      <c r="I280" s="2">
        <f t="shared" si="26"/>
        <v>253.9</v>
      </c>
      <c r="J280" s="4">
        <f t="shared" si="27"/>
        <v>9.261</v>
      </c>
      <c r="K280" s="9">
        <f t="shared" si="28"/>
        <v>4.40000000000003</v>
      </c>
      <c r="L280" s="1">
        <f t="shared" si="29"/>
        <v>16.1</v>
      </c>
    </row>
    <row r="281" s="1" customFormat="1" spans="1:12">
      <c r="A281" s="2">
        <v>9.328</v>
      </c>
      <c r="B281" s="10" t="s">
        <v>419</v>
      </c>
      <c r="C281" s="4">
        <v>9.328</v>
      </c>
      <c r="D281" s="5">
        <v>253.9</v>
      </c>
      <c r="E281" s="4"/>
      <c r="F281" s="4"/>
      <c r="G281" s="2">
        <f t="shared" si="24"/>
        <v>9.294</v>
      </c>
      <c r="H281" s="11" t="str">
        <f t="shared" si="25"/>
        <v>3.756E-2</v>
      </c>
      <c r="I281" s="2">
        <f t="shared" si="26"/>
        <v>253.9</v>
      </c>
      <c r="J281" s="4">
        <f t="shared" si="27"/>
        <v>9.294</v>
      </c>
      <c r="K281" s="9">
        <f t="shared" si="28"/>
        <v>5.20000000000007</v>
      </c>
      <c r="L281" s="1">
        <f t="shared" si="29"/>
        <v>16.1</v>
      </c>
    </row>
    <row r="282" s="1" customFormat="1" spans="1:12">
      <c r="A282" s="2">
        <v>9.361</v>
      </c>
      <c r="B282" s="10" t="s">
        <v>413</v>
      </c>
      <c r="C282" s="4">
        <v>9.361</v>
      </c>
      <c r="D282" s="5">
        <v>253.9</v>
      </c>
      <c r="E282" s="4"/>
      <c r="F282" s="4"/>
      <c r="G282" s="2">
        <f t="shared" si="24"/>
        <v>9.328</v>
      </c>
      <c r="H282" s="11" t="str">
        <f t="shared" si="25"/>
        <v>3.770E-2</v>
      </c>
      <c r="I282" s="2">
        <f t="shared" si="26"/>
        <v>253.9</v>
      </c>
      <c r="J282" s="4">
        <f t="shared" si="27"/>
        <v>9.328</v>
      </c>
      <c r="K282" s="9">
        <f t="shared" si="28"/>
        <v>6.60000000000001</v>
      </c>
      <c r="L282" s="1">
        <f t="shared" si="29"/>
        <v>16.1</v>
      </c>
    </row>
    <row r="283" s="1" customFormat="1" spans="1:12">
      <c r="A283" s="2">
        <v>9.395</v>
      </c>
      <c r="B283" s="10" t="s">
        <v>420</v>
      </c>
      <c r="C283" s="4">
        <v>9.395</v>
      </c>
      <c r="D283" s="5">
        <v>253.8</v>
      </c>
      <c r="E283" s="4"/>
      <c r="F283" s="4"/>
      <c r="G283" s="2">
        <f t="shared" si="24"/>
        <v>9.361</v>
      </c>
      <c r="H283" s="11" t="str">
        <f t="shared" si="25"/>
        <v>3.779E-2</v>
      </c>
      <c r="I283" s="2">
        <f t="shared" si="26"/>
        <v>253.9</v>
      </c>
      <c r="J283" s="4">
        <f t="shared" si="27"/>
        <v>9.361</v>
      </c>
      <c r="K283" s="9">
        <f t="shared" si="28"/>
        <v>7.50000000000001</v>
      </c>
      <c r="L283" s="1">
        <f t="shared" si="29"/>
        <v>16.1</v>
      </c>
    </row>
    <row r="284" s="1" customFormat="1" spans="1:12">
      <c r="A284" s="2">
        <v>9.428</v>
      </c>
      <c r="B284" s="10" t="s">
        <v>421</v>
      </c>
      <c r="C284" s="4">
        <v>9.428</v>
      </c>
      <c r="D284" s="5">
        <v>253.8</v>
      </c>
      <c r="E284" s="4"/>
      <c r="F284" s="4"/>
      <c r="G284" s="2">
        <f t="shared" si="24"/>
        <v>9.395</v>
      </c>
      <c r="H284" s="11" t="str">
        <f t="shared" si="25"/>
        <v>3.788E-2</v>
      </c>
      <c r="I284" s="2">
        <f t="shared" si="26"/>
        <v>253.8</v>
      </c>
      <c r="J284" s="4">
        <f t="shared" si="27"/>
        <v>9.395</v>
      </c>
      <c r="K284" s="9">
        <f t="shared" si="28"/>
        <v>8.4</v>
      </c>
      <c r="L284" s="1">
        <f t="shared" si="29"/>
        <v>16.1</v>
      </c>
    </row>
    <row r="285" s="1" customFormat="1" spans="1:12">
      <c r="A285" s="2">
        <v>9.462</v>
      </c>
      <c r="B285" s="10" t="s">
        <v>422</v>
      </c>
      <c r="C285" s="4">
        <v>9.462</v>
      </c>
      <c r="D285" s="5">
        <v>253.8</v>
      </c>
      <c r="E285" s="4"/>
      <c r="F285" s="4"/>
      <c r="G285" s="2">
        <f t="shared" si="24"/>
        <v>9.428</v>
      </c>
      <c r="H285" s="11" t="str">
        <f t="shared" si="25"/>
        <v>3.800E-2</v>
      </c>
      <c r="I285" s="2">
        <f t="shared" si="26"/>
        <v>253.8</v>
      </c>
      <c r="J285" s="4">
        <f t="shared" si="27"/>
        <v>9.428</v>
      </c>
      <c r="K285" s="9">
        <f t="shared" si="28"/>
        <v>9.60000000000002</v>
      </c>
      <c r="L285" s="1">
        <f t="shared" si="29"/>
        <v>16.1</v>
      </c>
    </row>
    <row r="286" s="1" customFormat="1" spans="1:12">
      <c r="A286" s="2">
        <v>9.495</v>
      </c>
      <c r="B286" s="10" t="s">
        <v>378</v>
      </c>
      <c r="C286" s="4">
        <v>9.495</v>
      </c>
      <c r="D286" s="5">
        <v>253.9</v>
      </c>
      <c r="E286" s="4"/>
      <c r="F286" s="4"/>
      <c r="G286" s="2">
        <f t="shared" si="24"/>
        <v>9.462</v>
      </c>
      <c r="H286" s="11" t="str">
        <f t="shared" si="25"/>
        <v>3.807E-2</v>
      </c>
      <c r="I286" s="2">
        <f t="shared" si="26"/>
        <v>253.8</v>
      </c>
      <c r="J286" s="4">
        <f t="shared" si="27"/>
        <v>9.462</v>
      </c>
      <c r="K286" s="9">
        <f t="shared" si="28"/>
        <v>10.3</v>
      </c>
      <c r="L286" s="1">
        <f t="shared" si="29"/>
        <v>16.1</v>
      </c>
    </row>
    <row r="287" s="1" customFormat="1" spans="1:12">
      <c r="A287" s="2">
        <v>9.528</v>
      </c>
      <c r="B287" s="10" t="s">
        <v>423</v>
      </c>
      <c r="C287" s="4">
        <v>9.528</v>
      </c>
      <c r="D287" s="5">
        <v>253.8</v>
      </c>
      <c r="E287" s="4"/>
      <c r="F287" s="4"/>
      <c r="G287" s="2">
        <f t="shared" si="24"/>
        <v>9.495</v>
      </c>
      <c r="H287" s="11" t="str">
        <f t="shared" si="25"/>
        <v>3.814E-2</v>
      </c>
      <c r="I287" s="2">
        <f t="shared" si="26"/>
        <v>253.9</v>
      </c>
      <c r="J287" s="4">
        <f t="shared" si="27"/>
        <v>9.495</v>
      </c>
      <c r="K287" s="9">
        <f t="shared" si="28"/>
        <v>11</v>
      </c>
      <c r="L287" s="1">
        <f t="shared" si="29"/>
        <v>16.1</v>
      </c>
    </row>
    <row r="288" s="1" customFormat="1" spans="1:12">
      <c r="A288" s="2">
        <v>9.562</v>
      </c>
      <c r="B288" s="10" t="s">
        <v>371</v>
      </c>
      <c r="C288" s="4">
        <v>9.562</v>
      </c>
      <c r="D288" s="5">
        <v>253.8</v>
      </c>
      <c r="E288" s="4"/>
      <c r="F288" s="4"/>
      <c r="G288" s="2">
        <f t="shared" si="24"/>
        <v>9.528</v>
      </c>
      <c r="H288" s="11" t="str">
        <f t="shared" si="25"/>
        <v>3.827E-2</v>
      </c>
      <c r="I288" s="2">
        <f t="shared" si="26"/>
        <v>253.8</v>
      </c>
      <c r="J288" s="4">
        <f t="shared" si="27"/>
        <v>9.528</v>
      </c>
      <c r="K288" s="9">
        <f t="shared" si="28"/>
        <v>12.3</v>
      </c>
      <c r="L288" s="1">
        <f t="shared" si="29"/>
        <v>16.1</v>
      </c>
    </row>
    <row r="289" s="1" customFormat="1" spans="1:12">
      <c r="A289" s="2">
        <v>9.595</v>
      </c>
      <c r="B289" s="10" t="s">
        <v>424</v>
      </c>
      <c r="C289" s="4">
        <v>9.595</v>
      </c>
      <c r="D289" s="5">
        <v>253.8</v>
      </c>
      <c r="E289" s="4"/>
      <c r="F289" s="4"/>
      <c r="G289" s="2">
        <f t="shared" si="24"/>
        <v>9.562</v>
      </c>
      <c r="H289" s="11" t="str">
        <f t="shared" si="25"/>
        <v>3.834E-2</v>
      </c>
      <c r="I289" s="2">
        <f t="shared" si="26"/>
        <v>253.8</v>
      </c>
      <c r="J289" s="4">
        <f t="shared" si="27"/>
        <v>9.562</v>
      </c>
      <c r="K289" s="9">
        <f t="shared" si="28"/>
        <v>13</v>
      </c>
      <c r="L289" s="1">
        <f t="shared" si="29"/>
        <v>16.1</v>
      </c>
    </row>
    <row r="290" s="1" customFormat="1" spans="1:12">
      <c r="A290" s="2">
        <v>9.629</v>
      </c>
      <c r="B290" s="10" t="s">
        <v>372</v>
      </c>
      <c r="C290" s="4">
        <v>9.629</v>
      </c>
      <c r="D290" s="5">
        <v>253.9</v>
      </c>
      <c r="E290" s="4"/>
      <c r="F290" s="4"/>
      <c r="G290" s="2">
        <f t="shared" si="24"/>
        <v>9.595</v>
      </c>
      <c r="H290" s="11" t="str">
        <f t="shared" si="25"/>
        <v>3.837E-2</v>
      </c>
      <c r="I290" s="2">
        <f t="shared" si="26"/>
        <v>253.8</v>
      </c>
      <c r="J290" s="4">
        <f t="shared" si="27"/>
        <v>9.595</v>
      </c>
      <c r="K290" s="9">
        <f t="shared" si="28"/>
        <v>13.3</v>
      </c>
      <c r="L290" s="1">
        <f t="shared" si="29"/>
        <v>16.1</v>
      </c>
    </row>
    <row r="291" s="1" customFormat="1" spans="1:12">
      <c r="A291" s="2">
        <v>9.662</v>
      </c>
      <c r="B291" s="10" t="s">
        <v>424</v>
      </c>
      <c r="C291" s="4">
        <v>9.662</v>
      </c>
      <c r="D291" s="5">
        <v>253.9</v>
      </c>
      <c r="E291" s="4"/>
      <c r="F291" s="4"/>
      <c r="G291" s="2">
        <f t="shared" si="24"/>
        <v>9.629</v>
      </c>
      <c r="H291" s="11" t="str">
        <f t="shared" si="25"/>
        <v>3.839E-2</v>
      </c>
      <c r="I291" s="2">
        <f t="shared" si="26"/>
        <v>253.9</v>
      </c>
      <c r="J291" s="4">
        <f t="shared" si="27"/>
        <v>9.629</v>
      </c>
      <c r="K291" s="9">
        <f t="shared" si="28"/>
        <v>13.5</v>
      </c>
      <c r="L291" s="1">
        <f t="shared" si="29"/>
        <v>16.1</v>
      </c>
    </row>
    <row r="292" s="1" customFormat="1" spans="1:12">
      <c r="A292" s="2">
        <v>9.696</v>
      </c>
      <c r="B292" s="10" t="s">
        <v>425</v>
      </c>
      <c r="C292" s="4">
        <v>9.696</v>
      </c>
      <c r="D292" s="5">
        <v>107.3</v>
      </c>
      <c r="E292" s="4"/>
      <c r="F292" s="4"/>
      <c r="G292" s="2">
        <f t="shared" si="24"/>
        <v>9.662</v>
      </c>
      <c r="H292" s="11" t="str">
        <f t="shared" si="25"/>
        <v>3.837E-2</v>
      </c>
      <c r="I292" s="2">
        <f t="shared" si="26"/>
        <v>253.9</v>
      </c>
      <c r="J292" s="4">
        <f t="shared" si="27"/>
        <v>9.662</v>
      </c>
      <c r="K292" s="9">
        <f t="shared" si="28"/>
        <v>13.3</v>
      </c>
      <c r="L292" s="1">
        <f t="shared" si="29"/>
        <v>16.1</v>
      </c>
    </row>
    <row r="293" s="1" customFormat="1" spans="1:12">
      <c r="A293" s="2">
        <v>9.729</v>
      </c>
      <c r="B293" s="10" t="s">
        <v>425</v>
      </c>
      <c r="C293" s="4">
        <v>9.729</v>
      </c>
      <c r="D293" s="5">
        <v>132.6</v>
      </c>
      <c r="E293" s="4"/>
      <c r="F293" s="4"/>
      <c r="G293" s="2">
        <f t="shared" si="24"/>
        <v>9.696</v>
      </c>
      <c r="H293" s="11" t="str">
        <f t="shared" si="25"/>
        <v>3.835E-2</v>
      </c>
      <c r="I293" s="2">
        <f t="shared" si="26"/>
        <v>107.3</v>
      </c>
      <c r="J293" s="4">
        <f t="shared" si="27"/>
        <v>9.696</v>
      </c>
      <c r="K293" s="9">
        <f t="shared" si="28"/>
        <v>13.1000000000001</v>
      </c>
      <c r="L293" s="1">
        <f t="shared" si="29"/>
        <v>-3.49999999999996</v>
      </c>
    </row>
    <row r="294" s="1" customFormat="1" spans="1:12">
      <c r="A294" s="2">
        <v>9.762</v>
      </c>
      <c r="B294" s="10" t="s">
        <v>426</v>
      </c>
      <c r="C294" s="4">
        <v>9.762</v>
      </c>
      <c r="D294" s="5">
        <v>129.6</v>
      </c>
      <c r="E294" s="4"/>
      <c r="F294" s="4"/>
      <c r="G294" s="2">
        <f t="shared" si="24"/>
        <v>9.729</v>
      </c>
      <c r="H294" s="11" t="str">
        <f t="shared" si="25"/>
        <v>3.835E-2</v>
      </c>
      <c r="I294" s="2">
        <f t="shared" si="26"/>
        <v>132.6</v>
      </c>
      <c r="J294" s="4">
        <f t="shared" si="27"/>
        <v>9.729</v>
      </c>
      <c r="K294" s="9">
        <f t="shared" si="28"/>
        <v>13.1000000000001</v>
      </c>
      <c r="L294" s="1">
        <f t="shared" si="29"/>
        <v>-3.49999999999996</v>
      </c>
    </row>
    <row r="295" s="1" customFormat="1" spans="1:12">
      <c r="A295" s="2">
        <v>9.796</v>
      </c>
      <c r="B295" s="10" t="s">
        <v>427</v>
      </c>
      <c r="C295" s="4">
        <v>9.796</v>
      </c>
      <c r="D295" s="5">
        <v>129.2</v>
      </c>
      <c r="E295" s="4"/>
      <c r="F295" s="4"/>
      <c r="G295" s="2">
        <f t="shared" si="24"/>
        <v>9.762</v>
      </c>
      <c r="H295" s="11" t="str">
        <f t="shared" si="25"/>
        <v>3.833E-2</v>
      </c>
      <c r="I295" s="2">
        <f t="shared" si="26"/>
        <v>129.6</v>
      </c>
      <c r="J295" s="4">
        <f t="shared" si="27"/>
        <v>9.762</v>
      </c>
      <c r="K295" s="9">
        <f t="shared" si="28"/>
        <v>12.9000000000001</v>
      </c>
      <c r="L295" s="1">
        <f t="shared" si="29"/>
        <v>-3.49999999999996</v>
      </c>
    </row>
    <row r="296" s="1" customFormat="1" spans="1:12">
      <c r="A296" s="2">
        <v>9.829</v>
      </c>
      <c r="B296" s="10" t="s">
        <v>428</v>
      </c>
      <c r="C296" s="4">
        <v>9.829</v>
      </c>
      <c r="D296" s="5">
        <v>126.8</v>
      </c>
      <c r="E296" s="4"/>
      <c r="F296" s="4"/>
      <c r="G296" s="2">
        <f t="shared" si="24"/>
        <v>9.796</v>
      </c>
      <c r="H296" s="11" t="str">
        <f t="shared" si="25"/>
        <v>3.831E-2</v>
      </c>
      <c r="I296" s="2">
        <f t="shared" si="26"/>
        <v>129.2</v>
      </c>
      <c r="J296" s="4">
        <f t="shared" si="27"/>
        <v>9.796</v>
      </c>
      <c r="K296" s="9">
        <f t="shared" si="28"/>
        <v>12.7</v>
      </c>
      <c r="L296" s="1">
        <f t="shared" si="29"/>
        <v>-3.49999999999996</v>
      </c>
    </row>
    <row r="297" s="1" customFormat="1" spans="1:12">
      <c r="A297" s="2">
        <v>9.863</v>
      </c>
      <c r="B297" s="10" t="s">
        <v>423</v>
      </c>
      <c r="C297" s="4">
        <v>9.863</v>
      </c>
      <c r="D297" s="5">
        <v>126</v>
      </c>
      <c r="E297" s="4"/>
      <c r="F297" s="4"/>
      <c r="G297" s="2">
        <f t="shared" si="24"/>
        <v>9.829</v>
      </c>
      <c r="H297" s="11" t="str">
        <f t="shared" si="25"/>
        <v>3.829E-2</v>
      </c>
      <c r="I297" s="2">
        <f t="shared" si="26"/>
        <v>126.8</v>
      </c>
      <c r="J297" s="4">
        <f t="shared" si="27"/>
        <v>9.829</v>
      </c>
      <c r="K297" s="9">
        <f t="shared" si="28"/>
        <v>12.5</v>
      </c>
      <c r="L297" s="1">
        <f t="shared" si="29"/>
        <v>-3.49999999999996</v>
      </c>
    </row>
    <row r="298" s="1" customFormat="1" spans="1:12">
      <c r="A298" s="2">
        <v>9.896</v>
      </c>
      <c r="B298" s="10" t="s">
        <v>410</v>
      </c>
      <c r="C298" s="4">
        <v>9.896</v>
      </c>
      <c r="D298" s="5">
        <v>124.7</v>
      </c>
      <c r="E298" s="4"/>
      <c r="F298" s="4"/>
      <c r="G298" s="2">
        <f t="shared" si="24"/>
        <v>9.863</v>
      </c>
      <c r="H298" s="11" t="str">
        <f t="shared" si="25"/>
        <v>3.827E-2</v>
      </c>
      <c r="I298" s="2">
        <f t="shared" si="26"/>
        <v>126</v>
      </c>
      <c r="J298" s="4">
        <f t="shared" si="27"/>
        <v>9.863</v>
      </c>
      <c r="K298" s="9">
        <f t="shared" si="28"/>
        <v>12.3</v>
      </c>
      <c r="L298" s="1">
        <f t="shared" si="29"/>
        <v>-3.49999999999996</v>
      </c>
    </row>
    <row r="299" s="1" customFormat="1" spans="1:12">
      <c r="A299" s="2">
        <v>9.93</v>
      </c>
      <c r="B299" s="10" t="s">
        <v>429</v>
      </c>
      <c r="C299" s="4">
        <v>9.93</v>
      </c>
      <c r="D299" s="5">
        <v>123.1</v>
      </c>
      <c r="E299" s="4"/>
      <c r="F299" s="4"/>
      <c r="G299" s="2">
        <f t="shared" si="24"/>
        <v>9.896</v>
      </c>
      <c r="H299" s="11" t="str">
        <f t="shared" si="25"/>
        <v>3.824E-2</v>
      </c>
      <c r="I299" s="2">
        <f t="shared" si="26"/>
        <v>124.7</v>
      </c>
      <c r="J299" s="4">
        <f t="shared" si="27"/>
        <v>9.896</v>
      </c>
      <c r="K299" s="9">
        <f t="shared" si="28"/>
        <v>12.0000000000001</v>
      </c>
      <c r="L299" s="1">
        <f t="shared" si="29"/>
        <v>-3.49999999999996</v>
      </c>
    </row>
    <row r="300" s="1" customFormat="1" spans="1:12">
      <c r="A300" s="2">
        <v>9.963</v>
      </c>
      <c r="B300" s="10" t="s">
        <v>430</v>
      </c>
      <c r="C300" s="4">
        <v>9.963</v>
      </c>
      <c r="D300" s="5">
        <v>122.3</v>
      </c>
      <c r="E300" s="4"/>
      <c r="F300" s="4"/>
      <c r="G300" s="2">
        <f t="shared" si="24"/>
        <v>9.93</v>
      </c>
      <c r="H300" s="11" t="str">
        <f t="shared" si="25"/>
        <v>3.821E-2</v>
      </c>
      <c r="I300" s="2">
        <f t="shared" si="26"/>
        <v>123.1</v>
      </c>
      <c r="J300" s="4">
        <f t="shared" si="27"/>
        <v>9.93</v>
      </c>
      <c r="K300" s="9">
        <f t="shared" si="28"/>
        <v>11.7</v>
      </c>
      <c r="L300" s="1">
        <f t="shared" si="29"/>
        <v>-3.49999999999996</v>
      </c>
    </row>
    <row r="301" s="1" customFormat="1" spans="1:12">
      <c r="A301" s="2">
        <v>9.997</v>
      </c>
      <c r="B301" s="10" t="s">
        <v>431</v>
      </c>
      <c r="C301" s="4">
        <v>9.997</v>
      </c>
      <c r="D301" s="5">
        <v>118.7</v>
      </c>
      <c r="E301" s="4"/>
      <c r="F301" s="4"/>
      <c r="G301" s="2">
        <f t="shared" si="24"/>
        <v>9.963</v>
      </c>
      <c r="H301" s="11" t="str">
        <f t="shared" si="25"/>
        <v>3.818E-2</v>
      </c>
      <c r="I301" s="2">
        <f t="shared" si="26"/>
        <v>122.3</v>
      </c>
      <c r="J301" s="4">
        <f t="shared" si="27"/>
        <v>9.963</v>
      </c>
      <c r="K301" s="9">
        <f t="shared" si="28"/>
        <v>11.4</v>
      </c>
      <c r="L301" s="1">
        <f t="shared" si="29"/>
        <v>-3.49999999999996</v>
      </c>
    </row>
    <row r="302" s="1" customFormat="1" spans="1:12">
      <c r="A302" s="2">
        <v>10.03</v>
      </c>
      <c r="B302" s="10" t="s">
        <v>369</v>
      </c>
      <c r="C302" s="4">
        <v>10.03</v>
      </c>
      <c r="D302" s="5">
        <v>119.2</v>
      </c>
      <c r="E302" s="4"/>
      <c r="F302" s="4"/>
      <c r="G302" s="2">
        <f t="shared" si="24"/>
        <v>9.997</v>
      </c>
      <c r="H302" s="11" t="str">
        <f t="shared" si="25"/>
        <v>3.815E-2</v>
      </c>
      <c r="I302" s="2">
        <f t="shared" si="26"/>
        <v>118.7</v>
      </c>
      <c r="J302" s="4">
        <f t="shared" si="27"/>
        <v>9.997</v>
      </c>
      <c r="K302" s="9">
        <f t="shared" si="28"/>
        <v>11.1000000000001</v>
      </c>
      <c r="L302" s="1">
        <f t="shared" si="29"/>
        <v>-3.49999999999996</v>
      </c>
    </row>
    <row r="303" s="1" customFormat="1" spans="1:12">
      <c r="A303" s="2">
        <v>10.063</v>
      </c>
      <c r="B303" s="10" t="s">
        <v>368</v>
      </c>
      <c r="C303" s="4">
        <v>10.063</v>
      </c>
      <c r="D303" s="5">
        <v>117.4</v>
      </c>
      <c r="E303" s="4"/>
      <c r="F303" s="4"/>
      <c r="G303" s="2">
        <f t="shared" si="24"/>
        <v>10.03</v>
      </c>
      <c r="H303" s="11" t="str">
        <f t="shared" si="25"/>
        <v>3.812E-2</v>
      </c>
      <c r="I303" s="2">
        <f t="shared" si="26"/>
        <v>119.2</v>
      </c>
      <c r="J303" s="4">
        <f t="shared" si="27"/>
        <v>10.03</v>
      </c>
      <c r="K303" s="9">
        <f t="shared" si="28"/>
        <v>10.8</v>
      </c>
      <c r="L303" s="1">
        <f t="shared" si="29"/>
        <v>-3.49999999999996</v>
      </c>
    </row>
    <row r="304" s="1" customFormat="1" spans="1:12">
      <c r="A304" s="2">
        <v>10.097</v>
      </c>
      <c r="B304" s="10" t="s">
        <v>432</v>
      </c>
      <c r="C304" s="4">
        <v>10.097</v>
      </c>
      <c r="D304" s="5">
        <v>117.1</v>
      </c>
      <c r="E304" s="4"/>
      <c r="F304" s="4"/>
      <c r="G304" s="2">
        <f t="shared" si="24"/>
        <v>10.063</v>
      </c>
      <c r="H304" s="11" t="str">
        <f t="shared" si="25"/>
        <v>3.808E-2</v>
      </c>
      <c r="I304" s="2">
        <f t="shared" si="26"/>
        <v>117.4</v>
      </c>
      <c r="J304" s="4">
        <f t="shared" si="27"/>
        <v>10.063</v>
      </c>
      <c r="K304" s="9">
        <f t="shared" si="28"/>
        <v>10.4000000000001</v>
      </c>
      <c r="L304" s="1">
        <f t="shared" si="29"/>
        <v>-3.49999999999996</v>
      </c>
    </row>
    <row r="305" s="1" customFormat="1" spans="1:12">
      <c r="A305" s="2">
        <v>10.13</v>
      </c>
      <c r="B305" s="10" t="s">
        <v>420</v>
      </c>
      <c r="C305" s="4">
        <v>10.13</v>
      </c>
      <c r="D305" s="5">
        <v>114.7</v>
      </c>
      <c r="E305" s="4"/>
      <c r="F305" s="4"/>
      <c r="G305" s="2">
        <f t="shared" si="24"/>
        <v>10.097</v>
      </c>
      <c r="H305" s="11" t="str">
        <f t="shared" si="25"/>
        <v>3.795E-2</v>
      </c>
      <c r="I305" s="2">
        <f t="shared" si="26"/>
        <v>117.1</v>
      </c>
      <c r="J305" s="4">
        <f t="shared" si="27"/>
        <v>10.097</v>
      </c>
      <c r="K305" s="9">
        <f t="shared" si="28"/>
        <v>9.10000000000001</v>
      </c>
      <c r="L305" s="1">
        <f t="shared" si="29"/>
        <v>-3.49999999999996</v>
      </c>
    </row>
    <row r="306" s="1" customFormat="1" spans="1:12">
      <c r="A306" s="2">
        <v>10.164</v>
      </c>
      <c r="B306" s="10" t="s">
        <v>433</v>
      </c>
      <c r="C306" s="4">
        <v>10.164</v>
      </c>
      <c r="D306" s="5">
        <v>112.6</v>
      </c>
      <c r="E306" s="4"/>
      <c r="F306" s="4"/>
      <c r="G306" s="2">
        <f t="shared" si="24"/>
        <v>10.13</v>
      </c>
      <c r="H306" s="11" t="str">
        <f t="shared" si="25"/>
        <v>3.788E-2</v>
      </c>
      <c r="I306" s="2">
        <f t="shared" si="26"/>
        <v>114.7</v>
      </c>
      <c r="J306" s="4">
        <f t="shared" si="27"/>
        <v>10.13</v>
      </c>
      <c r="K306" s="9">
        <f t="shared" si="28"/>
        <v>8.4</v>
      </c>
      <c r="L306" s="1">
        <f t="shared" si="29"/>
        <v>-3.49999999999996</v>
      </c>
    </row>
    <row r="307" s="1" customFormat="1" spans="1:12">
      <c r="A307" s="2">
        <v>10.197</v>
      </c>
      <c r="B307" s="10" t="s">
        <v>434</v>
      </c>
      <c r="C307" s="4">
        <v>10.197</v>
      </c>
      <c r="D307" s="5">
        <v>111.3</v>
      </c>
      <c r="E307" s="4"/>
      <c r="F307" s="4"/>
      <c r="G307" s="2">
        <f t="shared" si="24"/>
        <v>10.164</v>
      </c>
      <c r="H307" s="11" t="str">
        <f t="shared" si="25"/>
        <v>3.785E-2</v>
      </c>
      <c r="I307" s="2">
        <f t="shared" si="26"/>
        <v>112.6</v>
      </c>
      <c r="J307" s="4">
        <f t="shared" si="27"/>
        <v>10.164</v>
      </c>
      <c r="K307" s="9">
        <f t="shared" si="28"/>
        <v>8.10000000000005</v>
      </c>
      <c r="L307" s="1">
        <f t="shared" si="29"/>
        <v>-3.49999999999996</v>
      </c>
    </row>
    <row r="308" s="1" customFormat="1" spans="1:12">
      <c r="A308" s="2">
        <v>10.231</v>
      </c>
      <c r="B308" s="10" t="s">
        <v>435</v>
      </c>
      <c r="C308" s="4">
        <v>10.231</v>
      </c>
      <c r="D308" s="5">
        <v>110.3</v>
      </c>
      <c r="E308" s="4"/>
      <c r="F308" s="4"/>
      <c r="G308" s="2">
        <f t="shared" si="24"/>
        <v>10.197</v>
      </c>
      <c r="H308" s="11" t="str">
        <f t="shared" si="25"/>
        <v>3.778E-2</v>
      </c>
      <c r="I308" s="2">
        <f t="shared" si="26"/>
        <v>111.3</v>
      </c>
      <c r="J308" s="4">
        <f t="shared" si="27"/>
        <v>10.197</v>
      </c>
      <c r="K308" s="9">
        <f t="shared" si="28"/>
        <v>7.40000000000005</v>
      </c>
      <c r="L308" s="1">
        <f t="shared" si="29"/>
        <v>-3.49999999999996</v>
      </c>
    </row>
    <row r="309" s="1" customFormat="1" spans="1:12">
      <c r="A309" s="2">
        <v>10.264</v>
      </c>
      <c r="B309" s="10" t="s">
        <v>436</v>
      </c>
      <c r="C309" s="4">
        <v>10.264</v>
      </c>
      <c r="D309" s="5">
        <v>108.2</v>
      </c>
      <c r="E309" s="4"/>
      <c r="F309" s="4"/>
      <c r="G309" s="2">
        <f t="shared" si="24"/>
        <v>10.231</v>
      </c>
      <c r="H309" s="11" t="str">
        <f t="shared" si="25"/>
        <v>3.767E-2</v>
      </c>
      <c r="I309" s="2">
        <f t="shared" si="26"/>
        <v>110.3</v>
      </c>
      <c r="J309" s="4">
        <f t="shared" si="27"/>
        <v>10.231</v>
      </c>
      <c r="K309" s="9">
        <f t="shared" si="28"/>
        <v>6.30000000000006</v>
      </c>
      <c r="L309" s="1">
        <f t="shared" si="29"/>
        <v>-3.49999999999996</v>
      </c>
    </row>
    <row r="310" s="1" customFormat="1" spans="1:12">
      <c r="A310" s="2">
        <v>10.297</v>
      </c>
      <c r="B310" s="10" t="s">
        <v>437</v>
      </c>
      <c r="C310" s="4">
        <v>10.297</v>
      </c>
      <c r="D310" s="5">
        <v>106.9</v>
      </c>
      <c r="E310" s="4"/>
      <c r="F310" s="4"/>
      <c r="G310" s="2">
        <f t="shared" si="24"/>
        <v>10.264</v>
      </c>
      <c r="H310" s="11" t="str">
        <f t="shared" si="25"/>
        <v>3.761E-2</v>
      </c>
      <c r="I310" s="2">
        <f t="shared" si="26"/>
        <v>108.2</v>
      </c>
      <c r="J310" s="4">
        <f t="shared" si="27"/>
        <v>10.264</v>
      </c>
      <c r="K310" s="9">
        <f t="shared" si="28"/>
        <v>5.70000000000001</v>
      </c>
      <c r="L310" s="1">
        <f t="shared" si="29"/>
        <v>-3.49999999999996</v>
      </c>
    </row>
    <row r="311" s="1" customFormat="1" spans="1:12">
      <c r="A311" s="2">
        <v>10.331</v>
      </c>
      <c r="B311" s="10" t="s">
        <v>383</v>
      </c>
      <c r="C311" s="4">
        <v>10.331</v>
      </c>
      <c r="D311" s="5">
        <v>106</v>
      </c>
      <c r="E311" s="4"/>
      <c r="F311" s="4"/>
      <c r="G311" s="2">
        <f t="shared" si="24"/>
        <v>10.297</v>
      </c>
      <c r="H311" s="11" t="str">
        <f t="shared" si="25"/>
        <v>3.758E-2</v>
      </c>
      <c r="I311" s="2">
        <f t="shared" si="26"/>
        <v>106.9</v>
      </c>
      <c r="J311" s="4">
        <f t="shared" si="27"/>
        <v>10.297</v>
      </c>
      <c r="K311" s="9">
        <f t="shared" si="28"/>
        <v>5.40000000000006</v>
      </c>
      <c r="L311" s="1">
        <f t="shared" si="29"/>
        <v>-3.49999999999996</v>
      </c>
    </row>
    <row r="312" s="1" customFormat="1" spans="1:12">
      <c r="A312" s="2">
        <v>10.364</v>
      </c>
      <c r="B312" s="10" t="s">
        <v>438</v>
      </c>
      <c r="C312" s="4">
        <v>10.364</v>
      </c>
      <c r="D312" s="5">
        <v>103.7</v>
      </c>
      <c r="E312" s="4"/>
      <c r="F312" s="4"/>
      <c r="G312" s="2">
        <f t="shared" si="24"/>
        <v>10.331</v>
      </c>
      <c r="H312" s="11" t="str">
        <f t="shared" si="25"/>
        <v>3.755E-2</v>
      </c>
      <c r="I312" s="2">
        <f t="shared" si="26"/>
        <v>106</v>
      </c>
      <c r="J312" s="4">
        <f t="shared" si="27"/>
        <v>10.331</v>
      </c>
      <c r="K312" s="9">
        <f t="shared" si="28"/>
        <v>5.10000000000004</v>
      </c>
      <c r="L312" s="1">
        <f t="shared" si="29"/>
        <v>-3.49999999999996</v>
      </c>
    </row>
    <row r="313" s="1" customFormat="1" spans="1:12">
      <c r="A313" s="2">
        <v>10.398</v>
      </c>
      <c r="B313" s="10" t="s">
        <v>383</v>
      </c>
      <c r="C313" s="4">
        <v>10.398</v>
      </c>
      <c r="D313" s="5">
        <v>101.3</v>
      </c>
      <c r="E313" s="4"/>
      <c r="F313" s="4"/>
      <c r="G313" s="2">
        <f t="shared" si="24"/>
        <v>10.364</v>
      </c>
      <c r="H313" s="11" t="str">
        <f t="shared" si="25"/>
        <v>3.754E-2</v>
      </c>
      <c r="I313" s="2">
        <f t="shared" si="26"/>
        <v>103.7</v>
      </c>
      <c r="J313" s="4">
        <f t="shared" si="27"/>
        <v>10.364</v>
      </c>
      <c r="K313" s="9">
        <f t="shared" si="28"/>
        <v>5</v>
      </c>
      <c r="L313" s="1">
        <f t="shared" si="29"/>
        <v>-3.49999999999996</v>
      </c>
    </row>
    <row r="314" s="1" customFormat="1" spans="1:12">
      <c r="A314" s="2">
        <v>10.431</v>
      </c>
      <c r="B314" s="10" t="s">
        <v>418</v>
      </c>
      <c r="C314" s="4">
        <v>10.431</v>
      </c>
      <c r="D314" s="5">
        <v>100.8</v>
      </c>
      <c r="E314" s="4"/>
      <c r="F314" s="4"/>
      <c r="G314" s="2">
        <f t="shared" si="24"/>
        <v>10.398</v>
      </c>
      <c r="H314" s="11" t="str">
        <f t="shared" si="25"/>
        <v>3.755E-2</v>
      </c>
      <c r="I314" s="2">
        <f t="shared" si="26"/>
        <v>101.3</v>
      </c>
      <c r="J314" s="4">
        <f t="shared" si="27"/>
        <v>10.398</v>
      </c>
      <c r="K314" s="9">
        <f t="shared" si="28"/>
        <v>5.10000000000004</v>
      </c>
      <c r="L314" s="1">
        <f t="shared" si="29"/>
        <v>-3.49999999999996</v>
      </c>
    </row>
    <row r="315" s="1" customFormat="1" spans="1:12">
      <c r="A315" s="2">
        <v>10.465</v>
      </c>
      <c r="B315" s="10" t="s">
        <v>437</v>
      </c>
      <c r="C315" s="4">
        <v>10.465</v>
      </c>
      <c r="D315" s="5">
        <v>98.8</v>
      </c>
      <c r="E315" s="4"/>
      <c r="F315" s="4"/>
      <c r="G315" s="2">
        <f t="shared" si="24"/>
        <v>10.431</v>
      </c>
      <c r="H315" s="11" t="str">
        <f t="shared" si="25"/>
        <v>3.756E-2</v>
      </c>
      <c r="I315" s="2">
        <f t="shared" si="26"/>
        <v>100.8</v>
      </c>
      <c r="J315" s="4">
        <f t="shared" si="27"/>
        <v>10.431</v>
      </c>
      <c r="K315" s="9">
        <f t="shared" si="28"/>
        <v>5.20000000000007</v>
      </c>
      <c r="L315" s="1">
        <f t="shared" si="29"/>
        <v>-3.49999999999996</v>
      </c>
    </row>
    <row r="316" s="1" customFormat="1" spans="1:12">
      <c r="A316" s="2">
        <v>10.498</v>
      </c>
      <c r="B316" s="10" t="s">
        <v>439</v>
      </c>
      <c r="C316" s="4">
        <v>10.498</v>
      </c>
      <c r="D316" s="5">
        <v>98.8</v>
      </c>
      <c r="E316" s="4"/>
      <c r="F316" s="4"/>
      <c r="G316" s="2">
        <f t="shared" si="24"/>
        <v>10.465</v>
      </c>
      <c r="H316" s="11" t="str">
        <f t="shared" si="25"/>
        <v>3.758E-2</v>
      </c>
      <c r="I316" s="2">
        <f t="shared" si="26"/>
        <v>98.8</v>
      </c>
      <c r="J316" s="4">
        <f t="shared" si="27"/>
        <v>10.465</v>
      </c>
      <c r="K316" s="9">
        <f t="shared" si="28"/>
        <v>5.40000000000006</v>
      </c>
      <c r="L316" s="1">
        <f t="shared" si="29"/>
        <v>-3.49999999999996</v>
      </c>
    </row>
    <row r="317" s="1" customFormat="1" spans="1:12">
      <c r="A317" s="2">
        <v>10.531</v>
      </c>
      <c r="B317" s="10" t="s">
        <v>440</v>
      </c>
      <c r="C317" s="4">
        <v>10.531</v>
      </c>
      <c r="D317" s="5">
        <v>253.8</v>
      </c>
      <c r="E317" s="4"/>
      <c r="F317" s="4"/>
      <c r="G317" s="2">
        <f t="shared" si="24"/>
        <v>10.498</v>
      </c>
      <c r="H317" s="11" t="str">
        <f t="shared" si="25"/>
        <v>3.759E-2</v>
      </c>
      <c r="I317" s="2">
        <f t="shared" si="26"/>
        <v>98.8</v>
      </c>
      <c r="J317" s="4">
        <f t="shared" si="27"/>
        <v>10.498</v>
      </c>
      <c r="K317" s="9">
        <f t="shared" si="28"/>
        <v>5.50000000000002</v>
      </c>
      <c r="L317" s="1">
        <f t="shared" si="29"/>
        <v>-3.49999999999996</v>
      </c>
    </row>
    <row r="318" s="1" customFormat="1" spans="1:12">
      <c r="A318" s="2">
        <v>10.565</v>
      </c>
      <c r="B318" s="10" t="s">
        <v>364</v>
      </c>
      <c r="C318" s="4">
        <v>10.565</v>
      </c>
      <c r="D318" s="5">
        <v>253.8</v>
      </c>
      <c r="E318" s="4"/>
      <c r="F318" s="4"/>
      <c r="G318" s="2">
        <f t="shared" si="24"/>
        <v>10.531</v>
      </c>
      <c r="H318" s="11" t="str">
        <f t="shared" si="25"/>
        <v>3.762E-2</v>
      </c>
      <c r="I318" s="2">
        <f t="shared" si="26"/>
        <v>253.8</v>
      </c>
      <c r="J318" s="4">
        <f t="shared" si="27"/>
        <v>10.531</v>
      </c>
      <c r="K318" s="9">
        <f t="shared" si="28"/>
        <v>5.80000000000004</v>
      </c>
      <c r="L318" s="1">
        <f t="shared" si="29"/>
        <v>16.1</v>
      </c>
    </row>
    <row r="319" s="1" customFormat="1" spans="1:12">
      <c r="A319" s="2">
        <v>10.598</v>
      </c>
      <c r="B319" s="10" t="s">
        <v>435</v>
      </c>
      <c r="C319" s="4">
        <v>10.598</v>
      </c>
      <c r="D319" s="5">
        <v>253.8</v>
      </c>
      <c r="E319" s="4"/>
      <c r="F319" s="4"/>
      <c r="G319" s="2">
        <f t="shared" si="24"/>
        <v>10.565</v>
      </c>
      <c r="H319" s="11" t="str">
        <f t="shared" si="25"/>
        <v>3.764E-2</v>
      </c>
      <c r="I319" s="2">
        <f t="shared" si="26"/>
        <v>253.8</v>
      </c>
      <c r="J319" s="4">
        <f t="shared" si="27"/>
        <v>10.565</v>
      </c>
      <c r="K319" s="9">
        <f t="shared" si="28"/>
        <v>6.00000000000003</v>
      </c>
      <c r="L319" s="1">
        <f t="shared" si="29"/>
        <v>16.1</v>
      </c>
    </row>
    <row r="320" s="1" customFormat="1" spans="1:12">
      <c r="A320" s="2">
        <v>10.632</v>
      </c>
      <c r="B320" s="10" t="s">
        <v>435</v>
      </c>
      <c r="C320" s="4">
        <v>10.632</v>
      </c>
      <c r="D320" s="5">
        <v>253.8</v>
      </c>
      <c r="E320" s="4"/>
      <c r="F320" s="4"/>
      <c r="G320" s="2">
        <f t="shared" si="24"/>
        <v>10.598</v>
      </c>
      <c r="H320" s="11" t="str">
        <f t="shared" si="25"/>
        <v>3.767E-2</v>
      </c>
      <c r="I320" s="2">
        <f t="shared" si="26"/>
        <v>253.8</v>
      </c>
      <c r="J320" s="4">
        <f t="shared" si="27"/>
        <v>10.598</v>
      </c>
      <c r="K320" s="9">
        <f t="shared" si="28"/>
        <v>6.30000000000006</v>
      </c>
      <c r="L320" s="1">
        <f t="shared" si="29"/>
        <v>16.1</v>
      </c>
    </row>
    <row r="321" s="1" customFormat="1" spans="1:12">
      <c r="A321" s="2">
        <v>10.665</v>
      </c>
      <c r="B321" s="10" t="s">
        <v>419</v>
      </c>
      <c r="C321" s="4">
        <v>10.665</v>
      </c>
      <c r="D321" s="5">
        <v>253.8</v>
      </c>
      <c r="E321" s="4"/>
      <c r="F321" s="4"/>
      <c r="G321" s="2">
        <f t="shared" si="24"/>
        <v>10.632</v>
      </c>
      <c r="H321" s="11" t="str">
        <f t="shared" si="25"/>
        <v>3.767E-2</v>
      </c>
      <c r="I321" s="2">
        <f t="shared" si="26"/>
        <v>253.8</v>
      </c>
      <c r="J321" s="4">
        <f t="shared" si="27"/>
        <v>10.632</v>
      </c>
      <c r="K321" s="9">
        <f t="shared" si="28"/>
        <v>6.30000000000006</v>
      </c>
      <c r="L321" s="1">
        <f t="shared" si="29"/>
        <v>16.1</v>
      </c>
    </row>
    <row r="322" s="1" customFormat="1" spans="1:12">
      <c r="A322" s="2">
        <v>10.699</v>
      </c>
      <c r="B322" s="10" t="s">
        <v>382</v>
      </c>
      <c r="C322" s="4">
        <v>10.699</v>
      </c>
      <c r="D322" s="5">
        <v>253.8</v>
      </c>
      <c r="E322" s="4"/>
      <c r="F322" s="4"/>
      <c r="G322" s="2">
        <f t="shared" si="24"/>
        <v>10.665</v>
      </c>
      <c r="H322" s="11" t="str">
        <f t="shared" si="25"/>
        <v>3.770E-2</v>
      </c>
      <c r="I322" s="2">
        <f t="shared" si="26"/>
        <v>253.8</v>
      </c>
      <c r="J322" s="4">
        <f t="shared" si="27"/>
        <v>10.665</v>
      </c>
      <c r="K322" s="9">
        <f t="shared" si="28"/>
        <v>6.60000000000001</v>
      </c>
      <c r="L322" s="1">
        <f t="shared" si="29"/>
        <v>16.1</v>
      </c>
    </row>
    <row r="323" s="1" customFormat="1" spans="1:12">
      <c r="A323" s="2">
        <v>10.732</v>
      </c>
      <c r="B323" s="10" t="s">
        <v>382</v>
      </c>
      <c r="C323" s="4">
        <v>10.732</v>
      </c>
      <c r="D323" s="5">
        <v>253.8</v>
      </c>
      <c r="E323" s="4"/>
      <c r="F323" s="4"/>
      <c r="G323" s="2">
        <f t="shared" si="24"/>
        <v>10.699</v>
      </c>
      <c r="H323" s="11" t="str">
        <f t="shared" si="25"/>
        <v>3.771E-2</v>
      </c>
      <c r="I323" s="2">
        <f t="shared" si="26"/>
        <v>253.8</v>
      </c>
      <c r="J323" s="4">
        <f t="shared" si="27"/>
        <v>10.699</v>
      </c>
      <c r="K323" s="9">
        <f t="shared" si="28"/>
        <v>6.70000000000004</v>
      </c>
      <c r="L323" s="1">
        <f t="shared" si="29"/>
        <v>16.1</v>
      </c>
    </row>
    <row r="324" s="1" customFormat="1" spans="1:12">
      <c r="A324" s="2">
        <v>10.765</v>
      </c>
      <c r="B324" s="10" t="s">
        <v>365</v>
      </c>
      <c r="C324" s="4">
        <v>10.765</v>
      </c>
      <c r="D324" s="5">
        <v>253.8</v>
      </c>
      <c r="E324" s="4"/>
      <c r="F324" s="4"/>
      <c r="G324" s="2">
        <f t="shared" ref="G324:G387" si="30">A323</f>
        <v>10.732</v>
      </c>
      <c r="H324" s="11" t="str">
        <f t="shared" ref="H324:H387" si="31">B323</f>
        <v>3.771E-2</v>
      </c>
      <c r="I324" s="2">
        <f t="shared" ref="I324:I387" si="32">D323</f>
        <v>253.8</v>
      </c>
      <c r="J324" s="4">
        <f t="shared" ref="J324:J387" si="33">G324</f>
        <v>10.732</v>
      </c>
      <c r="K324" s="9">
        <f t="shared" ref="K324:K387" si="34">(H324-$H$4)*10000</f>
        <v>6.70000000000004</v>
      </c>
      <c r="L324" s="1">
        <f t="shared" ref="L324:L387" si="35">IF(I324&lt;230,MIN(K:K),MAX(K:K))</f>
        <v>16.1</v>
      </c>
    </row>
    <row r="325" s="1" customFormat="1" spans="1:12">
      <c r="A325" s="2">
        <v>10.799</v>
      </c>
      <c r="B325" s="10" t="s">
        <v>441</v>
      </c>
      <c r="C325" s="4">
        <v>10.799</v>
      </c>
      <c r="D325" s="5">
        <v>253.8</v>
      </c>
      <c r="E325" s="4"/>
      <c r="F325" s="4"/>
      <c r="G325" s="2">
        <f t="shared" si="30"/>
        <v>10.765</v>
      </c>
      <c r="H325" s="11" t="str">
        <f t="shared" si="31"/>
        <v>3.773E-2</v>
      </c>
      <c r="I325" s="2">
        <f t="shared" si="32"/>
        <v>253.8</v>
      </c>
      <c r="J325" s="4">
        <f t="shared" si="33"/>
        <v>10.765</v>
      </c>
      <c r="K325" s="9">
        <f t="shared" si="34"/>
        <v>6.90000000000003</v>
      </c>
      <c r="L325" s="1">
        <f t="shared" si="35"/>
        <v>16.1</v>
      </c>
    </row>
    <row r="326" s="1" customFormat="1" spans="1:12">
      <c r="A326" s="2">
        <v>10.832</v>
      </c>
      <c r="B326" s="10" t="s">
        <v>442</v>
      </c>
      <c r="C326" s="4">
        <v>10.832</v>
      </c>
      <c r="D326" s="5">
        <v>253.8</v>
      </c>
      <c r="E326" s="4"/>
      <c r="F326" s="4"/>
      <c r="G326" s="2">
        <f t="shared" si="30"/>
        <v>10.799</v>
      </c>
      <c r="H326" s="11" t="str">
        <f t="shared" si="31"/>
        <v>3.776E-2</v>
      </c>
      <c r="I326" s="2">
        <f t="shared" si="32"/>
        <v>253.8</v>
      </c>
      <c r="J326" s="4">
        <f t="shared" si="33"/>
        <v>10.799</v>
      </c>
      <c r="K326" s="9">
        <f t="shared" si="34"/>
        <v>7.20000000000005</v>
      </c>
      <c r="L326" s="1">
        <f t="shared" si="35"/>
        <v>16.1</v>
      </c>
    </row>
    <row r="327" s="1" customFormat="1" spans="1:12">
      <c r="A327" s="2">
        <v>10.866</v>
      </c>
      <c r="B327" s="10" t="s">
        <v>442</v>
      </c>
      <c r="C327" s="4">
        <v>10.866</v>
      </c>
      <c r="D327" s="5">
        <v>253.8</v>
      </c>
      <c r="E327" s="4"/>
      <c r="F327" s="4"/>
      <c r="G327" s="2">
        <f t="shared" si="30"/>
        <v>10.832</v>
      </c>
      <c r="H327" s="11" t="str">
        <f t="shared" si="31"/>
        <v>3.777E-2</v>
      </c>
      <c r="I327" s="2">
        <f t="shared" si="32"/>
        <v>253.8</v>
      </c>
      <c r="J327" s="4">
        <f t="shared" si="33"/>
        <v>10.832</v>
      </c>
      <c r="K327" s="9">
        <f t="shared" si="34"/>
        <v>7.30000000000001</v>
      </c>
      <c r="L327" s="1">
        <f t="shared" si="35"/>
        <v>16.1</v>
      </c>
    </row>
    <row r="328" s="1" customFormat="1" spans="1:12">
      <c r="A328" s="2">
        <v>10.899</v>
      </c>
      <c r="B328" s="10" t="s">
        <v>434</v>
      </c>
      <c r="C328" s="4">
        <v>10.899</v>
      </c>
      <c r="D328" s="5">
        <v>253.8</v>
      </c>
      <c r="E328" s="4"/>
      <c r="F328" s="4"/>
      <c r="G328" s="2">
        <f t="shared" si="30"/>
        <v>10.866</v>
      </c>
      <c r="H328" s="11" t="str">
        <f t="shared" si="31"/>
        <v>3.777E-2</v>
      </c>
      <c r="I328" s="2">
        <f t="shared" si="32"/>
        <v>253.8</v>
      </c>
      <c r="J328" s="4">
        <f t="shared" si="33"/>
        <v>10.866</v>
      </c>
      <c r="K328" s="9">
        <f t="shared" si="34"/>
        <v>7.30000000000001</v>
      </c>
      <c r="L328" s="1">
        <f t="shared" si="35"/>
        <v>16.1</v>
      </c>
    </row>
    <row r="329" s="1" customFormat="1" spans="1:12">
      <c r="A329" s="2">
        <v>10.933</v>
      </c>
      <c r="B329" s="10" t="s">
        <v>413</v>
      </c>
      <c r="C329" s="4">
        <v>10.933</v>
      </c>
      <c r="D329" s="5">
        <v>253.8</v>
      </c>
      <c r="E329" s="4"/>
      <c r="F329" s="4"/>
      <c r="G329" s="2">
        <f t="shared" si="30"/>
        <v>10.899</v>
      </c>
      <c r="H329" s="11" t="str">
        <f t="shared" si="31"/>
        <v>3.778E-2</v>
      </c>
      <c r="I329" s="2">
        <f t="shared" si="32"/>
        <v>253.8</v>
      </c>
      <c r="J329" s="4">
        <f t="shared" si="33"/>
        <v>10.899</v>
      </c>
      <c r="K329" s="9">
        <f t="shared" si="34"/>
        <v>7.40000000000005</v>
      </c>
      <c r="L329" s="1">
        <f t="shared" si="35"/>
        <v>16.1</v>
      </c>
    </row>
    <row r="330" s="1" customFormat="1" spans="1:12">
      <c r="A330" s="2">
        <v>10.966</v>
      </c>
      <c r="B330" s="10" t="s">
        <v>413</v>
      </c>
      <c r="C330" s="4">
        <v>10.966</v>
      </c>
      <c r="D330" s="5">
        <v>253.8</v>
      </c>
      <c r="E330" s="4"/>
      <c r="F330" s="4"/>
      <c r="G330" s="2">
        <f t="shared" si="30"/>
        <v>10.933</v>
      </c>
      <c r="H330" s="11" t="str">
        <f t="shared" si="31"/>
        <v>3.779E-2</v>
      </c>
      <c r="I330" s="2">
        <f t="shared" si="32"/>
        <v>253.8</v>
      </c>
      <c r="J330" s="4">
        <f t="shared" si="33"/>
        <v>10.933</v>
      </c>
      <c r="K330" s="9">
        <f t="shared" si="34"/>
        <v>7.50000000000001</v>
      </c>
      <c r="L330" s="1">
        <f t="shared" si="35"/>
        <v>16.1</v>
      </c>
    </row>
    <row r="331" s="1" customFormat="1" spans="1:12">
      <c r="A331" s="2">
        <v>11</v>
      </c>
      <c r="B331" s="10" t="s">
        <v>434</v>
      </c>
      <c r="C331" s="4">
        <v>11</v>
      </c>
      <c r="D331" s="5">
        <v>253.8</v>
      </c>
      <c r="E331" s="4"/>
      <c r="F331" s="4"/>
      <c r="G331" s="2">
        <f t="shared" si="30"/>
        <v>10.966</v>
      </c>
      <c r="H331" s="11" t="str">
        <f t="shared" si="31"/>
        <v>3.779E-2</v>
      </c>
      <c r="I331" s="2">
        <f t="shared" si="32"/>
        <v>253.8</v>
      </c>
      <c r="J331" s="4">
        <f t="shared" si="33"/>
        <v>10.966</v>
      </c>
      <c r="K331" s="9">
        <f t="shared" si="34"/>
        <v>7.50000000000001</v>
      </c>
      <c r="L331" s="1">
        <f t="shared" si="35"/>
        <v>16.1</v>
      </c>
    </row>
    <row r="332" s="1" customFormat="1" spans="1:12">
      <c r="A332" s="2">
        <v>11.033</v>
      </c>
      <c r="B332" s="10" t="s">
        <v>442</v>
      </c>
      <c r="C332" s="4">
        <v>11.033</v>
      </c>
      <c r="D332" s="5">
        <v>253.7</v>
      </c>
      <c r="E332" s="4"/>
      <c r="F332" s="4"/>
      <c r="G332" s="2">
        <f t="shared" si="30"/>
        <v>11</v>
      </c>
      <c r="H332" s="11" t="str">
        <f t="shared" si="31"/>
        <v>3.778E-2</v>
      </c>
      <c r="I332" s="2">
        <f t="shared" si="32"/>
        <v>253.8</v>
      </c>
      <c r="J332" s="4">
        <f t="shared" si="33"/>
        <v>11</v>
      </c>
      <c r="K332" s="9">
        <f t="shared" si="34"/>
        <v>7.40000000000005</v>
      </c>
      <c r="L332" s="1">
        <f t="shared" si="35"/>
        <v>16.1</v>
      </c>
    </row>
    <row r="333" s="1" customFormat="1" spans="1:12">
      <c r="A333" s="2">
        <v>11.066</v>
      </c>
      <c r="B333" s="10" t="s">
        <v>442</v>
      </c>
      <c r="C333" s="4">
        <v>11.066</v>
      </c>
      <c r="D333" s="5">
        <v>253.8</v>
      </c>
      <c r="E333" s="4"/>
      <c r="F333" s="4"/>
      <c r="G333" s="2">
        <f t="shared" si="30"/>
        <v>11.033</v>
      </c>
      <c r="H333" s="11" t="str">
        <f t="shared" si="31"/>
        <v>3.777E-2</v>
      </c>
      <c r="I333" s="2">
        <f t="shared" si="32"/>
        <v>253.7</v>
      </c>
      <c r="J333" s="4">
        <f t="shared" si="33"/>
        <v>11.033</v>
      </c>
      <c r="K333" s="9">
        <f t="shared" si="34"/>
        <v>7.30000000000001</v>
      </c>
      <c r="L333" s="1">
        <f t="shared" si="35"/>
        <v>16.1</v>
      </c>
    </row>
    <row r="334" s="1" customFormat="1" spans="1:12">
      <c r="A334" s="2">
        <v>11.1</v>
      </c>
      <c r="B334" s="10" t="s">
        <v>441</v>
      </c>
      <c r="C334" s="4">
        <v>11.1</v>
      </c>
      <c r="D334" s="5">
        <v>253.7</v>
      </c>
      <c r="E334" s="4"/>
      <c r="F334" s="4"/>
      <c r="G334" s="2">
        <f t="shared" si="30"/>
        <v>11.066</v>
      </c>
      <c r="H334" s="11" t="str">
        <f t="shared" si="31"/>
        <v>3.777E-2</v>
      </c>
      <c r="I334" s="2">
        <f t="shared" si="32"/>
        <v>253.8</v>
      </c>
      <c r="J334" s="4">
        <f t="shared" si="33"/>
        <v>11.066</v>
      </c>
      <c r="K334" s="9">
        <f t="shared" si="34"/>
        <v>7.30000000000001</v>
      </c>
      <c r="L334" s="1">
        <f t="shared" si="35"/>
        <v>16.1</v>
      </c>
    </row>
    <row r="335" s="1" customFormat="1" spans="1:12">
      <c r="A335" s="2">
        <v>11.133</v>
      </c>
      <c r="B335" s="10" t="s">
        <v>443</v>
      </c>
      <c r="C335" s="4">
        <v>11.133</v>
      </c>
      <c r="D335" s="5">
        <v>253.7</v>
      </c>
      <c r="E335" s="4"/>
      <c r="F335" s="4"/>
      <c r="G335" s="2">
        <f t="shared" si="30"/>
        <v>11.1</v>
      </c>
      <c r="H335" s="11" t="str">
        <f t="shared" si="31"/>
        <v>3.776E-2</v>
      </c>
      <c r="I335" s="2">
        <f t="shared" si="32"/>
        <v>253.7</v>
      </c>
      <c r="J335" s="4">
        <f t="shared" si="33"/>
        <v>11.1</v>
      </c>
      <c r="K335" s="9">
        <f t="shared" si="34"/>
        <v>7.20000000000005</v>
      </c>
      <c r="L335" s="1">
        <f t="shared" si="35"/>
        <v>16.1</v>
      </c>
    </row>
    <row r="336" s="1" customFormat="1" spans="1:12">
      <c r="A336" s="2">
        <v>11.167</v>
      </c>
      <c r="B336" s="10" t="s">
        <v>443</v>
      </c>
      <c r="C336" s="4">
        <v>11.167</v>
      </c>
      <c r="D336" s="5">
        <v>253.7</v>
      </c>
      <c r="E336" s="4"/>
      <c r="F336" s="4"/>
      <c r="G336" s="2">
        <f t="shared" si="30"/>
        <v>11.133</v>
      </c>
      <c r="H336" s="11" t="str">
        <f t="shared" si="31"/>
        <v>3.775E-2</v>
      </c>
      <c r="I336" s="2">
        <f t="shared" si="32"/>
        <v>253.7</v>
      </c>
      <c r="J336" s="4">
        <f t="shared" si="33"/>
        <v>11.133</v>
      </c>
      <c r="K336" s="9">
        <f t="shared" si="34"/>
        <v>7.10000000000002</v>
      </c>
      <c r="L336" s="1">
        <f t="shared" si="35"/>
        <v>16.1</v>
      </c>
    </row>
    <row r="337" s="1" customFormat="1" spans="1:12">
      <c r="A337" s="2">
        <v>11.2</v>
      </c>
      <c r="B337" s="10" t="s">
        <v>365</v>
      </c>
      <c r="C337" s="4">
        <v>11.2</v>
      </c>
      <c r="D337" s="5">
        <v>253.7</v>
      </c>
      <c r="E337" s="4"/>
      <c r="F337" s="4"/>
      <c r="G337" s="2">
        <f t="shared" si="30"/>
        <v>11.167</v>
      </c>
      <c r="H337" s="11" t="str">
        <f t="shared" si="31"/>
        <v>3.775E-2</v>
      </c>
      <c r="I337" s="2">
        <f t="shared" si="32"/>
        <v>253.7</v>
      </c>
      <c r="J337" s="4">
        <f t="shared" si="33"/>
        <v>11.167</v>
      </c>
      <c r="K337" s="9">
        <f t="shared" si="34"/>
        <v>7.10000000000002</v>
      </c>
      <c r="L337" s="1">
        <f t="shared" si="35"/>
        <v>16.1</v>
      </c>
    </row>
    <row r="338" s="1" customFormat="1" spans="1:12">
      <c r="A338" s="2">
        <v>11.234</v>
      </c>
      <c r="B338" s="10" t="s">
        <v>365</v>
      </c>
      <c r="C338" s="4">
        <v>11.234</v>
      </c>
      <c r="D338" s="5">
        <v>253.7</v>
      </c>
      <c r="E338" s="4"/>
      <c r="F338" s="4"/>
      <c r="G338" s="2">
        <f t="shared" si="30"/>
        <v>11.2</v>
      </c>
      <c r="H338" s="11" t="str">
        <f t="shared" si="31"/>
        <v>3.773E-2</v>
      </c>
      <c r="I338" s="2">
        <f t="shared" si="32"/>
        <v>253.7</v>
      </c>
      <c r="J338" s="4">
        <f t="shared" si="33"/>
        <v>11.2</v>
      </c>
      <c r="K338" s="9">
        <f t="shared" si="34"/>
        <v>6.90000000000003</v>
      </c>
      <c r="L338" s="1">
        <f t="shared" si="35"/>
        <v>16.1</v>
      </c>
    </row>
    <row r="339" s="1" customFormat="1" spans="1:12">
      <c r="A339" s="2">
        <v>11.267</v>
      </c>
      <c r="B339" s="10" t="s">
        <v>382</v>
      </c>
      <c r="C339" s="4">
        <v>11.267</v>
      </c>
      <c r="D339" s="5">
        <v>253.7</v>
      </c>
      <c r="E339" s="4"/>
      <c r="F339" s="4"/>
      <c r="G339" s="2">
        <f t="shared" si="30"/>
        <v>11.234</v>
      </c>
      <c r="H339" s="11" t="str">
        <f t="shared" si="31"/>
        <v>3.773E-2</v>
      </c>
      <c r="I339" s="2">
        <f t="shared" si="32"/>
        <v>253.7</v>
      </c>
      <c r="J339" s="4">
        <f t="shared" si="33"/>
        <v>11.234</v>
      </c>
      <c r="K339" s="9">
        <f t="shared" si="34"/>
        <v>6.90000000000003</v>
      </c>
      <c r="L339" s="1">
        <f t="shared" si="35"/>
        <v>16.1</v>
      </c>
    </row>
    <row r="340" s="1" customFormat="1" spans="1:12">
      <c r="A340" s="2">
        <v>11.3</v>
      </c>
      <c r="B340" s="10" t="s">
        <v>419</v>
      </c>
      <c r="C340" s="4">
        <v>11.3</v>
      </c>
      <c r="D340" s="5">
        <v>253.7</v>
      </c>
      <c r="E340" s="4"/>
      <c r="F340" s="4"/>
      <c r="G340" s="2">
        <f t="shared" si="30"/>
        <v>11.267</v>
      </c>
      <c r="H340" s="11" t="str">
        <f t="shared" si="31"/>
        <v>3.771E-2</v>
      </c>
      <c r="I340" s="2">
        <f t="shared" si="32"/>
        <v>253.7</v>
      </c>
      <c r="J340" s="4">
        <f t="shared" si="33"/>
        <v>11.267</v>
      </c>
      <c r="K340" s="9">
        <f t="shared" si="34"/>
        <v>6.70000000000004</v>
      </c>
      <c r="L340" s="1">
        <f t="shared" si="35"/>
        <v>16.1</v>
      </c>
    </row>
    <row r="341" s="1" customFormat="1" spans="1:12">
      <c r="A341" s="2">
        <v>11.334</v>
      </c>
      <c r="B341" s="10" t="s">
        <v>444</v>
      </c>
      <c r="C341" s="4">
        <v>11.334</v>
      </c>
      <c r="D341" s="5">
        <v>253.7</v>
      </c>
      <c r="E341" s="4"/>
      <c r="F341" s="4"/>
      <c r="G341" s="2">
        <f t="shared" si="30"/>
        <v>11.3</v>
      </c>
      <c r="H341" s="11" t="str">
        <f t="shared" si="31"/>
        <v>3.770E-2</v>
      </c>
      <c r="I341" s="2">
        <f t="shared" si="32"/>
        <v>253.7</v>
      </c>
      <c r="J341" s="4">
        <f t="shared" si="33"/>
        <v>11.3</v>
      </c>
      <c r="K341" s="9">
        <f t="shared" si="34"/>
        <v>6.60000000000001</v>
      </c>
      <c r="L341" s="1">
        <f t="shared" si="35"/>
        <v>16.1</v>
      </c>
    </row>
    <row r="342" s="1" customFormat="1" spans="1:12">
      <c r="A342" s="2">
        <v>11.367</v>
      </c>
      <c r="B342" s="10" t="s">
        <v>444</v>
      </c>
      <c r="C342" s="4">
        <v>11.367</v>
      </c>
      <c r="D342" s="5">
        <v>228.7</v>
      </c>
      <c r="E342" s="4"/>
      <c r="F342" s="4"/>
      <c r="G342" s="2">
        <f t="shared" si="30"/>
        <v>11.334</v>
      </c>
      <c r="H342" s="11" t="str">
        <f t="shared" si="31"/>
        <v>3.769E-2</v>
      </c>
      <c r="I342" s="2">
        <f t="shared" si="32"/>
        <v>253.7</v>
      </c>
      <c r="J342" s="4">
        <f t="shared" si="33"/>
        <v>11.334</v>
      </c>
      <c r="K342" s="9">
        <f t="shared" si="34"/>
        <v>6.50000000000005</v>
      </c>
      <c r="L342" s="1">
        <f t="shared" si="35"/>
        <v>16.1</v>
      </c>
    </row>
    <row r="343" s="1" customFormat="1" spans="1:12">
      <c r="A343" s="2">
        <v>11.401</v>
      </c>
      <c r="B343" s="10" t="s">
        <v>435</v>
      </c>
      <c r="C343" s="4">
        <v>11.401</v>
      </c>
      <c r="D343" s="5">
        <v>132</v>
      </c>
      <c r="E343" s="4"/>
      <c r="F343" s="4"/>
      <c r="G343" s="2">
        <f t="shared" si="30"/>
        <v>11.367</v>
      </c>
      <c r="H343" s="11" t="str">
        <f t="shared" si="31"/>
        <v>3.769E-2</v>
      </c>
      <c r="I343" s="2">
        <f t="shared" si="32"/>
        <v>228.7</v>
      </c>
      <c r="J343" s="4">
        <f t="shared" si="33"/>
        <v>11.367</v>
      </c>
      <c r="K343" s="9">
        <f t="shared" si="34"/>
        <v>6.50000000000005</v>
      </c>
      <c r="L343" s="1">
        <f t="shared" si="35"/>
        <v>-3.49999999999996</v>
      </c>
    </row>
    <row r="344" s="1" customFormat="1" spans="1:12">
      <c r="A344" s="2">
        <v>11.434</v>
      </c>
      <c r="B344" s="10" t="s">
        <v>435</v>
      </c>
      <c r="C344" s="4">
        <v>11.434</v>
      </c>
      <c r="D344" s="5">
        <v>147.1</v>
      </c>
      <c r="E344" s="4"/>
      <c r="F344" s="4"/>
      <c r="G344" s="2">
        <f t="shared" si="30"/>
        <v>11.401</v>
      </c>
      <c r="H344" s="11" t="str">
        <f t="shared" si="31"/>
        <v>3.767E-2</v>
      </c>
      <c r="I344" s="2">
        <f t="shared" si="32"/>
        <v>132</v>
      </c>
      <c r="J344" s="4">
        <f t="shared" si="33"/>
        <v>11.401</v>
      </c>
      <c r="K344" s="9">
        <f t="shared" si="34"/>
        <v>6.30000000000006</v>
      </c>
      <c r="L344" s="1">
        <f t="shared" si="35"/>
        <v>-3.49999999999996</v>
      </c>
    </row>
    <row r="345" s="1" customFormat="1" spans="1:12">
      <c r="A345" s="2">
        <v>11.468</v>
      </c>
      <c r="B345" s="10" t="s">
        <v>445</v>
      </c>
      <c r="C345" s="4">
        <v>11.468</v>
      </c>
      <c r="D345" s="5">
        <v>143.9</v>
      </c>
      <c r="E345" s="4"/>
      <c r="F345" s="4"/>
      <c r="G345" s="2">
        <f t="shared" si="30"/>
        <v>11.434</v>
      </c>
      <c r="H345" s="11" t="str">
        <f t="shared" si="31"/>
        <v>3.767E-2</v>
      </c>
      <c r="I345" s="2">
        <f t="shared" si="32"/>
        <v>147.1</v>
      </c>
      <c r="J345" s="4">
        <f t="shared" si="33"/>
        <v>11.434</v>
      </c>
      <c r="K345" s="9">
        <f t="shared" si="34"/>
        <v>6.30000000000006</v>
      </c>
      <c r="L345" s="1">
        <f t="shared" si="35"/>
        <v>-3.49999999999996</v>
      </c>
    </row>
    <row r="346" s="1" customFormat="1" spans="1:12">
      <c r="A346" s="2">
        <v>11.501</v>
      </c>
      <c r="B346" s="10" t="s">
        <v>435</v>
      </c>
      <c r="C346" s="4">
        <v>11.501</v>
      </c>
      <c r="D346" s="5">
        <v>143.8</v>
      </c>
      <c r="E346" s="4"/>
      <c r="F346" s="4"/>
      <c r="G346" s="2">
        <f t="shared" si="30"/>
        <v>11.468</v>
      </c>
      <c r="H346" s="11" t="str">
        <f t="shared" si="31"/>
        <v>3.766E-2</v>
      </c>
      <c r="I346" s="2">
        <f t="shared" si="32"/>
        <v>143.9</v>
      </c>
      <c r="J346" s="4">
        <f t="shared" si="33"/>
        <v>11.468</v>
      </c>
      <c r="K346" s="9">
        <f t="shared" si="34"/>
        <v>6.20000000000003</v>
      </c>
      <c r="L346" s="1">
        <f t="shared" si="35"/>
        <v>-3.49999999999996</v>
      </c>
    </row>
    <row r="347" s="1" customFormat="1" spans="1:12">
      <c r="A347" s="2">
        <v>11.534</v>
      </c>
      <c r="B347" s="10" t="s">
        <v>445</v>
      </c>
      <c r="C347" s="4">
        <v>11.534</v>
      </c>
      <c r="D347" s="5">
        <v>142.6</v>
      </c>
      <c r="E347" s="4"/>
      <c r="F347" s="4"/>
      <c r="G347" s="2">
        <f t="shared" si="30"/>
        <v>11.501</v>
      </c>
      <c r="H347" s="11" t="str">
        <f t="shared" si="31"/>
        <v>3.767E-2</v>
      </c>
      <c r="I347" s="2">
        <f t="shared" si="32"/>
        <v>143.8</v>
      </c>
      <c r="J347" s="4">
        <f t="shared" si="33"/>
        <v>11.501</v>
      </c>
      <c r="K347" s="9">
        <f t="shared" si="34"/>
        <v>6.30000000000006</v>
      </c>
      <c r="L347" s="1">
        <f t="shared" si="35"/>
        <v>-3.49999999999996</v>
      </c>
    </row>
    <row r="348" s="1" customFormat="1" spans="1:12">
      <c r="A348" s="2">
        <v>11.568</v>
      </c>
      <c r="B348" s="10" t="s">
        <v>445</v>
      </c>
      <c r="C348" s="4">
        <v>11.568</v>
      </c>
      <c r="D348" s="5">
        <v>142.2</v>
      </c>
      <c r="E348" s="4"/>
      <c r="F348" s="4"/>
      <c r="G348" s="2">
        <f t="shared" si="30"/>
        <v>11.534</v>
      </c>
      <c r="H348" s="11" t="str">
        <f t="shared" si="31"/>
        <v>3.766E-2</v>
      </c>
      <c r="I348" s="2">
        <f t="shared" si="32"/>
        <v>142.6</v>
      </c>
      <c r="J348" s="4">
        <f t="shared" si="33"/>
        <v>11.534</v>
      </c>
      <c r="K348" s="9">
        <f t="shared" si="34"/>
        <v>6.20000000000003</v>
      </c>
      <c r="L348" s="1">
        <f t="shared" si="35"/>
        <v>-3.49999999999996</v>
      </c>
    </row>
    <row r="349" s="1" customFormat="1" spans="1:12">
      <c r="A349" s="2">
        <v>11.601</v>
      </c>
      <c r="B349" s="10" t="s">
        <v>445</v>
      </c>
      <c r="C349" s="4">
        <v>11.601</v>
      </c>
      <c r="D349" s="5">
        <v>140.5</v>
      </c>
      <c r="E349" s="4"/>
      <c r="F349" s="4"/>
      <c r="G349" s="2">
        <f t="shared" si="30"/>
        <v>11.568</v>
      </c>
      <c r="H349" s="11" t="str">
        <f t="shared" si="31"/>
        <v>3.766E-2</v>
      </c>
      <c r="I349" s="2">
        <f t="shared" si="32"/>
        <v>142.2</v>
      </c>
      <c r="J349" s="4">
        <f t="shared" si="33"/>
        <v>11.568</v>
      </c>
      <c r="K349" s="9">
        <f t="shared" si="34"/>
        <v>6.20000000000003</v>
      </c>
      <c r="L349" s="1">
        <f t="shared" si="35"/>
        <v>-3.49999999999996</v>
      </c>
    </row>
    <row r="350" s="1" customFormat="1" spans="1:12">
      <c r="A350" s="2">
        <v>11.635</v>
      </c>
      <c r="B350" s="10" t="s">
        <v>445</v>
      </c>
      <c r="C350" s="4">
        <v>11.635</v>
      </c>
      <c r="D350" s="5">
        <v>139.7</v>
      </c>
      <c r="E350" s="4"/>
      <c r="F350" s="4"/>
      <c r="G350" s="2">
        <f t="shared" si="30"/>
        <v>11.601</v>
      </c>
      <c r="H350" s="11" t="str">
        <f t="shared" si="31"/>
        <v>3.766E-2</v>
      </c>
      <c r="I350" s="2">
        <f t="shared" si="32"/>
        <v>140.5</v>
      </c>
      <c r="J350" s="4">
        <f t="shared" si="33"/>
        <v>11.601</v>
      </c>
      <c r="K350" s="9">
        <f t="shared" si="34"/>
        <v>6.20000000000003</v>
      </c>
      <c r="L350" s="1">
        <f t="shared" si="35"/>
        <v>-3.49999999999996</v>
      </c>
    </row>
    <row r="351" s="1" customFormat="1" spans="1:12">
      <c r="A351" s="2">
        <v>11.668</v>
      </c>
      <c r="B351" s="10" t="s">
        <v>445</v>
      </c>
      <c r="C351" s="4">
        <v>11.668</v>
      </c>
      <c r="D351" s="5">
        <v>137.8</v>
      </c>
      <c r="E351" s="4"/>
      <c r="F351" s="4"/>
      <c r="G351" s="2">
        <f t="shared" si="30"/>
        <v>11.635</v>
      </c>
      <c r="H351" s="11" t="str">
        <f t="shared" si="31"/>
        <v>3.766E-2</v>
      </c>
      <c r="I351" s="2">
        <f t="shared" si="32"/>
        <v>139.7</v>
      </c>
      <c r="J351" s="4">
        <f t="shared" si="33"/>
        <v>11.635</v>
      </c>
      <c r="K351" s="9">
        <f t="shared" si="34"/>
        <v>6.20000000000003</v>
      </c>
      <c r="L351" s="1">
        <f t="shared" si="35"/>
        <v>-3.49999999999996</v>
      </c>
    </row>
    <row r="352" s="1" customFormat="1" spans="1:12">
      <c r="A352" s="2">
        <v>11.702</v>
      </c>
      <c r="B352" s="10" t="s">
        <v>435</v>
      </c>
      <c r="C352" s="4">
        <v>11.702</v>
      </c>
      <c r="D352" s="5">
        <v>136.3</v>
      </c>
      <c r="E352" s="4"/>
      <c r="F352" s="4"/>
      <c r="G352" s="2">
        <f t="shared" si="30"/>
        <v>11.668</v>
      </c>
      <c r="H352" s="11" t="str">
        <f t="shared" si="31"/>
        <v>3.766E-2</v>
      </c>
      <c r="I352" s="2">
        <f t="shared" si="32"/>
        <v>137.8</v>
      </c>
      <c r="J352" s="4">
        <f t="shared" si="33"/>
        <v>11.668</v>
      </c>
      <c r="K352" s="9">
        <f t="shared" si="34"/>
        <v>6.20000000000003</v>
      </c>
      <c r="L352" s="1">
        <f t="shared" si="35"/>
        <v>-3.49999999999996</v>
      </c>
    </row>
    <row r="353" s="1" customFormat="1" spans="1:12">
      <c r="A353" s="2">
        <v>11.735</v>
      </c>
      <c r="B353" s="10" t="s">
        <v>435</v>
      </c>
      <c r="C353" s="4">
        <v>11.735</v>
      </c>
      <c r="D353" s="5">
        <v>134.4</v>
      </c>
      <c r="E353" s="4"/>
      <c r="F353" s="4"/>
      <c r="G353" s="2">
        <f t="shared" si="30"/>
        <v>11.702</v>
      </c>
      <c r="H353" s="11" t="str">
        <f t="shared" si="31"/>
        <v>3.767E-2</v>
      </c>
      <c r="I353" s="2">
        <f t="shared" si="32"/>
        <v>136.3</v>
      </c>
      <c r="J353" s="4">
        <f t="shared" si="33"/>
        <v>11.702</v>
      </c>
      <c r="K353" s="9">
        <f t="shared" si="34"/>
        <v>6.30000000000006</v>
      </c>
      <c r="L353" s="1">
        <f t="shared" si="35"/>
        <v>-3.49999999999996</v>
      </c>
    </row>
    <row r="354" s="1" customFormat="1" spans="1:12">
      <c r="A354" s="2">
        <v>11.768</v>
      </c>
      <c r="B354" s="10" t="s">
        <v>445</v>
      </c>
      <c r="C354" s="4">
        <v>11.768</v>
      </c>
      <c r="D354" s="5">
        <v>134.4</v>
      </c>
      <c r="E354" s="4"/>
      <c r="F354" s="4"/>
      <c r="G354" s="2">
        <f t="shared" si="30"/>
        <v>11.735</v>
      </c>
      <c r="H354" s="11" t="str">
        <f t="shared" si="31"/>
        <v>3.767E-2</v>
      </c>
      <c r="I354" s="2">
        <f t="shared" si="32"/>
        <v>134.4</v>
      </c>
      <c r="J354" s="4">
        <f t="shared" si="33"/>
        <v>11.735</v>
      </c>
      <c r="K354" s="9">
        <f t="shared" si="34"/>
        <v>6.30000000000006</v>
      </c>
      <c r="L354" s="1">
        <f t="shared" si="35"/>
        <v>-3.49999999999996</v>
      </c>
    </row>
    <row r="355" s="1" customFormat="1" spans="1:12">
      <c r="A355" s="2">
        <v>11.802</v>
      </c>
      <c r="B355" s="10" t="s">
        <v>445</v>
      </c>
      <c r="C355" s="4">
        <v>11.802</v>
      </c>
      <c r="D355" s="5">
        <v>132.3</v>
      </c>
      <c r="E355" s="4"/>
      <c r="F355" s="4"/>
      <c r="G355" s="2">
        <f t="shared" si="30"/>
        <v>11.768</v>
      </c>
      <c r="H355" s="11" t="str">
        <f t="shared" si="31"/>
        <v>3.766E-2</v>
      </c>
      <c r="I355" s="2">
        <f t="shared" si="32"/>
        <v>134.4</v>
      </c>
      <c r="J355" s="4">
        <f t="shared" si="33"/>
        <v>11.768</v>
      </c>
      <c r="K355" s="9">
        <f t="shared" si="34"/>
        <v>6.20000000000003</v>
      </c>
      <c r="L355" s="1">
        <f t="shared" si="35"/>
        <v>-3.49999999999996</v>
      </c>
    </row>
    <row r="356" s="1" customFormat="1" spans="1:12">
      <c r="A356" s="2">
        <v>11.835</v>
      </c>
      <c r="B356" s="10" t="s">
        <v>435</v>
      </c>
      <c r="C356" s="4">
        <v>11.835</v>
      </c>
      <c r="D356" s="5">
        <v>131.4</v>
      </c>
      <c r="E356" s="4"/>
      <c r="F356" s="4"/>
      <c r="G356" s="2">
        <f t="shared" si="30"/>
        <v>11.802</v>
      </c>
      <c r="H356" s="11" t="str">
        <f t="shared" si="31"/>
        <v>3.766E-2</v>
      </c>
      <c r="I356" s="2">
        <f t="shared" si="32"/>
        <v>132.3</v>
      </c>
      <c r="J356" s="4">
        <f t="shared" si="33"/>
        <v>11.802</v>
      </c>
      <c r="K356" s="9">
        <f t="shared" si="34"/>
        <v>6.20000000000003</v>
      </c>
      <c r="L356" s="1">
        <f t="shared" si="35"/>
        <v>-3.49999999999996</v>
      </c>
    </row>
    <row r="357" s="1" customFormat="1" spans="1:12">
      <c r="A357" s="2">
        <v>11.869</v>
      </c>
      <c r="B357" s="10" t="s">
        <v>435</v>
      </c>
      <c r="C357" s="4">
        <v>11.869</v>
      </c>
      <c r="D357" s="5">
        <v>129.9</v>
      </c>
      <c r="E357" s="4"/>
      <c r="F357" s="4"/>
      <c r="G357" s="2">
        <f t="shared" si="30"/>
        <v>11.835</v>
      </c>
      <c r="H357" s="11" t="str">
        <f t="shared" si="31"/>
        <v>3.767E-2</v>
      </c>
      <c r="I357" s="2">
        <f t="shared" si="32"/>
        <v>131.4</v>
      </c>
      <c r="J357" s="4">
        <f t="shared" si="33"/>
        <v>11.835</v>
      </c>
      <c r="K357" s="9">
        <f t="shared" si="34"/>
        <v>6.30000000000006</v>
      </c>
      <c r="L357" s="1">
        <f t="shared" si="35"/>
        <v>-3.49999999999996</v>
      </c>
    </row>
    <row r="358" s="1" customFormat="1" spans="1:12">
      <c r="A358" s="2">
        <v>11.902</v>
      </c>
      <c r="B358" s="10" t="s">
        <v>435</v>
      </c>
      <c r="C358" s="4">
        <v>11.902</v>
      </c>
      <c r="D358" s="5">
        <v>130.9</v>
      </c>
      <c r="E358" s="4"/>
      <c r="F358" s="4"/>
      <c r="G358" s="2">
        <f t="shared" si="30"/>
        <v>11.869</v>
      </c>
      <c r="H358" s="11" t="str">
        <f t="shared" si="31"/>
        <v>3.767E-2</v>
      </c>
      <c r="I358" s="2">
        <f t="shared" si="32"/>
        <v>129.9</v>
      </c>
      <c r="J358" s="4">
        <f t="shared" si="33"/>
        <v>11.869</v>
      </c>
      <c r="K358" s="9">
        <f t="shared" si="34"/>
        <v>6.30000000000006</v>
      </c>
      <c r="L358" s="1">
        <f t="shared" si="35"/>
        <v>-3.49999999999996</v>
      </c>
    </row>
    <row r="359" s="1" customFormat="1" spans="1:12">
      <c r="A359" s="2">
        <v>11.936</v>
      </c>
      <c r="B359" s="10" t="s">
        <v>445</v>
      </c>
      <c r="C359" s="4">
        <v>11.936</v>
      </c>
      <c r="D359" s="5">
        <v>127.8</v>
      </c>
      <c r="E359" s="4"/>
      <c r="F359" s="4"/>
      <c r="G359" s="2">
        <f t="shared" si="30"/>
        <v>11.902</v>
      </c>
      <c r="H359" s="11" t="str">
        <f t="shared" si="31"/>
        <v>3.767E-2</v>
      </c>
      <c r="I359" s="2">
        <f t="shared" si="32"/>
        <v>130.9</v>
      </c>
      <c r="J359" s="4">
        <f t="shared" si="33"/>
        <v>11.902</v>
      </c>
      <c r="K359" s="9">
        <f t="shared" si="34"/>
        <v>6.30000000000006</v>
      </c>
      <c r="L359" s="1">
        <f t="shared" si="35"/>
        <v>-3.49999999999996</v>
      </c>
    </row>
    <row r="360" s="1" customFormat="1" spans="1:12">
      <c r="A360" s="2">
        <v>11.969</v>
      </c>
      <c r="B360" s="10" t="s">
        <v>435</v>
      </c>
      <c r="C360" s="4">
        <v>11.969</v>
      </c>
      <c r="D360" s="5">
        <v>126.2</v>
      </c>
      <c r="E360" s="4"/>
      <c r="F360" s="4"/>
      <c r="G360" s="2">
        <f t="shared" si="30"/>
        <v>11.936</v>
      </c>
      <c r="H360" s="11" t="str">
        <f t="shared" si="31"/>
        <v>3.766E-2</v>
      </c>
      <c r="I360" s="2">
        <f t="shared" si="32"/>
        <v>127.8</v>
      </c>
      <c r="J360" s="4">
        <f t="shared" si="33"/>
        <v>11.936</v>
      </c>
      <c r="K360" s="9">
        <f t="shared" si="34"/>
        <v>6.20000000000003</v>
      </c>
      <c r="L360" s="1">
        <f t="shared" si="35"/>
        <v>-3.49999999999996</v>
      </c>
    </row>
    <row r="361" s="1" customFormat="1" spans="1:12">
      <c r="A361" s="2">
        <v>12.003</v>
      </c>
      <c r="B361" s="10" t="s">
        <v>445</v>
      </c>
      <c r="C361" s="4">
        <v>12.003</v>
      </c>
      <c r="D361" s="5">
        <v>125.2</v>
      </c>
      <c r="E361" s="4"/>
      <c r="F361" s="4"/>
      <c r="G361" s="2">
        <f t="shared" si="30"/>
        <v>11.969</v>
      </c>
      <c r="H361" s="11" t="str">
        <f t="shared" si="31"/>
        <v>3.767E-2</v>
      </c>
      <c r="I361" s="2">
        <f t="shared" si="32"/>
        <v>126.2</v>
      </c>
      <c r="J361" s="4">
        <f t="shared" si="33"/>
        <v>11.969</v>
      </c>
      <c r="K361" s="9">
        <f t="shared" si="34"/>
        <v>6.30000000000006</v>
      </c>
      <c r="L361" s="1">
        <f t="shared" si="35"/>
        <v>-3.49999999999996</v>
      </c>
    </row>
    <row r="362" s="1" customFormat="1" spans="1:12">
      <c r="A362" s="2">
        <v>12.036</v>
      </c>
      <c r="B362" s="10" t="s">
        <v>445</v>
      </c>
      <c r="C362" s="4">
        <v>12.036</v>
      </c>
      <c r="D362" s="5">
        <v>124.3</v>
      </c>
      <c r="E362" s="4"/>
      <c r="F362" s="4"/>
      <c r="G362" s="2">
        <f t="shared" si="30"/>
        <v>12.003</v>
      </c>
      <c r="H362" s="11" t="str">
        <f t="shared" si="31"/>
        <v>3.766E-2</v>
      </c>
      <c r="I362" s="2">
        <f t="shared" si="32"/>
        <v>125.2</v>
      </c>
      <c r="J362" s="4">
        <f t="shared" si="33"/>
        <v>12.003</v>
      </c>
      <c r="K362" s="9">
        <f t="shared" si="34"/>
        <v>6.20000000000003</v>
      </c>
      <c r="L362" s="1">
        <f t="shared" si="35"/>
        <v>-3.49999999999996</v>
      </c>
    </row>
    <row r="363" s="1" customFormat="1" spans="1:12">
      <c r="A363" s="2">
        <v>12.069</v>
      </c>
      <c r="B363" s="10" t="s">
        <v>445</v>
      </c>
      <c r="C363" s="4">
        <v>12.069</v>
      </c>
      <c r="D363" s="5">
        <v>123.1</v>
      </c>
      <c r="E363" s="4"/>
      <c r="F363" s="4"/>
      <c r="G363" s="2">
        <f t="shared" si="30"/>
        <v>12.036</v>
      </c>
      <c r="H363" s="11" t="str">
        <f t="shared" si="31"/>
        <v>3.766E-2</v>
      </c>
      <c r="I363" s="2">
        <f t="shared" si="32"/>
        <v>124.3</v>
      </c>
      <c r="J363" s="4">
        <f t="shared" si="33"/>
        <v>12.036</v>
      </c>
      <c r="K363" s="9">
        <f t="shared" si="34"/>
        <v>6.20000000000003</v>
      </c>
      <c r="L363" s="1">
        <f t="shared" si="35"/>
        <v>-3.49999999999996</v>
      </c>
    </row>
    <row r="364" s="1" customFormat="1" spans="1:12">
      <c r="A364" s="2">
        <v>12.103</v>
      </c>
      <c r="B364" s="10" t="s">
        <v>446</v>
      </c>
      <c r="C364" s="4">
        <v>12.103</v>
      </c>
      <c r="D364" s="5">
        <v>121.1</v>
      </c>
      <c r="E364" s="4"/>
      <c r="F364" s="4"/>
      <c r="G364" s="2">
        <f t="shared" si="30"/>
        <v>12.069</v>
      </c>
      <c r="H364" s="11" t="str">
        <f t="shared" si="31"/>
        <v>3.766E-2</v>
      </c>
      <c r="I364" s="2">
        <f t="shared" si="32"/>
        <v>123.1</v>
      </c>
      <c r="J364" s="4">
        <f t="shared" si="33"/>
        <v>12.069</v>
      </c>
      <c r="K364" s="9">
        <f t="shared" si="34"/>
        <v>6.20000000000003</v>
      </c>
      <c r="L364" s="1">
        <f t="shared" si="35"/>
        <v>-3.49999999999996</v>
      </c>
    </row>
    <row r="365" s="1" customFormat="1" spans="1:12">
      <c r="A365" s="2">
        <v>12.136</v>
      </c>
      <c r="B365" s="10" t="s">
        <v>445</v>
      </c>
      <c r="C365" s="4">
        <v>12.136</v>
      </c>
      <c r="D365" s="5">
        <v>120.3</v>
      </c>
      <c r="E365" s="4"/>
      <c r="F365" s="4"/>
      <c r="G365" s="2">
        <f t="shared" si="30"/>
        <v>12.103</v>
      </c>
      <c r="H365" s="11" t="str">
        <f t="shared" si="31"/>
        <v>3.765E-2</v>
      </c>
      <c r="I365" s="2">
        <f t="shared" si="32"/>
        <v>121.1</v>
      </c>
      <c r="J365" s="4">
        <f t="shared" si="33"/>
        <v>12.103</v>
      </c>
      <c r="K365" s="9">
        <f t="shared" si="34"/>
        <v>6.10000000000006</v>
      </c>
      <c r="L365" s="1">
        <f t="shared" si="35"/>
        <v>-3.49999999999996</v>
      </c>
    </row>
    <row r="366" s="1" customFormat="1" spans="1:12">
      <c r="A366" s="2">
        <v>12.17</v>
      </c>
      <c r="B366" s="10" t="s">
        <v>446</v>
      </c>
      <c r="C366" s="4">
        <v>12.17</v>
      </c>
      <c r="D366" s="5">
        <v>119</v>
      </c>
      <c r="E366" s="4"/>
      <c r="F366" s="4"/>
      <c r="G366" s="2">
        <f t="shared" si="30"/>
        <v>12.136</v>
      </c>
      <c r="H366" s="11" t="str">
        <f t="shared" si="31"/>
        <v>3.766E-2</v>
      </c>
      <c r="I366" s="2">
        <f t="shared" si="32"/>
        <v>120.3</v>
      </c>
      <c r="J366" s="4">
        <f t="shared" si="33"/>
        <v>12.136</v>
      </c>
      <c r="K366" s="9">
        <f t="shared" si="34"/>
        <v>6.20000000000003</v>
      </c>
      <c r="L366" s="1">
        <f t="shared" si="35"/>
        <v>-3.49999999999996</v>
      </c>
    </row>
    <row r="367" s="1" customFormat="1" spans="1:12">
      <c r="A367" s="2">
        <v>12.203</v>
      </c>
      <c r="B367" s="10" t="s">
        <v>446</v>
      </c>
      <c r="C367" s="4">
        <v>12.203</v>
      </c>
      <c r="D367" s="5">
        <v>247</v>
      </c>
      <c r="E367" s="4"/>
      <c r="F367" s="4"/>
      <c r="G367" s="2">
        <f t="shared" si="30"/>
        <v>12.17</v>
      </c>
      <c r="H367" s="11" t="str">
        <f t="shared" si="31"/>
        <v>3.765E-2</v>
      </c>
      <c r="I367" s="2">
        <f t="shared" si="32"/>
        <v>119</v>
      </c>
      <c r="J367" s="4">
        <f t="shared" si="33"/>
        <v>12.17</v>
      </c>
      <c r="K367" s="9">
        <f t="shared" si="34"/>
        <v>6.10000000000006</v>
      </c>
      <c r="L367" s="1">
        <f t="shared" si="35"/>
        <v>-3.49999999999996</v>
      </c>
    </row>
    <row r="368" s="1" customFormat="1" spans="1:12">
      <c r="A368" s="2">
        <v>12.237</v>
      </c>
      <c r="B368" s="10" t="s">
        <v>446</v>
      </c>
      <c r="C368" s="4">
        <v>12.237</v>
      </c>
      <c r="D368" s="5">
        <v>253.8</v>
      </c>
      <c r="E368" s="4"/>
      <c r="F368" s="4"/>
      <c r="G368" s="2">
        <f t="shared" si="30"/>
        <v>12.203</v>
      </c>
      <c r="H368" s="11" t="str">
        <f t="shared" si="31"/>
        <v>3.765E-2</v>
      </c>
      <c r="I368" s="2">
        <f t="shared" si="32"/>
        <v>247</v>
      </c>
      <c r="J368" s="4">
        <f t="shared" si="33"/>
        <v>12.203</v>
      </c>
      <c r="K368" s="9">
        <f t="shared" si="34"/>
        <v>6.10000000000006</v>
      </c>
      <c r="L368" s="1">
        <f t="shared" si="35"/>
        <v>16.1</v>
      </c>
    </row>
    <row r="369" s="1" customFormat="1" spans="1:12">
      <c r="A369" s="2">
        <v>12.27</v>
      </c>
      <c r="B369" s="10" t="s">
        <v>364</v>
      </c>
      <c r="C369" s="4">
        <v>12.27</v>
      </c>
      <c r="D369" s="5">
        <v>253.8</v>
      </c>
      <c r="E369" s="4"/>
      <c r="F369" s="4"/>
      <c r="G369" s="2">
        <f t="shared" si="30"/>
        <v>12.237</v>
      </c>
      <c r="H369" s="11" t="str">
        <f t="shared" si="31"/>
        <v>3.765E-2</v>
      </c>
      <c r="I369" s="2">
        <f t="shared" si="32"/>
        <v>253.8</v>
      </c>
      <c r="J369" s="4">
        <f t="shared" si="33"/>
        <v>12.237</v>
      </c>
      <c r="K369" s="9">
        <f t="shared" si="34"/>
        <v>6.10000000000006</v>
      </c>
      <c r="L369" s="1">
        <f t="shared" si="35"/>
        <v>16.1</v>
      </c>
    </row>
    <row r="370" s="1" customFormat="1" spans="1:12">
      <c r="A370" s="2">
        <v>12.303</v>
      </c>
      <c r="B370" s="10" t="s">
        <v>447</v>
      </c>
      <c r="C370" s="4">
        <v>12.303</v>
      </c>
      <c r="D370" s="5">
        <v>253.7</v>
      </c>
      <c r="E370" s="4"/>
      <c r="F370" s="4"/>
      <c r="G370" s="2">
        <f t="shared" si="30"/>
        <v>12.27</v>
      </c>
      <c r="H370" s="11" t="str">
        <f t="shared" si="31"/>
        <v>3.764E-2</v>
      </c>
      <c r="I370" s="2">
        <f t="shared" si="32"/>
        <v>253.8</v>
      </c>
      <c r="J370" s="4">
        <f t="shared" si="33"/>
        <v>12.27</v>
      </c>
      <c r="K370" s="9">
        <f t="shared" si="34"/>
        <v>6.00000000000003</v>
      </c>
      <c r="L370" s="1">
        <f t="shared" si="35"/>
        <v>16.1</v>
      </c>
    </row>
    <row r="371" s="1" customFormat="1" spans="1:12">
      <c r="A371" s="2">
        <v>12.337</v>
      </c>
      <c r="B371" s="10" t="s">
        <v>440</v>
      </c>
      <c r="C371" s="4">
        <v>12.337</v>
      </c>
      <c r="D371" s="5">
        <v>253.7</v>
      </c>
      <c r="E371" s="4"/>
      <c r="F371" s="4"/>
      <c r="G371" s="2">
        <f t="shared" si="30"/>
        <v>12.303</v>
      </c>
      <c r="H371" s="11" t="str">
        <f t="shared" si="31"/>
        <v>3.763E-2</v>
      </c>
      <c r="I371" s="2">
        <f t="shared" si="32"/>
        <v>253.7</v>
      </c>
      <c r="J371" s="4">
        <f t="shared" si="33"/>
        <v>12.303</v>
      </c>
      <c r="K371" s="9">
        <f t="shared" si="34"/>
        <v>5.9</v>
      </c>
      <c r="L371" s="1">
        <f t="shared" si="35"/>
        <v>16.1</v>
      </c>
    </row>
    <row r="372" s="1" customFormat="1" spans="1:12">
      <c r="A372" s="2">
        <v>12.37</v>
      </c>
      <c r="B372" s="10" t="s">
        <v>436</v>
      </c>
      <c r="C372" s="4">
        <v>12.37</v>
      </c>
      <c r="D372" s="5">
        <v>253.7</v>
      </c>
      <c r="E372" s="4"/>
      <c r="F372" s="4"/>
      <c r="G372" s="2">
        <f t="shared" si="30"/>
        <v>12.337</v>
      </c>
      <c r="H372" s="11" t="str">
        <f t="shared" si="31"/>
        <v>3.762E-2</v>
      </c>
      <c r="I372" s="2">
        <f t="shared" si="32"/>
        <v>253.7</v>
      </c>
      <c r="J372" s="4">
        <f t="shared" si="33"/>
        <v>12.337</v>
      </c>
      <c r="K372" s="9">
        <f t="shared" si="34"/>
        <v>5.80000000000004</v>
      </c>
      <c r="L372" s="1">
        <f t="shared" si="35"/>
        <v>16.1</v>
      </c>
    </row>
    <row r="373" s="1" customFormat="1" spans="1:12">
      <c r="A373" s="2">
        <v>12.404</v>
      </c>
      <c r="B373" s="10" t="s">
        <v>414</v>
      </c>
      <c r="C373" s="4">
        <v>12.404</v>
      </c>
      <c r="D373" s="5">
        <v>253.7</v>
      </c>
      <c r="E373" s="4"/>
      <c r="F373" s="4"/>
      <c r="G373" s="2">
        <f t="shared" si="30"/>
        <v>12.37</v>
      </c>
      <c r="H373" s="11" t="str">
        <f t="shared" si="31"/>
        <v>3.761E-2</v>
      </c>
      <c r="I373" s="2">
        <f t="shared" si="32"/>
        <v>253.7</v>
      </c>
      <c r="J373" s="4">
        <f t="shared" si="33"/>
        <v>12.37</v>
      </c>
      <c r="K373" s="9">
        <f t="shared" si="34"/>
        <v>5.70000000000001</v>
      </c>
      <c r="L373" s="1">
        <f t="shared" si="35"/>
        <v>16.1</v>
      </c>
    </row>
    <row r="374" s="1" customFormat="1" spans="1:12">
      <c r="A374" s="2">
        <v>12.437</v>
      </c>
      <c r="B374" s="10" t="s">
        <v>436</v>
      </c>
      <c r="C374" s="4">
        <v>12.437</v>
      </c>
      <c r="D374" s="5">
        <v>253.7</v>
      </c>
      <c r="E374" s="4"/>
      <c r="F374" s="4"/>
      <c r="G374" s="2">
        <f t="shared" si="30"/>
        <v>12.404</v>
      </c>
      <c r="H374" s="11" t="str">
        <f t="shared" si="31"/>
        <v>3.760E-2</v>
      </c>
      <c r="I374" s="2">
        <f t="shared" si="32"/>
        <v>253.7</v>
      </c>
      <c r="J374" s="4">
        <f t="shared" si="33"/>
        <v>12.404</v>
      </c>
      <c r="K374" s="9">
        <f t="shared" si="34"/>
        <v>5.60000000000005</v>
      </c>
      <c r="L374" s="1">
        <f t="shared" si="35"/>
        <v>16.1</v>
      </c>
    </row>
    <row r="375" s="1" customFormat="1" spans="1:12">
      <c r="A375" s="2">
        <v>12.471</v>
      </c>
      <c r="B375" s="10" t="s">
        <v>437</v>
      </c>
      <c r="C375" s="4">
        <v>12.471</v>
      </c>
      <c r="D375" s="5">
        <v>253.7</v>
      </c>
      <c r="E375" s="4"/>
      <c r="F375" s="4"/>
      <c r="G375" s="2">
        <f t="shared" si="30"/>
        <v>12.437</v>
      </c>
      <c r="H375" s="11" t="str">
        <f t="shared" si="31"/>
        <v>3.761E-2</v>
      </c>
      <c r="I375" s="2">
        <f t="shared" si="32"/>
        <v>253.7</v>
      </c>
      <c r="J375" s="4">
        <f t="shared" si="33"/>
        <v>12.437</v>
      </c>
      <c r="K375" s="9">
        <f t="shared" si="34"/>
        <v>5.70000000000001</v>
      </c>
      <c r="L375" s="1">
        <f t="shared" si="35"/>
        <v>16.1</v>
      </c>
    </row>
    <row r="376" s="1" customFormat="1" spans="1:12">
      <c r="A376" s="2">
        <v>12.504</v>
      </c>
      <c r="B376" s="10" t="s">
        <v>439</v>
      </c>
      <c r="C376" s="4">
        <v>12.504</v>
      </c>
      <c r="D376" s="5">
        <v>253.7</v>
      </c>
      <c r="E376" s="4"/>
      <c r="F376" s="4"/>
      <c r="G376" s="2">
        <f t="shared" si="30"/>
        <v>12.471</v>
      </c>
      <c r="H376" s="11" t="str">
        <f t="shared" si="31"/>
        <v>3.758E-2</v>
      </c>
      <c r="I376" s="2">
        <f t="shared" si="32"/>
        <v>253.7</v>
      </c>
      <c r="J376" s="4">
        <f t="shared" si="33"/>
        <v>12.471</v>
      </c>
      <c r="K376" s="9">
        <f t="shared" si="34"/>
        <v>5.40000000000006</v>
      </c>
      <c r="L376" s="1">
        <f t="shared" si="35"/>
        <v>16.1</v>
      </c>
    </row>
    <row r="377" s="1" customFormat="1" spans="1:12">
      <c r="A377" s="2">
        <v>12.537</v>
      </c>
      <c r="B377" s="10" t="s">
        <v>439</v>
      </c>
      <c r="C377" s="4">
        <v>12.537</v>
      </c>
      <c r="D377" s="5">
        <v>253.7</v>
      </c>
      <c r="E377" s="4"/>
      <c r="F377" s="4"/>
      <c r="G377" s="2">
        <f t="shared" si="30"/>
        <v>12.504</v>
      </c>
      <c r="H377" s="11" t="str">
        <f t="shared" si="31"/>
        <v>3.759E-2</v>
      </c>
      <c r="I377" s="2">
        <f t="shared" si="32"/>
        <v>253.7</v>
      </c>
      <c r="J377" s="4">
        <f t="shared" si="33"/>
        <v>12.504</v>
      </c>
      <c r="K377" s="9">
        <f t="shared" si="34"/>
        <v>5.50000000000002</v>
      </c>
      <c r="L377" s="1">
        <f t="shared" si="35"/>
        <v>16.1</v>
      </c>
    </row>
    <row r="378" s="1" customFormat="1" spans="1:12">
      <c r="A378" s="2">
        <v>12.571</v>
      </c>
      <c r="B378" s="10" t="s">
        <v>439</v>
      </c>
      <c r="C378" s="4">
        <v>12.571</v>
      </c>
      <c r="D378" s="5">
        <v>253.7</v>
      </c>
      <c r="E378" s="4"/>
      <c r="F378" s="4"/>
      <c r="G378" s="2">
        <f t="shared" si="30"/>
        <v>12.537</v>
      </c>
      <c r="H378" s="11" t="str">
        <f t="shared" si="31"/>
        <v>3.759E-2</v>
      </c>
      <c r="I378" s="2">
        <f t="shared" si="32"/>
        <v>253.7</v>
      </c>
      <c r="J378" s="4">
        <f t="shared" si="33"/>
        <v>12.537</v>
      </c>
      <c r="K378" s="9">
        <f t="shared" si="34"/>
        <v>5.50000000000002</v>
      </c>
      <c r="L378" s="1">
        <f t="shared" si="35"/>
        <v>16.1</v>
      </c>
    </row>
    <row r="379" s="1" customFormat="1" spans="1:12">
      <c r="A379" s="2">
        <v>12.604</v>
      </c>
      <c r="B379" s="10" t="s">
        <v>414</v>
      </c>
      <c r="C379" s="4">
        <v>12.604</v>
      </c>
      <c r="D379" s="5">
        <v>253.7</v>
      </c>
      <c r="E379" s="4"/>
      <c r="F379" s="4"/>
      <c r="G379" s="2">
        <f t="shared" si="30"/>
        <v>12.571</v>
      </c>
      <c r="H379" s="11" t="str">
        <f t="shared" si="31"/>
        <v>3.759E-2</v>
      </c>
      <c r="I379" s="2">
        <f t="shared" si="32"/>
        <v>253.7</v>
      </c>
      <c r="J379" s="4">
        <f t="shared" si="33"/>
        <v>12.571</v>
      </c>
      <c r="K379" s="9">
        <f t="shared" si="34"/>
        <v>5.50000000000002</v>
      </c>
      <c r="L379" s="1">
        <f t="shared" si="35"/>
        <v>16.1</v>
      </c>
    </row>
    <row r="380" s="1" customFormat="1" spans="1:12">
      <c r="A380" s="2">
        <v>12.638</v>
      </c>
      <c r="B380" s="10" t="s">
        <v>436</v>
      </c>
      <c r="C380" s="4">
        <v>12.638</v>
      </c>
      <c r="D380" s="5">
        <v>253.7</v>
      </c>
      <c r="E380" s="4"/>
      <c r="F380" s="4"/>
      <c r="G380" s="2">
        <f t="shared" si="30"/>
        <v>12.604</v>
      </c>
      <c r="H380" s="11" t="str">
        <f t="shared" si="31"/>
        <v>3.760E-2</v>
      </c>
      <c r="I380" s="2">
        <f t="shared" si="32"/>
        <v>253.7</v>
      </c>
      <c r="J380" s="4">
        <f t="shared" si="33"/>
        <v>12.604</v>
      </c>
      <c r="K380" s="9">
        <f t="shared" si="34"/>
        <v>5.60000000000005</v>
      </c>
      <c r="L380" s="1">
        <f t="shared" si="35"/>
        <v>16.1</v>
      </c>
    </row>
    <row r="381" s="1" customFormat="1" spans="1:12">
      <c r="A381" s="2">
        <v>12.671</v>
      </c>
      <c r="B381" s="10" t="s">
        <v>440</v>
      </c>
      <c r="C381" s="4">
        <v>12.671</v>
      </c>
      <c r="D381" s="5">
        <v>253.7</v>
      </c>
      <c r="E381" s="4"/>
      <c r="F381" s="4"/>
      <c r="G381" s="2">
        <f t="shared" si="30"/>
        <v>12.638</v>
      </c>
      <c r="H381" s="11" t="str">
        <f t="shared" si="31"/>
        <v>3.761E-2</v>
      </c>
      <c r="I381" s="2">
        <f t="shared" si="32"/>
        <v>253.7</v>
      </c>
      <c r="J381" s="4">
        <f t="shared" si="33"/>
        <v>12.638</v>
      </c>
      <c r="K381" s="9">
        <f t="shared" si="34"/>
        <v>5.70000000000001</v>
      </c>
      <c r="L381" s="1">
        <f t="shared" si="35"/>
        <v>16.1</v>
      </c>
    </row>
    <row r="382" s="1" customFormat="1" spans="1:12">
      <c r="A382" s="2">
        <v>12.705</v>
      </c>
      <c r="B382" s="10" t="s">
        <v>440</v>
      </c>
      <c r="C382" s="4">
        <v>12.705</v>
      </c>
      <c r="D382" s="5">
        <v>253.7</v>
      </c>
      <c r="E382" s="4"/>
      <c r="F382" s="4"/>
      <c r="G382" s="2">
        <f t="shared" si="30"/>
        <v>12.671</v>
      </c>
      <c r="H382" s="11" t="str">
        <f t="shared" si="31"/>
        <v>3.762E-2</v>
      </c>
      <c r="I382" s="2">
        <f t="shared" si="32"/>
        <v>253.7</v>
      </c>
      <c r="J382" s="4">
        <f t="shared" si="33"/>
        <v>12.671</v>
      </c>
      <c r="K382" s="9">
        <f t="shared" si="34"/>
        <v>5.80000000000004</v>
      </c>
      <c r="L382" s="1">
        <f t="shared" si="35"/>
        <v>16.1</v>
      </c>
    </row>
    <row r="383" s="1" customFormat="1" spans="1:12">
      <c r="A383" s="2">
        <v>12.738</v>
      </c>
      <c r="B383" s="10" t="s">
        <v>447</v>
      </c>
      <c r="C383" s="4">
        <v>12.738</v>
      </c>
      <c r="D383" s="5">
        <v>253.7</v>
      </c>
      <c r="E383" s="4"/>
      <c r="F383" s="4"/>
      <c r="G383" s="2">
        <f t="shared" si="30"/>
        <v>12.705</v>
      </c>
      <c r="H383" s="11" t="str">
        <f t="shared" si="31"/>
        <v>3.762E-2</v>
      </c>
      <c r="I383" s="2">
        <f t="shared" si="32"/>
        <v>253.7</v>
      </c>
      <c r="J383" s="4">
        <f t="shared" si="33"/>
        <v>12.705</v>
      </c>
      <c r="K383" s="9">
        <f t="shared" si="34"/>
        <v>5.80000000000004</v>
      </c>
      <c r="L383" s="1">
        <f t="shared" si="35"/>
        <v>16.1</v>
      </c>
    </row>
    <row r="384" s="1" customFormat="1" spans="1:12">
      <c r="A384" s="2">
        <v>12.771</v>
      </c>
      <c r="B384" s="10" t="s">
        <v>446</v>
      </c>
      <c r="C384" s="4">
        <v>12.771</v>
      </c>
      <c r="D384" s="5">
        <v>253.7</v>
      </c>
      <c r="E384" s="4"/>
      <c r="F384" s="4"/>
      <c r="G384" s="2">
        <f t="shared" si="30"/>
        <v>12.738</v>
      </c>
      <c r="H384" s="11" t="str">
        <f t="shared" si="31"/>
        <v>3.763E-2</v>
      </c>
      <c r="I384" s="2">
        <f t="shared" si="32"/>
        <v>253.7</v>
      </c>
      <c r="J384" s="4">
        <f t="shared" si="33"/>
        <v>12.738</v>
      </c>
      <c r="K384" s="9">
        <f t="shared" si="34"/>
        <v>5.9</v>
      </c>
      <c r="L384" s="1">
        <f t="shared" si="35"/>
        <v>16.1</v>
      </c>
    </row>
    <row r="385" s="1" customFormat="1" spans="1:12">
      <c r="A385" s="2">
        <v>12.805</v>
      </c>
      <c r="B385" s="10" t="s">
        <v>446</v>
      </c>
      <c r="C385" s="4">
        <v>12.805</v>
      </c>
      <c r="D385" s="5">
        <v>253.7</v>
      </c>
      <c r="E385" s="4"/>
      <c r="F385" s="4"/>
      <c r="G385" s="2">
        <f t="shared" si="30"/>
        <v>12.771</v>
      </c>
      <c r="H385" s="11" t="str">
        <f t="shared" si="31"/>
        <v>3.765E-2</v>
      </c>
      <c r="I385" s="2">
        <f t="shared" si="32"/>
        <v>253.7</v>
      </c>
      <c r="J385" s="4">
        <f t="shared" si="33"/>
        <v>12.771</v>
      </c>
      <c r="K385" s="9">
        <f t="shared" si="34"/>
        <v>6.10000000000006</v>
      </c>
      <c r="L385" s="1">
        <f t="shared" si="35"/>
        <v>16.1</v>
      </c>
    </row>
    <row r="386" s="1" customFormat="1" spans="1:12">
      <c r="A386" s="2">
        <v>12.838</v>
      </c>
      <c r="B386" s="10" t="s">
        <v>435</v>
      </c>
      <c r="C386" s="4">
        <v>12.838</v>
      </c>
      <c r="D386" s="5">
        <v>253.7</v>
      </c>
      <c r="E386" s="4"/>
      <c r="F386" s="4"/>
      <c r="G386" s="2">
        <f t="shared" si="30"/>
        <v>12.805</v>
      </c>
      <c r="H386" s="11" t="str">
        <f t="shared" si="31"/>
        <v>3.765E-2</v>
      </c>
      <c r="I386" s="2">
        <f t="shared" si="32"/>
        <v>253.7</v>
      </c>
      <c r="J386" s="4">
        <f t="shared" si="33"/>
        <v>12.805</v>
      </c>
      <c r="K386" s="9">
        <f t="shared" si="34"/>
        <v>6.10000000000006</v>
      </c>
      <c r="L386" s="1">
        <f t="shared" si="35"/>
        <v>16.1</v>
      </c>
    </row>
    <row r="387" s="1" customFormat="1" spans="1:12">
      <c r="A387" s="2">
        <v>12.872</v>
      </c>
      <c r="B387" s="10" t="s">
        <v>444</v>
      </c>
      <c r="C387" s="4">
        <v>12.872</v>
      </c>
      <c r="D387" s="5">
        <v>253.7</v>
      </c>
      <c r="E387" s="4"/>
      <c r="F387" s="4"/>
      <c r="G387" s="2">
        <f t="shared" si="30"/>
        <v>12.838</v>
      </c>
      <c r="H387" s="11" t="str">
        <f t="shared" si="31"/>
        <v>3.767E-2</v>
      </c>
      <c r="I387" s="2">
        <f t="shared" si="32"/>
        <v>253.7</v>
      </c>
      <c r="J387" s="4">
        <f t="shared" si="33"/>
        <v>12.838</v>
      </c>
      <c r="K387" s="9">
        <f t="shared" si="34"/>
        <v>6.30000000000006</v>
      </c>
      <c r="L387" s="1">
        <f t="shared" si="35"/>
        <v>16.1</v>
      </c>
    </row>
    <row r="388" s="1" customFormat="1" spans="1:12">
      <c r="A388" s="2">
        <v>12.905</v>
      </c>
      <c r="B388" s="10" t="s">
        <v>419</v>
      </c>
      <c r="C388" s="4">
        <v>12.905</v>
      </c>
      <c r="D388" s="5">
        <v>253.7</v>
      </c>
      <c r="E388" s="4"/>
      <c r="F388" s="4"/>
      <c r="G388" s="2">
        <f t="shared" ref="G388:G451" si="36">A387</f>
        <v>12.872</v>
      </c>
      <c r="H388" s="11" t="str">
        <f t="shared" ref="H388:H451" si="37">B387</f>
        <v>3.769E-2</v>
      </c>
      <c r="I388" s="2">
        <f t="shared" ref="I388:I451" si="38">D387</f>
        <v>253.7</v>
      </c>
      <c r="J388" s="4">
        <f t="shared" ref="J388:J451" si="39">G388</f>
        <v>12.872</v>
      </c>
      <c r="K388" s="9">
        <f t="shared" ref="K388:K451" si="40">(H388-$H$4)*10000</f>
        <v>6.50000000000005</v>
      </c>
      <c r="L388" s="1">
        <f t="shared" ref="L388:L451" si="41">IF(I388&lt;230,MIN(K:K),MAX(K:K))</f>
        <v>16.1</v>
      </c>
    </row>
    <row r="389" s="1" customFormat="1" spans="1:12">
      <c r="A389" s="2">
        <v>12.939</v>
      </c>
      <c r="B389" s="10" t="s">
        <v>365</v>
      </c>
      <c r="C389" s="4">
        <v>12.939</v>
      </c>
      <c r="D389" s="5">
        <v>253.7</v>
      </c>
      <c r="E389" s="4"/>
      <c r="F389" s="4"/>
      <c r="G389" s="2">
        <f t="shared" si="36"/>
        <v>12.905</v>
      </c>
      <c r="H389" s="11" t="str">
        <f t="shared" si="37"/>
        <v>3.770E-2</v>
      </c>
      <c r="I389" s="2">
        <f t="shared" si="38"/>
        <v>253.7</v>
      </c>
      <c r="J389" s="4">
        <f t="shared" si="39"/>
        <v>12.905</v>
      </c>
      <c r="K389" s="9">
        <f t="shared" si="40"/>
        <v>6.60000000000001</v>
      </c>
      <c r="L389" s="1">
        <f t="shared" si="41"/>
        <v>16.1</v>
      </c>
    </row>
    <row r="390" s="1" customFormat="1" spans="1:12">
      <c r="A390" s="2">
        <v>12.972</v>
      </c>
      <c r="B390" s="10" t="s">
        <v>448</v>
      </c>
      <c r="C390" s="4">
        <v>12.972</v>
      </c>
      <c r="D390" s="5">
        <v>253.7</v>
      </c>
      <c r="E390" s="4"/>
      <c r="F390" s="4"/>
      <c r="G390" s="2">
        <f t="shared" si="36"/>
        <v>12.939</v>
      </c>
      <c r="H390" s="11" t="str">
        <f t="shared" si="37"/>
        <v>3.773E-2</v>
      </c>
      <c r="I390" s="2">
        <f t="shared" si="38"/>
        <v>253.7</v>
      </c>
      <c r="J390" s="4">
        <f t="shared" si="39"/>
        <v>12.939</v>
      </c>
      <c r="K390" s="9">
        <f t="shared" si="40"/>
        <v>6.90000000000003</v>
      </c>
      <c r="L390" s="1">
        <f t="shared" si="41"/>
        <v>16.1</v>
      </c>
    </row>
    <row r="391" s="1" customFormat="1" spans="1:12">
      <c r="A391" s="2">
        <v>13.006</v>
      </c>
      <c r="B391" s="10" t="s">
        <v>395</v>
      </c>
      <c r="C391" s="4">
        <v>13.006</v>
      </c>
      <c r="D391" s="5">
        <v>253.7</v>
      </c>
      <c r="E391" s="4"/>
      <c r="F391" s="4"/>
      <c r="G391" s="2">
        <f t="shared" si="36"/>
        <v>12.972</v>
      </c>
      <c r="H391" s="11" t="str">
        <f t="shared" si="37"/>
        <v>3.772E-2</v>
      </c>
      <c r="I391" s="2">
        <f t="shared" si="38"/>
        <v>253.7</v>
      </c>
      <c r="J391" s="4">
        <f t="shared" si="39"/>
        <v>12.972</v>
      </c>
      <c r="K391" s="9">
        <f t="shared" si="40"/>
        <v>6.8</v>
      </c>
      <c r="L391" s="1">
        <f t="shared" si="41"/>
        <v>16.1</v>
      </c>
    </row>
    <row r="392" s="1" customFormat="1" spans="1:12">
      <c r="A392" s="2">
        <v>13.039</v>
      </c>
      <c r="B392" s="10" t="s">
        <v>441</v>
      </c>
      <c r="C392" s="4">
        <v>13.039</v>
      </c>
      <c r="D392" s="5">
        <v>226.2</v>
      </c>
      <c r="E392" s="4"/>
      <c r="F392" s="4"/>
      <c r="G392" s="2">
        <f t="shared" si="36"/>
        <v>13.006</v>
      </c>
      <c r="H392" s="11" t="str">
        <f t="shared" si="37"/>
        <v>3.774E-2</v>
      </c>
      <c r="I392" s="2">
        <f t="shared" si="38"/>
        <v>253.7</v>
      </c>
      <c r="J392" s="4">
        <f t="shared" si="39"/>
        <v>13.006</v>
      </c>
      <c r="K392" s="9">
        <f t="shared" si="40"/>
        <v>7.00000000000006</v>
      </c>
      <c r="L392" s="1">
        <f t="shared" si="41"/>
        <v>16.1</v>
      </c>
    </row>
    <row r="393" s="1" customFormat="1" spans="1:12">
      <c r="A393" s="2">
        <v>13.072</v>
      </c>
      <c r="B393" s="10" t="s">
        <v>442</v>
      </c>
      <c r="C393" s="4">
        <v>13.072</v>
      </c>
      <c r="D393" s="5">
        <v>142.3</v>
      </c>
      <c r="E393" s="4"/>
      <c r="F393" s="4"/>
      <c r="G393" s="2">
        <f t="shared" si="36"/>
        <v>13.039</v>
      </c>
      <c r="H393" s="11" t="str">
        <f t="shared" si="37"/>
        <v>3.776E-2</v>
      </c>
      <c r="I393" s="2">
        <f t="shared" si="38"/>
        <v>226.2</v>
      </c>
      <c r="J393" s="4">
        <f t="shared" si="39"/>
        <v>13.039</v>
      </c>
      <c r="K393" s="9">
        <f t="shared" si="40"/>
        <v>7.20000000000005</v>
      </c>
      <c r="L393" s="1">
        <f t="shared" si="41"/>
        <v>-3.49999999999996</v>
      </c>
    </row>
    <row r="394" s="1" customFormat="1" spans="1:12">
      <c r="A394" s="2">
        <v>13.106</v>
      </c>
      <c r="B394" s="10" t="s">
        <v>449</v>
      </c>
      <c r="C394" s="4">
        <v>13.106</v>
      </c>
      <c r="D394" s="5">
        <v>155.1</v>
      </c>
      <c r="E394" s="4"/>
      <c r="F394" s="4"/>
      <c r="G394" s="2">
        <f t="shared" si="36"/>
        <v>13.072</v>
      </c>
      <c r="H394" s="11" t="str">
        <f t="shared" si="37"/>
        <v>3.777E-2</v>
      </c>
      <c r="I394" s="2">
        <f t="shared" si="38"/>
        <v>142.3</v>
      </c>
      <c r="J394" s="4">
        <f t="shared" si="39"/>
        <v>13.072</v>
      </c>
      <c r="K394" s="9">
        <f t="shared" si="40"/>
        <v>7.30000000000001</v>
      </c>
      <c r="L394" s="1">
        <f t="shared" si="41"/>
        <v>-3.49999999999996</v>
      </c>
    </row>
    <row r="395" s="1" customFormat="1" spans="1:12">
      <c r="A395" s="2">
        <v>13.139</v>
      </c>
      <c r="B395" s="10" t="s">
        <v>366</v>
      </c>
      <c r="C395" s="4">
        <v>13.139</v>
      </c>
      <c r="D395" s="5">
        <v>154</v>
      </c>
      <c r="E395" s="4"/>
      <c r="F395" s="4"/>
      <c r="G395" s="2">
        <f t="shared" si="36"/>
        <v>13.106</v>
      </c>
      <c r="H395" s="11" t="str">
        <f t="shared" si="37"/>
        <v>3.780E-2</v>
      </c>
      <c r="I395" s="2">
        <f t="shared" si="38"/>
        <v>155.1</v>
      </c>
      <c r="J395" s="4">
        <f t="shared" si="39"/>
        <v>13.106</v>
      </c>
      <c r="K395" s="9">
        <f t="shared" si="40"/>
        <v>7.60000000000004</v>
      </c>
      <c r="L395" s="1">
        <f t="shared" si="41"/>
        <v>-3.49999999999996</v>
      </c>
    </row>
    <row r="396" s="1" customFormat="1" spans="1:12">
      <c r="A396" s="2">
        <v>13.173</v>
      </c>
      <c r="B396" s="10" t="s">
        <v>380</v>
      </c>
      <c r="C396" s="4">
        <v>13.173</v>
      </c>
      <c r="D396" s="5">
        <v>152.6</v>
      </c>
      <c r="E396" s="4"/>
      <c r="F396" s="4"/>
      <c r="G396" s="2">
        <f t="shared" si="36"/>
        <v>13.139</v>
      </c>
      <c r="H396" s="11" t="str">
        <f t="shared" si="37"/>
        <v>3.783E-2</v>
      </c>
      <c r="I396" s="2">
        <f t="shared" si="38"/>
        <v>154</v>
      </c>
      <c r="J396" s="4">
        <f t="shared" si="39"/>
        <v>13.139</v>
      </c>
      <c r="K396" s="9">
        <f t="shared" si="40"/>
        <v>7.90000000000006</v>
      </c>
      <c r="L396" s="1">
        <f t="shared" si="41"/>
        <v>-3.49999999999996</v>
      </c>
    </row>
    <row r="397" s="1" customFormat="1" spans="1:12">
      <c r="A397" s="2">
        <v>13.206</v>
      </c>
      <c r="B397" s="10" t="s">
        <v>367</v>
      </c>
      <c r="C397" s="4">
        <v>13.206</v>
      </c>
      <c r="D397" s="5">
        <v>151.8</v>
      </c>
      <c r="E397" s="4"/>
      <c r="F397" s="4"/>
      <c r="G397" s="2">
        <f t="shared" si="36"/>
        <v>13.173</v>
      </c>
      <c r="H397" s="11" t="str">
        <f t="shared" si="37"/>
        <v>3.794E-2</v>
      </c>
      <c r="I397" s="2">
        <f t="shared" si="38"/>
        <v>152.6</v>
      </c>
      <c r="J397" s="4">
        <f t="shared" si="39"/>
        <v>13.173</v>
      </c>
      <c r="K397" s="9">
        <f t="shared" si="40"/>
        <v>9.00000000000005</v>
      </c>
      <c r="L397" s="1">
        <f t="shared" si="41"/>
        <v>-3.49999999999996</v>
      </c>
    </row>
    <row r="398" s="1" customFormat="1" spans="1:12">
      <c r="A398" s="2">
        <v>13.24</v>
      </c>
      <c r="B398" s="10" t="s">
        <v>450</v>
      </c>
      <c r="C398" s="4">
        <v>13.24</v>
      </c>
      <c r="D398" s="5">
        <v>151.3</v>
      </c>
      <c r="E398" s="4"/>
      <c r="F398" s="4"/>
      <c r="G398" s="2">
        <f t="shared" si="36"/>
        <v>13.206</v>
      </c>
      <c r="H398" s="11" t="str">
        <f t="shared" si="37"/>
        <v>3.799E-2</v>
      </c>
      <c r="I398" s="2">
        <f t="shared" si="38"/>
        <v>151.8</v>
      </c>
      <c r="J398" s="4">
        <f t="shared" si="39"/>
        <v>13.206</v>
      </c>
      <c r="K398" s="9">
        <f t="shared" si="40"/>
        <v>9.50000000000006</v>
      </c>
      <c r="L398" s="1">
        <f t="shared" si="41"/>
        <v>-3.49999999999996</v>
      </c>
    </row>
    <row r="399" s="1" customFormat="1" spans="1:12">
      <c r="A399" s="2">
        <v>13.273</v>
      </c>
      <c r="B399" s="10" t="s">
        <v>451</v>
      </c>
      <c r="C399" s="4">
        <v>13.273</v>
      </c>
      <c r="D399" s="5">
        <v>149.9</v>
      </c>
      <c r="E399" s="4"/>
      <c r="F399" s="4"/>
      <c r="G399" s="2">
        <f t="shared" si="36"/>
        <v>13.24</v>
      </c>
      <c r="H399" s="11" t="str">
        <f t="shared" si="37"/>
        <v>3.803E-2</v>
      </c>
      <c r="I399" s="2">
        <f t="shared" si="38"/>
        <v>151.3</v>
      </c>
      <c r="J399" s="4">
        <f t="shared" si="39"/>
        <v>13.24</v>
      </c>
      <c r="K399" s="9">
        <f t="shared" si="40"/>
        <v>9.90000000000005</v>
      </c>
      <c r="L399" s="1">
        <f t="shared" si="41"/>
        <v>-3.49999999999996</v>
      </c>
    </row>
    <row r="400" s="1" customFormat="1" spans="1:12">
      <c r="A400" s="2">
        <v>13.306</v>
      </c>
      <c r="B400" s="10" t="s">
        <v>368</v>
      </c>
      <c r="C400" s="4">
        <v>13.306</v>
      </c>
      <c r="D400" s="5">
        <v>149</v>
      </c>
      <c r="E400" s="4"/>
      <c r="F400" s="4"/>
      <c r="G400" s="2">
        <f t="shared" si="36"/>
        <v>13.273</v>
      </c>
      <c r="H400" s="11" t="str">
        <f t="shared" si="37"/>
        <v>3.805E-2</v>
      </c>
      <c r="I400" s="2">
        <f t="shared" si="38"/>
        <v>149.9</v>
      </c>
      <c r="J400" s="4">
        <f t="shared" si="39"/>
        <v>13.273</v>
      </c>
      <c r="K400" s="9">
        <f t="shared" si="40"/>
        <v>10.1</v>
      </c>
      <c r="L400" s="1">
        <f t="shared" si="41"/>
        <v>-3.49999999999996</v>
      </c>
    </row>
    <row r="401" s="1" customFormat="1" spans="1:12">
      <c r="A401" s="2">
        <v>13.34</v>
      </c>
      <c r="B401" s="10" t="s">
        <v>422</v>
      </c>
      <c r="C401" s="4">
        <v>13.34</v>
      </c>
      <c r="D401" s="5">
        <v>147.3</v>
      </c>
      <c r="E401" s="4"/>
      <c r="F401" s="4"/>
      <c r="G401" s="2">
        <f t="shared" si="36"/>
        <v>13.306</v>
      </c>
      <c r="H401" s="11" t="str">
        <f t="shared" si="37"/>
        <v>3.808E-2</v>
      </c>
      <c r="I401" s="2">
        <f t="shared" si="38"/>
        <v>149</v>
      </c>
      <c r="J401" s="4">
        <f t="shared" si="39"/>
        <v>13.306</v>
      </c>
      <c r="K401" s="9">
        <f t="shared" si="40"/>
        <v>10.4000000000001</v>
      </c>
      <c r="L401" s="1">
        <f t="shared" si="41"/>
        <v>-3.49999999999996</v>
      </c>
    </row>
    <row r="402" s="1" customFormat="1" spans="1:12">
      <c r="A402" s="2">
        <v>13.373</v>
      </c>
      <c r="B402" s="10" t="s">
        <v>452</v>
      </c>
      <c r="C402" s="4">
        <v>13.373</v>
      </c>
      <c r="D402" s="5">
        <v>145.7</v>
      </c>
      <c r="E402" s="4"/>
      <c r="F402" s="4"/>
      <c r="G402" s="2">
        <f t="shared" si="36"/>
        <v>13.34</v>
      </c>
      <c r="H402" s="11" t="str">
        <f t="shared" si="37"/>
        <v>3.807E-2</v>
      </c>
      <c r="I402" s="2">
        <f t="shared" si="38"/>
        <v>147.3</v>
      </c>
      <c r="J402" s="4">
        <f t="shared" si="39"/>
        <v>13.34</v>
      </c>
      <c r="K402" s="9">
        <f t="shared" si="40"/>
        <v>10.3</v>
      </c>
      <c r="L402" s="1">
        <f t="shared" si="41"/>
        <v>-3.49999999999996</v>
      </c>
    </row>
    <row r="403" s="1" customFormat="1" spans="1:12">
      <c r="A403" s="2">
        <v>13.407</v>
      </c>
      <c r="B403" s="10" t="s">
        <v>422</v>
      </c>
      <c r="C403" s="4">
        <v>13.407</v>
      </c>
      <c r="D403" s="5">
        <v>145.3</v>
      </c>
      <c r="E403" s="4"/>
      <c r="F403" s="4"/>
      <c r="G403" s="2">
        <f t="shared" si="36"/>
        <v>13.373</v>
      </c>
      <c r="H403" s="11" t="str">
        <f t="shared" si="37"/>
        <v>3.809E-2</v>
      </c>
      <c r="I403" s="2">
        <f t="shared" si="38"/>
        <v>145.7</v>
      </c>
      <c r="J403" s="4">
        <f t="shared" si="39"/>
        <v>13.373</v>
      </c>
      <c r="K403" s="9">
        <f t="shared" si="40"/>
        <v>10.5</v>
      </c>
      <c r="L403" s="1">
        <f t="shared" si="41"/>
        <v>-3.49999999999996</v>
      </c>
    </row>
    <row r="404" s="1" customFormat="1" spans="1:12">
      <c r="A404" s="2">
        <v>13.44</v>
      </c>
      <c r="B404" s="10" t="s">
        <v>451</v>
      </c>
      <c r="C404" s="4">
        <v>13.44</v>
      </c>
      <c r="D404" s="5">
        <v>144.8</v>
      </c>
      <c r="E404" s="4"/>
      <c r="F404" s="4"/>
      <c r="G404" s="2">
        <f t="shared" si="36"/>
        <v>13.407</v>
      </c>
      <c r="H404" s="11" t="str">
        <f t="shared" si="37"/>
        <v>3.807E-2</v>
      </c>
      <c r="I404" s="2">
        <f t="shared" si="38"/>
        <v>145.3</v>
      </c>
      <c r="J404" s="4">
        <f t="shared" si="39"/>
        <v>13.407</v>
      </c>
      <c r="K404" s="9">
        <f t="shared" si="40"/>
        <v>10.3</v>
      </c>
      <c r="L404" s="1">
        <f t="shared" si="41"/>
        <v>-3.49999999999996</v>
      </c>
    </row>
    <row r="405" s="1" customFormat="1" spans="1:12">
      <c r="A405" s="2">
        <v>13.474</v>
      </c>
      <c r="B405" s="10" t="s">
        <v>450</v>
      </c>
      <c r="C405" s="4">
        <v>13.474</v>
      </c>
      <c r="D405" s="5">
        <v>143</v>
      </c>
      <c r="E405" s="4"/>
      <c r="F405" s="4"/>
      <c r="G405" s="2">
        <f t="shared" si="36"/>
        <v>13.44</v>
      </c>
      <c r="H405" s="11" t="str">
        <f t="shared" si="37"/>
        <v>3.805E-2</v>
      </c>
      <c r="I405" s="2">
        <f t="shared" si="38"/>
        <v>144.8</v>
      </c>
      <c r="J405" s="4">
        <f t="shared" si="39"/>
        <v>13.44</v>
      </c>
      <c r="K405" s="9">
        <f t="shared" si="40"/>
        <v>10.1</v>
      </c>
      <c r="L405" s="1">
        <f t="shared" si="41"/>
        <v>-3.49999999999996</v>
      </c>
    </row>
    <row r="406" s="1" customFormat="1" spans="1:12">
      <c r="A406" s="2">
        <v>13.507</v>
      </c>
      <c r="B406" s="10" t="s">
        <v>397</v>
      </c>
      <c r="C406" s="4">
        <v>13.507</v>
      </c>
      <c r="D406" s="5">
        <v>142.5</v>
      </c>
      <c r="E406" s="4"/>
      <c r="F406" s="4"/>
      <c r="G406" s="2">
        <f t="shared" si="36"/>
        <v>13.474</v>
      </c>
      <c r="H406" s="11" t="str">
        <f t="shared" si="37"/>
        <v>3.803E-2</v>
      </c>
      <c r="I406" s="2">
        <f t="shared" si="38"/>
        <v>143</v>
      </c>
      <c r="J406" s="4">
        <f t="shared" si="39"/>
        <v>13.474</v>
      </c>
      <c r="K406" s="9">
        <f t="shared" si="40"/>
        <v>9.90000000000005</v>
      </c>
      <c r="L406" s="1">
        <f t="shared" si="41"/>
        <v>-3.49999999999996</v>
      </c>
    </row>
    <row r="407" s="1" customFormat="1" spans="1:12">
      <c r="A407" s="2">
        <v>13.54</v>
      </c>
      <c r="B407" s="10" t="s">
        <v>421</v>
      </c>
      <c r="C407" s="4">
        <v>13.54</v>
      </c>
      <c r="D407" s="5">
        <v>140.9</v>
      </c>
      <c r="E407" s="4"/>
      <c r="F407" s="4"/>
      <c r="G407" s="2">
        <f t="shared" si="36"/>
        <v>13.507</v>
      </c>
      <c r="H407" s="11" t="str">
        <f t="shared" si="37"/>
        <v>3.802E-2</v>
      </c>
      <c r="I407" s="2">
        <f t="shared" si="38"/>
        <v>142.5</v>
      </c>
      <c r="J407" s="4">
        <f t="shared" si="39"/>
        <v>13.507</v>
      </c>
      <c r="K407" s="9">
        <f t="shared" si="40"/>
        <v>9.80000000000002</v>
      </c>
      <c r="L407" s="1">
        <f t="shared" si="41"/>
        <v>-3.49999999999996</v>
      </c>
    </row>
    <row r="408" s="1" customFormat="1" spans="1:12">
      <c r="A408" s="2">
        <v>13.574</v>
      </c>
      <c r="B408" s="10" t="s">
        <v>453</v>
      </c>
      <c r="C408" s="4">
        <v>13.574</v>
      </c>
      <c r="D408" s="5">
        <v>139.8</v>
      </c>
      <c r="E408" s="4"/>
      <c r="F408" s="4"/>
      <c r="G408" s="2">
        <f t="shared" si="36"/>
        <v>13.54</v>
      </c>
      <c r="H408" s="11" t="str">
        <f t="shared" si="37"/>
        <v>3.800E-2</v>
      </c>
      <c r="I408" s="2">
        <f t="shared" si="38"/>
        <v>140.9</v>
      </c>
      <c r="J408" s="4">
        <f t="shared" si="39"/>
        <v>13.54</v>
      </c>
      <c r="K408" s="9">
        <f t="shared" si="40"/>
        <v>9.60000000000002</v>
      </c>
      <c r="L408" s="1">
        <f t="shared" si="41"/>
        <v>-3.49999999999996</v>
      </c>
    </row>
    <row r="409" s="1" customFormat="1" spans="1:12">
      <c r="A409" s="2">
        <v>13.607</v>
      </c>
      <c r="B409" s="10" t="s">
        <v>380</v>
      </c>
      <c r="C409" s="4">
        <v>13.607</v>
      </c>
      <c r="D409" s="5">
        <v>138</v>
      </c>
      <c r="E409" s="4"/>
      <c r="F409" s="4"/>
      <c r="G409" s="2">
        <f t="shared" si="36"/>
        <v>13.574</v>
      </c>
      <c r="H409" s="11" t="str">
        <f t="shared" si="37"/>
        <v>3.797E-2</v>
      </c>
      <c r="I409" s="2">
        <f t="shared" si="38"/>
        <v>139.8</v>
      </c>
      <c r="J409" s="4">
        <f t="shared" si="39"/>
        <v>13.574</v>
      </c>
      <c r="K409" s="9">
        <f t="shared" si="40"/>
        <v>9.3</v>
      </c>
      <c r="L409" s="1">
        <f t="shared" si="41"/>
        <v>-3.49999999999996</v>
      </c>
    </row>
    <row r="410" s="1" customFormat="1" spans="1:12">
      <c r="A410" s="2">
        <v>13.641</v>
      </c>
      <c r="B410" s="10" t="s">
        <v>454</v>
      </c>
      <c r="C410" s="4">
        <v>13.641</v>
      </c>
      <c r="D410" s="5">
        <v>137.4</v>
      </c>
      <c r="E410" s="4"/>
      <c r="F410" s="4"/>
      <c r="G410" s="2">
        <f t="shared" si="36"/>
        <v>13.607</v>
      </c>
      <c r="H410" s="11" t="str">
        <f t="shared" si="37"/>
        <v>3.794E-2</v>
      </c>
      <c r="I410" s="2">
        <f t="shared" si="38"/>
        <v>138</v>
      </c>
      <c r="J410" s="4">
        <f t="shared" si="39"/>
        <v>13.607</v>
      </c>
      <c r="K410" s="9">
        <f t="shared" si="40"/>
        <v>9.00000000000005</v>
      </c>
      <c r="L410" s="1">
        <f t="shared" si="41"/>
        <v>-3.49999999999996</v>
      </c>
    </row>
    <row r="411" s="1" customFormat="1" spans="1:12">
      <c r="A411" s="2">
        <v>13.674</v>
      </c>
      <c r="B411" s="10" t="s">
        <v>412</v>
      </c>
      <c r="C411" s="4">
        <v>13.674</v>
      </c>
      <c r="D411" s="5">
        <v>137.7</v>
      </c>
      <c r="E411" s="4"/>
      <c r="F411" s="4"/>
      <c r="G411" s="2">
        <f t="shared" si="36"/>
        <v>13.641</v>
      </c>
      <c r="H411" s="11" t="str">
        <f t="shared" si="37"/>
        <v>3.793E-2</v>
      </c>
      <c r="I411" s="2">
        <f t="shared" si="38"/>
        <v>137.4</v>
      </c>
      <c r="J411" s="4">
        <f t="shared" si="39"/>
        <v>13.641</v>
      </c>
      <c r="K411" s="9">
        <f t="shared" si="40"/>
        <v>8.90000000000002</v>
      </c>
      <c r="L411" s="1">
        <f t="shared" si="41"/>
        <v>-3.49999999999996</v>
      </c>
    </row>
    <row r="412" s="1" customFormat="1" spans="1:12">
      <c r="A412" s="2">
        <v>13.708</v>
      </c>
      <c r="B412" s="10" t="s">
        <v>396</v>
      </c>
      <c r="C412" s="4">
        <v>13.708</v>
      </c>
      <c r="D412" s="5">
        <v>135.5</v>
      </c>
      <c r="E412" s="4"/>
      <c r="F412" s="4"/>
      <c r="G412" s="2">
        <f t="shared" si="36"/>
        <v>13.674</v>
      </c>
      <c r="H412" s="11" t="str">
        <f t="shared" si="37"/>
        <v>3.791E-2</v>
      </c>
      <c r="I412" s="2">
        <f t="shared" si="38"/>
        <v>137.7</v>
      </c>
      <c r="J412" s="4">
        <f t="shared" si="39"/>
        <v>13.674</v>
      </c>
      <c r="K412" s="9">
        <f t="shared" si="40"/>
        <v>8.70000000000003</v>
      </c>
      <c r="L412" s="1">
        <f t="shared" si="41"/>
        <v>-3.49999999999996</v>
      </c>
    </row>
    <row r="413" s="1" customFormat="1" spans="1:12">
      <c r="A413" s="2">
        <v>13.741</v>
      </c>
      <c r="B413" s="10" t="s">
        <v>381</v>
      </c>
      <c r="C413" s="4">
        <v>13.741</v>
      </c>
      <c r="D413" s="5">
        <v>133.9</v>
      </c>
      <c r="E413" s="4"/>
      <c r="F413" s="4"/>
      <c r="G413" s="2">
        <f t="shared" si="36"/>
        <v>13.708</v>
      </c>
      <c r="H413" s="11" t="str">
        <f t="shared" si="37"/>
        <v>3.787E-2</v>
      </c>
      <c r="I413" s="2">
        <f t="shared" si="38"/>
        <v>135.5</v>
      </c>
      <c r="J413" s="4">
        <f t="shared" si="39"/>
        <v>13.708</v>
      </c>
      <c r="K413" s="9">
        <f t="shared" si="40"/>
        <v>8.30000000000004</v>
      </c>
      <c r="L413" s="1">
        <f t="shared" si="41"/>
        <v>-3.49999999999996</v>
      </c>
    </row>
    <row r="414" s="1" customFormat="1" spans="1:12">
      <c r="A414" s="2">
        <v>13.774</v>
      </c>
      <c r="B414" s="10" t="s">
        <v>455</v>
      </c>
      <c r="C414" s="4">
        <v>13.774</v>
      </c>
      <c r="D414" s="5">
        <v>132.3</v>
      </c>
      <c r="E414" s="4"/>
      <c r="F414" s="4"/>
      <c r="G414" s="2">
        <f t="shared" si="36"/>
        <v>13.741</v>
      </c>
      <c r="H414" s="11" t="str">
        <f t="shared" si="37"/>
        <v>3.784E-2</v>
      </c>
      <c r="I414" s="2">
        <f t="shared" si="38"/>
        <v>133.9</v>
      </c>
      <c r="J414" s="4">
        <f t="shared" si="39"/>
        <v>13.741</v>
      </c>
      <c r="K414" s="9">
        <f t="shared" si="40"/>
        <v>8.00000000000002</v>
      </c>
      <c r="L414" s="1">
        <f t="shared" si="41"/>
        <v>-3.49999999999996</v>
      </c>
    </row>
    <row r="415" s="1" customFormat="1" spans="1:12">
      <c r="A415" s="2">
        <v>13.808</v>
      </c>
      <c r="B415" s="10" t="s">
        <v>441</v>
      </c>
      <c r="C415" s="4">
        <v>13.808</v>
      </c>
      <c r="D415" s="5">
        <v>131.2</v>
      </c>
      <c r="E415" s="4"/>
      <c r="F415" s="4"/>
      <c r="G415" s="2">
        <f t="shared" si="36"/>
        <v>13.774</v>
      </c>
      <c r="H415" s="11" t="str">
        <f t="shared" si="37"/>
        <v>3.782E-2</v>
      </c>
      <c r="I415" s="2">
        <f t="shared" si="38"/>
        <v>132.3</v>
      </c>
      <c r="J415" s="4">
        <f t="shared" si="39"/>
        <v>13.774</v>
      </c>
      <c r="K415" s="9">
        <f t="shared" si="40"/>
        <v>7.80000000000003</v>
      </c>
      <c r="L415" s="1">
        <f t="shared" si="41"/>
        <v>-3.49999999999996</v>
      </c>
    </row>
    <row r="416" s="1" customFormat="1" spans="1:12">
      <c r="A416" s="2">
        <v>13.841</v>
      </c>
      <c r="B416" s="10" t="s">
        <v>435</v>
      </c>
      <c r="C416" s="4">
        <v>13.841</v>
      </c>
      <c r="D416" s="5">
        <v>130.7</v>
      </c>
      <c r="E416" s="4"/>
      <c r="F416" s="4"/>
      <c r="G416" s="2">
        <f t="shared" si="36"/>
        <v>13.808</v>
      </c>
      <c r="H416" s="11" t="str">
        <f t="shared" si="37"/>
        <v>3.776E-2</v>
      </c>
      <c r="I416" s="2">
        <f t="shared" si="38"/>
        <v>131.2</v>
      </c>
      <c r="J416" s="4">
        <f t="shared" si="39"/>
        <v>13.808</v>
      </c>
      <c r="K416" s="9">
        <f t="shared" si="40"/>
        <v>7.20000000000005</v>
      </c>
      <c r="L416" s="1">
        <f t="shared" si="41"/>
        <v>-3.49999999999996</v>
      </c>
    </row>
    <row r="417" s="1" customFormat="1" spans="1:12">
      <c r="A417" s="2">
        <v>13.875</v>
      </c>
      <c r="B417" s="10" t="s">
        <v>437</v>
      </c>
      <c r="C417" s="4">
        <v>13.875</v>
      </c>
      <c r="D417" s="5">
        <v>248.1</v>
      </c>
      <c r="E417" s="4"/>
      <c r="F417" s="4"/>
      <c r="G417" s="2">
        <f t="shared" si="36"/>
        <v>13.841</v>
      </c>
      <c r="H417" s="11" t="str">
        <f t="shared" si="37"/>
        <v>3.767E-2</v>
      </c>
      <c r="I417" s="2">
        <f t="shared" si="38"/>
        <v>130.7</v>
      </c>
      <c r="J417" s="4">
        <f t="shared" si="39"/>
        <v>13.841</v>
      </c>
      <c r="K417" s="9">
        <f t="shared" si="40"/>
        <v>6.30000000000006</v>
      </c>
      <c r="L417" s="1">
        <f t="shared" si="41"/>
        <v>-3.49999999999996</v>
      </c>
    </row>
    <row r="418" s="1" customFormat="1" spans="1:12">
      <c r="A418" s="2">
        <v>13.908</v>
      </c>
      <c r="B418" s="10" t="s">
        <v>383</v>
      </c>
      <c r="C418" s="4">
        <v>13.908</v>
      </c>
      <c r="D418" s="5">
        <v>253.9</v>
      </c>
      <c r="E418" s="4"/>
      <c r="F418" s="4"/>
      <c r="G418" s="2">
        <f t="shared" si="36"/>
        <v>13.875</v>
      </c>
      <c r="H418" s="11" t="str">
        <f t="shared" si="37"/>
        <v>3.758E-2</v>
      </c>
      <c r="I418" s="2">
        <f t="shared" si="38"/>
        <v>248.1</v>
      </c>
      <c r="J418" s="4">
        <f t="shared" si="39"/>
        <v>13.875</v>
      </c>
      <c r="K418" s="9">
        <f t="shared" si="40"/>
        <v>5.40000000000006</v>
      </c>
      <c r="L418" s="1">
        <f t="shared" si="41"/>
        <v>16.1</v>
      </c>
    </row>
    <row r="419" s="1" customFormat="1" spans="1:12">
      <c r="A419" s="2">
        <v>13.942</v>
      </c>
      <c r="B419" s="10" t="s">
        <v>456</v>
      </c>
      <c r="C419" s="4">
        <v>13.942</v>
      </c>
      <c r="D419" s="5">
        <v>253.9</v>
      </c>
      <c r="E419" s="4"/>
      <c r="F419" s="4"/>
      <c r="G419" s="2">
        <f t="shared" si="36"/>
        <v>13.908</v>
      </c>
      <c r="H419" s="11" t="str">
        <f t="shared" si="37"/>
        <v>3.755E-2</v>
      </c>
      <c r="I419" s="2">
        <f t="shared" si="38"/>
        <v>253.9</v>
      </c>
      <c r="J419" s="4">
        <f t="shared" si="39"/>
        <v>13.908</v>
      </c>
      <c r="K419" s="9">
        <f t="shared" si="40"/>
        <v>5.10000000000004</v>
      </c>
      <c r="L419" s="1">
        <f t="shared" si="41"/>
        <v>16.1</v>
      </c>
    </row>
    <row r="420" s="1" customFormat="1" spans="1:12">
      <c r="A420" s="2">
        <v>13.975</v>
      </c>
      <c r="B420" s="10" t="s">
        <v>417</v>
      </c>
      <c r="C420" s="4">
        <v>13.975</v>
      </c>
      <c r="D420" s="5">
        <v>253.9</v>
      </c>
      <c r="E420" s="4"/>
      <c r="F420" s="4"/>
      <c r="G420" s="2">
        <f t="shared" si="36"/>
        <v>13.942</v>
      </c>
      <c r="H420" s="11" t="str">
        <f t="shared" si="37"/>
        <v>3.752E-2</v>
      </c>
      <c r="I420" s="2">
        <f t="shared" si="38"/>
        <v>253.9</v>
      </c>
      <c r="J420" s="4">
        <f t="shared" si="39"/>
        <v>13.942</v>
      </c>
      <c r="K420" s="9">
        <f t="shared" si="40"/>
        <v>4.80000000000001</v>
      </c>
      <c r="L420" s="1">
        <f t="shared" si="41"/>
        <v>16.1</v>
      </c>
    </row>
    <row r="421" s="1" customFormat="1" spans="1:12">
      <c r="A421" s="2">
        <v>14.009</v>
      </c>
      <c r="B421" s="10" t="s">
        <v>346</v>
      </c>
      <c r="C421" s="4">
        <v>14.009</v>
      </c>
      <c r="D421" s="5">
        <v>253.9</v>
      </c>
      <c r="E421" s="4"/>
      <c r="F421" s="4"/>
      <c r="G421" s="2">
        <f t="shared" si="36"/>
        <v>13.975</v>
      </c>
      <c r="H421" s="11" t="str">
        <f t="shared" si="37"/>
        <v>3.748E-2</v>
      </c>
      <c r="I421" s="2">
        <f t="shared" si="38"/>
        <v>253.9</v>
      </c>
      <c r="J421" s="4">
        <f t="shared" si="39"/>
        <v>13.975</v>
      </c>
      <c r="K421" s="9">
        <f t="shared" si="40"/>
        <v>4.40000000000003</v>
      </c>
      <c r="L421" s="1">
        <f t="shared" si="41"/>
        <v>16.1</v>
      </c>
    </row>
    <row r="422" s="1" customFormat="1" spans="1:12">
      <c r="A422" s="2">
        <v>14.042</v>
      </c>
      <c r="B422" s="10" t="s">
        <v>350</v>
      </c>
      <c r="C422" s="4">
        <v>14.042</v>
      </c>
      <c r="D422" s="5">
        <v>254</v>
      </c>
      <c r="E422" s="4"/>
      <c r="F422" s="4"/>
      <c r="G422" s="2">
        <f t="shared" si="36"/>
        <v>14.009</v>
      </c>
      <c r="H422" s="11" t="str">
        <f t="shared" si="37"/>
        <v>3.738E-2</v>
      </c>
      <c r="I422" s="2">
        <f t="shared" si="38"/>
        <v>253.9</v>
      </c>
      <c r="J422" s="4">
        <f t="shared" si="39"/>
        <v>14.009</v>
      </c>
      <c r="K422" s="9">
        <f t="shared" si="40"/>
        <v>3.4</v>
      </c>
      <c r="L422" s="1">
        <f t="shared" si="41"/>
        <v>16.1</v>
      </c>
    </row>
    <row r="423" s="1" customFormat="1" spans="1:12">
      <c r="A423" s="2">
        <v>14.075</v>
      </c>
      <c r="B423" s="10" t="s">
        <v>457</v>
      </c>
      <c r="C423" s="4">
        <v>14.075</v>
      </c>
      <c r="D423" s="5">
        <v>254</v>
      </c>
      <c r="E423" s="4"/>
      <c r="F423" s="4"/>
      <c r="G423" s="2">
        <f t="shared" si="36"/>
        <v>14.042</v>
      </c>
      <c r="H423" s="11" t="str">
        <f t="shared" si="37"/>
        <v>3.732E-2</v>
      </c>
      <c r="I423" s="2">
        <f t="shared" si="38"/>
        <v>254</v>
      </c>
      <c r="J423" s="4">
        <f t="shared" si="39"/>
        <v>14.042</v>
      </c>
      <c r="K423" s="9">
        <f t="shared" si="40"/>
        <v>2.80000000000002</v>
      </c>
      <c r="L423" s="1">
        <f t="shared" si="41"/>
        <v>16.1</v>
      </c>
    </row>
    <row r="424" s="1" customFormat="1" spans="1:12">
      <c r="A424" s="2">
        <v>14.109</v>
      </c>
      <c r="B424" s="10" t="s">
        <v>458</v>
      </c>
      <c r="C424" s="4">
        <v>14.109</v>
      </c>
      <c r="D424" s="5">
        <v>254</v>
      </c>
      <c r="E424" s="4"/>
      <c r="F424" s="4"/>
      <c r="G424" s="2">
        <f t="shared" si="36"/>
        <v>14.075</v>
      </c>
      <c r="H424" s="11" t="str">
        <f t="shared" si="37"/>
        <v>3.729E-2</v>
      </c>
      <c r="I424" s="2">
        <f t="shared" si="38"/>
        <v>254</v>
      </c>
      <c r="J424" s="4">
        <f t="shared" si="39"/>
        <v>14.075</v>
      </c>
      <c r="K424" s="9">
        <f t="shared" si="40"/>
        <v>2.5</v>
      </c>
      <c r="L424" s="1">
        <f t="shared" si="41"/>
        <v>16.1</v>
      </c>
    </row>
    <row r="425" s="1" customFormat="1" spans="1:12">
      <c r="A425" s="2">
        <v>14.142</v>
      </c>
      <c r="B425" s="10" t="s">
        <v>351</v>
      </c>
      <c r="C425" s="4">
        <v>14.142</v>
      </c>
      <c r="D425" s="5">
        <v>254</v>
      </c>
      <c r="E425" s="4"/>
      <c r="F425" s="4"/>
      <c r="G425" s="2">
        <f t="shared" si="36"/>
        <v>14.109</v>
      </c>
      <c r="H425" s="11" t="str">
        <f t="shared" si="37"/>
        <v>3.728E-2</v>
      </c>
      <c r="I425" s="2">
        <f t="shared" si="38"/>
        <v>254</v>
      </c>
      <c r="J425" s="4">
        <f t="shared" si="39"/>
        <v>14.109</v>
      </c>
      <c r="K425" s="9">
        <f t="shared" si="40"/>
        <v>2.40000000000004</v>
      </c>
      <c r="L425" s="1">
        <f t="shared" si="41"/>
        <v>16.1</v>
      </c>
    </row>
    <row r="426" s="1" customFormat="1" spans="1:12">
      <c r="A426" s="2">
        <v>14.176</v>
      </c>
      <c r="B426" s="10" t="s">
        <v>457</v>
      </c>
      <c r="C426" s="4">
        <v>14.176</v>
      </c>
      <c r="D426" s="5">
        <v>254</v>
      </c>
      <c r="E426" s="4"/>
      <c r="F426" s="4"/>
      <c r="G426" s="2">
        <f t="shared" si="36"/>
        <v>14.142</v>
      </c>
      <c r="H426" s="11" t="str">
        <f t="shared" si="37"/>
        <v>3.727E-2</v>
      </c>
      <c r="I426" s="2">
        <f t="shared" si="38"/>
        <v>254</v>
      </c>
      <c r="J426" s="4">
        <f t="shared" si="39"/>
        <v>14.142</v>
      </c>
      <c r="K426" s="9">
        <f t="shared" si="40"/>
        <v>2.30000000000001</v>
      </c>
      <c r="L426" s="1">
        <f t="shared" si="41"/>
        <v>16.1</v>
      </c>
    </row>
    <row r="427" s="1" customFormat="1" spans="1:12">
      <c r="A427" s="2">
        <v>14.209</v>
      </c>
      <c r="B427" s="10" t="s">
        <v>457</v>
      </c>
      <c r="C427" s="4">
        <v>14.209</v>
      </c>
      <c r="D427" s="5">
        <v>253.9</v>
      </c>
      <c r="E427" s="4"/>
      <c r="F427" s="4"/>
      <c r="G427" s="2">
        <f t="shared" si="36"/>
        <v>14.176</v>
      </c>
      <c r="H427" s="11" t="str">
        <f t="shared" si="37"/>
        <v>3.729E-2</v>
      </c>
      <c r="I427" s="2">
        <f t="shared" si="38"/>
        <v>254</v>
      </c>
      <c r="J427" s="4">
        <f t="shared" si="39"/>
        <v>14.176</v>
      </c>
      <c r="K427" s="9">
        <f t="shared" si="40"/>
        <v>2.5</v>
      </c>
      <c r="L427" s="1">
        <f t="shared" si="41"/>
        <v>16.1</v>
      </c>
    </row>
    <row r="428" s="1" customFormat="1" spans="1:12">
      <c r="A428" s="2">
        <v>14.243</v>
      </c>
      <c r="B428" s="10" t="s">
        <v>350</v>
      </c>
      <c r="C428" s="4">
        <v>14.243</v>
      </c>
      <c r="D428" s="5">
        <v>253.9</v>
      </c>
      <c r="E428" s="4"/>
      <c r="F428" s="4"/>
      <c r="G428" s="2">
        <f t="shared" si="36"/>
        <v>14.209</v>
      </c>
      <c r="H428" s="11" t="str">
        <f t="shared" si="37"/>
        <v>3.729E-2</v>
      </c>
      <c r="I428" s="2">
        <f t="shared" si="38"/>
        <v>253.9</v>
      </c>
      <c r="J428" s="4">
        <f t="shared" si="39"/>
        <v>14.209</v>
      </c>
      <c r="K428" s="9">
        <f t="shared" si="40"/>
        <v>2.5</v>
      </c>
      <c r="L428" s="1">
        <f t="shared" si="41"/>
        <v>16.1</v>
      </c>
    </row>
    <row r="429" s="1" customFormat="1" spans="1:12">
      <c r="A429" s="2">
        <v>14.276</v>
      </c>
      <c r="B429" s="10" t="s">
        <v>349</v>
      </c>
      <c r="C429" s="4">
        <v>14.276</v>
      </c>
      <c r="D429" s="5">
        <v>254</v>
      </c>
      <c r="E429" s="4"/>
      <c r="F429" s="4"/>
      <c r="G429" s="2">
        <f t="shared" si="36"/>
        <v>14.243</v>
      </c>
      <c r="H429" s="11" t="str">
        <f t="shared" si="37"/>
        <v>3.732E-2</v>
      </c>
      <c r="I429" s="2">
        <f t="shared" si="38"/>
        <v>253.9</v>
      </c>
      <c r="J429" s="4">
        <f t="shared" si="39"/>
        <v>14.243</v>
      </c>
      <c r="K429" s="9">
        <f t="shared" si="40"/>
        <v>2.80000000000002</v>
      </c>
      <c r="L429" s="1">
        <f t="shared" si="41"/>
        <v>16.1</v>
      </c>
    </row>
    <row r="430" s="1" customFormat="1" spans="1:12">
      <c r="A430" s="2">
        <v>14.309</v>
      </c>
      <c r="B430" s="10" t="s">
        <v>348</v>
      </c>
      <c r="C430" s="4">
        <v>14.309</v>
      </c>
      <c r="D430" s="5">
        <v>254</v>
      </c>
      <c r="E430" s="4"/>
      <c r="F430" s="4"/>
      <c r="G430" s="2">
        <f t="shared" si="36"/>
        <v>14.276</v>
      </c>
      <c r="H430" s="11" t="str">
        <f t="shared" si="37"/>
        <v>3.733E-2</v>
      </c>
      <c r="I430" s="2">
        <f t="shared" si="38"/>
        <v>254</v>
      </c>
      <c r="J430" s="4">
        <f t="shared" si="39"/>
        <v>14.276</v>
      </c>
      <c r="K430" s="9">
        <f t="shared" si="40"/>
        <v>2.90000000000006</v>
      </c>
      <c r="L430" s="1">
        <f t="shared" si="41"/>
        <v>16.1</v>
      </c>
    </row>
    <row r="431" s="1" customFormat="1" spans="1:12">
      <c r="A431" s="2">
        <v>14.343</v>
      </c>
      <c r="B431" s="10" t="s">
        <v>343</v>
      </c>
      <c r="C431" s="4">
        <v>14.343</v>
      </c>
      <c r="D431" s="5">
        <v>254</v>
      </c>
      <c r="E431" s="4"/>
      <c r="F431" s="4"/>
      <c r="G431" s="2">
        <f t="shared" si="36"/>
        <v>14.309</v>
      </c>
      <c r="H431" s="11" t="str">
        <f t="shared" si="37"/>
        <v>3.736E-2</v>
      </c>
      <c r="I431" s="2">
        <f t="shared" si="38"/>
        <v>254</v>
      </c>
      <c r="J431" s="4">
        <f t="shared" si="39"/>
        <v>14.309</v>
      </c>
      <c r="K431" s="9">
        <f t="shared" si="40"/>
        <v>3.20000000000001</v>
      </c>
      <c r="L431" s="1">
        <f t="shared" si="41"/>
        <v>16.1</v>
      </c>
    </row>
    <row r="432" s="1" customFormat="1" spans="1:12">
      <c r="A432" s="2">
        <v>14.376</v>
      </c>
      <c r="B432" s="10" t="s">
        <v>459</v>
      </c>
      <c r="C432" s="4">
        <v>14.376</v>
      </c>
      <c r="D432" s="5">
        <v>254</v>
      </c>
      <c r="E432" s="4"/>
      <c r="F432" s="4"/>
      <c r="G432" s="2">
        <f t="shared" si="36"/>
        <v>14.343</v>
      </c>
      <c r="H432" s="11" t="str">
        <f t="shared" si="37"/>
        <v>3.739E-2</v>
      </c>
      <c r="I432" s="2">
        <f t="shared" si="38"/>
        <v>254</v>
      </c>
      <c r="J432" s="4">
        <f t="shared" si="39"/>
        <v>14.343</v>
      </c>
      <c r="K432" s="9">
        <f t="shared" si="40"/>
        <v>3.50000000000003</v>
      </c>
      <c r="L432" s="1">
        <f t="shared" si="41"/>
        <v>16.1</v>
      </c>
    </row>
    <row r="433" s="1" customFormat="1" spans="1:12">
      <c r="A433" s="2">
        <v>14.41</v>
      </c>
      <c r="B433" s="10" t="s">
        <v>460</v>
      </c>
      <c r="C433" s="4">
        <v>14.41</v>
      </c>
      <c r="D433" s="5">
        <v>254</v>
      </c>
      <c r="E433" s="4"/>
      <c r="F433" s="4"/>
      <c r="G433" s="2">
        <f t="shared" si="36"/>
        <v>14.376</v>
      </c>
      <c r="H433" s="11" t="str">
        <f t="shared" si="37"/>
        <v>3.743E-2</v>
      </c>
      <c r="I433" s="2">
        <f t="shared" si="38"/>
        <v>254</v>
      </c>
      <c r="J433" s="4">
        <f t="shared" si="39"/>
        <v>14.376</v>
      </c>
      <c r="K433" s="9">
        <f t="shared" si="40"/>
        <v>3.90000000000001</v>
      </c>
      <c r="L433" s="1">
        <f t="shared" si="41"/>
        <v>16.1</v>
      </c>
    </row>
    <row r="434" s="1" customFormat="1" spans="1:12">
      <c r="A434" s="2">
        <v>14.443</v>
      </c>
      <c r="B434" s="10" t="s">
        <v>461</v>
      </c>
      <c r="C434" s="4">
        <v>14.443</v>
      </c>
      <c r="D434" s="5">
        <v>254</v>
      </c>
      <c r="E434" s="4"/>
      <c r="F434" s="4"/>
      <c r="G434" s="2">
        <f t="shared" si="36"/>
        <v>14.41</v>
      </c>
      <c r="H434" s="11" t="str">
        <f t="shared" si="37"/>
        <v>3.746E-2</v>
      </c>
      <c r="I434" s="2">
        <f t="shared" si="38"/>
        <v>254</v>
      </c>
      <c r="J434" s="4">
        <f t="shared" si="39"/>
        <v>14.41</v>
      </c>
      <c r="K434" s="9">
        <f t="shared" si="40"/>
        <v>4.20000000000004</v>
      </c>
      <c r="L434" s="1">
        <f t="shared" si="41"/>
        <v>16.1</v>
      </c>
    </row>
    <row r="435" s="1" customFormat="1" spans="1:12">
      <c r="A435" s="2">
        <v>14.477</v>
      </c>
      <c r="B435" s="10" t="s">
        <v>418</v>
      </c>
      <c r="C435" s="4">
        <v>14.477</v>
      </c>
      <c r="D435" s="5">
        <v>254</v>
      </c>
      <c r="E435" s="4"/>
      <c r="F435" s="4"/>
      <c r="G435" s="2">
        <f t="shared" si="36"/>
        <v>14.443</v>
      </c>
      <c r="H435" s="11" t="str">
        <f t="shared" si="37"/>
        <v>3.750E-2</v>
      </c>
      <c r="I435" s="2">
        <f t="shared" si="38"/>
        <v>254</v>
      </c>
      <c r="J435" s="4">
        <f t="shared" si="39"/>
        <v>14.443</v>
      </c>
      <c r="K435" s="9">
        <f t="shared" si="40"/>
        <v>4.60000000000002</v>
      </c>
      <c r="L435" s="1">
        <f t="shared" si="41"/>
        <v>16.1</v>
      </c>
    </row>
    <row r="436" s="1" customFormat="1" spans="1:12">
      <c r="A436" s="2">
        <v>14.51</v>
      </c>
      <c r="B436" s="10" t="s">
        <v>462</v>
      </c>
      <c r="C436" s="4">
        <v>14.51</v>
      </c>
      <c r="D436" s="5">
        <v>254</v>
      </c>
      <c r="E436" s="4"/>
      <c r="F436" s="4"/>
      <c r="G436" s="2">
        <f t="shared" si="36"/>
        <v>14.477</v>
      </c>
      <c r="H436" s="11" t="str">
        <f t="shared" si="37"/>
        <v>3.756E-2</v>
      </c>
      <c r="I436" s="2">
        <f t="shared" si="38"/>
        <v>254</v>
      </c>
      <c r="J436" s="4">
        <f t="shared" si="39"/>
        <v>14.477</v>
      </c>
      <c r="K436" s="9">
        <f t="shared" si="40"/>
        <v>5.20000000000007</v>
      </c>
      <c r="L436" s="1">
        <f t="shared" si="41"/>
        <v>16.1</v>
      </c>
    </row>
    <row r="437" s="1" customFormat="1" spans="1:12">
      <c r="A437" s="2">
        <v>14.543</v>
      </c>
      <c r="B437" s="10" t="s">
        <v>395</v>
      </c>
      <c r="C437" s="4">
        <v>14.543</v>
      </c>
      <c r="D437" s="5">
        <v>254</v>
      </c>
      <c r="E437" s="4"/>
      <c r="F437" s="4"/>
      <c r="G437" s="2">
        <f t="shared" si="36"/>
        <v>14.51</v>
      </c>
      <c r="H437" s="11" t="str">
        <f t="shared" si="37"/>
        <v>3.768E-2</v>
      </c>
      <c r="I437" s="2">
        <f t="shared" si="38"/>
        <v>254</v>
      </c>
      <c r="J437" s="4">
        <f t="shared" si="39"/>
        <v>14.51</v>
      </c>
      <c r="K437" s="9">
        <f t="shared" si="40"/>
        <v>6.40000000000002</v>
      </c>
      <c r="L437" s="1">
        <f t="shared" si="41"/>
        <v>16.1</v>
      </c>
    </row>
    <row r="438" s="1" customFormat="1" spans="1:12">
      <c r="A438" s="2">
        <v>14.577</v>
      </c>
      <c r="B438" s="10" t="s">
        <v>366</v>
      </c>
      <c r="C438" s="4">
        <v>14.577</v>
      </c>
      <c r="D438" s="5">
        <v>254</v>
      </c>
      <c r="E438" s="4"/>
      <c r="F438" s="4"/>
      <c r="G438" s="2">
        <f t="shared" si="36"/>
        <v>14.543</v>
      </c>
      <c r="H438" s="11" t="str">
        <f t="shared" si="37"/>
        <v>3.774E-2</v>
      </c>
      <c r="I438" s="2">
        <f t="shared" si="38"/>
        <v>254</v>
      </c>
      <c r="J438" s="4">
        <f t="shared" si="39"/>
        <v>14.543</v>
      </c>
      <c r="K438" s="9">
        <f t="shared" si="40"/>
        <v>7.00000000000006</v>
      </c>
      <c r="L438" s="1">
        <f t="shared" si="41"/>
        <v>16.1</v>
      </c>
    </row>
    <row r="439" s="1" customFormat="1" spans="1:12">
      <c r="A439" s="2">
        <v>14.61</v>
      </c>
      <c r="B439" s="10" t="s">
        <v>432</v>
      </c>
      <c r="C439" s="4">
        <v>14.61</v>
      </c>
      <c r="D439" s="5">
        <v>253.9</v>
      </c>
      <c r="E439" s="4"/>
      <c r="F439" s="4"/>
      <c r="G439" s="2">
        <f t="shared" si="36"/>
        <v>14.577</v>
      </c>
      <c r="H439" s="11" t="str">
        <f t="shared" si="37"/>
        <v>3.783E-2</v>
      </c>
      <c r="I439" s="2">
        <f t="shared" si="38"/>
        <v>254</v>
      </c>
      <c r="J439" s="4">
        <f t="shared" si="39"/>
        <v>14.577</v>
      </c>
      <c r="K439" s="9">
        <f t="shared" si="40"/>
        <v>7.90000000000006</v>
      </c>
      <c r="L439" s="1">
        <f t="shared" si="41"/>
        <v>16.1</v>
      </c>
    </row>
    <row r="440" s="1" customFormat="1" spans="1:12">
      <c r="A440" s="2">
        <v>14.644</v>
      </c>
      <c r="B440" s="10" t="s">
        <v>450</v>
      </c>
      <c r="C440" s="4">
        <v>14.644</v>
      </c>
      <c r="D440" s="5">
        <v>254</v>
      </c>
      <c r="E440" s="4"/>
      <c r="F440" s="4"/>
      <c r="G440" s="2">
        <f t="shared" si="36"/>
        <v>14.61</v>
      </c>
      <c r="H440" s="11" t="str">
        <f t="shared" si="37"/>
        <v>3.795E-2</v>
      </c>
      <c r="I440" s="2">
        <f t="shared" si="38"/>
        <v>253.9</v>
      </c>
      <c r="J440" s="4">
        <f t="shared" si="39"/>
        <v>14.61</v>
      </c>
      <c r="K440" s="9">
        <f t="shared" si="40"/>
        <v>9.10000000000001</v>
      </c>
      <c r="L440" s="1">
        <f t="shared" si="41"/>
        <v>16.1</v>
      </c>
    </row>
    <row r="441" s="1" customFormat="1" spans="1:12">
      <c r="A441" s="2">
        <v>14.677</v>
      </c>
      <c r="B441" s="10" t="s">
        <v>379</v>
      </c>
      <c r="C441" s="4">
        <v>14.677</v>
      </c>
      <c r="D441" s="5">
        <v>254</v>
      </c>
      <c r="E441" s="4"/>
      <c r="F441" s="4"/>
      <c r="G441" s="2">
        <f t="shared" si="36"/>
        <v>14.644</v>
      </c>
      <c r="H441" s="11" t="str">
        <f t="shared" si="37"/>
        <v>3.803E-2</v>
      </c>
      <c r="I441" s="2">
        <f t="shared" si="38"/>
        <v>254</v>
      </c>
      <c r="J441" s="4">
        <f t="shared" si="39"/>
        <v>14.644</v>
      </c>
      <c r="K441" s="9">
        <f t="shared" si="40"/>
        <v>9.90000000000005</v>
      </c>
      <c r="L441" s="1">
        <f t="shared" si="41"/>
        <v>16.1</v>
      </c>
    </row>
    <row r="442" s="1" customFormat="1" spans="1:12">
      <c r="A442" s="2">
        <v>14.711</v>
      </c>
      <c r="B442" s="10" t="s">
        <v>463</v>
      </c>
      <c r="C442" s="4">
        <v>14.711</v>
      </c>
      <c r="D442" s="5">
        <v>253.3</v>
      </c>
      <c r="E442" s="4"/>
      <c r="F442" s="4"/>
      <c r="G442" s="2">
        <f t="shared" si="36"/>
        <v>14.677</v>
      </c>
      <c r="H442" s="11" t="str">
        <f t="shared" si="37"/>
        <v>3.810E-2</v>
      </c>
      <c r="I442" s="2">
        <f t="shared" si="38"/>
        <v>254</v>
      </c>
      <c r="J442" s="4">
        <f t="shared" si="39"/>
        <v>14.677</v>
      </c>
      <c r="K442" s="9">
        <f t="shared" si="40"/>
        <v>10.6000000000001</v>
      </c>
      <c r="L442" s="1">
        <f t="shared" si="41"/>
        <v>16.1</v>
      </c>
    </row>
    <row r="443" s="1" customFormat="1" spans="1:12">
      <c r="A443" s="2">
        <v>14.744</v>
      </c>
      <c r="B443" s="10" t="s">
        <v>464</v>
      </c>
      <c r="C443" s="4">
        <v>14.744</v>
      </c>
      <c r="D443" s="5">
        <v>138</v>
      </c>
      <c r="E443" s="4"/>
      <c r="F443" s="4"/>
      <c r="G443" s="2">
        <f t="shared" si="36"/>
        <v>14.711</v>
      </c>
      <c r="H443" s="11" t="str">
        <f t="shared" si="37"/>
        <v>3.813E-2</v>
      </c>
      <c r="I443" s="2">
        <f t="shared" si="38"/>
        <v>253.3</v>
      </c>
      <c r="J443" s="4">
        <f t="shared" si="39"/>
        <v>14.711</v>
      </c>
      <c r="K443" s="9">
        <f t="shared" si="40"/>
        <v>10.9</v>
      </c>
      <c r="L443" s="1">
        <f t="shared" si="41"/>
        <v>16.1</v>
      </c>
    </row>
    <row r="444" s="1" customFormat="1" spans="1:12">
      <c r="A444" s="2">
        <v>14.777</v>
      </c>
      <c r="B444" s="10" t="s">
        <v>374</v>
      </c>
      <c r="C444" s="4">
        <v>14.777</v>
      </c>
      <c r="D444" s="5">
        <v>160.7</v>
      </c>
      <c r="E444" s="4"/>
      <c r="F444" s="4"/>
      <c r="G444" s="2">
        <f t="shared" si="36"/>
        <v>14.744</v>
      </c>
      <c r="H444" s="11" t="str">
        <f t="shared" si="37"/>
        <v>3.826E-2</v>
      </c>
      <c r="I444" s="2">
        <f t="shared" si="38"/>
        <v>138</v>
      </c>
      <c r="J444" s="4">
        <f t="shared" si="39"/>
        <v>14.744</v>
      </c>
      <c r="K444" s="9">
        <f t="shared" si="40"/>
        <v>12.2000000000001</v>
      </c>
      <c r="L444" s="1">
        <f t="shared" si="41"/>
        <v>-3.49999999999996</v>
      </c>
    </row>
    <row r="445" s="1" customFormat="1" spans="1:12">
      <c r="A445" s="2">
        <v>14.811</v>
      </c>
      <c r="B445" s="10" t="s">
        <v>425</v>
      </c>
      <c r="C445" s="4">
        <v>14.811</v>
      </c>
      <c r="D445" s="5">
        <v>159.9</v>
      </c>
      <c r="E445" s="4"/>
      <c r="F445" s="4"/>
      <c r="G445" s="2">
        <f t="shared" si="36"/>
        <v>14.777</v>
      </c>
      <c r="H445" s="11" t="str">
        <f t="shared" si="37"/>
        <v>3.832E-2</v>
      </c>
      <c r="I445" s="2">
        <f t="shared" si="38"/>
        <v>160.7</v>
      </c>
      <c r="J445" s="4">
        <f t="shared" si="39"/>
        <v>14.777</v>
      </c>
      <c r="K445" s="9">
        <f t="shared" si="40"/>
        <v>12.8</v>
      </c>
      <c r="L445" s="1">
        <f t="shared" si="41"/>
        <v>-3.49999999999996</v>
      </c>
    </row>
    <row r="446" s="1" customFormat="1" spans="1:12">
      <c r="A446" s="2">
        <v>14.844</v>
      </c>
      <c r="B446" s="10" t="s">
        <v>424</v>
      </c>
      <c r="C446" s="4">
        <v>14.844</v>
      </c>
      <c r="D446" s="5">
        <v>158.7</v>
      </c>
      <c r="E446" s="4"/>
      <c r="F446" s="4"/>
      <c r="G446" s="2">
        <f t="shared" si="36"/>
        <v>14.811</v>
      </c>
      <c r="H446" s="11" t="str">
        <f t="shared" si="37"/>
        <v>3.835E-2</v>
      </c>
      <c r="I446" s="2">
        <f t="shared" si="38"/>
        <v>159.9</v>
      </c>
      <c r="J446" s="4">
        <f t="shared" si="39"/>
        <v>14.811</v>
      </c>
      <c r="K446" s="9">
        <f t="shared" si="40"/>
        <v>13.1000000000001</v>
      </c>
      <c r="L446" s="1">
        <f t="shared" si="41"/>
        <v>-3.49999999999996</v>
      </c>
    </row>
    <row r="447" s="1" customFormat="1" spans="1:12">
      <c r="A447" s="2">
        <v>14.878</v>
      </c>
      <c r="B447" s="10" t="s">
        <v>372</v>
      </c>
      <c r="C447" s="4">
        <v>14.878</v>
      </c>
      <c r="D447" s="5">
        <v>158.6</v>
      </c>
      <c r="E447" s="4"/>
      <c r="F447" s="4"/>
      <c r="G447" s="2">
        <f t="shared" si="36"/>
        <v>14.844</v>
      </c>
      <c r="H447" s="11" t="str">
        <f t="shared" si="37"/>
        <v>3.837E-2</v>
      </c>
      <c r="I447" s="2">
        <f t="shared" si="38"/>
        <v>158.7</v>
      </c>
      <c r="J447" s="4">
        <f t="shared" si="39"/>
        <v>14.844</v>
      </c>
      <c r="K447" s="9">
        <f t="shared" si="40"/>
        <v>13.3</v>
      </c>
      <c r="L447" s="1">
        <f t="shared" si="41"/>
        <v>-3.49999999999996</v>
      </c>
    </row>
    <row r="448" s="1" customFormat="1" spans="1:12">
      <c r="A448" s="2">
        <v>14.911</v>
      </c>
      <c r="B448" s="10" t="s">
        <v>424</v>
      </c>
      <c r="C448" s="4">
        <v>14.911</v>
      </c>
      <c r="D448" s="5">
        <v>156.7</v>
      </c>
      <c r="E448" s="4"/>
      <c r="F448" s="4"/>
      <c r="G448" s="2">
        <f t="shared" si="36"/>
        <v>14.878</v>
      </c>
      <c r="H448" s="11" t="str">
        <f t="shared" si="37"/>
        <v>3.839E-2</v>
      </c>
      <c r="I448" s="2">
        <f t="shared" si="38"/>
        <v>158.6</v>
      </c>
      <c r="J448" s="4">
        <f t="shared" si="39"/>
        <v>14.878</v>
      </c>
      <c r="K448" s="9">
        <f t="shared" si="40"/>
        <v>13.5</v>
      </c>
      <c r="L448" s="1">
        <f t="shared" si="41"/>
        <v>-3.49999999999996</v>
      </c>
    </row>
    <row r="449" s="1" customFormat="1" spans="1:12">
      <c r="A449" s="2">
        <v>14.945</v>
      </c>
      <c r="B449" s="10" t="s">
        <v>465</v>
      </c>
      <c r="C449" s="4">
        <v>14.945</v>
      </c>
      <c r="D449" s="5">
        <v>155.2</v>
      </c>
      <c r="E449" s="4"/>
      <c r="F449" s="4"/>
      <c r="G449" s="2">
        <f t="shared" si="36"/>
        <v>14.911</v>
      </c>
      <c r="H449" s="11" t="str">
        <f t="shared" si="37"/>
        <v>3.837E-2</v>
      </c>
      <c r="I449" s="2">
        <f t="shared" si="38"/>
        <v>156.7</v>
      </c>
      <c r="J449" s="4">
        <f t="shared" si="39"/>
        <v>14.911</v>
      </c>
      <c r="K449" s="9">
        <f t="shared" si="40"/>
        <v>13.3</v>
      </c>
      <c r="L449" s="1">
        <f t="shared" si="41"/>
        <v>-3.49999999999996</v>
      </c>
    </row>
    <row r="450" s="1" customFormat="1" spans="1:12">
      <c r="A450" s="2">
        <v>14.978</v>
      </c>
      <c r="B450" s="10" t="s">
        <v>373</v>
      </c>
      <c r="C450" s="4">
        <v>14.978</v>
      </c>
      <c r="D450" s="5">
        <v>155.5</v>
      </c>
      <c r="E450" s="4"/>
      <c r="F450" s="4"/>
      <c r="G450" s="2">
        <f t="shared" si="36"/>
        <v>14.945</v>
      </c>
      <c r="H450" s="11" t="str">
        <f t="shared" si="37"/>
        <v>3.838E-2</v>
      </c>
      <c r="I450" s="2">
        <f t="shared" si="38"/>
        <v>155.2</v>
      </c>
      <c r="J450" s="4">
        <f t="shared" si="39"/>
        <v>14.945</v>
      </c>
      <c r="K450" s="9">
        <f t="shared" si="40"/>
        <v>13.4</v>
      </c>
      <c r="L450" s="1">
        <f t="shared" si="41"/>
        <v>-3.49999999999996</v>
      </c>
    </row>
    <row r="451" s="1" customFormat="1" spans="1:12">
      <c r="A451" s="2">
        <v>15.011</v>
      </c>
      <c r="B451" s="10" t="s">
        <v>374</v>
      </c>
      <c r="C451" s="4">
        <v>15.011</v>
      </c>
      <c r="D451" s="5">
        <v>153.9</v>
      </c>
      <c r="E451" s="4"/>
      <c r="F451" s="4"/>
      <c r="G451" s="2">
        <f t="shared" si="36"/>
        <v>14.978</v>
      </c>
      <c r="H451" s="11" t="str">
        <f t="shared" si="37"/>
        <v>3.836E-2</v>
      </c>
      <c r="I451" s="2">
        <f t="shared" si="38"/>
        <v>155.5</v>
      </c>
      <c r="J451" s="4">
        <f t="shared" si="39"/>
        <v>14.978</v>
      </c>
      <c r="K451" s="9">
        <f t="shared" si="40"/>
        <v>13.2</v>
      </c>
      <c r="L451" s="1">
        <f t="shared" si="41"/>
        <v>-3.49999999999996</v>
      </c>
    </row>
    <row r="452" s="1" customFormat="1" spans="1:12">
      <c r="A452" s="2">
        <v>15.045</v>
      </c>
      <c r="B452" s="10" t="s">
        <v>466</v>
      </c>
      <c r="C452" s="4">
        <v>15.045</v>
      </c>
      <c r="D452" s="5">
        <v>152.7</v>
      </c>
      <c r="E452" s="4"/>
      <c r="F452" s="4"/>
      <c r="G452" s="2">
        <f t="shared" ref="G452:G515" si="42">A451</f>
        <v>15.011</v>
      </c>
      <c r="H452" s="11" t="str">
        <f t="shared" ref="H452:H515" si="43">B451</f>
        <v>3.832E-2</v>
      </c>
      <c r="I452" s="2">
        <f t="shared" ref="I452:I515" si="44">D451</f>
        <v>153.9</v>
      </c>
      <c r="J452" s="4">
        <f t="shared" ref="J452:J515" si="45">G452</f>
        <v>15.011</v>
      </c>
      <c r="K452" s="9">
        <f t="shared" ref="K452:K515" si="46">(H452-$H$4)*10000</f>
        <v>12.8</v>
      </c>
      <c r="L452" s="1">
        <f t="shared" ref="L452:L515" si="47">IF(I452&lt;230,MIN(K:K),MAX(K:K))</f>
        <v>-3.49999999999996</v>
      </c>
    </row>
    <row r="453" s="1" customFormat="1" spans="1:12">
      <c r="A453" s="2">
        <v>15.078</v>
      </c>
      <c r="B453" s="10" t="s">
        <v>423</v>
      </c>
      <c r="C453" s="4">
        <v>15.078</v>
      </c>
      <c r="D453" s="5">
        <v>152</v>
      </c>
      <c r="E453" s="4"/>
      <c r="F453" s="4"/>
      <c r="G453" s="2">
        <f t="shared" si="42"/>
        <v>15.045</v>
      </c>
      <c r="H453" s="11" t="str">
        <f t="shared" si="43"/>
        <v>3.830E-2</v>
      </c>
      <c r="I453" s="2">
        <f t="shared" si="44"/>
        <v>152.7</v>
      </c>
      <c r="J453" s="4">
        <f t="shared" si="45"/>
        <v>15.045</v>
      </c>
      <c r="K453" s="9">
        <f t="shared" si="46"/>
        <v>12.6</v>
      </c>
      <c r="L453" s="1">
        <f t="shared" si="47"/>
        <v>-3.49999999999996</v>
      </c>
    </row>
    <row r="454" s="1" customFormat="1" spans="1:12">
      <c r="A454" s="2">
        <v>15.112</v>
      </c>
      <c r="B454" s="10" t="s">
        <v>376</v>
      </c>
      <c r="C454" s="4">
        <v>15.112</v>
      </c>
      <c r="D454" s="5">
        <v>151.4</v>
      </c>
      <c r="E454" s="4"/>
      <c r="F454" s="4"/>
      <c r="G454" s="2">
        <f t="shared" si="42"/>
        <v>15.078</v>
      </c>
      <c r="H454" s="11" t="str">
        <f t="shared" si="43"/>
        <v>3.827E-2</v>
      </c>
      <c r="I454" s="2">
        <f t="shared" si="44"/>
        <v>152</v>
      </c>
      <c r="J454" s="4">
        <f t="shared" si="45"/>
        <v>15.078</v>
      </c>
      <c r="K454" s="9">
        <f t="shared" si="46"/>
        <v>12.3</v>
      </c>
      <c r="L454" s="1">
        <f t="shared" si="47"/>
        <v>-3.49999999999996</v>
      </c>
    </row>
    <row r="455" s="1" customFormat="1" spans="1:12">
      <c r="A455" s="2">
        <v>15.145</v>
      </c>
      <c r="B455" s="10" t="s">
        <v>467</v>
      </c>
      <c r="C455" s="4">
        <v>15.145</v>
      </c>
      <c r="D455" s="5">
        <v>150.4</v>
      </c>
      <c r="E455" s="4"/>
      <c r="F455" s="4"/>
      <c r="G455" s="2">
        <f t="shared" si="42"/>
        <v>15.112</v>
      </c>
      <c r="H455" s="11" t="str">
        <f t="shared" si="43"/>
        <v>3.823E-2</v>
      </c>
      <c r="I455" s="2">
        <f t="shared" si="44"/>
        <v>151.4</v>
      </c>
      <c r="J455" s="4">
        <f t="shared" si="45"/>
        <v>15.112</v>
      </c>
      <c r="K455" s="9">
        <f t="shared" si="46"/>
        <v>11.9</v>
      </c>
      <c r="L455" s="1">
        <f t="shared" si="47"/>
        <v>-3.49999999999996</v>
      </c>
    </row>
    <row r="456" s="1" customFormat="1" spans="1:12">
      <c r="A456" s="2">
        <v>15.179</v>
      </c>
      <c r="B456" s="10" t="s">
        <v>431</v>
      </c>
      <c r="C456" s="4">
        <v>15.179</v>
      </c>
      <c r="D456" s="5">
        <v>148.3</v>
      </c>
      <c r="E456" s="4"/>
      <c r="F456" s="4"/>
      <c r="G456" s="2">
        <f t="shared" si="42"/>
        <v>15.145</v>
      </c>
      <c r="H456" s="11" t="str">
        <f t="shared" si="43"/>
        <v>3.820E-2</v>
      </c>
      <c r="I456" s="2">
        <f t="shared" si="44"/>
        <v>150.4</v>
      </c>
      <c r="J456" s="4">
        <f t="shared" si="45"/>
        <v>15.145</v>
      </c>
      <c r="K456" s="9">
        <f t="shared" si="46"/>
        <v>11.6</v>
      </c>
      <c r="L456" s="1">
        <f t="shared" si="47"/>
        <v>-3.49999999999996</v>
      </c>
    </row>
    <row r="457" s="1" customFormat="1" spans="1:12">
      <c r="A457" s="2">
        <v>15.212</v>
      </c>
      <c r="B457" s="10" t="s">
        <v>468</v>
      </c>
      <c r="C457" s="4">
        <v>15.212</v>
      </c>
      <c r="D457" s="5">
        <v>149.1</v>
      </c>
      <c r="E457" s="4"/>
      <c r="F457" s="4"/>
      <c r="G457" s="2">
        <f t="shared" si="42"/>
        <v>15.179</v>
      </c>
      <c r="H457" s="11" t="str">
        <f t="shared" si="43"/>
        <v>3.815E-2</v>
      </c>
      <c r="I457" s="2">
        <f t="shared" si="44"/>
        <v>148.3</v>
      </c>
      <c r="J457" s="4">
        <f t="shared" si="45"/>
        <v>15.179</v>
      </c>
      <c r="K457" s="9">
        <f t="shared" si="46"/>
        <v>11.1000000000001</v>
      </c>
      <c r="L457" s="1">
        <f t="shared" si="47"/>
        <v>-3.49999999999996</v>
      </c>
    </row>
    <row r="458" s="1" customFormat="1" spans="1:12">
      <c r="A458" s="2">
        <v>15.246</v>
      </c>
      <c r="B458" s="10" t="s">
        <v>422</v>
      </c>
      <c r="C458" s="4">
        <v>15.246</v>
      </c>
      <c r="D458" s="5">
        <v>147.3</v>
      </c>
      <c r="E458" s="4"/>
      <c r="F458" s="4"/>
      <c r="G458" s="2">
        <f t="shared" si="42"/>
        <v>15.212</v>
      </c>
      <c r="H458" s="11" t="str">
        <f t="shared" si="43"/>
        <v>3.811E-2</v>
      </c>
      <c r="I458" s="2">
        <f t="shared" si="44"/>
        <v>149.1</v>
      </c>
      <c r="J458" s="4">
        <f t="shared" si="45"/>
        <v>15.212</v>
      </c>
      <c r="K458" s="9">
        <f t="shared" si="46"/>
        <v>10.7</v>
      </c>
      <c r="L458" s="1">
        <f t="shared" si="47"/>
        <v>-3.49999999999996</v>
      </c>
    </row>
    <row r="459" s="1" customFormat="1" spans="1:12">
      <c r="A459" s="2">
        <v>15.279</v>
      </c>
      <c r="B459" s="10" t="s">
        <v>380</v>
      </c>
      <c r="C459" s="4">
        <v>15.279</v>
      </c>
      <c r="D459" s="5">
        <v>145.6</v>
      </c>
      <c r="E459" s="4"/>
      <c r="F459" s="4"/>
      <c r="G459" s="2">
        <f t="shared" si="42"/>
        <v>15.246</v>
      </c>
      <c r="H459" s="11" t="str">
        <f t="shared" si="43"/>
        <v>3.807E-2</v>
      </c>
      <c r="I459" s="2">
        <f t="shared" si="44"/>
        <v>147.3</v>
      </c>
      <c r="J459" s="4">
        <f t="shared" si="45"/>
        <v>15.246</v>
      </c>
      <c r="K459" s="9">
        <f t="shared" si="46"/>
        <v>10.3</v>
      </c>
      <c r="L459" s="1">
        <f t="shared" si="47"/>
        <v>-3.49999999999996</v>
      </c>
    </row>
    <row r="460" s="1" customFormat="1" spans="1:12">
      <c r="A460" s="2">
        <v>15.312</v>
      </c>
      <c r="B460" s="10" t="s">
        <v>433</v>
      </c>
      <c r="C460" s="4">
        <v>15.312</v>
      </c>
      <c r="D460" s="5">
        <v>145</v>
      </c>
      <c r="E460" s="4"/>
      <c r="F460" s="4"/>
      <c r="G460" s="2">
        <f t="shared" si="42"/>
        <v>15.279</v>
      </c>
      <c r="H460" s="11" t="str">
        <f t="shared" si="43"/>
        <v>3.794E-2</v>
      </c>
      <c r="I460" s="2">
        <f t="shared" si="44"/>
        <v>145.6</v>
      </c>
      <c r="J460" s="4">
        <f t="shared" si="45"/>
        <v>15.279</v>
      </c>
      <c r="K460" s="9">
        <f t="shared" si="46"/>
        <v>9.00000000000005</v>
      </c>
      <c r="L460" s="1">
        <f t="shared" si="47"/>
        <v>-3.49999999999996</v>
      </c>
    </row>
    <row r="461" s="1" customFormat="1" spans="1:12">
      <c r="A461" s="2">
        <v>15.346</v>
      </c>
      <c r="B461" s="10" t="s">
        <v>449</v>
      </c>
      <c r="C461" s="4">
        <v>15.346</v>
      </c>
      <c r="D461" s="5">
        <v>144.6</v>
      </c>
      <c r="E461" s="4"/>
      <c r="F461" s="4"/>
      <c r="G461" s="2">
        <f t="shared" si="42"/>
        <v>15.312</v>
      </c>
      <c r="H461" s="11" t="str">
        <f t="shared" si="43"/>
        <v>3.785E-2</v>
      </c>
      <c r="I461" s="2">
        <f t="shared" si="44"/>
        <v>145</v>
      </c>
      <c r="J461" s="4">
        <f t="shared" si="45"/>
        <v>15.312</v>
      </c>
      <c r="K461" s="9">
        <f t="shared" si="46"/>
        <v>8.10000000000005</v>
      </c>
      <c r="L461" s="1">
        <f t="shared" si="47"/>
        <v>-3.49999999999996</v>
      </c>
    </row>
    <row r="462" s="1" customFormat="1" spans="1:12">
      <c r="A462" s="2">
        <v>15.379</v>
      </c>
      <c r="B462" s="10" t="s">
        <v>446</v>
      </c>
      <c r="C462" s="4">
        <v>15.379</v>
      </c>
      <c r="D462" s="5">
        <v>144</v>
      </c>
      <c r="E462" s="4"/>
      <c r="F462" s="4"/>
      <c r="G462" s="2">
        <f t="shared" si="42"/>
        <v>15.346</v>
      </c>
      <c r="H462" s="11" t="str">
        <f t="shared" si="43"/>
        <v>3.780E-2</v>
      </c>
      <c r="I462" s="2">
        <f t="shared" si="44"/>
        <v>144.6</v>
      </c>
      <c r="J462" s="4">
        <f t="shared" si="45"/>
        <v>15.346</v>
      </c>
      <c r="K462" s="9">
        <f t="shared" si="46"/>
        <v>7.60000000000004</v>
      </c>
      <c r="L462" s="1">
        <f t="shared" si="47"/>
        <v>-3.49999999999996</v>
      </c>
    </row>
    <row r="463" s="1" customFormat="1" spans="1:12">
      <c r="A463" s="2">
        <v>15.413</v>
      </c>
      <c r="B463" s="10" t="s">
        <v>418</v>
      </c>
      <c r="C463" s="4">
        <v>15.413</v>
      </c>
      <c r="D463" s="5">
        <v>142.7</v>
      </c>
      <c r="E463" s="4"/>
      <c r="F463" s="4"/>
      <c r="G463" s="2">
        <f t="shared" si="42"/>
        <v>15.379</v>
      </c>
      <c r="H463" s="11" t="str">
        <f t="shared" si="43"/>
        <v>3.765E-2</v>
      </c>
      <c r="I463" s="2">
        <f t="shared" si="44"/>
        <v>144</v>
      </c>
      <c r="J463" s="4">
        <f t="shared" si="45"/>
        <v>15.379</v>
      </c>
      <c r="K463" s="9">
        <f t="shared" si="46"/>
        <v>6.10000000000006</v>
      </c>
      <c r="L463" s="1">
        <f t="shared" si="47"/>
        <v>-3.49999999999996</v>
      </c>
    </row>
    <row r="464" s="1" customFormat="1" spans="1:12">
      <c r="A464" s="2">
        <v>15.446</v>
      </c>
      <c r="B464" s="10" t="s">
        <v>461</v>
      </c>
      <c r="C464" s="4">
        <v>15.446</v>
      </c>
      <c r="D464" s="5">
        <v>141.2</v>
      </c>
      <c r="E464" s="4"/>
      <c r="F464" s="4"/>
      <c r="G464" s="2">
        <f t="shared" si="42"/>
        <v>15.413</v>
      </c>
      <c r="H464" s="11" t="str">
        <f t="shared" si="43"/>
        <v>3.756E-2</v>
      </c>
      <c r="I464" s="2">
        <f t="shared" si="44"/>
        <v>142.7</v>
      </c>
      <c r="J464" s="4">
        <f t="shared" si="45"/>
        <v>15.413</v>
      </c>
      <c r="K464" s="9">
        <f t="shared" si="46"/>
        <v>5.20000000000007</v>
      </c>
      <c r="L464" s="1">
        <f t="shared" si="47"/>
        <v>-3.49999999999996</v>
      </c>
    </row>
    <row r="465" s="1" customFormat="1" spans="1:12">
      <c r="A465" s="2">
        <v>15.48</v>
      </c>
      <c r="B465" s="10" t="s">
        <v>469</v>
      </c>
      <c r="C465" s="4">
        <v>15.48</v>
      </c>
      <c r="D465" s="5">
        <v>140.2</v>
      </c>
      <c r="E465" s="4"/>
      <c r="F465" s="4"/>
      <c r="G465" s="2">
        <f t="shared" si="42"/>
        <v>15.446</v>
      </c>
      <c r="H465" s="11" t="str">
        <f t="shared" si="43"/>
        <v>3.750E-2</v>
      </c>
      <c r="I465" s="2">
        <f t="shared" si="44"/>
        <v>141.2</v>
      </c>
      <c r="J465" s="4">
        <f t="shared" si="45"/>
        <v>15.446</v>
      </c>
      <c r="K465" s="9">
        <f t="shared" si="46"/>
        <v>4.60000000000002</v>
      </c>
      <c r="L465" s="1">
        <f t="shared" si="47"/>
        <v>-3.49999999999996</v>
      </c>
    </row>
    <row r="466" s="1" customFormat="1" spans="1:12">
      <c r="A466" s="2">
        <v>15.513</v>
      </c>
      <c r="B466" s="10" t="s">
        <v>347</v>
      </c>
      <c r="C466" s="4">
        <v>15.513</v>
      </c>
      <c r="D466" s="5">
        <v>139.2</v>
      </c>
      <c r="E466" s="4"/>
      <c r="F466" s="4"/>
      <c r="G466" s="2">
        <f t="shared" si="42"/>
        <v>15.48</v>
      </c>
      <c r="H466" s="11" t="str">
        <f t="shared" si="43"/>
        <v>3.747E-2</v>
      </c>
      <c r="I466" s="2">
        <f t="shared" si="44"/>
        <v>140.2</v>
      </c>
      <c r="J466" s="4">
        <f t="shared" si="45"/>
        <v>15.48</v>
      </c>
      <c r="K466" s="9">
        <f t="shared" si="46"/>
        <v>4.30000000000007</v>
      </c>
      <c r="L466" s="1">
        <f t="shared" si="47"/>
        <v>-3.49999999999996</v>
      </c>
    </row>
    <row r="467" s="1" customFormat="1" spans="1:12">
      <c r="A467" s="2">
        <v>15.546</v>
      </c>
      <c r="B467" s="10" t="s">
        <v>350</v>
      </c>
      <c r="C467" s="4">
        <v>15.546</v>
      </c>
      <c r="D467" s="5">
        <v>163.4</v>
      </c>
      <c r="E467" s="4"/>
      <c r="F467" s="4"/>
      <c r="G467" s="2">
        <f t="shared" si="42"/>
        <v>15.513</v>
      </c>
      <c r="H467" s="11" t="str">
        <f t="shared" si="43"/>
        <v>3.737E-2</v>
      </c>
      <c r="I467" s="2">
        <f t="shared" si="44"/>
        <v>139.2</v>
      </c>
      <c r="J467" s="4">
        <f t="shared" si="45"/>
        <v>15.513</v>
      </c>
      <c r="K467" s="9">
        <f t="shared" si="46"/>
        <v>3.30000000000004</v>
      </c>
      <c r="L467" s="1">
        <f t="shared" si="47"/>
        <v>-3.49999999999996</v>
      </c>
    </row>
    <row r="468" s="1" customFormat="1" spans="1:12">
      <c r="A468" s="2">
        <v>15.58</v>
      </c>
      <c r="B468" s="10" t="s">
        <v>457</v>
      </c>
      <c r="C468" s="4">
        <v>15.58</v>
      </c>
      <c r="D468" s="5">
        <v>253.6</v>
      </c>
      <c r="E468" s="4"/>
      <c r="F468" s="4"/>
      <c r="G468" s="2">
        <f t="shared" si="42"/>
        <v>15.546</v>
      </c>
      <c r="H468" s="11" t="str">
        <f t="shared" si="43"/>
        <v>3.732E-2</v>
      </c>
      <c r="I468" s="2">
        <f t="shared" si="44"/>
        <v>163.4</v>
      </c>
      <c r="J468" s="4">
        <f t="shared" si="45"/>
        <v>15.546</v>
      </c>
      <c r="K468" s="9">
        <f t="shared" si="46"/>
        <v>2.80000000000002</v>
      </c>
      <c r="L468" s="1">
        <f t="shared" si="47"/>
        <v>-3.49999999999996</v>
      </c>
    </row>
    <row r="469" s="1" customFormat="1" spans="1:12">
      <c r="A469" s="2">
        <v>15.613</v>
      </c>
      <c r="B469" s="10" t="s">
        <v>351</v>
      </c>
      <c r="C469" s="4">
        <v>15.613</v>
      </c>
      <c r="D469" s="5">
        <v>253.7</v>
      </c>
      <c r="E469" s="4"/>
      <c r="F469" s="4"/>
      <c r="G469" s="2">
        <f t="shared" si="42"/>
        <v>15.58</v>
      </c>
      <c r="H469" s="11" t="str">
        <f t="shared" si="43"/>
        <v>3.729E-2</v>
      </c>
      <c r="I469" s="2">
        <f t="shared" si="44"/>
        <v>253.6</v>
      </c>
      <c r="J469" s="4">
        <f t="shared" si="45"/>
        <v>15.58</v>
      </c>
      <c r="K469" s="9">
        <f t="shared" si="46"/>
        <v>2.5</v>
      </c>
      <c r="L469" s="1">
        <f t="shared" si="47"/>
        <v>16.1</v>
      </c>
    </row>
    <row r="470" s="1" customFormat="1" spans="1:12">
      <c r="A470" s="2">
        <v>15.647</v>
      </c>
      <c r="B470" s="10" t="s">
        <v>351</v>
      </c>
      <c r="C470" s="4">
        <v>15.647</v>
      </c>
      <c r="D470" s="5">
        <v>253.7</v>
      </c>
      <c r="E470" s="4"/>
      <c r="F470" s="4"/>
      <c r="G470" s="2">
        <f t="shared" si="42"/>
        <v>15.613</v>
      </c>
      <c r="H470" s="11" t="str">
        <f t="shared" si="43"/>
        <v>3.727E-2</v>
      </c>
      <c r="I470" s="2">
        <f t="shared" si="44"/>
        <v>253.7</v>
      </c>
      <c r="J470" s="4">
        <f t="shared" si="45"/>
        <v>15.613</v>
      </c>
      <c r="K470" s="9">
        <f t="shared" si="46"/>
        <v>2.30000000000001</v>
      </c>
      <c r="L470" s="1">
        <f t="shared" si="47"/>
        <v>16.1</v>
      </c>
    </row>
    <row r="471" s="1" customFormat="1" spans="1:12">
      <c r="A471" s="2">
        <v>15.68</v>
      </c>
      <c r="B471" s="10" t="s">
        <v>458</v>
      </c>
      <c r="C471" s="4">
        <v>15.68</v>
      </c>
      <c r="D471" s="5">
        <v>253.7</v>
      </c>
      <c r="E471" s="4"/>
      <c r="F471" s="4"/>
      <c r="G471" s="2">
        <f t="shared" si="42"/>
        <v>15.647</v>
      </c>
      <c r="H471" s="11" t="str">
        <f t="shared" si="43"/>
        <v>3.727E-2</v>
      </c>
      <c r="I471" s="2">
        <f t="shared" si="44"/>
        <v>253.7</v>
      </c>
      <c r="J471" s="4">
        <f t="shared" si="45"/>
        <v>15.647</v>
      </c>
      <c r="K471" s="9">
        <f t="shared" si="46"/>
        <v>2.30000000000001</v>
      </c>
      <c r="L471" s="1">
        <f t="shared" si="47"/>
        <v>16.1</v>
      </c>
    </row>
    <row r="472" s="1" customFormat="1" spans="1:12">
      <c r="A472" s="2">
        <v>15.714</v>
      </c>
      <c r="B472" s="10" t="s">
        <v>385</v>
      </c>
      <c r="C472" s="4">
        <v>15.714</v>
      </c>
      <c r="D472" s="5">
        <v>253.7</v>
      </c>
      <c r="E472" s="4"/>
      <c r="F472" s="4"/>
      <c r="G472" s="2">
        <f t="shared" si="42"/>
        <v>15.68</v>
      </c>
      <c r="H472" s="11" t="str">
        <f t="shared" si="43"/>
        <v>3.728E-2</v>
      </c>
      <c r="I472" s="2">
        <f t="shared" si="44"/>
        <v>253.7</v>
      </c>
      <c r="J472" s="4">
        <f t="shared" si="45"/>
        <v>15.68</v>
      </c>
      <c r="K472" s="9">
        <f t="shared" si="46"/>
        <v>2.40000000000004</v>
      </c>
      <c r="L472" s="1">
        <f t="shared" si="47"/>
        <v>16.1</v>
      </c>
    </row>
    <row r="473" s="1" customFormat="1" spans="1:12">
      <c r="A473" s="2">
        <v>15.747</v>
      </c>
      <c r="B473" s="10" t="s">
        <v>350</v>
      </c>
      <c r="C473" s="4">
        <v>15.747</v>
      </c>
      <c r="D473" s="5">
        <v>253.7</v>
      </c>
      <c r="E473" s="4"/>
      <c r="F473" s="4"/>
      <c r="G473" s="2">
        <f t="shared" si="42"/>
        <v>15.714</v>
      </c>
      <c r="H473" s="11" t="str">
        <f t="shared" si="43"/>
        <v>3.730E-2</v>
      </c>
      <c r="I473" s="2">
        <f t="shared" si="44"/>
        <v>253.7</v>
      </c>
      <c r="J473" s="4">
        <f t="shared" si="45"/>
        <v>15.714</v>
      </c>
      <c r="K473" s="9">
        <f t="shared" si="46"/>
        <v>2.60000000000003</v>
      </c>
      <c r="L473" s="1">
        <f t="shared" si="47"/>
        <v>16.1</v>
      </c>
    </row>
    <row r="474" s="1" customFormat="1" spans="1:12">
      <c r="A474" s="2">
        <v>15.78</v>
      </c>
      <c r="B474" s="10" t="s">
        <v>349</v>
      </c>
      <c r="C474" s="4">
        <v>15.78</v>
      </c>
      <c r="D474" s="5">
        <v>253.7</v>
      </c>
      <c r="E474" s="4"/>
      <c r="F474" s="4"/>
      <c r="G474" s="2">
        <f t="shared" si="42"/>
        <v>15.747</v>
      </c>
      <c r="H474" s="11" t="str">
        <f t="shared" si="43"/>
        <v>3.732E-2</v>
      </c>
      <c r="I474" s="2">
        <f t="shared" si="44"/>
        <v>253.7</v>
      </c>
      <c r="J474" s="4">
        <f t="shared" si="45"/>
        <v>15.747</v>
      </c>
      <c r="K474" s="9">
        <f t="shared" si="46"/>
        <v>2.80000000000002</v>
      </c>
      <c r="L474" s="1">
        <f t="shared" si="47"/>
        <v>16.1</v>
      </c>
    </row>
    <row r="475" s="1" customFormat="1" spans="1:12">
      <c r="A475" s="2">
        <v>15.814</v>
      </c>
      <c r="B475" s="10" t="s">
        <v>342</v>
      </c>
      <c r="C475" s="4">
        <v>15.814</v>
      </c>
      <c r="D475" s="5">
        <v>253.7</v>
      </c>
      <c r="E475" s="4"/>
      <c r="F475" s="4"/>
      <c r="G475" s="2">
        <f t="shared" si="42"/>
        <v>15.78</v>
      </c>
      <c r="H475" s="11" t="str">
        <f t="shared" si="43"/>
        <v>3.733E-2</v>
      </c>
      <c r="I475" s="2">
        <f t="shared" si="44"/>
        <v>253.7</v>
      </c>
      <c r="J475" s="4">
        <f t="shared" si="45"/>
        <v>15.78</v>
      </c>
      <c r="K475" s="9">
        <f t="shared" si="46"/>
        <v>2.90000000000006</v>
      </c>
      <c r="L475" s="1">
        <f t="shared" si="47"/>
        <v>16.1</v>
      </c>
    </row>
    <row r="476" s="1" customFormat="1" spans="1:12">
      <c r="A476" s="2">
        <v>15.847</v>
      </c>
      <c r="B476" s="10" t="s">
        <v>343</v>
      </c>
      <c r="C476" s="4">
        <v>15.847</v>
      </c>
      <c r="D476" s="5">
        <v>253.7</v>
      </c>
      <c r="E476" s="4"/>
      <c r="F476" s="4"/>
      <c r="G476" s="2">
        <f t="shared" si="42"/>
        <v>15.814</v>
      </c>
      <c r="H476" s="11" t="str">
        <f t="shared" si="43"/>
        <v>3.735E-2</v>
      </c>
      <c r="I476" s="2">
        <f t="shared" si="44"/>
        <v>253.7</v>
      </c>
      <c r="J476" s="4">
        <f t="shared" si="45"/>
        <v>15.814</v>
      </c>
      <c r="K476" s="9">
        <f t="shared" si="46"/>
        <v>3.10000000000005</v>
      </c>
      <c r="L476" s="1">
        <f t="shared" si="47"/>
        <v>16.1</v>
      </c>
    </row>
    <row r="477" s="1" customFormat="1" spans="1:12">
      <c r="A477" s="2">
        <v>15.881</v>
      </c>
      <c r="B477" s="10" t="s">
        <v>459</v>
      </c>
      <c r="C477" s="4">
        <v>15.881</v>
      </c>
      <c r="D477" s="5">
        <v>253.7</v>
      </c>
      <c r="E477" s="4"/>
      <c r="F477" s="4"/>
      <c r="G477" s="2">
        <f t="shared" si="42"/>
        <v>15.847</v>
      </c>
      <c r="H477" s="11" t="str">
        <f t="shared" si="43"/>
        <v>3.739E-2</v>
      </c>
      <c r="I477" s="2">
        <f t="shared" si="44"/>
        <v>253.7</v>
      </c>
      <c r="J477" s="4">
        <f t="shared" si="45"/>
        <v>15.847</v>
      </c>
      <c r="K477" s="9">
        <f t="shared" si="46"/>
        <v>3.50000000000003</v>
      </c>
      <c r="L477" s="1">
        <f t="shared" si="47"/>
        <v>16.1</v>
      </c>
    </row>
    <row r="478" s="1" customFormat="1" spans="1:12">
      <c r="A478" s="2">
        <v>15.914</v>
      </c>
      <c r="B478" s="10" t="s">
        <v>469</v>
      </c>
      <c r="C478" s="4">
        <v>15.914</v>
      </c>
      <c r="D478" s="5">
        <v>253.7</v>
      </c>
      <c r="E478" s="4"/>
      <c r="F478" s="4"/>
      <c r="G478" s="2">
        <f t="shared" si="42"/>
        <v>15.881</v>
      </c>
      <c r="H478" s="11" t="str">
        <f t="shared" si="43"/>
        <v>3.743E-2</v>
      </c>
      <c r="I478" s="2">
        <f t="shared" si="44"/>
        <v>253.7</v>
      </c>
      <c r="J478" s="4">
        <f t="shared" si="45"/>
        <v>15.881</v>
      </c>
      <c r="K478" s="9">
        <f t="shared" si="46"/>
        <v>3.90000000000001</v>
      </c>
      <c r="L478" s="1">
        <f t="shared" si="47"/>
        <v>16.1</v>
      </c>
    </row>
    <row r="479" s="1" customFormat="1" spans="1:12">
      <c r="A479" s="2">
        <v>15.948</v>
      </c>
      <c r="B479" s="10" t="s">
        <v>461</v>
      </c>
      <c r="C479" s="4">
        <v>15.948</v>
      </c>
      <c r="D479" s="5">
        <v>253.7</v>
      </c>
      <c r="E479" s="4"/>
      <c r="F479" s="4"/>
      <c r="G479" s="2">
        <f t="shared" si="42"/>
        <v>15.914</v>
      </c>
      <c r="H479" s="11" t="str">
        <f t="shared" si="43"/>
        <v>3.747E-2</v>
      </c>
      <c r="I479" s="2">
        <f t="shared" si="44"/>
        <v>253.7</v>
      </c>
      <c r="J479" s="4">
        <f t="shared" si="45"/>
        <v>15.914</v>
      </c>
      <c r="K479" s="9">
        <f t="shared" si="46"/>
        <v>4.30000000000007</v>
      </c>
      <c r="L479" s="1">
        <f t="shared" si="47"/>
        <v>16.1</v>
      </c>
    </row>
    <row r="480" s="1" customFormat="1" spans="1:12">
      <c r="A480" s="2">
        <v>15.981</v>
      </c>
      <c r="B480" s="10" t="s">
        <v>440</v>
      </c>
      <c r="C480" s="4">
        <v>15.981</v>
      </c>
      <c r="D480" s="5">
        <v>253.7</v>
      </c>
      <c r="E480" s="4"/>
      <c r="F480" s="4"/>
      <c r="G480" s="2">
        <f t="shared" si="42"/>
        <v>15.948</v>
      </c>
      <c r="H480" s="11" t="str">
        <f t="shared" si="43"/>
        <v>3.750E-2</v>
      </c>
      <c r="I480" s="2">
        <f t="shared" si="44"/>
        <v>253.7</v>
      </c>
      <c r="J480" s="4">
        <f t="shared" si="45"/>
        <v>15.948</v>
      </c>
      <c r="K480" s="9">
        <f t="shared" si="46"/>
        <v>4.60000000000002</v>
      </c>
      <c r="L480" s="1">
        <f t="shared" si="47"/>
        <v>16.1</v>
      </c>
    </row>
    <row r="481" s="1" customFormat="1" spans="1:12">
      <c r="A481" s="2">
        <v>16.014</v>
      </c>
      <c r="B481" s="10" t="s">
        <v>382</v>
      </c>
      <c r="C481" s="4">
        <v>16.014</v>
      </c>
      <c r="D481" s="5">
        <v>253.7</v>
      </c>
      <c r="E481" s="4"/>
      <c r="F481" s="4"/>
      <c r="G481" s="2">
        <f t="shared" si="42"/>
        <v>15.981</v>
      </c>
      <c r="H481" s="11" t="str">
        <f t="shared" si="43"/>
        <v>3.762E-2</v>
      </c>
      <c r="I481" s="2">
        <f t="shared" si="44"/>
        <v>253.7</v>
      </c>
      <c r="J481" s="4">
        <f t="shared" si="45"/>
        <v>15.981</v>
      </c>
      <c r="K481" s="9">
        <f t="shared" si="46"/>
        <v>5.80000000000004</v>
      </c>
      <c r="L481" s="1">
        <f t="shared" si="47"/>
        <v>16.1</v>
      </c>
    </row>
    <row r="482" s="1" customFormat="1" spans="1:12">
      <c r="A482" s="2">
        <v>16.048</v>
      </c>
      <c r="B482" s="10" t="s">
        <v>434</v>
      </c>
      <c r="C482" s="4">
        <v>16.048</v>
      </c>
      <c r="D482" s="5">
        <v>253.8</v>
      </c>
      <c r="E482" s="4"/>
      <c r="F482" s="4"/>
      <c r="G482" s="2">
        <f t="shared" si="42"/>
        <v>16.014</v>
      </c>
      <c r="H482" s="11" t="str">
        <f t="shared" si="43"/>
        <v>3.771E-2</v>
      </c>
      <c r="I482" s="2">
        <f t="shared" si="44"/>
        <v>253.7</v>
      </c>
      <c r="J482" s="4">
        <f t="shared" si="45"/>
        <v>16.014</v>
      </c>
      <c r="K482" s="9">
        <f t="shared" si="46"/>
        <v>6.70000000000004</v>
      </c>
      <c r="L482" s="1">
        <f t="shared" si="47"/>
        <v>16.1</v>
      </c>
    </row>
    <row r="483" s="1" customFormat="1" spans="1:12">
      <c r="A483" s="2">
        <v>16.081</v>
      </c>
      <c r="B483" s="10" t="s">
        <v>366</v>
      </c>
      <c r="C483" s="4">
        <v>16.081</v>
      </c>
      <c r="D483" s="5">
        <v>253.8</v>
      </c>
      <c r="E483" s="4"/>
      <c r="F483" s="4"/>
      <c r="G483" s="2">
        <f t="shared" si="42"/>
        <v>16.048</v>
      </c>
      <c r="H483" s="11" t="str">
        <f t="shared" si="43"/>
        <v>3.778E-2</v>
      </c>
      <c r="I483" s="2">
        <f t="shared" si="44"/>
        <v>253.8</v>
      </c>
      <c r="J483" s="4">
        <f t="shared" si="45"/>
        <v>16.048</v>
      </c>
      <c r="K483" s="9">
        <f t="shared" si="46"/>
        <v>7.40000000000005</v>
      </c>
      <c r="L483" s="1">
        <f t="shared" si="47"/>
        <v>16.1</v>
      </c>
    </row>
    <row r="484" s="1" customFormat="1" spans="1:12">
      <c r="A484" s="2">
        <v>16.115</v>
      </c>
      <c r="B484" s="10" t="s">
        <v>470</v>
      </c>
      <c r="C484" s="4">
        <v>16.115</v>
      </c>
      <c r="D484" s="5">
        <v>253.9</v>
      </c>
      <c r="E484" s="4"/>
      <c r="F484" s="4"/>
      <c r="G484" s="2">
        <f t="shared" si="42"/>
        <v>16.081</v>
      </c>
      <c r="H484" s="11" t="str">
        <f t="shared" si="43"/>
        <v>3.783E-2</v>
      </c>
      <c r="I484" s="2">
        <f t="shared" si="44"/>
        <v>253.8</v>
      </c>
      <c r="J484" s="4">
        <f t="shared" si="45"/>
        <v>16.081</v>
      </c>
      <c r="K484" s="9">
        <f t="shared" si="46"/>
        <v>7.90000000000006</v>
      </c>
      <c r="L484" s="1">
        <f t="shared" si="47"/>
        <v>16.1</v>
      </c>
    </row>
    <row r="485" s="1" customFormat="1" spans="1:12">
      <c r="A485" s="2">
        <v>16.148</v>
      </c>
      <c r="B485" s="10" t="s">
        <v>471</v>
      </c>
      <c r="C485" s="4">
        <v>16.148</v>
      </c>
      <c r="D485" s="5">
        <v>253.9</v>
      </c>
      <c r="E485" s="4"/>
      <c r="F485" s="4"/>
      <c r="G485" s="2">
        <f t="shared" si="42"/>
        <v>16.115</v>
      </c>
      <c r="H485" s="11" t="str">
        <f t="shared" si="43"/>
        <v>3.796E-2</v>
      </c>
      <c r="I485" s="2">
        <f t="shared" si="44"/>
        <v>253.9</v>
      </c>
      <c r="J485" s="4">
        <f t="shared" si="45"/>
        <v>16.115</v>
      </c>
      <c r="K485" s="9">
        <f t="shared" si="46"/>
        <v>9.20000000000004</v>
      </c>
      <c r="L485" s="1">
        <f t="shared" si="47"/>
        <v>16.1</v>
      </c>
    </row>
    <row r="486" s="1" customFormat="1" spans="1:12">
      <c r="A486" s="2">
        <v>16.182</v>
      </c>
      <c r="B486" s="10" t="s">
        <v>368</v>
      </c>
      <c r="C486" s="4">
        <v>16.182</v>
      </c>
      <c r="D486" s="5">
        <v>253.9</v>
      </c>
      <c r="E486" s="4"/>
      <c r="F486" s="4"/>
      <c r="G486" s="2">
        <f t="shared" si="42"/>
        <v>16.148</v>
      </c>
      <c r="H486" s="11" t="str">
        <f t="shared" si="43"/>
        <v>3.804E-2</v>
      </c>
      <c r="I486" s="2">
        <f t="shared" si="44"/>
        <v>253.9</v>
      </c>
      <c r="J486" s="4">
        <f t="shared" si="45"/>
        <v>16.148</v>
      </c>
      <c r="K486" s="9">
        <f t="shared" si="46"/>
        <v>10</v>
      </c>
      <c r="L486" s="1">
        <f t="shared" si="47"/>
        <v>16.1</v>
      </c>
    </row>
    <row r="487" s="1" customFormat="1" spans="1:12">
      <c r="A487" s="2">
        <v>16.215</v>
      </c>
      <c r="B487" s="10" t="s">
        <v>369</v>
      </c>
      <c r="C487" s="4">
        <v>16.215</v>
      </c>
      <c r="D487" s="5">
        <v>253.9</v>
      </c>
      <c r="E487" s="4"/>
      <c r="F487" s="4"/>
      <c r="G487" s="2">
        <f t="shared" si="42"/>
        <v>16.182</v>
      </c>
      <c r="H487" s="11" t="str">
        <f t="shared" si="43"/>
        <v>3.808E-2</v>
      </c>
      <c r="I487" s="2">
        <f t="shared" si="44"/>
        <v>253.9</v>
      </c>
      <c r="J487" s="4">
        <f t="shared" si="45"/>
        <v>16.182</v>
      </c>
      <c r="K487" s="9">
        <f t="shared" si="46"/>
        <v>10.4000000000001</v>
      </c>
      <c r="L487" s="1">
        <f t="shared" si="47"/>
        <v>16.1</v>
      </c>
    </row>
    <row r="488" s="1" customFormat="1" spans="1:12">
      <c r="A488" s="2">
        <v>16.249</v>
      </c>
      <c r="B488" s="10" t="s">
        <v>376</v>
      </c>
      <c r="C488" s="4">
        <v>16.249</v>
      </c>
      <c r="D488" s="5">
        <v>253.9</v>
      </c>
      <c r="E488" s="4"/>
      <c r="F488" s="4"/>
      <c r="G488" s="2">
        <f t="shared" si="42"/>
        <v>16.215</v>
      </c>
      <c r="H488" s="11" t="str">
        <f t="shared" si="43"/>
        <v>3.812E-2</v>
      </c>
      <c r="I488" s="2">
        <f t="shared" si="44"/>
        <v>253.9</v>
      </c>
      <c r="J488" s="4">
        <f t="shared" si="45"/>
        <v>16.215</v>
      </c>
      <c r="K488" s="9">
        <f t="shared" si="46"/>
        <v>10.8</v>
      </c>
      <c r="L488" s="1">
        <f t="shared" si="47"/>
        <v>16.1</v>
      </c>
    </row>
    <row r="489" s="1" customFormat="1" spans="1:12">
      <c r="A489" s="2">
        <v>16.282</v>
      </c>
      <c r="B489" s="10" t="s">
        <v>428</v>
      </c>
      <c r="C489" s="4">
        <v>16.282</v>
      </c>
      <c r="D489" s="5">
        <v>253.9</v>
      </c>
      <c r="E489" s="4"/>
      <c r="F489" s="4"/>
      <c r="G489" s="2">
        <f t="shared" si="42"/>
        <v>16.249</v>
      </c>
      <c r="H489" s="11" t="str">
        <f t="shared" si="43"/>
        <v>3.823E-2</v>
      </c>
      <c r="I489" s="2">
        <f t="shared" si="44"/>
        <v>253.9</v>
      </c>
      <c r="J489" s="4">
        <f t="shared" si="45"/>
        <v>16.249</v>
      </c>
      <c r="K489" s="9">
        <f t="shared" si="46"/>
        <v>11.9</v>
      </c>
      <c r="L489" s="1">
        <f t="shared" si="47"/>
        <v>16.1</v>
      </c>
    </row>
    <row r="490" s="1" customFormat="1" spans="1:12">
      <c r="A490" s="2">
        <v>16.315</v>
      </c>
      <c r="B490" s="10" t="s">
        <v>427</v>
      </c>
      <c r="C490" s="4">
        <v>16.315</v>
      </c>
      <c r="D490" s="5">
        <v>253.9</v>
      </c>
      <c r="E490" s="4"/>
      <c r="F490" s="4"/>
      <c r="G490" s="2">
        <f t="shared" si="42"/>
        <v>16.282</v>
      </c>
      <c r="H490" s="11" t="str">
        <f t="shared" si="43"/>
        <v>3.829E-2</v>
      </c>
      <c r="I490" s="2">
        <f t="shared" si="44"/>
        <v>253.9</v>
      </c>
      <c r="J490" s="4">
        <f t="shared" si="45"/>
        <v>16.282</v>
      </c>
      <c r="K490" s="9">
        <f t="shared" si="46"/>
        <v>12.5</v>
      </c>
      <c r="L490" s="1">
        <f t="shared" si="47"/>
        <v>16.1</v>
      </c>
    </row>
    <row r="491" s="1" customFormat="1" spans="1:12">
      <c r="A491" s="2">
        <v>16.349</v>
      </c>
      <c r="B491" s="10" t="s">
        <v>426</v>
      </c>
      <c r="C491" s="4">
        <v>16.349</v>
      </c>
      <c r="D491" s="5">
        <v>253.9</v>
      </c>
      <c r="E491" s="4"/>
      <c r="F491" s="4"/>
      <c r="G491" s="2">
        <f t="shared" si="42"/>
        <v>16.315</v>
      </c>
      <c r="H491" s="11" t="str">
        <f t="shared" si="43"/>
        <v>3.831E-2</v>
      </c>
      <c r="I491" s="2">
        <f t="shared" si="44"/>
        <v>253.9</v>
      </c>
      <c r="J491" s="4">
        <f t="shared" si="45"/>
        <v>16.315</v>
      </c>
      <c r="K491" s="9">
        <f t="shared" si="46"/>
        <v>12.7</v>
      </c>
      <c r="L491" s="1">
        <f t="shared" si="47"/>
        <v>16.1</v>
      </c>
    </row>
    <row r="492" s="1" customFormat="1" spans="1:12">
      <c r="A492" s="2">
        <v>16.382</v>
      </c>
      <c r="B492" s="10" t="s">
        <v>426</v>
      </c>
      <c r="C492" s="4">
        <v>16.382</v>
      </c>
      <c r="D492" s="5">
        <v>253.9</v>
      </c>
      <c r="E492" s="4"/>
      <c r="F492" s="4"/>
      <c r="G492" s="2">
        <f t="shared" si="42"/>
        <v>16.349</v>
      </c>
      <c r="H492" s="11" t="str">
        <f t="shared" si="43"/>
        <v>3.833E-2</v>
      </c>
      <c r="I492" s="2">
        <f t="shared" si="44"/>
        <v>253.9</v>
      </c>
      <c r="J492" s="4">
        <f t="shared" si="45"/>
        <v>16.349</v>
      </c>
      <c r="K492" s="9">
        <f t="shared" si="46"/>
        <v>12.9000000000001</v>
      </c>
      <c r="L492" s="1">
        <f t="shared" si="47"/>
        <v>16.1</v>
      </c>
    </row>
    <row r="493" s="1" customFormat="1" spans="1:12">
      <c r="A493" s="2">
        <v>16.416</v>
      </c>
      <c r="B493" s="10" t="s">
        <v>374</v>
      </c>
      <c r="C493" s="4">
        <v>16.416</v>
      </c>
      <c r="D493" s="5">
        <v>171.3</v>
      </c>
      <c r="E493" s="4"/>
      <c r="F493" s="4"/>
      <c r="G493" s="2">
        <f t="shared" si="42"/>
        <v>16.382</v>
      </c>
      <c r="H493" s="11" t="str">
        <f t="shared" si="43"/>
        <v>3.833E-2</v>
      </c>
      <c r="I493" s="2">
        <f t="shared" si="44"/>
        <v>253.9</v>
      </c>
      <c r="J493" s="4">
        <f t="shared" si="45"/>
        <v>16.382</v>
      </c>
      <c r="K493" s="9">
        <f t="shared" si="46"/>
        <v>12.9000000000001</v>
      </c>
      <c r="L493" s="1">
        <f t="shared" si="47"/>
        <v>16.1</v>
      </c>
    </row>
    <row r="494" s="1" customFormat="1" spans="1:12">
      <c r="A494" s="2">
        <v>16.449</v>
      </c>
      <c r="B494" s="10" t="s">
        <v>427</v>
      </c>
      <c r="C494" s="4">
        <v>16.449</v>
      </c>
      <c r="D494" s="5">
        <v>162.3</v>
      </c>
      <c r="E494" s="4"/>
      <c r="F494" s="4"/>
      <c r="G494" s="2">
        <f t="shared" si="42"/>
        <v>16.416</v>
      </c>
      <c r="H494" s="11" t="str">
        <f t="shared" si="43"/>
        <v>3.832E-2</v>
      </c>
      <c r="I494" s="2">
        <f t="shared" si="44"/>
        <v>171.3</v>
      </c>
      <c r="J494" s="4">
        <f t="shared" si="45"/>
        <v>16.416</v>
      </c>
      <c r="K494" s="9">
        <f t="shared" si="46"/>
        <v>12.8</v>
      </c>
      <c r="L494" s="1">
        <f t="shared" si="47"/>
        <v>-3.49999999999996</v>
      </c>
    </row>
    <row r="495" s="1" customFormat="1" spans="1:12">
      <c r="A495" s="2">
        <v>16.483</v>
      </c>
      <c r="B495" s="10" t="s">
        <v>466</v>
      </c>
      <c r="C495" s="4">
        <v>16.483</v>
      </c>
      <c r="D495" s="5">
        <v>164.2</v>
      </c>
      <c r="E495" s="4"/>
      <c r="F495" s="4"/>
      <c r="G495" s="2">
        <f t="shared" si="42"/>
        <v>16.449</v>
      </c>
      <c r="H495" s="11" t="str">
        <f t="shared" si="43"/>
        <v>3.831E-2</v>
      </c>
      <c r="I495" s="2">
        <f t="shared" si="44"/>
        <v>162.3</v>
      </c>
      <c r="J495" s="4">
        <f t="shared" si="45"/>
        <v>16.449</v>
      </c>
      <c r="K495" s="9">
        <f t="shared" si="46"/>
        <v>12.7</v>
      </c>
      <c r="L495" s="1">
        <f t="shared" si="47"/>
        <v>-3.49999999999996</v>
      </c>
    </row>
    <row r="496" s="1" customFormat="1" spans="1:12">
      <c r="A496" s="2">
        <v>16.516</v>
      </c>
      <c r="B496" s="10" t="s">
        <v>428</v>
      </c>
      <c r="C496" s="4">
        <v>16.516</v>
      </c>
      <c r="D496" s="5">
        <v>163.4</v>
      </c>
      <c r="E496" s="4"/>
      <c r="F496" s="4"/>
      <c r="G496" s="2">
        <f t="shared" si="42"/>
        <v>16.483</v>
      </c>
      <c r="H496" s="11" t="str">
        <f t="shared" si="43"/>
        <v>3.830E-2</v>
      </c>
      <c r="I496" s="2">
        <f t="shared" si="44"/>
        <v>164.2</v>
      </c>
      <c r="J496" s="4">
        <f t="shared" si="45"/>
        <v>16.483</v>
      </c>
      <c r="K496" s="9">
        <f t="shared" si="46"/>
        <v>12.6</v>
      </c>
      <c r="L496" s="1">
        <f t="shared" si="47"/>
        <v>-3.49999999999996</v>
      </c>
    </row>
    <row r="497" s="1" customFormat="1" spans="1:12">
      <c r="A497" s="2">
        <v>16.549</v>
      </c>
      <c r="B497" s="10" t="s">
        <v>423</v>
      </c>
      <c r="C497" s="4">
        <v>16.549</v>
      </c>
      <c r="D497" s="5">
        <v>162.4</v>
      </c>
      <c r="E497" s="4"/>
      <c r="F497" s="4"/>
      <c r="G497" s="2">
        <f t="shared" si="42"/>
        <v>16.516</v>
      </c>
      <c r="H497" s="11" t="str">
        <f t="shared" si="43"/>
        <v>3.829E-2</v>
      </c>
      <c r="I497" s="2">
        <f t="shared" si="44"/>
        <v>163.4</v>
      </c>
      <c r="J497" s="4">
        <f t="shared" si="45"/>
        <v>16.516</v>
      </c>
      <c r="K497" s="9">
        <f t="shared" si="46"/>
        <v>12.5</v>
      </c>
      <c r="L497" s="1">
        <f t="shared" si="47"/>
        <v>-3.49999999999996</v>
      </c>
    </row>
    <row r="498" s="1" customFormat="1" spans="1:12">
      <c r="A498" s="2">
        <v>16.583</v>
      </c>
      <c r="B498" s="10" t="s">
        <v>410</v>
      </c>
      <c r="C498" s="4">
        <v>16.583</v>
      </c>
      <c r="D498" s="5">
        <v>161.3</v>
      </c>
      <c r="E498" s="4"/>
      <c r="F498" s="4"/>
      <c r="G498" s="2">
        <f t="shared" si="42"/>
        <v>16.549</v>
      </c>
      <c r="H498" s="11" t="str">
        <f t="shared" si="43"/>
        <v>3.827E-2</v>
      </c>
      <c r="I498" s="2">
        <f t="shared" si="44"/>
        <v>162.4</v>
      </c>
      <c r="J498" s="4">
        <f t="shared" si="45"/>
        <v>16.549</v>
      </c>
      <c r="K498" s="9">
        <f t="shared" si="46"/>
        <v>12.3</v>
      </c>
      <c r="L498" s="1">
        <f t="shared" si="47"/>
        <v>-3.49999999999996</v>
      </c>
    </row>
    <row r="499" s="1" customFormat="1" spans="1:12">
      <c r="A499" s="2">
        <v>16.616</v>
      </c>
      <c r="B499" s="10" t="s">
        <v>376</v>
      </c>
      <c r="C499" s="4">
        <v>16.616</v>
      </c>
      <c r="D499" s="5">
        <v>160.3</v>
      </c>
      <c r="E499" s="4"/>
      <c r="F499" s="4"/>
      <c r="G499" s="2">
        <f t="shared" si="42"/>
        <v>16.583</v>
      </c>
      <c r="H499" s="11" t="str">
        <f t="shared" si="43"/>
        <v>3.824E-2</v>
      </c>
      <c r="I499" s="2">
        <f t="shared" si="44"/>
        <v>161.3</v>
      </c>
      <c r="J499" s="4">
        <f t="shared" si="45"/>
        <v>16.583</v>
      </c>
      <c r="K499" s="9">
        <f t="shared" si="46"/>
        <v>12.0000000000001</v>
      </c>
      <c r="L499" s="1">
        <f t="shared" si="47"/>
        <v>-3.49999999999996</v>
      </c>
    </row>
    <row r="500" s="1" customFormat="1" spans="1:12">
      <c r="A500" s="2">
        <v>16.65</v>
      </c>
      <c r="B500" s="10" t="s">
        <v>429</v>
      </c>
      <c r="C500" s="4">
        <v>16.65</v>
      </c>
      <c r="D500" s="5">
        <v>159.6</v>
      </c>
      <c r="E500" s="4"/>
      <c r="F500" s="4"/>
      <c r="G500" s="2">
        <f t="shared" si="42"/>
        <v>16.616</v>
      </c>
      <c r="H500" s="11" t="str">
        <f t="shared" si="43"/>
        <v>3.823E-2</v>
      </c>
      <c r="I500" s="2">
        <f t="shared" si="44"/>
        <v>160.3</v>
      </c>
      <c r="J500" s="4">
        <f t="shared" si="45"/>
        <v>16.616</v>
      </c>
      <c r="K500" s="9">
        <f t="shared" si="46"/>
        <v>11.9</v>
      </c>
      <c r="L500" s="1">
        <f t="shared" si="47"/>
        <v>-3.49999999999996</v>
      </c>
    </row>
    <row r="501" s="1" customFormat="1" spans="1:12">
      <c r="A501" s="2">
        <v>16.683</v>
      </c>
      <c r="B501" s="10" t="s">
        <v>472</v>
      </c>
      <c r="C501" s="4">
        <v>16.683</v>
      </c>
      <c r="D501" s="5">
        <v>158.7</v>
      </c>
      <c r="E501" s="4"/>
      <c r="F501" s="4"/>
      <c r="G501" s="2">
        <f t="shared" si="42"/>
        <v>16.65</v>
      </c>
      <c r="H501" s="11" t="str">
        <f t="shared" si="43"/>
        <v>3.821E-2</v>
      </c>
      <c r="I501" s="2">
        <f t="shared" si="44"/>
        <v>159.6</v>
      </c>
      <c r="J501" s="4">
        <f t="shared" si="45"/>
        <v>16.65</v>
      </c>
      <c r="K501" s="9">
        <f t="shared" si="46"/>
        <v>11.7</v>
      </c>
      <c r="L501" s="1">
        <f t="shared" si="47"/>
        <v>-3.49999999999996</v>
      </c>
    </row>
    <row r="502" s="1" customFormat="1" spans="1:12">
      <c r="A502" s="2">
        <v>16.717</v>
      </c>
      <c r="B502" s="10" t="s">
        <v>472</v>
      </c>
      <c r="C502" s="4">
        <v>16.717</v>
      </c>
      <c r="D502" s="5">
        <v>156.9</v>
      </c>
      <c r="E502" s="4"/>
      <c r="F502" s="4"/>
      <c r="G502" s="2">
        <f t="shared" si="42"/>
        <v>16.683</v>
      </c>
      <c r="H502" s="11" t="str">
        <f t="shared" si="43"/>
        <v>3.817E-2</v>
      </c>
      <c r="I502" s="2">
        <f t="shared" si="44"/>
        <v>158.7</v>
      </c>
      <c r="J502" s="4">
        <f t="shared" si="45"/>
        <v>16.683</v>
      </c>
      <c r="K502" s="9">
        <f t="shared" si="46"/>
        <v>11.3000000000001</v>
      </c>
      <c r="L502" s="1">
        <f t="shared" si="47"/>
        <v>-3.49999999999996</v>
      </c>
    </row>
    <row r="503" s="1" customFormat="1" spans="1:12">
      <c r="A503" s="2">
        <v>16.75</v>
      </c>
      <c r="B503" s="10" t="s">
        <v>378</v>
      </c>
      <c r="C503" s="4">
        <v>16.75</v>
      </c>
      <c r="D503" s="5">
        <v>157.2</v>
      </c>
      <c r="E503" s="4"/>
      <c r="F503" s="4"/>
      <c r="G503" s="2">
        <f t="shared" si="42"/>
        <v>16.717</v>
      </c>
      <c r="H503" s="11" t="str">
        <f t="shared" si="43"/>
        <v>3.817E-2</v>
      </c>
      <c r="I503" s="2">
        <f t="shared" si="44"/>
        <v>156.9</v>
      </c>
      <c r="J503" s="4">
        <f t="shared" si="45"/>
        <v>16.717</v>
      </c>
      <c r="K503" s="9">
        <f t="shared" si="46"/>
        <v>11.3000000000001</v>
      </c>
      <c r="L503" s="1">
        <f t="shared" si="47"/>
        <v>-3.49999999999996</v>
      </c>
    </row>
    <row r="504" s="1" customFormat="1" spans="1:12">
      <c r="A504" s="2">
        <v>16.783</v>
      </c>
      <c r="B504" s="10" t="s">
        <v>379</v>
      </c>
      <c r="C504" s="4">
        <v>16.783</v>
      </c>
      <c r="D504" s="5">
        <v>155.4</v>
      </c>
      <c r="E504" s="4"/>
      <c r="F504" s="4"/>
      <c r="G504" s="2">
        <f t="shared" si="42"/>
        <v>16.75</v>
      </c>
      <c r="H504" s="11" t="str">
        <f t="shared" si="43"/>
        <v>3.814E-2</v>
      </c>
      <c r="I504" s="2">
        <f t="shared" si="44"/>
        <v>157.2</v>
      </c>
      <c r="J504" s="4">
        <f t="shared" si="45"/>
        <v>16.75</v>
      </c>
      <c r="K504" s="9">
        <f t="shared" si="46"/>
        <v>11</v>
      </c>
      <c r="L504" s="1">
        <f t="shared" si="47"/>
        <v>-3.49999999999996</v>
      </c>
    </row>
    <row r="505" s="1" customFormat="1" spans="1:12">
      <c r="A505" s="2">
        <v>16.817</v>
      </c>
      <c r="B505" s="10" t="s">
        <v>367</v>
      </c>
      <c r="C505" s="4">
        <v>16.817</v>
      </c>
      <c r="D505" s="5">
        <v>154.7</v>
      </c>
      <c r="E505" s="4"/>
      <c r="F505" s="4"/>
      <c r="G505" s="2">
        <f t="shared" si="42"/>
        <v>16.783</v>
      </c>
      <c r="H505" s="11" t="str">
        <f t="shared" si="43"/>
        <v>3.810E-2</v>
      </c>
      <c r="I505" s="2">
        <f t="shared" si="44"/>
        <v>155.4</v>
      </c>
      <c r="J505" s="4">
        <f t="shared" si="45"/>
        <v>16.783</v>
      </c>
      <c r="K505" s="9">
        <f t="shared" si="46"/>
        <v>10.6000000000001</v>
      </c>
      <c r="L505" s="1">
        <f t="shared" si="47"/>
        <v>-3.49999999999996</v>
      </c>
    </row>
    <row r="506" s="1" customFormat="1" spans="1:12">
      <c r="A506" s="2">
        <v>16.85</v>
      </c>
      <c r="B506" s="10" t="s">
        <v>473</v>
      </c>
      <c r="C506" s="4">
        <v>16.85</v>
      </c>
      <c r="D506" s="5">
        <v>154.5</v>
      </c>
      <c r="E506" s="4"/>
      <c r="F506" s="4"/>
      <c r="G506" s="2">
        <f t="shared" si="42"/>
        <v>16.817</v>
      </c>
      <c r="H506" s="11" t="str">
        <f t="shared" si="43"/>
        <v>3.799E-2</v>
      </c>
      <c r="I506" s="2">
        <f t="shared" si="44"/>
        <v>154.7</v>
      </c>
      <c r="J506" s="4">
        <f t="shared" si="45"/>
        <v>16.817</v>
      </c>
      <c r="K506" s="9">
        <f t="shared" si="46"/>
        <v>9.50000000000006</v>
      </c>
      <c r="L506" s="1">
        <f t="shared" si="47"/>
        <v>-3.49999999999996</v>
      </c>
    </row>
    <row r="507" s="1" customFormat="1" spans="1:12">
      <c r="A507" s="2">
        <v>16.884</v>
      </c>
      <c r="B507" s="10" t="s">
        <v>433</v>
      </c>
      <c r="C507" s="4">
        <v>16.884</v>
      </c>
      <c r="D507" s="5">
        <v>153.8</v>
      </c>
      <c r="E507" s="4"/>
      <c r="F507" s="4"/>
      <c r="G507" s="2">
        <f t="shared" si="42"/>
        <v>16.85</v>
      </c>
      <c r="H507" s="11" t="str">
        <f t="shared" si="43"/>
        <v>3.792E-2</v>
      </c>
      <c r="I507" s="2">
        <f t="shared" si="44"/>
        <v>154.5</v>
      </c>
      <c r="J507" s="4">
        <f t="shared" si="45"/>
        <v>16.85</v>
      </c>
      <c r="K507" s="9">
        <f t="shared" si="46"/>
        <v>8.80000000000006</v>
      </c>
      <c r="L507" s="1">
        <f t="shared" si="47"/>
        <v>-3.49999999999996</v>
      </c>
    </row>
    <row r="508" s="1" customFormat="1" spans="1:12">
      <c r="A508" s="2">
        <v>16.917</v>
      </c>
      <c r="B508" s="10" t="s">
        <v>455</v>
      </c>
      <c r="C508" s="4">
        <v>16.917</v>
      </c>
      <c r="D508" s="5">
        <v>152.2</v>
      </c>
      <c r="E508" s="4"/>
      <c r="F508" s="4"/>
      <c r="G508" s="2">
        <f t="shared" si="42"/>
        <v>16.884</v>
      </c>
      <c r="H508" s="11" t="str">
        <f t="shared" si="43"/>
        <v>3.785E-2</v>
      </c>
      <c r="I508" s="2">
        <f t="shared" si="44"/>
        <v>153.8</v>
      </c>
      <c r="J508" s="4">
        <f t="shared" si="45"/>
        <v>16.884</v>
      </c>
      <c r="K508" s="9">
        <f t="shared" si="46"/>
        <v>8.10000000000005</v>
      </c>
      <c r="L508" s="1">
        <f t="shared" si="47"/>
        <v>-3.49999999999996</v>
      </c>
    </row>
    <row r="509" s="1" customFormat="1" spans="1:12">
      <c r="A509" s="2">
        <v>16.951</v>
      </c>
      <c r="B509" s="10" t="s">
        <v>434</v>
      </c>
      <c r="C509" s="4">
        <v>16.951</v>
      </c>
      <c r="D509" s="5">
        <v>151.6</v>
      </c>
      <c r="E509" s="4"/>
      <c r="F509" s="4"/>
      <c r="G509" s="2">
        <f t="shared" si="42"/>
        <v>16.917</v>
      </c>
      <c r="H509" s="11" t="str">
        <f t="shared" si="43"/>
        <v>3.782E-2</v>
      </c>
      <c r="I509" s="2">
        <f t="shared" si="44"/>
        <v>152.2</v>
      </c>
      <c r="J509" s="4">
        <f t="shared" si="45"/>
        <v>16.917</v>
      </c>
      <c r="K509" s="9">
        <f t="shared" si="46"/>
        <v>7.80000000000003</v>
      </c>
      <c r="L509" s="1">
        <f t="shared" si="47"/>
        <v>-3.49999999999996</v>
      </c>
    </row>
    <row r="510" s="1" customFormat="1" spans="1:12">
      <c r="A510" s="2">
        <v>16.984</v>
      </c>
      <c r="B510" s="10" t="s">
        <v>462</v>
      </c>
      <c r="C510" s="4">
        <v>16.984</v>
      </c>
      <c r="D510" s="5">
        <v>150.7</v>
      </c>
      <c r="E510" s="4"/>
      <c r="F510" s="4"/>
      <c r="G510" s="2">
        <f t="shared" si="42"/>
        <v>16.951</v>
      </c>
      <c r="H510" s="11" t="str">
        <f t="shared" si="43"/>
        <v>3.778E-2</v>
      </c>
      <c r="I510" s="2">
        <f t="shared" si="44"/>
        <v>151.6</v>
      </c>
      <c r="J510" s="4">
        <f t="shared" si="45"/>
        <v>16.951</v>
      </c>
      <c r="K510" s="9">
        <f t="shared" si="46"/>
        <v>7.40000000000005</v>
      </c>
      <c r="L510" s="1">
        <f t="shared" si="47"/>
        <v>-3.49999999999996</v>
      </c>
    </row>
    <row r="511" s="1" customFormat="1" spans="1:12">
      <c r="A511" s="2">
        <v>17.017</v>
      </c>
      <c r="B511" s="10" t="s">
        <v>447</v>
      </c>
      <c r="C511" s="4">
        <v>17.017</v>
      </c>
      <c r="D511" s="5">
        <v>149.7</v>
      </c>
      <c r="E511" s="4"/>
      <c r="F511" s="4"/>
      <c r="G511" s="2">
        <f t="shared" si="42"/>
        <v>16.984</v>
      </c>
      <c r="H511" s="11" t="str">
        <f t="shared" si="43"/>
        <v>3.768E-2</v>
      </c>
      <c r="I511" s="2">
        <f t="shared" si="44"/>
        <v>150.7</v>
      </c>
      <c r="J511" s="4">
        <f t="shared" si="45"/>
        <v>16.984</v>
      </c>
      <c r="K511" s="9">
        <f t="shared" si="46"/>
        <v>6.40000000000002</v>
      </c>
      <c r="L511" s="1">
        <f t="shared" si="47"/>
        <v>-3.49999999999996</v>
      </c>
    </row>
    <row r="512" s="1" customFormat="1" spans="1:12">
      <c r="A512" s="2">
        <v>17.051</v>
      </c>
      <c r="B512" s="10" t="s">
        <v>436</v>
      </c>
      <c r="C512" s="4">
        <v>17.051</v>
      </c>
      <c r="D512" s="5">
        <v>148.4</v>
      </c>
      <c r="E512" s="4"/>
      <c r="F512" s="4"/>
      <c r="G512" s="2">
        <f t="shared" si="42"/>
        <v>17.017</v>
      </c>
      <c r="H512" s="11" t="str">
        <f t="shared" si="43"/>
        <v>3.763E-2</v>
      </c>
      <c r="I512" s="2">
        <f t="shared" si="44"/>
        <v>149.7</v>
      </c>
      <c r="J512" s="4">
        <f t="shared" si="45"/>
        <v>17.017</v>
      </c>
      <c r="K512" s="9">
        <f t="shared" si="46"/>
        <v>5.9</v>
      </c>
      <c r="L512" s="1">
        <f t="shared" si="47"/>
        <v>-3.49999999999996</v>
      </c>
    </row>
    <row r="513" s="1" customFormat="1" spans="1:12">
      <c r="A513" s="2">
        <v>17.084</v>
      </c>
      <c r="B513" s="10" t="s">
        <v>439</v>
      </c>
      <c r="C513" s="4">
        <v>17.084</v>
      </c>
      <c r="D513" s="5">
        <v>147.4</v>
      </c>
      <c r="E513" s="4"/>
      <c r="F513" s="4"/>
      <c r="G513" s="2">
        <f t="shared" si="42"/>
        <v>17.051</v>
      </c>
      <c r="H513" s="11" t="str">
        <f t="shared" si="43"/>
        <v>3.761E-2</v>
      </c>
      <c r="I513" s="2">
        <f t="shared" si="44"/>
        <v>148.4</v>
      </c>
      <c r="J513" s="4">
        <f t="shared" si="45"/>
        <v>17.051</v>
      </c>
      <c r="K513" s="9">
        <f t="shared" si="46"/>
        <v>5.70000000000001</v>
      </c>
      <c r="L513" s="1">
        <f t="shared" si="47"/>
        <v>-3.49999999999996</v>
      </c>
    </row>
    <row r="514" s="1" customFormat="1" spans="1:12">
      <c r="A514" s="2">
        <v>17.118</v>
      </c>
      <c r="B514" s="10" t="s">
        <v>437</v>
      </c>
      <c r="C514" s="4">
        <v>17.118</v>
      </c>
      <c r="D514" s="5">
        <v>146.5</v>
      </c>
      <c r="E514" s="4"/>
      <c r="F514" s="4"/>
      <c r="G514" s="2">
        <f t="shared" si="42"/>
        <v>17.084</v>
      </c>
      <c r="H514" s="11" t="str">
        <f t="shared" si="43"/>
        <v>3.759E-2</v>
      </c>
      <c r="I514" s="2">
        <f t="shared" si="44"/>
        <v>147.4</v>
      </c>
      <c r="J514" s="4">
        <f t="shared" si="45"/>
        <v>17.084</v>
      </c>
      <c r="K514" s="9">
        <f t="shared" si="46"/>
        <v>5.50000000000002</v>
      </c>
      <c r="L514" s="1">
        <f t="shared" si="47"/>
        <v>-3.49999999999996</v>
      </c>
    </row>
    <row r="515" s="1" customFormat="1" spans="1:12">
      <c r="A515" s="2">
        <v>17.151</v>
      </c>
      <c r="B515" s="10" t="s">
        <v>414</v>
      </c>
      <c r="C515" s="4">
        <v>17.151</v>
      </c>
      <c r="D515" s="5">
        <v>145.7</v>
      </c>
      <c r="E515" s="4"/>
      <c r="F515" s="4"/>
      <c r="G515" s="2">
        <f t="shared" si="42"/>
        <v>17.118</v>
      </c>
      <c r="H515" s="11" t="str">
        <f t="shared" si="43"/>
        <v>3.758E-2</v>
      </c>
      <c r="I515" s="2">
        <f t="shared" si="44"/>
        <v>146.5</v>
      </c>
      <c r="J515" s="4">
        <f t="shared" si="45"/>
        <v>17.118</v>
      </c>
      <c r="K515" s="9">
        <f t="shared" si="46"/>
        <v>5.40000000000006</v>
      </c>
      <c r="L515" s="1">
        <f t="shared" si="47"/>
        <v>-3.49999999999996</v>
      </c>
    </row>
    <row r="516" s="1" customFormat="1" spans="1:12">
      <c r="A516" s="2">
        <v>17.185</v>
      </c>
      <c r="B516" s="10" t="s">
        <v>439</v>
      </c>
      <c r="C516" s="4">
        <v>17.185</v>
      </c>
      <c r="D516" s="5">
        <v>144.5</v>
      </c>
      <c r="E516" s="4"/>
      <c r="F516" s="4"/>
      <c r="G516" s="2">
        <f t="shared" ref="G516:G579" si="48">A515</f>
        <v>17.151</v>
      </c>
      <c r="H516" s="11" t="str">
        <f t="shared" ref="H516:H579" si="49">B515</f>
        <v>3.760E-2</v>
      </c>
      <c r="I516" s="2">
        <f t="shared" ref="I516:I579" si="50">D515</f>
        <v>145.7</v>
      </c>
      <c r="J516" s="4">
        <f t="shared" ref="J516:J579" si="51">G516</f>
        <v>17.151</v>
      </c>
      <c r="K516" s="9">
        <f t="shared" ref="K516:K579" si="52">(H516-$H$4)*10000</f>
        <v>5.60000000000005</v>
      </c>
      <c r="L516" s="1">
        <f t="shared" ref="L516:L579" si="53">IF(I516&lt;230,MIN(K:K),MAX(K:K))</f>
        <v>-3.49999999999996</v>
      </c>
    </row>
    <row r="517" s="1" customFormat="1" spans="1:12">
      <c r="A517" s="2">
        <v>17.218</v>
      </c>
      <c r="B517" s="10" t="s">
        <v>436</v>
      </c>
      <c r="C517" s="4">
        <v>17.218</v>
      </c>
      <c r="D517" s="5">
        <v>142.9</v>
      </c>
      <c r="E517" s="4"/>
      <c r="F517" s="4"/>
      <c r="G517" s="2">
        <f t="shared" si="48"/>
        <v>17.185</v>
      </c>
      <c r="H517" s="11" t="str">
        <f t="shared" si="49"/>
        <v>3.759E-2</v>
      </c>
      <c r="I517" s="2">
        <f t="shared" si="50"/>
        <v>144.5</v>
      </c>
      <c r="J517" s="4">
        <f t="shared" si="51"/>
        <v>17.185</v>
      </c>
      <c r="K517" s="9">
        <f t="shared" si="52"/>
        <v>5.50000000000002</v>
      </c>
      <c r="L517" s="1">
        <f t="shared" si="53"/>
        <v>-3.49999999999996</v>
      </c>
    </row>
    <row r="518" s="1" customFormat="1" spans="1:12">
      <c r="A518" s="2">
        <v>17.252</v>
      </c>
      <c r="B518" s="10" t="s">
        <v>447</v>
      </c>
      <c r="C518" s="4">
        <v>17.252</v>
      </c>
      <c r="D518" s="5">
        <v>253.2</v>
      </c>
      <c r="E518" s="4"/>
      <c r="F518" s="4"/>
      <c r="G518" s="2">
        <f t="shared" si="48"/>
        <v>17.218</v>
      </c>
      <c r="H518" s="11" t="str">
        <f t="shared" si="49"/>
        <v>3.761E-2</v>
      </c>
      <c r="I518" s="2">
        <f t="shared" si="50"/>
        <v>142.9</v>
      </c>
      <c r="J518" s="4">
        <f t="shared" si="51"/>
        <v>17.218</v>
      </c>
      <c r="K518" s="9">
        <f t="shared" si="52"/>
        <v>5.70000000000001</v>
      </c>
      <c r="L518" s="1">
        <f t="shared" si="53"/>
        <v>-3.49999999999996</v>
      </c>
    </row>
    <row r="519" s="1" customFormat="1" spans="1:12">
      <c r="A519" s="2">
        <v>17.285</v>
      </c>
      <c r="B519" s="10" t="s">
        <v>446</v>
      </c>
      <c r="C519" s="4">
        <v>17.285</v>
      </c>
      <c r="D519" s="5">
        <v>253.8</v>
      </c>
      <c r="E519" s="4"/>
      <c r="F519" s="4"/>
      <c r="G519" s="2">
        <f t="shared" si="48"/>
        <v>17.252</v>
      </c>
      <c r="H519" s="11" t="str">
        <f t="shared" si="49"/>
        <v>3.763E-2</v>
      </c>
      <c r="I519" s="2">
        <f t="shared" si="50"/>
        <v>253.2</v>
      </c>
      <c r="J519" s="4">
        <f t="shared" si="51"/>
        <v>17.252</v>
      </c>
      <c r="K519" s="9">
        <f t="shared" si="52"/>
        <v>5.9</v>
      </c>
      <c r="L519" s="1">
        <f t="shared" si="53"/>
        <v>16.1</v>
      </c>
    </row>
    <row r="520" s="1" customFormat="1" spans="1:12">
      <c r="A520" s="2">
        <v>17.318</v>
      </c>
      <c r="B520" s="10" t="s">
        <v>445</v>
      </c>
      <c r="C520" s="4">
        <v>17.318</v>
      </c>
      <c r="D520" s="5">
        <v>253.8</v>
      </c>
      <c r="E520" s="4"/>
      <c r="F520" s="4"/>
      <c r="G520" s="2">
        <f t="shared" si="48"/>
        <v>17.285</v>
      </c>
      <c r="H520" s="11" t="str">
        <f t="shared" si="49"/>
        <v>3.765E-2</v>
      </c>
      <c r="I520" s="2">
        <f t="shared" si="50"/>
        <v>253.8</v>
      </c>
      <c r="J520" s="4">
        <f t="shared" si="51"/>
        <v>17.285</v>
      </c>
      <c r="K520" s="9">
        <f t="shared" si="52"/>
        <v>6.10000000000006</v>
      </c>
      <c r="L520" s="1">
        <f t="shared" si="53"/>
        <v>16.1</v>
      </c>
    </row>
    <row r="521" s="1" customFormat="1" spans="1:12">
      <c r="A521" s="2">
        <v>17.352</v>
      </c>
      <c r="B521" s="10" t="s">
        <v>462</v>
      </c>
      <c r="C521" s="4">
        <v>17.352</v>
      </c>
      <c r="D521" s="5">
        <v>253.8</v>
      </c>
      <c r="E521" s="4"/>
      <c r="F521" s="4"/>
      <c r="G521" s="2">
        <f t="shared" si="48"/>
        <v>17.318</v>
      </c>
      <c r="H521" s="11" t="str">
        <f t="shared" si="49"/>
        <v>3.766E-2</v>
      </c>
      <c r="I521" s="2">
        <f t="shared" si="50"/>
        <v>253.8</v>
      </c>
      <c r="J521" s="4">
        <f t="shared" si="51"/>
        <v>17.318</v>
      </c>
      <c r="K521" s="9">
        <f t="shared" si="52"/>
        <v>6.20000000000003</v>
      </c>
      <c r="L521" s="1">
        <f t="shared" si="53"/>
        <v>16.1</v>
      </c>
    </row>
    <row r="522" s="1" customFormat="1" spans="1:12">
      <c r="A522" s="2">
        <v>17.385</v>
      </c>
      <c r="B522" s="10" t="s">
        <v>462</v>
      </c>
      <c r="C522" s="4">
        <v>17.385</v>
      </c>
      <c r="D522" s="5">
        <v>253.8</v>
      </c>
      <c r="E522" s="4"/>
      <c r="F522" s="4"/>
      <c r="G522" s="2">
        <f t="shared" si="48"/>
        <v>17.352</v>
      </c>
      <c r="H522" s="11" t="str">
        <f t="shared" si="49"/>
        <v>3.768E-2</v>
      </c>
      <c r="I522" s="2">
        <f t="shared" si="50"/>
        <v>253.8</v>
      </c>
      <c r="J522" s="4">
        <f t="shared" si="51"/>
        <v>17.352</v>
      </c>
      <c r="K522" s="9">
        <f t="shared" si="52"/>
        <v>6.40000000000002</v>
      </c>
      <c r="L522" s="1">
        <f t="shared" si="53"/>
        <v>16.1</v>
      </c>
    </row>
    <row r="523" s="1" customFormat="1" spans="1:12">
      <c r="A523" s="2">
        <v>17.419</v>
      </c>
      <c r="B523" s="10" t="s">
        <v>382</v>
      </c>
      <c r="C523" s="4">
        <v>17.419</v>
      </c>
      <c r="D523" s="5">
        <v>253.8</v>
      </c>
      <c r="E523" s="4"/>
      <c r="F523" s="4"/>
      <c r="G523" s="2">
        <f t="shared" si="48"/>
        <v>17.385</v>
      </c>
      <c r="H523" s="11" t="str">
        <f t="shared" si="49"/>
        <v>3.768E-2</v>
      </c>
      <c r="I523" s="2">
        <f t="shared" si="50"/>
        <v>253.8</v>
      </c>
      <c r="J523" s="4">
        <f t="shared" si="51"/>
        <v>17.385</v>
      </c>
      <c r="K523" s="9">
        <f t="shared" si="52"/>
        <v>6.40000000000002</v>
      </c>
      <c r="L523" s="1">
        <f t="shared" si="53"/>
        <v>16.1</v>
      </c>
    </row>
    <row r="524" s="1" customFormat="1" spans="1:12">
      <c r="A524" s="2">
        <v>17.452</v>
      </c>
      <c r="B524" s="10" t="s">
        <v>365</v>
      </c>
      <c r="C524" s="4">
        <v>17.452</v>
      </c>
      <c r="D524" s="5">
        <v>253.8</v>
      </c>
      <c r="E524" s="4"/>
      <c r="F524" s="4"/>
      <c r="G524" s="2">
        <f t="shared" si="48"/>
        <v>17.419</v>
      </c>
      <c r="H524" s="11" t="str">
        <f t="shared" si="49"/>
        <v>3.771E-2</v>
      </c>
      <c r="I524" s="2">
        <f t="shared" si="50"/>
        <v>253.8</v>
      </c>
      <c r="J524" s="4">
        <f t="shared" si="51"/>
        <v>17.419</v>
      </c>
      <c r="K524" s="9">
        <f t="shared" si="52"/>
        <v>6.70000000000004</v>
      </c>
      <c r="L524" s="1">
        <f t="shared" si="53"/>
        <v>16.1</v>
      </c>
    </row>
    <row r="525" s="1" customFormat="1" spans="1:12">
      <c r="A525" s="2">
        <v>17.486</v>
      </c>
      <c r="B525" s="10" t="s">
        <v>395</v>
      </c>
      <c r="C525" s="4">
        <v>17.486</v>
      </c>
      <c r="D525" s="5">
        <v>253.8</v>
      </c>
      <c r="E525" s="4"/>
      <c r="F525" s="4"/>
      <c r="G525" s="2">
        <f t="shared" si="48"/>
        <v>17.452</v>
      </c>
      <c r="H525" s="11" t="str">
        <f t="shared" si="49"/>
        <v>3.773E-2</v>
      </c>
      <c r="I525" s="2">
        <f t="shared" si="50"/>
        <v>253.8</v>
      </c>
      <c r="J525" s="4">
        <f t="shared" si="51"/>
        <v>17.452</v>
      </c>
      <c r="K525" s="9">
        <f t="shared" si="52"/>
        <v>6.90000000000003</v>
      </c>
      <c r="L525" s="1">
        <f t="shared" si="53"/>
        <v>16.1</v>
      </c>
    </row>
    <row r="526" s="1" customFormat="1" spans="1:12">
      <c r="A526" s="2">
        <v>17.519</v>
      </c>
      <c r="B526" s="10" t="s">
        <v>443</v>
      </c>
      <c r="C526" s="4">
        <v>17.519</v>
      </c>
      <c r="D526" s="5">
        <v>253.8</v>
      </c>
      <c r="E526" s="4"/>
      <c r="F526" s="4"/>
      <c r="G526" s="2">
        <f t="shared" si="48"/>
        <v>17.486</v>
      </c>
      <c r="H526" s="11" t="str">
        <f t="shared" si="49"/>
        <v>3.774E-2</v>
      </c>
      <c r="I526" s="2">
        <f t="shared" si="50"/>
        <v>253.8</v>
      </c>
      <c r="J526" s="4">
        <f t="shared" si="51"/>
        <v>17.486</v>
      </c>
      <c r="K526" s="9">
        <f t="shared" si="52"/>
        <v>7.00000000000006</v>
      </c>
      <c r="L526" s="1">
        <f t="shared" si="53"/>
        <v>16.1</v>
      </c>
    </row>
    <row r="527" s="1" customFormat="1" spans="1:12">
      <c r="A527" s="2">
        <v>17.552</v>
      </c>
      <c r="B527" s="10" t="s">
        <v>443</v>
      </c>
      <c r="C527" s="4">
        <v>17.552</v>
      </c>
      <c r="D527" s="5">
        <v>253.7</v>
      </c>
      <c r="E527" s="4"/>
      <c r="F527" s="4"/>
      <c r="G527" s="2">
        <f t="shared" si="48"/>
        <v>17.519</v>
      </c>
      <c r="H527" s="11" t="str">
        <f t="shared" si="49"/>
        <v>3.775E-2</v>
      </c>
      <c r="I527" s="2">
        <f t="shared" si="50"/>
        <v>253.8</v>
      </c>
      <c r="J527" s="4">
        <f t="shared" si="51"/>
        <v>17.519</v>
      </c>
      <c r="K527" s="9">
        <f t="shared" si="52"/>
        <v>7.10000000000002</v>
      </c>
      <c r="L527" s="1">
        <f t="shared" si="53"/>
        <v>16.1</v>
      </c>
    </row>
    <row r="528" s="1" customFormat="1" spans="1:12">
      <c r="A528" s="2">
        <v>17.586</v>
      </c>
      <c r="B528" s="10" t="s">
        <v>442</v>
      </c>
      <c r="C528" s="4">
        <v>17.586</v>
      </c>
      <c r="D528" s="5">
        <v>253.8</v>
      </c>
      <c r="E528" s="4"/>
      <c r="F528" s="4"/>
      <c r="G528" s="2">
        <f t="shared" si="48"/>
        <v>17.552</v>
      </c>
      <c r="H528" s="11" t="str">
        <f t="shared" si="49"/>
        <v>3.775E-2</v>
      </c>
      <c r="I528" s="2">
        <f t="shared" si="50"/>
        <v>253.7</v>
      </c>
      <c r="J528" s="4">
        <f t="shared" si="51"/>
        <v>17.552</v>
      </c>
      <c r="K528" s="9">
        <f t="shared" si="52"/>
        <v>7.10000000000002</v>
      </c>
      <c r="L528" s="1">
        <f t="shared" si="53"/>
        <v>16.1</v>
      </c>
    </row>
    <row r="529" s="1" customFormat="1" spans="1:12">
      <c r="A529" s="2">
        <v>17.619</v>
      </c>
      <c r="B529" s="10" t="s">
        <v>413</v>
      </c>
      <c r="C529" s="4">
        <v>17.619</v>
      </c>
      <c r="D529" s="5">
        <v>253.8</v>
      </c>
      <c r="E529" s="4"/>
      <c r="F529" s="4"/>
      <c r="G529" s="2">
        <f t="shared" si="48"/>
        <v>17.586</v>
      </c>
      <c r="H529" s="11" t="str">
        <f t="shared" si="49"/>
        <v>3.777E-2</v>
      </c>
      <c r="I529" s="2">
        <f t="shared" si="50"/>
        <v>253.8</v>
      </c>
      <c r="J529" s="4">
        <f t="shared" si="51"/>
        <v>17.586</v>
      </c>
      <c r="K529" s="9">
        <f t="shared" si="52"/>
        <v>7.30000000000001</v>
      </c>
      <c r="L529" s="1">
        <f t="shared" si="53"/>
        <v>16.1</v>
      </c>
    </row>
    <row r="530" s="1" customFormat="1" spans="1:12">
      <c r="A530" s="2">
        <v>17.653</v>
      </c>
      <c r="B530" s="10" t="s">
        <v>434</v>
      </c>
      <c r="C530" s="4">
        <v>17.653</v>
      </c>
      <c r="D530" s="5">
        <v>253.7</v>
      </c>
      <c r="E530" s="4"/>
      <c r="F530" s="4"/>
      <c r="G530" s="2">
        <f t="shared" si="48"/>
        <v>17.619</v>
      </c>
      <c r="H530" s="11" t="str">
        <f t="shared" si="49"/>
        <v>3.779E-2</v>
      </c>
      <c r="I530" s="2">
        <f t="shared" si="50"/>
        <v>253.8</v>
      </c>
      <c r="J530" s="4">
        <f t="shared" si="51"/>
        <v>17.619</v>
      </c>
      <c r="K530" s="9">
        <f t="shared" si="52"/>
        <v>7.50000000000001</v>
      </c>
      <c r="L530" s="1">
        <f t="shared" si="53"/>
        <v>16.1</v>
      </c>
    </row>
    <row r="531" s="1" customFormat="1" spans="1:12">
      <c r="A531" s="2">
        <v>17.686</v>
      </c>
      <c r="B531" s="10" t="s">
        <v>442</v>
      </c>
      <c r="C531" s="4">
        <v>17.686</v>
      </c>
      <c r="D531" s="5">
        <v>253.8</v>
      </c>
      <c r="E531" s="4"/>
      <c r="F531" s="4"/>
      <c r="G531" s="2">
        <f t="shared" si="48"/>
        <v>17.653</v>
      </c>
      <c r="H531" s="11" t="str">
        <f t="shared" si="49"/>
        <v>3.778E-2</v>
      </c>
      <c r="I531" s="2">
        <f t="shared" si="50"/>
        <v>253.7</v>
      </c>
      <c r="J531" s="4">
        <f t="shared" si="51"/>
        <v>17.653</v>
      </c>
      <c r="K531" s="9">
        <f t="shared" si="52"/>
        <v>7.40000000000005</v>
      </c>
      <c r="L531" s="1">
        <f t="shared" si="53"/>
        <v>16.1</v>
      </c>
    </row>
    <row r="532" s="1" customFormat="1" spans="1:12">
      <c r="A532" s="2">
        <v>17.72</v>
      </c>
      <c r="B532" s="10" t="s">
        <v>442</v>
      </c>
      <c r="C532" s="4">
        <v>17.72</v>
      </c>
      <c r="D532" s="5">
        <v>253.8</v>
      </c>
      <c r="E532" s="4"/>
      <c r="F532" s="4"/>
      <c r="G532" s="2">
        <f t="shared" si="48"/>
        <v>17.686</v>
      </c>
      <c r="H532" s="11" t="str">
        <f t="shared" si="49"/>
        <v>3.777E-2</v>
      </c>
      <c r="I532" s="2">
        <f t="shared" si="50"/>
        <v>253.8</v>
      </c>
      <c r="J532" s="4">
        <f t="shared" si="51"/>
        <v>17.686</v>
      </c>
      <c r="K532" s="9">
        <f t="shared" si="52"/>
        <v>7.30000000000001</v>
      </c>
      <c r="L532" s="1">
        <f t="shared" si="53"/>
        <v>16.1</v>
      </c>
    </row>
    <row r="533" s="1" customFormat="1" spans="1:12">
      <c r="A533" s="2">
        <v>17.753</v>
      </c>
      <c r="B533" s="10" t="s">
        <v>443</v>
      </c>
      <c r="C533" s="4">
        <v>17.753</v>
      </c>
      <c r="D533" s="5">
        <v>253.8</v>
      </c>
      <c r="E533" s="4"/>
      <c r="F533" s="4"/>
      <c r="G533" s="2">
        <f t="shared" si="48"/>
        <v>17.72</v>
      </c>
      <c r="H533" s="11" t="str">
        <f t="shared" si="49"/>
        <v>3.777E-2</v>
      </c>
      <c r="I533" s="2">
        <f t="shared" si="50"/>
        <v>253.8</v>
      </c>
      <c r="J533" s="4">
        <f t="shared" si="51"/>
        <v>17.72</v>
      </c>
      <c r="K533" s="9">
        <f t="shared" si="52"/>
        <v>7.30000000000001</v>
      </c>
      <c r="L533" s="1">
        <f t="shared" si="53"/>
        <v>16.1</v>
      </c>
    </row>
    <row r="534" s="1" customFormat="1" spans="1:12">
      <c r="A534" s="2">
        <v>17.786</v>
      </c>
      <c r="B534" s="10" t="s">
        <v>443</v>
      </c>
      <c r="C534" s="4">
        <v>17.786</v>
      </c>
      <c r="D534" s="5">
        <v>253.8</v>
      </c>
      <c r="E534" s="4"/>
      <c r="F534" s="4"/>
      <c r="G534" s="2">
        <f t="shared" si="48"/>
        <v>17.753</v>
      </c>
      <c r="H534" s="11" t="str">
        <f t="shared" si="49"/>
        <v>3.775E-2</v>
      </c>
      <c r="I534" s="2">
        <f t="shared" si="50"/>
        <v>253.8</v>
      </c>
      <c r="J534" s="4">
        <f t="shared" si="51"/>
        <v>17.753</v>
      </c>
      <c r="K534" s="9">
        <f t="shared" si="52"/>
        <v>7.10000000000002</v>
      </c>
      <c r="L534" s="1">
        <f t="shared" si="53"/>
        <v>16.1</v>
      </c>
    </row>
    <row r="535" s="1" customFormat="1" spans="1:12">
      <c r="A535" s="2">
        <v>17.82</v>
      </c>
      <c r="B535" s="10" t="s">
        <v>395</v>
      </c>
      <c r="C535" s="4">
        <v>17.82</v>
      </c>
      <c r="D535" s="5">
        <v>253.8</v>
      </c>
      <c r="E535" s="4"/>
      <c r="F535" s="4"/>
      <c r="G535" s="2">
        <f t="shared" si="48"/>
        <v>17.786</v>
      </c>
      <c r="H535" s="11" t="str">
        <f t="shared" si="49"/>
        <v>3.775E-2</v>
      </c>
      <c r="I535" s="2">
        <f t="shared" si="50"/>
        <v>253.8</v>
      </c>
      <c r="J535" s="4">
        <f t="shared" si="51"/>
        <v>17.786</v>
      </c>
      <c r="K535" s="9">
        <f t="shared" si="52"/>
        <v>7.10000000000002</v>
      </c>
      <c r="L535" s="1">
        <f t="shared" si="53"/>
        <v>16.1</v>
      </c>
    </row>
    <row r="536" s="1" customFormat="1" spans="1:12">
      <c r="A536" s="2">
        <v>17.853</v>
      </c>
      <c r="B536" s="10" t="s">
        <v>395</v>
      </c>
      <c r="C536" s="4">
        <v>17.853</v>
      </c>
      <c r="D536" s="5">
        <v>253.8</v>
      </c>
      <c r="E536" s="4"/>
      <c r="F536" s="4"/>
      <c r="G536" s="2">
        <f t="shared" si="48"/>
        <v>17.82</v>
      </c>
      <c r="H536" s="11" t="str">
        <f t="shared" si="49"/>
        <v>3.774E-2</v>
      </c>
      <c r="I536" s="2">
        <f t="shared" si="50"/>
        <v>253.8</v>
      </c>
      <c r="J536" s="4">
        <f t="shared" si="51"/>
        <v>17.82</v>
      </c>
      <c r="K536" s="9">
        <f t="shared" si="52"/>
        <v>7.00000000000006</v>
      </c>
      <c r="L536" s="1">
        <f t="shared" si="53"/>
        <v>16.1</v>
      </c>
    </row>
    <row r="537" s="1" customFormat="1" spans="1:12">
      <c r="A537" s="2">
        <v>17.887</v>
      </c>
      <c r="B537" s="10" t="s">
        <v>365</v>
      </c>
      <c r="C537" s="4">
        <v>17.887</v>
      </c>
      <c r="D537" s="5">
        <v>253.8</v>
      </c>
      <c r="E537" s="4"/>
      <c r="F537" s="4"/>
      <c r="G537" s="2">
        <f t="shared" si="48"/>
        <v>17.853</v>
      </c>
      <c r="H537" s="11" t="str">
        <f t="shared" si="49"/>
        <v>3.774E-2</v>
      </c>
      <c r="I537" s="2">
        <f t="shared" si="50"/>
        <v>253.8</v>
      </c>
      <c r="J537" s="4">
        <f t="shared" si="51"/>
        <v>17.853</v>
      </c>
      <c r="K537" s="9">
        <f t="shared" si="52"/>
        <v>7.00000000000006</v>
      </c>
      <c r="L537" s="1">
        <f t="shared" si="53"/>
        <v>16.1</v>
      </c>
    </row>
    <row r="538" s="1" customFormat="1" spans="1:12">
      <c r="A538" s="2">
        <v>17.92</v>
      </c>
      <c r="B538" s="10" t="s">
        <v>448</v>
      </c>
      <c r="C538" s="4">
        <v>17.92</v>
      </c>
      <c r="D538" s="5">
        <v>253.8</v>
      </c>
      <c r="E538" s="4"/>
      <c r="F538" s="4"/>
      <c r="G538" s="2">
        <f t="shared" si="48"/>
        <v>17.887</v>
      </c>
      <c r="H538" s="11" t="str">
        <f t="shared" si="49"/>
        <v>3.773E-2</v>
      </c>
      <c r="I538" s="2">
        <f t="shared" si="50"/>
        <v>253.8</v>
      </c>
      <c r="J538" s="4">
        <f t="shared" si="51"/>
        <v>17.887</v>
      </c>
      <c r="K538" s="9">
        <f t="shared" si="52"/>
        <v>6.90000000000003</v>
      </c>
      <c r="L538" s="1">
        <f t="shared" si="53"/>
        <v>16.1</v>
      </c>
    </row>
    <row r="539" s="1" customFormat="1" spans="1:12">
      <c r="A539" s="2">
        <v>17.954</v>
      </c>
      <c r="B539" s="10" t="s">
        <v>382</v>
      </c>
      <c r="C539" s="4">
        <v>17.954</v>
      </c>
      <c r="D539" s="5">
        <v>253.8</v>
      </c>
      <c r="E539" s="4"/>
      <c r="F539" s="4"/>
      <c r="G539" s="2">
        <f t="shared" si="48"/>
        <v>17.92</v>
      </c>
      <c r="H539" s="11" t="str">
        <f t="shared" si="49"/>
        <v>3.772E-2</v>
      </c>
      <c r="I539" s="2">
        <f t="shared" si="50"/>
        <v>253.8</v>
      </c>
      <c r="J539" s="4">
        <f t="shared" si="51"/>
        <v>17.92</v>
      </c>
      <c r="K539" s="9">
        <f t="shared" si="52"/>
        <v>6.8</v>
      </c>
      <c r="L539" s="1">
        <f t="shared" si="53"/>
        <v>16.1</v>
      </c>
    </row>
    <row r="540" s="1" customFormat="1" spans="1:12">
      <c r="A540" s="2">
        <v>17.987</v>
      </c>
      <c r="B540" s="10" t="s">
        <v>419</v>
      </c>
      <c r="C540" s="4">
        <v>17.987</v>
      </c>
      <c r="D540" s="5">
        <v>253.8</v>
      </c>
      <c r="E540" s="4"/>
      <c r="F540" s="4"/>
      <c r="G540" s="2">
        <f t="shared" si="48"/>
        <v>17.954</v>
      </c>
      <c r="H540" s="11" t="str">
        <f t="shared" si="49"/>
        <v>3.771E-2</v>
      </c>
      <c r="I540" s="2">
        <f t="shared" si="50"/>
        <v>253.8</v>
      </c>
      <c r="J540" s="4">
        <f t="shared" si="51"/>
        <v>17.954</v>
      </c>
      <c r="K540" s="9">
        <f t="shared" si="52"/>
        <v>6.70000000000004</v>
      </c>
      <c r="L540" s="1">
        <f t="shared" si="53"/>
        <v>16.1</v>
      </c>
    </row>
    <row r="541" s="1" customFormat="1" spans="1:12">
      <c r="A541" s="2">
        <v>18.02</v>
      </c>
      <c r="B541" s="10" t="s">
        <v>462</v>
      </c>
      <c r="C541" s="4">
        <v>18.02</v>
      </c>
      <c r="D541" s="5">
        <v>253.8</v>
      </c>
      <c r="E541" s="4"/>
      <c r="F541" s="4"/>
      <c r="G541" s="2">
        <f t="shared" si="48"/>
        <v>17.987</v>
      </c>
      <c r="H541" s="11" t="str">
        <f t="shared" si="49"/>
        <v>3.770E-2</v>
      </c>
      <c r="I541" s="2">
        <f t="shared" si="50"/>
        <v>253.8</v>
      </c>
      <c r="J541" s="4">
        <f t="shared" si="51"/>
        <v>17.987</v>
      </c>
      <c r="K541" s="9">
        <f t="shared" si="52"/>
        <v>6.60000000000001</v>
      </c>
      <c r="L541" s="1">
        <f t="shared" si="53"/>
        <v>16.1</v>
      </c>
    </row>
    <row r="542" s="1" customFormat="1" spans="1:12">
      <c r="A542" s="2">
        <v>18.054</v>
      </c>
      <c r="B542" s="10" t="s">
        <v>444</v>
      </c>
      <c r="C542" s="4">
        <v>18.054</v>
      </c>
      <c r="D542" s="5">
        <v>253.8</v>
      </c>
      <c r="E542" s="4"/>
      <c r="F542" s="4"/>
      <c r="G542" s="2">
        <f t="shared" si="48"/>
        <v>18.02</v>
      </c>
      <c r="H542" s="11" t="str">
        <f t="shared" si="49"/>
        <v>3.768E-2</v>
      </c>
      <c r="I542" s="2">
        <f t="shared" si="50"/>
        <v>253.8</v>
      </c>
      <c r="J542" s="4">
        <f t="shared" si="51"/>
        <v>18.02</v>
      </c>
      <c r="K542" s="9">
        <f t="shared" si="52"/>
        <v>6.40000000000002</v>
      </c>
      <c r="L542" s="1">
        <f t="shared" si="53"/>
        <v>16.1</v>
      </c>
    </row>
    <row r="543" s="1" customFormat="1" spans="1:12">
      <c r="A543" s="2">
        <v>18.087</v>
      </c>
      <c r="B543" s="10" t="s">
        <v>445</v>
      </c>
      <c r="C543" s="4">
        <v>18.087</v>
      </c>
      <c r="D543" s="5">
        <v>250</v>
      </c>
      <c r="E543" s="4"/>
      <c r="F543" s="4"/>
      <c r="G543" s="2">
        <f t="shared" si="48"/>
        <v>18.054</v>
      </c>
      <c r="H543" s="11" t="str">
        <f t="shared" si="49"/>
        <v>3.769E-2</v>
      </c>
      <c r="I543" s="2">
        <f t="shared" si="50"/>
        <v>253.8</v>
      </c>
      <c r="J543" s="4">
        <f t="shared" si="51"/>
        <v>18.054</v>
      </c>
      <c r="K543" s="9">
        <f t="shared" si="52"/>
        <v>6.50000000000005</v>
      </c>
      <c r="L543" s="1">
        <f t="shared" si="53"/>
        <v>16.1</v>
      </c>
    </row>
    <row r="544" s="1" customFormat="1" spans="1:12">
      <c r="A544" s="2">
        <v>18.121</v>
      </c>
      <c r="B544" s="10" t="s">
        <v>445</v>
      </c>
      <c r="C544" s="4">
        <v>18.121</v>
      </c>
      <c r="D544" s="5">
        <v>148.3</v>
      </c>
      <c r="E544" s="4"/>
      <c r="F544" s="4"/>
      <c r="G544" s="2">
        <f t="shared" si="48"/>
        <v>18.087</v>
      </c>
      <c r="H544" s="11" t="str">
        <f t="shared" si="49"/>
        <v>3.766E-2</v>
      </c>
      <c r="I544" s="2">
        <f t="shared" si="50"/>
        <v>250</v>
      </c>
      <c r="J544" s="4">
        <f t="shared" si="51"/>
        <v>18.087</v>
      </c>
      <c r="K544" s="9">
        <f t="shared" si="52"/>
        <v>6.20000000000003</v>
      </c>
      <c r="L544" s="1">
        <f t="shared" si="53"/>
        <v>16.1</v>
      </c>
    </row>
    <row r="545" s="1" customFormat="1" spans="1:12">
      <c r="A545" s="2">
        <v>18.154</v>
      </c>
      <c r="B545" s="10" t="s">
        <v>445</v>
      </c>
      <c r="C545" s="4">
        <v>18.154</v>
      </c>
      <c r="D545" s="5">
        <v>167.3</v>
      </c>
      <c r="E545" s="4"/>
      <c r="F545" s="4"/>
      <c r="G545" s="2">
        <f t="shared" si="48"/>
        <v>18.121</v>
      </c>
      <c r="H545" s="11" t="str">
        <f t="shared" si="49"/>
        <v>3.766E-2</v>
      </c>
      <c r="I545" s="2">
        <f t="shared" si="50"/>
        <v>148.3</v>
      </c>
      <c r="J545" s="4">
        <f t="shared" si="51"/>
        <v>18.121</v>
      </c>
      <c r="K545" s="9">
        <f t="shared" si="52"/>
        <v>6.20000000000003</v>
      </c>
      <c r="L545" s="1">
        <f t="shared" si="53"/>
        <v>-3.49999999999996</v>
      </c>
    </row>
    <row r="546" s="1" customFormat="1" spans="1:12">
      <c r="A546" s="2">
        <v>18.188</v>
      </c>
      <c r="B546" s="10" t="s">
        <v>364</v>
      </c>
      <c r="C546" s="4">
        <v>18.188</v>
      </c>
      <c r="D546" s="5">
        <v>166.3</v>
      </c>
      <c r="E546" s="4"/>
      <c r="F546" s="4"/>
      <c r="G546" s="2">
        <f t="shared" si="48"/>
        <v>18.154</v>
      </c>
      <c r="H546" s="11" t="str">
        <f t="shared" si="49"/>
        <v>3.766E-2</v>
      </c>
      <c r="I546" s="2">
        <f t="shared" si="50"/>
        <v>167.3</v>
      </c>
      <c r="J546" s="4">
        <f t="shared" si="51"/>
        <v>18.154</v>
      </c>
      <c r="K546" s="9">
        <f t="shared" si="52"/>
        <v>6.20000000000003</v>
      </c>
      <c r="L546" s="1">
        <f t="shared" si="53"/>
        <v>-3.49999999999996</v>
      </c>
    </row>
    <row r="547" s="1" customFormat="1" spans="1:12">
      <c r="A547" s="2">
        <v>18.221</v>
      </c>
      <c r="B547" s="10" t="s">
        <v>364</v>
      </c>
      <c r="C547" s="4">
        <v>18.221</v>
      </c>
      <c r="D547" s="5">
        <v>166.1</v>
      </c>
      <c r="E547" s="4"/>
      <c r="F547" s="4"/>
      <c r="G547" s="2">
        <f t="shared" si="48"/>
        <v>18.188</v>
      </c>
      <c r="H547" s="11" t="str">
        <f t="shared" si="49"/>
        <v>3.764E-2</v>
      </c>
      <c r="I547" s="2">
        <f t="shared" si="50"/>
        <v>166.3</v>
      </c>
      <c r="J547" s="4">
        <f t="shared" si="51"/>
        <v>18.188</v>
      </c>
      <c r="K547" s="9">
        <f t="shared" si="52"/>
        <v>6.00000000000003</v>
      </c>
      <c r="L547" s="1">
        <f t="shared" si="53"/>
        <v>-3.49999999999996</v>
      </c>
    </row>
    <row r="548" s="1" customFormat="1" spans="1:12">
      <c r="A548" s="2">
        <v>18.255</v>
      </c>
      <c r="B548" s="10" t="s">
        <v>446</v>
      </c>
      <c r="C548" s="4">
        <v>18.255</v>
      </c>
      <c r="D548" s="5">
        <v>164.8</v>
      </c>
      <c r="E548" s="4"/>
      <c r="F548" s="4"/>
      <c r="G548" s="2">
        <f t="shared" si="48"/>
        <v>18.221</v>
      </c>
      <c r="H548" s="11" t="str">
        <f t="shared" si="49"/>
        <v>3.764E-2</v>
      </c>
      <c r="I548" s="2">
        <f t="shared" si="50"/>
        <v>166.1</v>
      </c>
      <c r="J548" s="4">
        <f t="shared" si="51"/>
        <v>18.221</v>
      </c>
      <c r="K548" s="9">
        <f t="shared" si="52"/>
        <v>6.00000000000003</v>
      </c>
      <c r="L548" s="1">
        <f t="shared" si="53"/>
        <v>-3.49999999999996</v>
      </c>
    </row>
    <row r="549" s="1" customFormat="1" spans="1:12">
      <c r="A549" s="2">
        <v>18.288</v>
      </c>
      <c r="B549" s="10" t="s">
        <v>446</v>
      </c>
      <c r="C549" s="4">
        <v>18.288</v>
      </c>
      <c r="D549" s="5">
        <v>164</v>
      </c>
      <c r="E549" s="4"/>
      <c r="F549" s="4"/>
      <c r="G549" s="2">
        <f t="shared" si="48"/>
        <v>18.255</v>
      </c>
      <c r="H549" s="11" t="str">
        <f t="shared" si="49"/>
        <v>3.765E-2</v>
      </c>
      <c r="I549" s="2">
        <f t="shared" si="50"/>
        <v>164.8</v>
      </c>
      <c r="J549" s="4">
        <f t="shared" si="51"/>
        <v>18.255</v>
      </c>
      <c r="K549" s="9">
        <f t="shared" si="52"/>
        <v>6.10000000000006</v>
      </c>
      <c r="L549" s="1">
        <f t="shared" si="53"/>
        <v>-3.49999999999996</v>
      </c>
    </row>
    <row r="550" s="1" customFormat="1" spans="1:12">
      <c r="A550" s="2">
        <v>18.321</v>
      </c>
      <c r="B550" s="10" t="s">
        <v>364</v>
      </c>
      <c r="C550" s="4">
        <v>18.321</v>
      </c>
      <c r="D550" s="5">
        <v>163</v>
      </c>
      <c r="E550" s="4"/>
      <c r="F550" s="4"/>
      <c r="G550" s="2">
        <f t="shared" si="48"/>
        <v>18.288</v>
      </c>
      <c r="H550" s="11" t="str">
        <f t="shared" si="49"/>
        <v>3.765E-2</v>
      </c>
      <c r="I550" s="2">
        <f t="shared" si="50"/>
        <v>164</v>
      </c>
      <c r="J550" s="4">
        <f t="shared" si="51"/>
        <v>18.288</v>
      </c>
      <c r="K550" s="9">
        <f t="shared" si="52"/>
        <v>6.10000000000006</v>
      </c>
      <c r="L550" s="1">
        <f t="shared" si="53"/>
        <v>-3.49999999999996</v>
      </c>
    </row>
    <row r="551" s="1" customFormat="1" spans="1:12">
      <c r="A551" s="2">
        <v>18.355</v>
      </c>
      <c r="B551" s="10" t="s">
        <v>364</v>
      </c>
      <c r="C551" s="4">
        <v>18.355</v>
      </c>
      <c r="D551" s="5">
        <v>161.5</v>
      </c>
      <c r="E551" s="4"/>
      <c r="F551" s="4"/>
      <c r="G551" s="2">
        <f t="shared" si="48"/>
        <v>18.321</v>
      </c>
      <c r="H551" s="11" t="str">
        <f t="shared" si="49"/>
        <v>3.764E-2</v>
      </c>
      <c r="I551" s="2">
        <f t="shared" si="50"/>
        <v>163</v>
      </c>
      <c r="J551" s="4">
        <f t="shared" si="51"/>
        <v>18.321</v>
      </c>
      <c r="K551" s="9">
        <f t="shared" si="52"/>
        <v>6.00000000000003</v>
      </c>
      <c r="L551" s="1">
        <f t="shared" si="53"/>
        <v>-3.49999999999996</v>
      </c>
    </row>
    <row r="552" s="1" customFormat="1" spans="1:12">
      <c r="A552" s="2">
        <v>18.388</v>
      </c>
      <c r="B552" s="10" t="s">
        <v>446</v>
      </c>
      <c r="C552" s="4">
        <v>18.388</v>
      </c>
      <c r="D552" s="5">
        <v>161.7</v>
      </c>
      <c r="E552" s="4"/>
      <c r="F552" s="4"/>
      <c r="G552" s="2">
        <f t="shared" si="48"/>
        <v>18.355</v>
      </c>
      <c r="H552" s="11" t="str">
        <f t="shared" si="49"/>
        <v>3.764E-2</v>
      </c>
      <c r="I552" s="2">
        <f t="shared" si="50"/>
        <v>161.5</v>
      </c>
      <c r="J552" s="4">
        <f t="shared" si="51"/>
        <v>18.355</v>
      </c>
      <c r="K552" s="9">
        <f t="shared" si="52"/>
        <v>6.00000000000003</v>
      </c>
      <c r="L552" s="1">
        <f t="shared" si="53"/>
        <v>-3.49999999999996</v>
      </c>
    </row>
    <row r="553" s="1" customFormat="1" spans="1:12">
      <c r="A553" s="2">
        <v>18.422</v>
      </c>
      <c r="B553" s="10" t="s">
        <v>446</v>
      </c>
      <c r="C553" s="4">
        <v>18.422</v>
      </c>
      <c r="D553" s="5">
        <v>160.4</v>
      </c>
      <c r="E553" s="4"/>
      <c r="F553" s="4"/>
      <c r="G553" s="2">
        <f t="shared" si="48"/>
        <v>18.388</v>
      </c>
      <c r="H553" s="11" t="str">
        <f t="shared" si="49"/>
        <v>3.765E-2</v>
      </c>
      <c r="I553" s="2">
        <f t="shared" si="50"/>
        <v>161.7</v>
      </c>
      <c r="J553" s="4">
        <f t="shared" si="51"/>
        <v>18.388</v>
      </c>
      <c r="K553" s="9">
        <f t="shared" si="52"/>
        <v>6.10000000000006</v>
      </c>
      <c r="L553" s="1">
        <f t="shared" si="53"/>
        <v>-3.49999999999996</v>
      </c>
    </row>
    <row r="554" s="1" customFormat="1" spans="1:12">
      <c r="A554" s="2">
        <v>18.455</v>
      </c>
      <c r="B554" s="10" t="s">
        <v>446</v>
      </c>
      <c r="C554" s="4">
        <v>18.455</v>
      </c>
      <c r="D554" s="5">
        <v>159.2</v>
      </c>
      <c r="E554" s="4"/>
      <c r="F554" s="4"/>
      <c r="G554" s="2">
        <f t="shared" si="48"/>
        <v>18.422</v>
      </c>
      <c r="H554" s="11" t="str">
        <f t="shared" si="49"/>
        <v>3.765E-2</v>
      </c>
      <c r="I554" s="2">
        <f t="shared" si="50"/>
        <v>160.4</v>
      </c>
      <c r="J554" s="4">
        <f t="shared" si="51"/>
        <v>18.422</v>
      </c>
      <c r="K554" s="9">
        <f t="shared" si="52"/>
        <v>6.10000000000006</v>
      </c>
      <c r="L554" s="1">
        <f t="shared" si="53"/>
        <v>-3.49999999999996</v>
      </c>
    </row>
    <row r="555" s="1" customFormat="1" spans="1:12">
      <c r="A555" s="2">
        <v>18.489</v>
      </c>
      <c r="B555" s="10" t="s">
        <v>446</v>
      </c>
      <c r="C555" s="4">
        <v>18.489</v>
      </c>
      <c r="D555" s="5">
        <v>158</v>
      </c>
      <c r="E555" s="4"/>
      <c r="F555" s="4"/>
      <c r="G555" s="2">
        <f t="shared" si="48"/>
        <v>18.455</v>
      </c>
      <c r="H555" s="11" t="str">
        <f t="shared" si="49"/>
        <v>3.765E-2</v>
      </c>
      <c r="I555" s="2">
        <f t="shared" si="50"/>
        <v>159.2</v>
      </c>
      <c r="J555" s="4">
        <f t="shared" si="51"/>
        <v>18.455</v>
      </c>
      <c r="K555" s="9">
        <f t="shared" si="52"/>
        <v>6.10000000000006</v>
      </c>
      <c r="L555" s="1">
        <f t="shared" si="53"/>
        <v>-3.49999999999996</v>
      </c>
    </row>
    <row r="556" s="1" customFormat="1" spans="1:12">
      <c r="A556" s="2">
        <v>18.522</v>
      </c>
      <c r="B556" s="10" t="s">
        <v>445</v>
      </c>
      <c r="C556" s="4">
        <v>18.522</v>
      </c>
      <c r="D556" s="5">
        <v>157.4</v>
      </c>
      <c r="E556" s="4"/>
      <c r="F556" s="4"/>
      <c r="G556" s="2">
        <f t="shared" si="48"/>
        <v>18.489</v>
      </c>
      <c r="H556" s="11" t="str">
        <f t="shared" si="49"/>
        <v>3.765E-2</v>
      </c>
      <c r="I556" s="2">
        <f t="shared" si="50"/>
        <v>158</v>
      </c>
      <c r="J556" s="4">
        <f t="shared" si="51"/>
        <v>18.489</v>
      </c>
      <c r="K556" s="9">
        <f t="shared" si="52"/>
        <v>6.10000000000006</v>
      </c>
      <c r="L556" s="1">
        <f t="shared" si="53"/>
        <v>-3.49999999999996</v>
      </c>
    </row>
    <row r="557" s="1" customFormat="1" spans="1:12">
      <c r="A557" s="2">
        <v>18.555</v>
      </c>
      <c r="B557" s="10" t="s">
        <v>445</v>
      </c>
      <c r="C557" s="4">
        <v>18.555</v>
      </c>
      <c r="D557" s="5">
        <v>156.3</v>
      </c>
      <c r="E557" s="4"/>
      <c r="F557" s="4"/>
      <c r="G557" s="2">
        <f t="shared" si="48"/>
        <v>18.522</v>
      </c>
      <c r="H557" s="11" t="str">
        <f t="shared" si="49"/>
        <v>3.766E-2</v>
      </c>
      <c r="I557" s="2">
        <f t="shared" si="50"/>
        <v>157.4</v>
      </c>
      <c r="J557" s="4">
        <f t="shared" si="51"/>
        <v>18.522</v>
      </c>
      <c r="K557" s="9">
        <f t="shared" si="52"/>
        <v>6.20000000000003</v>
      </c>
      <c r="L557" s="1">
        <f t="shared" si="53"/>
        <v>-3.49999999999996</v>
      </c>
    </row>
    <row r="558" s="1" customFormat="1" spans="1:12">
      <c r="A558" s="2">
        <v>18.589</v>
      </c>
      <c r="B558" s="10" t="s">
        <v>445</v>
      </c>
      <c r="C558" s="4">
        <v>18.589</v>
      </c>
      <c r="D558" s="5">
        <v>155.2</v>
      </c>
      <c r="E558" s="4"/>
      <c r="F558" s="4"/>
      <c r="G558" s="2">
        <f t="shared" si="48"/>
        <v>18.555</v>
      </c>
      <c r="H558" s="11" t="str">
        <f t="shared" si="49"/>
        <v>3.766E-2</v>
      </c>
      <c r="I558" s="2">
        <f t="shared" si="50"/>
        <v>156.3</v>
      </c>
      <c r="J558" s="4">
        <f t="shared" si="51"/>
        <v>18.555</v>
      </c>
      <c r="K558" s="9">
        <f t="shared" si="52"/>
        <v>6.20000000000003</v>
      </c>
      <c r="L558" s="1">
        <f t="shared" si="53"/>
        <v>-3.49999999999996</v>
      </c>
    </row>
    <row r="559" s="1" customFormat="1" spans="1:12">
      <c r="A559" s="2">
        <v>18.622</v>
      </c>
      <c r="B559" s="10" t="s">
        <v>445</v>
      </c>
      <c r="C559" s="4">
        <v>18.622</v>
      </c>
      <c r="D559" s="5">
        <v>154.4</v>
      </c>
      <c r="E559" s="4"/>
      <c r="F559" s="4"/>
      <c r="G559" s="2">
        <f t="shared" si="48"/>
        <v>18.589</v>
      </c>
      <c r="H559" s="11" t="str">
        <f t="shared" si="49"/>
        <v>3.766E-2</v>
      </c>
      <c r="I559" s="2">
        <f t="shared" si="50"/>
        <v>155.2</v>
      </c>
      <c r="J559" s="4">
        <f t="shared" si="51"/>
        <v>18.589</v>
      </c>
      <c r="K559" s="9">
        <f t="shared" si="52"/>
        <v>6.20000000000003</v>
      </c>
      <c r="L559" s="1">
        <f t="shared" si="53"/>
        <v>-3.49999999999996</v>
      </c>
    </row>
    <row r="560" s="1" customFormat="1" spans="1:12">
      <c r="A560" s="2">
        <v>18.656</v>
      </c>
      <c r="B560" s="10" t="s">
        <v>445</v>
      </c>
      <c r="C560" s="4">
        <v>18.656</v>
      </c>
      <c r="D560" s="5">
        <v>153.9</v>
      </c>
      <c r="E560" s="4"/>
      <c r="F560" s="4"/>
      <c r="G560" s="2">
        <f t="shared" si="48"/>
        <v>18.622</v>
      </c>
      <c r="H560" s="11" t="str">
        <f t="shared" si="49"/>
        <v>3.766E-2</v>
      </c>
      <c r="I560" s="2">
        <f t="shared" si="50"/>
        <v>154.4</v>
      </c>
      <c r="J560" s="4">
        <f t="shared" si="51"/>
        <v>18.622</v>
      </c>
      <c r="K560" s="9">
        <f t="shared" si="52"/>
        <v>6.20000000000003</v>
      </c>
      <c r="L560" s="1">
        <f t="shared" si="53"/>
        <v>-3.49999999999996</v>
      </c>
    </row>
    <row r="561" s="1" customFormat="1" spans="1:12">
      <c r="A561" s="2">
        <v>18.689</v>
      </c>
      <c r="B561" s="10" t="s">
        <v>445</v>
      </c>
      <c r="C561" s="4">
        <v>18.689</v>
      </c>
      <c r="D561" s="5">
        <v>152.8</v>
      </c>
      <c r="E561" s="4"/>
      <c r="F561" s="4"/>
      <c r="G561" s="2">
        <f t="shared" si="48"/>
        <v>18.656</v>
      </c>
      <c r="H561" s="11" t="str">
        <f t="shared" si="49"/>
        <v>3.766E-2</v>
      </c>
      <c r="I561" s="2">
        <f t="shared" si="50"/>
        <v>153.9</v>
      </c>
      <c r="J561" s="4">
        <f t="shared" si="51"/>
        <v>18.656</v>
      </c>
      <c r="K561" s="9">
        <f t="shared" si="52"/>
        <v>6.20000000000003</v>
      </c>
      <c r="L561" s="1">
        <f t="shared" si="53"/>
        <v>-3.49999999999996</v>
      </c>
    </row>
    <row r="562" s="1" customFormat="1" spans="1:12">
      <c r="A562" s="2">
        <v>18.723</v>
      </c>
      <c r="B562" s="10" t="s">
        <v>435</v>
      </c>
      <c r="C562" s="4">
        <v>18.723</v>
      </c>
      <c r="D562" s="5">
        <v>152.8</v>
      </c>
      <c r="E562" s="4"/>
      <c r="F562" s="4"/>
      <c r="G562" s="2">
        <f t="shared" si="48"/>
        <v>18.689</v>
      </c>
      <c r="H562" s="11" t="str">
        <f t="shared" si="49"/>
        <v>3.766E-2</v>
      </c>
      <c r="I562" s="2">
        <f t="shared" si="50"/>
        <v>152.8</v>
      </c>
      <c r="J562" s="4">
        <f t="shared" si="51"/>
        <v>18.689</v>
      </c>
      <c r="K562" s="9">
        <f t="shared" si="52"/>
        <v>6.20000000000003</v>
      </c>
      <c r="L562" s="1">
        <f t="shared" si="53"/>
        <v>-3.49999999999996</v>
      </c>
    </row>
    <row r="563" s="1" customFormat="1" spans="1:12">
      <c r="A563" s="2">
        <v>18.756</v>
      </c>
      <c r="B563" s="10" t="s">
        <v>435</v>
      </c>
      <c r="C563" s="4">
        <v>18.756</v>
      </c>
      <c r="D563" s="5">
        <v>151</v>
      </c>
      <c r="E563" s="4"/>
      <c r="F563" s="4"/>
      <c r="G563" s="2">
        <f t="shared" si="48"/>
        <v>18.723</v>
      </c>
      <c r="H563" s="11" t="str">
        <f t="shared" si="49"/>
        <v>3.767E-2</v>
      </c>
      <c r="I563" s="2">
        <f t="shared" si="50"/>
        <v>152.8</v>
      </c>
      <c r="J563" s="4">
        <f t="shared" si="51"/>
        <v>18.723</v>
      </c>
      <c r="K563" s="9">
        <f t="shared" si="52"/>
        <v>6.30000000000006</v>
      </c>
      <c r="L563" s="1">
        <f t="shared" si="53"/>
        <v>-3.49999999999996</v>
      </c>
    </row>
    <row r="564" s="1" customFormat="1" spans="1:12">
      <c r="A564" s="2">
        <v>18.789</v>
      </c>
      <c r="B564" s="10" t="s">
        <v>435</v>
      </c>
      <c r="C564" s="4">
        <v>18.789</v>
      </c>
      <c r="D564" s="5">
        <v>149.9</v>
      </c>
      <c r="E564" s="4"/>
      <c r="F564" s="4"/>
      <c r="G564" s="2">
        <f t="shared" si="48"/>
        <v>18.756</v>
      </c>
      <c r="H564" s="11" t="str">
        <f t="shared" si="49"/>
        <v>3.767E-2</v>
      </c>
      <c r="I564" s="2">
        <f t="shared" si="50"/>
        <v>151</v>
      </c>
      <c r="J564" s="4">
        <f t="shared" si="51"/>
        <v>18.756</v>
      </c>
      <c r="K564" s="9">
        <f t="shared" si="52"/>
        <v>6.30000000000006</v>
      </c>
      <c r="L564" s="1">
        <f t="shared" si="53"/>
        <v>-3.49999999999996</v>
      </c>
    </row>
    <row r="565" s="1" customFormat="1" spans="1:12">
      <c r="A565" s="2">
        <v>18.823</v>
      </c>
      <c r="B565" s="10" t="s">
        <v>462</v>
      </c>
      <c r="C565" s="4">
        <v>18.823</v>
      </c>
      <c r="D565" s="5">
        <v>149.9</v>
      </c>
      <c r="E565" s="4"/>
      <c r="F565" s="4"/>
      <c r="G565" s="2">
        <f t="shared" si="48"/>
        <v>18.789</v>
      </c>
      <c r="H565" s="11" t="str">
        <f t="shared" si="49"/>
        <v>3.767E-2</v>
      </c>
      <c r="I565" s="2">
        <f t="shared" si="50"/>
        <v>149.9</v>
      </c>
      <c r="J565" s="4">
        <f t="shared" si="51"/>
        <v>18.789</v>
      </c>
      <c r="K565" s="9">
        <f t="shared" si="52"/>
        <v>6.30000000000006</v>
      </c>
      <c r="L565" s="1">
        <f t="shared" si="53"/>
        <v>-3.49999999999996</v>
      </c>
    </row>
    <row r="566" s="1" customFormat="1" spans="1:12">
      <c r="A566" s="2">
        <v>18.856</v>
      </c>
      <c r="B566" s="10" t="s">
        <v>435</v>
      </c>
      <c r="C566" s="4">
        <v>18.856</v>
      </c>
      <c r="D566" s="5">
        <v>148.4</v>
      </c>
      <c r="E566" s="4"/>
      <c r="F566" s="4"/>
      <c r="G566" s="2">
        <f t="shared" si="48"/>
        <v>18.823</v>
      </c>
      <c r="H566" s="11" t="str">
        <f t="shared" si="49"/>
        <v>3.768E-2</v>
      </c>
      <c r="I566" s="2">
        <f t="shared" si="50"/>
        <v>149.9</v>
      </c>
      <c r="J566" s="4">
        <f t="shared" si="51"/>
        <v>18.823</v>
      </c>
      <c r="K566" s="9">
        <f t="shared" si="52"/>
        <v>6.40000000000002</v>
      </c>
      <c r="L566" s="1">
        <f t="shared" si="53"/>
        <v>-3.49999999999996</v>
      </c>
    </row>
    <row r="567" s="1" customFormat="1" spans="1:12">
      <c r="A567" s="2">
        <v>18.89</v>
      </c>
      <c r="B567" s="10" t="s">
        <v>435</v>
      </c>
      <c r="C567" s="4">
        <v>18.89</v>
      </c>
      <c r="D567" s="5">
        <v>147.6</v>
      </c>
      <c r="E567" s="4"/>
      <c r="F567" s="4"/>
      <c r="G567" s="2">
        <f t="shared" si="48"/>
        <v>18.856</v>
      </c>
      <c r="H567" s="11" t="str">
        <f t="shared" si="49"/>
        <v>3.767E-2</v>
      </c>
      <c r="I567" s="2">
        <f t="shared" si="50"/>
        <v>148.4</v>
      </c>
      <c r="J567" s="4">
        <f t="shared" si="51"/>
        <v>18.856</v>
      </c>
      <c r="K567" s="9">
        <f t="shared" si="52"/>
        <v>6.30000000000006</v>
      </c>
      <c r="L567" s="1">
        <f t="shared" si="53"/>
        <v>-3.49999999999996</v>
      </c>
    </row>
    <row r="568" s="1" customFormat="1" spans="1:12">
      <c r="A568" s="2">
        <v>18.923</v>
      </c>
      <c r="B568" s="10" t="s">
        <v>435</v>
      </c>
      <c r="C568" s="4">
        <v>18.923</v>
      </c>
      <c r="D568" s="5">
        <v>234</v>
      </c>
      <c r="E568" s="4"/>
      <c r="F568" s="4"/>
      <c r="G568" s="2">
        <f t="shared" si="48"/>
        <v>18.89</v>
      </c>
      <c r="H568" s="11" t="str">
        <f t="shared" si="49"/>
        <v>3.767E-2</v>
      </c>
      <c r="I568" s="2">
        <f t="shared" si="50"/>
        <v>147.6</v>
      </c>
      <c r="J568" s="4">
        <f t="shared" si="51"/>
        <v>18.89</v>
      </c>
      <c r="K568" s="9">
        <f t="shared" si="52"/>
        <v>6.30000000000006</v>
      </c>
      <c r="L568" s="1">
        <f t="shared" si="53"/>
        <v>-3.49999999999996</v>
      </c>
    </row>
    <row r="569" s="1" customFormat="1" spans="1:12">
      <c r="A569" s="2">
        <v>18.957</v>
      </c>
      <c r="B569" s="10" t="s">
        <v>445</v>
      </c>
      <c r="C569" s="4">
        <v>18.957</v>
      </c>
      <c r="D569" s="5">
        <v>253.8</v>
      </c>
      <c r="E569" s="4"/>
      <c r="F569" s="4"/>
      <c r="G569" s="2">
        <f t="shared" si="48"/>
        <v>18.923</v>
      </c>
      <c r="H569" s="11" t="str">
        <f t="shared" si="49"/>
        <v>3.767E-2</v>
      </c>
      <c r="I569" s="2">
        <f t="shared" si="50"/>
        <v>234</v>
      </c>
      <c r="J569" s="4">
        <f t="shared" si="51"/>
        <v>18.923</v>
      </c>
      <c r="K569" s="9">
        <f t="shared" si="52"/>
        <v>6.30000000000006</v>
      </c>
      <c r="L569" s="1">
        <f t="shared" si="53"/>
        <v>16.1</v>
      </c>
    </row>
    <row r="570" s="1" customFormat="1" spans="1:12">
      <c r="A570" s="2">
        <v>18.99</v>
      </c>
      <c r="B570" s="10" t="s">
        <v>446</v>
      </c>
      <c r="C570" s="4">
        <v>18.99</v>
      </c>
      <c r="D570" s="5">
        <v>253.8</v>
      </c>
      <c r="E570" s="4"/>
      <c r="F570" s="4"/>
      <c r="G570" s="2">
        <f t="shared" si="48"/>
        <v>18.957</v>
      </c>
      <c r="H570" s="11" t="str">
        <f t="shared" si="49"/>
        <v>3.766E-2</v>
      </c>
      <c r="I570" s="2">
        <f t="shared" si="50"/>
        <v>253.8</v>
      </c>
      <c r="J570" s="4">
        <f t="shared" si="51"/>
        <v>18.957</v>
      </c>
      <c r="K570" s="9">
        <f t="shared" si="52"/>
        <v>6.20000000000003</v>
      </c>
      <c r="L570" s="1">
        <f t="shared" si="53"/>
        <v>16.1</v>
      </c>
    </row>
    <row r="571" s="1" customFormat="1" spans="1:12">
      <c r="A571" s="2">
        <v>19.023</v>
      </c>
      <c r="B571" s="10" t="s">
        <v>446</v>
      </c>
      <c r="C571" s="4">
        <v>19.023</v>
      </c>
      <c r="D571" s="5">
        <v>253.8</v>
      </c>
      <c r="E571" s="4"/>
      <c r="F571" s="4"/>
      <c r="G571" s="2">
        <f t="shared" si="48"/>
        <v>18.99</v>
      </c>
      <c r="H571" s="11" t="str">
        <f t="shared" si="49"/>
        <v>3.765E-2</v>
      </c>
      <c r="I571" s="2">
        <f t="shared" si="50"/>
        <v>253.8</v>
      </c>
      <c r="J571" s="4">
        <f t="shared" si="51"/>
        <v>18.99</v>
      </c>
      <c r="K571" s="9">
        <f t="shared" si="52"/>
        <v>6.10000000000006</v>
      </c>
      <c r="L571" s="1">
        <f t="shared" si="53"/>
        <v>16.1</v>
      </c>
    </row>
    <row r="572" s="1" customFormat="1" spans="1:12">
      <c r="A572" s="2">
        <v>19.057</v>
      </c>
      <c r="B572" s="10" t="s">
        <v>364</v>
      </c>
      <c r="C572" s="4">
        <v>19.057</v>
      </c>
      <c r="D572" s="5">
        <v>253.7</v>
      </c>
      <c r="E572" s="4"/>
      <c r="F572" s="4"/>
      <c r="G572" s="2">
        <f t="shared" si="48"/>
        <v>19.023</v>
      </c>
      <c r="H572" s="11" t="str">
        <f t="shared" si="49"/>
        <v>3.765E-2</v>
      </c>
      <c r="I572" s="2">
        <f t="shared" si="50"/>
        <v>253.8</v>
      </c>
      <c r="J572" s="4">
        <f t="shared" si="51"/>
        <v>19.023</v>
      </c>
      <c r="K572" s="9">
        <f t="shared" si="52"/>
        <v>6.10000000000006</v>
      </c>
      <c r="L572" s="1">
        <f t="shared" si="53"/>
        <v>16.1</v>
      </c>
    </row>
    <row r="573" s="1" customFormat="1" spans="1:12">
      <c r="A573" s="2">
        <v>19.09</v>
      </c>
      <c r="B573" s="10" t="s">
        <v>447</v>
      </c>
      <c r="C573" s="4">
        <v>19.09</v>
      </c>
      <c r="D573" s="5">
        <v>253.7</v>
      </c>
      <c r="E573" s="4"/>
      <c r="F573" s="4"/>
      <c r="G573" s="2">
        <f t="shared" si="48"/>
        <v>19.057</v>
      </c>
      <c r="H573" s="11" t="str">
        <f t="shared" si="49"/>
        <v>3.764E-2</v>
      </c>
      <c r="I573" s="2">
        <f t="shared" si="50"/>
        <v>253.7</v>
      </c>
      <c r="J573" s="4">
        <f t="shared" si="51"/>
        <v>19.057</v>
      </c>
      <c r="K573" s="9">
        <f t="shared" si="52"/>
        <v>6.00000000000003</v>
      </c>
      <c r="L573" s="1">
        <f t="shared" si="53"/>
        <v>16.1</v>
      </c>
    </row>
    <row r="574" s="1" customFormat="1" spans="1:12">
      <c r="A574" s="2">
        <v>19.124</v>
      </c>
      <c r="B574" s="10" t="s">
        <v>447</v>
      </c>
      <c r="C574" s="4">
        <v>19.124</v>
      </c>
      <c r="D574" s="5">
        <v>253.7</v>
      </c>
      <c r="E574" s="4"/>
      <c r="F574" s="4"/>
      <c r="G574" s="2">
        <f t="shared" si="48"/>
        <v>19.09</v>
      </c>
      <c r="H574" s="11" t="str">
        <f t="shared" si="49"/>
        <v>3.763E-2</v>
      </c>
      <c r="I574" s="2">
        <f t="shared" si="50"/>
        <v>253.7</v>
      </c>
      <c r="J574" s="4">
        <f t="shared" si="51"/>
        <v>19.09</v>
      </c>
      <c r="K574" s="9">
        <f t="shared" si="52"/>
        <v>5.9</v>
      </c>
      <c r="L574" s="1">
        <f t="shared" si="53"/>
        <v>16.1</v>
      </c>
    </row>
    <row r="575" s="1" customFormat="1" spans="1:12">
      <c r="A575" s="2">
        <v>19.157</v>
      </c>
      <c r="B575" s="10" t="s">
        <v>436</v>
      </c>
      <c r="C575" s="4">
        <v>19.157</v>
      </c>
      <c r="D575" s="5">
        <v>253.7</v>
      </c>
      <c r="E575" s="4"/>
      <c r="F575" s="4"/>
      <c r="G575" s="2">
        <f t="shared" si="48"/>
        <v>19.124</v>
      </c>
      <c r="H575" s="11" t="str">
        <f t="shared" si="49"/>
        <v>3.763E-2</v>
      </c>
      <c r="I575" s="2">
        <f t="shared" si="50"/>
        <v>253.7</v>
      </c>
      <c r="J575" s="4">
        <f t="shared" si="51"/>
        <v>19.124</v>
      </c>
      <c r="K575" s="9">
        <f t="shared" si="52"/>
        <v>5.9</v>
      </c>
      <c r="L575" s="1">
        <f t="shared" si="53"/>
        <v>16.1</v>
      </c>
    </row>
    <row r="576" s="1" customFormat="1" spans="1:12">
      <c r="A576" s="2">
        <v>19.191</v>
      </c>
      <c r="B576" s="10" t="s">
        <v>414</v>
      </c>
      <c r="C576" s="4">
        <v>19.191</v>
      </c>
      <c r="D576" s="5">
        <v>253.7</v>
      </c>
      <c r="E576" s="4"/>
      <c r="F576" s="4"/>
      <c r="G576" s="2">
        <f t="shared" si="48"/>
        <v>19.157</v>
      </c>
      <c r="H576" s="11" t="str">
        <f t="shared" si="49"/>
        <v>3.761E-2</v>
      </c>
      <c r="I576" s="2">
        <f t="shared" si="50"/>
        <v>253.7</v>
      </c>
      <c r="J576" s="4">
        <f t="shared" si="51"/>
        <v>19.157</v>
      </c>
      <c r="K576" s="9">
        <f t="shared" si="52"/>
        <v>5.70000000000001</v>
      </c>
      <c r="L576" s="1">
        <f t="shared" si="53"/>
        <v>16.1</v>
      </c>
    </row>
    <row r="577" s="1" customFormat="1" spans="1:12">
      <c r="A577" s="2">
        <v>19.224</v>
      </c>
      <c r="B577" s="10" t="s">
        <v>414</v>
      </c>
      <c r="C577" s="4">
        <v>19.224</v>
      </c>
      <c r="D577" s="5">
        <v>253.7</v>
      </c>
      <c r="E577" s="4"/>
      <c r="F577" s="4"/>
      <c r="G577" s="2">
        <f t="shared" si="48"/>
        <v>19.191</v>
      </c>
      <c r="H577" s="11" t="str">
        <f t="shared" si="49"/>
        <v>3.760E-2</v>
      </c>
      <c r="I577" s="2">
        <f t="shared" si="50"/>
        <v>253.7</v>
      </c>
      <c r="J577" s="4">
        <f t="shared" si="51"/>
        <v>19.191</v>
      </c>
      <c r="K577" s="9">
        <f t="shared" si="52"/>
        <v>5.60000000000005</v>
      </c>
      <c r="L577" s="1">
        <f t="shared" si="53"/>
        <v>16.1</v>
      </c>
    </row>
    <row r="578" s="1" customFormat="1" spans="1:12">
      <c r="A578" s="2">
        <v>19.258</v>
      </c>
      <c r="B578" s="10" t="s">
        <v>439</v>
      </c>
      <c r="C578" s="4">
        <v>19.258</v>
      </c>
      <c r="D578" s="5">
        <v>253.7</v>
      </c>
      <c r="E578" s="4"/>
      <c r="F578" s="4"/>
      <c r="G578" s="2">
        <f t="shared" si="48"/>
        <v>19.224</v>
      </c>
      <c r="H578" s="11" t="str">
        <f t="shared" si="49"/>
        <v>3.760E-2</v>
      </c>
      <c r="I578" s="2">
        <f t="shared" si="50"/>
        <v>253.7</v>
      </c>
      <c r="J578" s="4">
        <f t="shared" si="51"/>
        <v>19.224</v>
      </c>
      <c r="K578" s="9">
        <f t="shared" si="52"/>
        <v>5.60000000000005</v>
      </c>
      <c r="L578" s="1">
        <f t="shared" si="53"/>
        <v>16.1</v>
      </c>
    </row>
    <row r="579" s="1" customFormat="1" spans="1:12">
      <c r="A579" s="2">
        <v>19.291</v>
      </c>
      <c r="B579" s="10" t="s">
        <v>414</v>
      </c>
      <c r="C579" s="4">
        <v>19.291</v>
      </c>
      <c r="D579" s="5">
        <v>253.7</v>
      </c>
      <c r="E579" s="4"/>
      <c r="F579" s="4"/>
      <c r="G579" s="2">
        <f t="shared" si="48"/>
        <v>19.258</v>
      </c>
      <c r="H579" s="11" t="str">
        <f t="shared" si="49"/>
        <v>3.759E-2</v>
      </c>
      <c r="I579" s="2">
        <f t="shared" si="50"/>
        <v>253.7</v>
      </c>
      <c r="J579" s="4">
        <f t="shared" si="51"/>
        <v>19.258</v>
      </c>
      <c r="K579" s="9">
        <f t="shared" si="52"/>
        <v>5.50000000000002</v>
      </c>
      <c r="L579" s="1">
        <f t="shared" si="53"/>
        <v>16.1</v>
      </c>
    </row>
    <row r="580" s="1" customFormat="1" spans="1:12">
      <c r="A580" s="2">
        <v>19.324</v>
      </c>
      <c r="B580" s="10" t="s">
        <v>439</v>
      </c>
      <c r="C580" s="4">
        <v>19.324</v>
      </c>
      <c r="D580" s="5">
        <v>253.7</v>
      </c>
      <c r="E580" s="4"/>
      <c r="F580" s="4"/>
      <c r="G580" s="2">
        <f t="shared" ref="G580:G643" si="54">A579</f>
        <v>19.291</v>
      </c>
      <c r="H580" s="11" t="str">
        <f t="shared" ref="H580:H643" si="55">B579</f>
        <v>3.760E-2</v>
      </c>
      <c r="I580" s="2">
        <f t="shared" ref="I580:I643" si="56">D579</f>
        <v>253.7</v>
      </c>
      <c r="J580" s="4">
        <f t="shared" ref="J580:J643" si="57">G580</f>
        <v>19.291</v>
      </c>
      <c r="K580" s="9">
        <f t="shared" ref="K580:K643" si="58">(H580-$H$4)*10000</f>
        <v>5.60000000000005</v>
      </c>
      <c r="L580" s="1">
        <f t="shared" ref="L580:L643" si="59">IF(I580&lt;230,MIN(K:K),MAX(K:K))</f>
        <v>16.1</v>
      </c>
    </row>
    <row r="581" s="1" customFormat="1" spans="1:12">
      <c r="A581" s="2">
        <v>19.358</v>
      </c>
      <c r="B581" s="10" t="s">
        <v>414</v>
      </c>
      <c r="C581" s="4">
        <v>19.358</v>
      </c>
      <c r="D581" s="5">
        <v>253.8</v>
      </c>
      <c r="E581" s="4"/>
      <c r="F581" s="4"/>
      <c r="G581" s="2">
        <f t="shared" si="54"/>
        <v>19.324</v>
      </c>
      <c r="H581" s="11" t="str">
        <f t="shared" si="55"/>
        <v>3.759E-2</v>
      </c>
      <c r="I581" s="2">
        <f t="shared" si="56"/>
        <v>253.7</v>
      </c>
      <c r="J581" s="4">
        <f t="shared" si="57"/>
        <v>19.324</v>
      </c>
      <c r="K581" s="9">
        <f t="shared" si="58"/>
        <v>5.50000000000002</v>
      </c>
      <c r="L581" s="1">
        <f t="shared" si="59"/>
        <v>16.1</v>
      </c>
    </row>
    <row r="582" s="1" customFormat="1" spans="1:12">
      <c r="A582" s="2">
        <v>19.391</v>
      </c>
      <c r="B582" s="10" t="s">
        <v>436</v>
      </c>
      <c r="C582" s="4">
        <v>19.391</v>
      </c>
      <c r="D582" s="5">
        <v>253.7</v>
      </c>
      <c r="E582" s="4"/>
      <c r="F582" s="4"/>
      <c r="G582" s="2">
        <f t="shared" si="54"/>
        <v>19.358</v>
      </c>
      <c r="H582" s="11" t="str">
        <f t="shared" si="55"/>
        <v>3.760E-2</v>
      </c>
      <c r="I582" s="2">
        <f t="shared" si="56"/>
        <v>253.8</v>
      </c>
      <c r="J582" s="4">
        <f t="shared" si="57"/>
        <v>19.358</v>
      </c>
      <c r="K582" s="9">
        <f t="shared" si="58"/>
        <v>5.60000000000005</v>
      </c>
      <c r="L582" s="1">
        <f t="shared" si="59"/>
        <v>16.1</v>
      </c>
    </row>
    <row r="583" s="1" customFormat="1" spans="1:12">
      <c r="A583" s="2">
        <v>19.425</v>
      </c>
      <c r="B583" s="10" t="s">
        <v>414</v>
      </c>
      <c r="C583" s="4">
        <v>19.425</v>
      </c>
      <c r="D583" s="5">
        <v>253.8</v>
      </c>
      <c r="E583" s="4"/>
      <c r="F583" s="4"/>
      <c r="G583" s="2">
        <f t="shared" si="54"/>
        <v>19.391</v>
      </c>
      <c r="H583" s="11" t="str">
        <f t="shared" si="55"/>
        <v>3.761E-2</v>
      </c>
      <c r="I583" s="2">
        <f t="shared" si="56"/>
        <v>253.7</v>
      </c>
      <c r="J583" s="4">
        <f t="shared" si="57"/>
        <v>19.391</v>
      </c>
      <c r="K583" s="9">
        <f t="shared" si="58"/>
        <v>5.70000000000001</v>
      </c>
      <c r="L583" s="1">
        <f t="shared" si="59"/>
        <v>16.1</v>
      </c>
    </row>
    <row r="584" s="1" customFormat="1" spans="1:12">
      <c r="A584" s="2">
        <v>19.458</v>
      </c>
      <c r="B584" s="10" t="s">
        <v>440</v>
      </c>
      <c r="C584" s="4">
        <v>19.458</v>
      </c>
      <c r="D584" s="5">
        <v>253.8</v>
      </c>
      <c r="E584" s="4"/>
      <c r="F584" s="4"/>
      <c r="G584" s="2">
        <f t="shared" si="54"/>
        <v>19.425</v>
      </c>
      <c r="H584" s="11" t="str">
        <f t="shared" si="55"/>
        <v>3.760E-2</v>
      </c>
      <c r="I584" s="2">
        <f t="shared" si="56"/>
        <v>253.8</v>
      </c>
      <c r="J584" s="4">
        <f t="shared" si="57"/>
        <v>19.425</v>
      </c>
      <c r="K584" s="9">
        <f t="shared" si="58"/>
        <v>5.60000000000005</v>
      </c>
      <c r="L584" s="1">
        <f t="shared" si="59"/>
        <v>16.1</v>
      </c>
    </row>
    <row r="585" s="1" customFormat="1" spans="1:12">
      <c r="A585" s="2">
        <v>19.492</v>
      </c>
      <c r="B585" s="10" t="s">
        <v>364</v>
      </c>
      <c r="C585" s="4">
        <v>19.492</v>
      </c>
      <c r="D585" s="5">
        <v>253.8</v>
      </c>
      <c r="E585" s="4"/>
      <c r="F585" s="4"/>
      <c r="G585" s="2">
        <f t="shared" si="54"/>
        <v>19.458</v>
      </c>
      <c r="H585" s="11" t="str">
        <f t="shared" si="55"/>
        <v>3.762E-2</v>
      </c>
      <c r="I585" s="2">
        <f t="shared" si="56"/>
        <v>253.8</v>
      </c>
      <c r="J585" s="4">
        <f t="shared" si="57"/>
        <v>19.458</v>
      </c>
      <c r="K585" s="9">
        <f t="shared" si="58"/>
        <v>5.80000000000004</v>
      </c>
      <c r="L585" s="1">
        <f t="shared" si="59"/>
        <v>16.1</v>
      </c>
    </row>
    <row r="586" s="1" customFormat="1" spans="1:12">
      <c r="A586" s="2">
        <v>19.525</v>
      </c>
      <c r="B586" s="10" t="s">
        <v>364</v>
      </c>
      <c r="C586" s="4">
        <v>19.525</v>
      </c>
      <c r="D586" s="5">
        <v>253.7</v>
      </c>
      <c r="E586" s="4"/>
      <c r="F586" s="4"/>
      <c r="G586" s="2">
        <f t="shared" si="54"/>
        <v>19.492</v>
      </c>
      <c r="H586" s="11" t="str">
        <f t="shared" si="55"/>
        <v>3.764E-2</v>
      </c>
      <c r="I586" s="2">
        <f t="shared" si="56"/>
        <v>253.8</v>
      </c>
      <c r="J586" s="4">
        <f t="shared" si="57"/>
        <v>19.492</v>
      </c>
      <c r="K586" s="9">
        <f t="shared" si="58"/>
        <v>6.00000000000003</v>
      </c>
      <c r="L586" s="1">
        <f t="shared" si="59"/>
        <v>16.1</v>
      </c>
    </row>
    <row r="587" s="1" customFormat="1" spans="1:12">
      <c r="A587" s="2">
        <v>19.558</v>
      </c>
      <c r="B587" s="10" t="s">
        <v>446</v>
      </c>
      <c r="C587" s="4">
        <v>19.558</v>
      </c>
      <c r="D587" s="5">
        <v>253.7</v>
      </c>
      <c r="E587" s="4"/>
      <c r="F587" s="4"/>
      <c r="G587" s="2">
        <f t="shared" si="54"/>
        <v>19.525</v>
      </c>
      <c r="H587" s="11" t="str">
        <f t="shared" si="55"/>
        <v>3.764E-2</v>
      </c>
      <c r="I587" s="2">
        <f t="shared" si="56"/>
        <v>253.7</v>
      </c>
      <c r="J587" s="4">
        <f t="shared" si="57"/>
        <v>19.525</v>
      </c>
      <c r="K587" s="9">
        <f t="shared" si="58"/>
        <v>6.00000000000003</v>
      </c>
      <c r="L587" s="1">
        <f t="shared" si="59"/>
        <v>16.1</v>
      </c>
    </row>
    <row r="588" s="1" customFormat="1" spans="1:12">
      <c r="A588" s="2">
        <v>19.592</v>
      </c>
      <c r="B588" s="10" t="s">
        <v>445</v>
      </c>
      <c r="C588" s="4">
        <v>19.592</v>
      </c>
      <c r="D588" s="5">
        <v>253.7</v>
      </c>
      <c r="E588" s="4"/>
      <c r="F588" s="4"/>
      <c r="G588" s="2">
        <f t="shared" si="54"/>
        <v>19.558</v>
      </c>
      <c r="H588" s="11" t="str">
        <f t="shared" si="55"/>
        <v>3.765E-2</v>
      </c>
      <c r="I588" s="2">
        <f t="shared" si="56"/>
        <v>253.7</v>
      </c>
      <c r="J588" s="4">
        <f t="shared" si="57"/>
        <v>19.558</v>
      </c>
      <c r="K588" s="9">
        <f t="shared" si="58"/>
        <v>6.10000000000006</v>
      </c>
      <c r="L588" s="1">
        <f t="shared" si="59"/>
        <v>16.1</v>
      </c>
    </row>
    <row r="589" s="1" customFormat="1" spans="1:12">
      <c r="A589" s="2">
        <v>19.625</v>
      </c>
      <c r="B589" s="10" t="s">
        <v>462</v>
      </c>
      <c r="C589" s="4">
        <v>19.625</v>
      </c>
      <c r="D589" s="5">
        <v>253.7</v>
      </c>
      <c r="E589" s="4"/>
      <c r="F589" s="4"/>
      <c r="G589" s="2">
        <f t="shared" si="54"/>
        <v>19.592</v>
      </c>
      <c r="H589" s="11" t="str">
        <f t="shared" si="55"/>
        <v>3.766E-2</v>
      </c>
      <c r="I589" s="2">
        <f t="shared" si="56"/>
        <v>253.7</v>
      </c>
      <c r="J589" s="4">
        <f t="shared" si="57"/>
        <v>19.592</v>
      </c>
      <c r="K589" s="9">
        <f t="shared" si="58"/>
        <v>6.20000000000003</v>
      </c>
      <c r="L589" s="1">
        <f t="shared" si="59"/>
        <v>16.1</v>
      </c>
    </row>
    <row r="590" s="1" customFormat="1" spans="1:12">
      <c r="A590" s="2">
        <v>19.659</v>
      </c>
      <c r="B590" s="10" t="s">
        <v>444</v>
      </c>
      <c r="C590" s="4">
        <v>19.659</v>
      </c>
      <c r="D590" s="5">
        <v>253.7</v>
      </c>
      <c r="E590" s="4"/>
      <c r="F590" s="4"/>
      <c r="G590" s="2">
        <f t="shared" si="54"/>
        <v>19.625</v>
      </c>
      <c r="H590" s="11" t="str">
        <f t="shared" si="55"/>
        <v>3.768E-2</v>
      </c>
      <c r="I590" s="2">
        <f t="shared" si="56"/>
        <v>253.7</v>
      </c>
      <c r="J590" s="4">
        <f t="shared" si="57"/>
        <v>19.625</v>
      </c>
      <c r="K590" s="9">
        <f t="shared" si="58"/>
        <v>6.40000000000002</v>
      </c>
      <c r="L590" s="1">
        <f t="shared" si="59"/>
        <v>16.1</v>
      </c>
    </row>
    <row r="591" s="1" customFormat="1" spans="1:12">
      <c r="A591" s="2">
        <v>19.692</v>
      </c>
      <c r="B591" s="10" t="s">
        <v>382</v>
      </c>
      <c r="C591" s="4">
        <v>19.692</v>
      </c>
      <c r="D591" s="5">
        <v>253.7</v>
      </c>
      <c r="E591" s="4"/>
      <c r="F591" s="4"/>
      <c r="G591" s="2">
        <f t="shared" si="54"/>
        <v>19.659</v>
      </c>
      <c r="H591" s="11" t="str">
        <f t="shared" si="55"/>
        <v>3.769E-2</v>
      </c>
      <c r="I591" s="2">
        <f t="shared" si="56"/>
        <v>253.7</v>
      </c>
      <c r="J591" s="4">
        <f t="shared" si="57"/>
        <v>19.659</v>
      </c>
      <c r="K591" s="9">
        <f t="shared" si="58"/>
        <v>6.50000000000005</v>
      </c>
      <c r="L591" s="1">
        <f t="shared" si="59"/>
        <v>16.1</v>
      </c>
    </row>
    <row r="592" s="1" customFormat="1" spans="1:12">
      <c r="A592" s="2">
        <v>19.726</v>
      </c>
      <c r="B592" s="10" t="s">
        <v>448</v>
      </c>
      <c r="C592" s="4">
        <v>19.726</v>
      </c>
      <c r="D592" s="5">
        <v>253.7</v>
      </c>
      <c r="E592" s="4"/>
      <c r="F592" s="4"/>
      <c r="G592" s="2">
        <f t="shared" si="54"/>
        <v>19.692</v>
      </c>
      <c r="H592" s="11" t="str">
        <f t="shared" si="55"/>
        <v>3.771E-2</v>
      </c>
      <c r="I592" s="2">
        <f t="shared" si="56"/>
        <v>253.7</v>
      </c>
      <c r="J592" s="4">
        <f t="shared" si="57"/>
        <v>19.692</v>
      </c>
      <c r="K592" s="9">
        <f t="shared" si="58"/>
        <v>6.70000000000004</v>
      </c>
      <c r="L592" s="1">
        <f t="shared" si="59"/>
        <v>16.1</v>
      </c>
    </row>
    <row r="593" s="1" customFormat="1" spans="1:12">
      <c r="A593" s="2">
        <v>19.759</v>
      </c>
      <c r="B593" s="10" t="s">
        <v>395</v>
      </c>
      <c r="C593" s="4">
        <v>19.759</v>
      </c>
      <c r="D593" s="5">
        <v>253.7</v>
      </c>
      <c r="E593" s="4"/>
      <c r="F593" s="4"/>
      <c r="G593" s="2">
        <f t="shared" si="54"/>
        <v>19.726</v>
      </c>
      <c r="H593" s="11" t="str">
        <f t="shared" si="55"/>
        <v>3.772E-2</v>
      </c>
      <c r="I593" s="2">
        <f t="shared" si="56"/>
        <v>253.7</v>
      </c>
      <c r="J593" s="4">
        <f t="shared" si="57"/>
        <v>19.726</v>
      </c>
      <c r="K593" s="9">
        <f t="shared" si="58"/>
        <v>6.8</v>
      </c>
      <c r="L593" s="1">
        <f t="shared" si="59"/>
        <v>16.1</v>
      </c>
    </row>
    <row r="594" s="1" customFormat="1" spans="1:12">
      <c r="A594" s="2">
        <v>19.792</v>
      </c>
      <c r="B594" s="10" t="s">
        <v>443</v>
      </c>
      <c r="C594" s="4">
        <v>19.792</v>
      </c>
      <c r="D594" s="5">
        <v>147.6</v>
      </c>
      <c r="E594" s="4"/>
      <c r="F594" s="4"/>
      <c r="G594" s="2">
        <f t="shared" si="54"/>
        <v>19.759</v>
      </c>
      <c r="H594" s="11" t="str">
        <f t="shared" si="55"/>
        <v>3.774E-2</v>
      </c>
      <c r="I594" s="2">
        <f t="shared" si="56"/>
        <v>253.7</v>
      </c>
      <c r="J594" s="4">
        <f t="shared" si="57"/>
        <v>19.759</v>
      </c>
      <c r="K594" s="9">
        <f t="shared" si="58"/>
        <v>7.00000000000006</v>
      </c>
      <c r="L594" s="1">
        <f t="shared" si="59"/>
        <v>16.1</v>
      </c>
    </row>
    <row r="595" s="1" customFormat="1" spans="1:12">
      <c r="A595" s="2">
        <v>19.826</v>
      </c>
      <c r="B595" s="10" t="s">
        <v>442</v>
      </c>
      <c r="C595" s="4">
        <v>19.826</v>
      </c>
      <c r="D595" s="5">
        <v>170.9</v>
      </c>
      <c r="E595" s="4"/>
      <c r="F595" s="4"/>
      <c r="G595" s="2">
        <f t="shared" si="54"/>
        <v>19.792</v>
      </c>
      <c r="H595" s="11" t="str">
        <f t="shared" si="55"/>
        <v>3.775E-2</v>
      </c>
      <c r="I595" s="2">
        <f t="shared" si="56"/>
        <v>147.6</v>
      </c>
      <c r="J595" s="4">
        <f t="shared" si="57"/>
        <v>19.792</v>
      </c>
      <c r="K595" s="9">
        <f t="shared" si="58"/>
        <v>7.10000000000002</v>
      </c>
      <c r="L595" s="1">
        <f t="shared" si="59"/>
        <v>-3.49999999999996</v>
      </c>
    </row>
    <row r="596" s="1" customFormat="1" spans="1:12">
      <c r="A596" s="2">
        <v>19.859</v>
      </c>
      <c r="B596" s="10" t="s">
        <v>434</v>
      </c>
      <c r="C596" s="4">
        <v>19.859</v>
      </c>
      <c r="D596" s="5">
        <v>169</v>
      </c>
      <c r="E596" s="4"/>
      <c r="F596" s="4"/>
      <c r="G596" s="2">
        <f t="shared" si="54"/>
        <v>19.826</v>
      </c>
      <c r="H596" s="11" t="str">
        <f t="shared" si="55"/>
        <v>3.777E-2</v>
      </c>
      <c r="I596" s="2">
        <f t="shared" si="56"/>
        <v>170.9</v>
      </c>
      <c r="J596" s="4">
        <f t="shared" si="57"/>
        <v>19.826</v>
      </c>
      <c r="K596" s="9">
        <f t="shared" si="58"/>
        <v>7.30000000000001</v>
      </c>
      <c r="L596" s="1">
        <f t="shared" si="59"/>
        <v>-3.49999999999996</v>
      </c>
    </row>
    <row r="597" s="1" customFormat="1" spans="1:12">
      <c r="A597" s="2">
        <v>19.893</v>
      </c>
      <c r="B597" s="10" t="s">
        <v>434</v>
      </c>
      <c r="C597" s="4">
        <v>19.893</v>
      </c>
      <c r="D597" s="5">
        <v>168.4</v>
      </c>
      <c r="E597" s="4"/>
      <c r="F597" s="4"/>
      <c r="G597" s="2">
        <f t="shared" si="54"/>
        <v>19.859</v>
      </c>
      <c r="H597" s="11" t="str">
        <f t="shared" si="55"/>
        <v>3.778E-2</v>
      </c>
      <c r="I597" s="2">
        <f t="shared" si="56"/>
        <v>169</v>
      </c>
      <c r="J597" s="4">
        <f t="shared" si="57"/>
        <v>19.859</v>
      </c>
      <c r="K597" s="9">
        <f t="shared" si="58"/>
        <v>7.40000000000005</v>
      </c>
      <c r="L597" s="1">
        <f t="shared" si="59"/>
        <v>-3.49999999999996</v>
      </c>
    </row>
    <row r="598" s="1" customFormat="1" spans="1:12">
      <c r="A598" s="2">
        <v>19.926</v>
      </c>
      <c r="B598" s="10" t="s">
        <v>413</v>
      </c>
      <c r="C598" s="4">
        <v>19.926</v>
      </c>
      <c r="D598" s="5">
        <v>167.4</v>
      </c>
      <c r="E598" s="4"/>
      <c r="F598" s="4"/>
      <c r="G598" s="2">
        <f t="shared" si="54"/>
        <v>19.893</v>
      </c>
      <c r="H598" s="11" t="str">
        <f t="shared" si="55"/>
        <v>3.778E-2</v>
      </c>
      <c r="I598" s="2">
        <f t="shared" si="56"/>
        <v>168.4</v>
      </c>
      <c r="J598" s="4">
        <f t="shared" si="57"/>
        <v>19.893</v>
      </c>
      <c r="K598" s="9">
        <f t="shared" si="58"/>
        <v>7.40000000000005</v>
      </c>
      <c r="L598" s="1">
        <f t="shared" si="59"/>
        <v>-3.49999999999996</v>
      </c>
    </row>
    <row r="599" s="1" customFormat="1" spans="1:12">
      <c r="A599" s="2">
        <v>19.96</v>
      </c>
      <c r="B599" s="10" t="s">
        <v>449</v>
      </c>
      <c r="C599" s="4">
        <v>19.96</v>
      </c>
      <c r="D599" s="5">
        <v>166.1</v>
      </c>
      <c r="E599" s="4"/>
      <c r="F599" s="4"/>
      <c r="G599" s="2">
        <f t="shared" si="54"/>
        <v>19.926</v>
      </c>
      <c r="H599" s="11" t="str">
        <f t="shared" si="55"/>
        <v>3.779E-2</v>
      </c>
      <c r="I599" s="2">
        <f t="shared" si="56"/>
        <v>167.4</v>
      </c>
      <c r="J599" s="4">
        <f t="shared" si="57"/>
        <v>19.926</v>
      </c>
      <c r="K599" s="9">
        <f t="shared" si="58"/>
        <v>7.50000000000001</v>
      </c>
      <c r="L599" s="1">
        <f t="shared" si="59"/>
        <v>-3.49999999999996</v>
      </c>
    </row>
    <row r="600" s="1" customFormat="1" spans="1:12">
      <c r="A600" s="2">
        <v>19.993</v>
      </c>
      <c r="B600" s="10" t="s">
        <v>413</v>
      </c>
      <c r="C600" s="4">
        <v>19.993</v>
      </c>
      <c r="D600" s="5">
        <v>165.1</v>
      </c>
      <c r="E600" s="4"/>
      <c r="F600" s="4"/>
      <c r="G600" s="2">
        <f t="shared" si="54"/>
        <v>19.96</v>
      </c>
      <c r="H600" s="11" t="str">
        <f t="shared" si="55"/>
        <v>3.780E-2</v>
      </c>
      <c r="I600" s="2">
        <f t="shared" si="56"/>
        <v>166.1</v>
      </c>
      <c r="J600" s="4">
        <f t="shared" si="57"/>
        <v>19.96</v>
      </c>
      <c r="K600" s="9">
        <f t="shared" si="58"/>
        <v>7.60000000000004</v>
      </c>
      <c r="L600" s="1">
        <f t="shared" si="59"/>
        <v>-3.49999999999996</v>
      </c>
    </row>
    <row r="601" s="1" customFormat="1" spans="1:12">
      <c r="A601" s="2">
        <v>20.026</v>
      </c>
      <c r="B601" s="10" t="s">
        <v>413</v>
      </c>
      <c r="C601" s="4">
        <v>20.026</v>
      </c>
      <c r="D601" s="5">
        <v>165.7</v>
      </c>
      <c r="E601" s="4"/>
      <c r="F601" s="4"/>
      <c r="G601" s="2">
        <f t="shared" si="54"/>
        <v>19.993</v>
      </c>
      <c r="H601" s="11" t="str">
        <f t="shared" si="55"/>
        <v>3.779E-2</v>
      </c>
      <c r="I601" s="2">
        <f t="shared" si="56"/>
        <v>165.1</v>
      </c>
      <c r="J601" s="4">
        <f t="shared" si="57"/>
        <v>19.993</v>
      </c>
      <c r="K601" s="9">
        <f t="shared" si="58"/>
        <v>7.50000000000001</v>
      </c>
      <c r="L601" s="1">
        <f t="shared" si="59"/>
        <v>-3.49999999999996</v>
      </c>
    </row>
    <row r="602" s="1" customFormat="1" spans="1:12">
      <c r="A602" s="2">
        <v>20.06</v>
      </c>
      <c r="B602" s="10" t="s">
        <v>413</v>
      </c>
      <c r="C602" s="4">
        <v>20.06</v>
      </c>
      <c r="D602" s="5">
        <v>164.5</v>
      </c>
      <c r="E602" s="4"/>
      <c r="F602" s="4"/>
      <c r="G602" s="2">
        <f t="shared" si="54"/>
        <v>20.026</v>
      </c>
      <c r="H602" s="11" t="str">
        <f t="shared" si="55"/>
        <v>3.779E-2</v>
      </c>
      <c r="I602" s="2">
        <f t="shared" si="56"/>
        <v>165.7</v>
      </c>
      <c r="J602" s="4">
        <f t="shared" si="57"/>
        <v>20.026</v>
      </c>
      <c r="K602" s="9">
        <f t="shared" si="58"/>
        <v>7.50000000000001</v>
      </c>
      <c r="L602" s="1">
        <f t="shared" si="59"/>
        <v>-3.49999999999996</v>
      </c>
    </row>
    <row r="603" s="1" customFormat="1" spans="1:12">
      <c r="A603" s="2">
        <v>20.093</v>
      </c>
      <c r="B603" s="10" t="s">
        <v>442</v>
      </c>
      <c r="C603" s="4">
        <v>20.093</v>
      </c>
      <c r="D603" s="5">
        <v>163</v>
      </c>
      <c r="E603" s="4"/>
      <c r="F603" s="4"/>
      <c r="G603" s="2">
        <f t="shared" si="54"/>
        <v>20.06</v>
      </c>
      <c r="H603" s="11" t="str">
        <f t="shared" si="55"/>
        <v>3.779E-2</v>
      </c>
      <c r="I603" s="2">
        <f t="shared" si="56"/>
        <v>164.5</v>
      </c>
      <c r="J603" s="4">
        <f t="shared" si="57"/>
        <v>20.06</v>
      </c>
      <c r="K603" s="9">
        <f t="shared" si="58"/>
        <v>7.50000000000001</v>
      </c>
      <c r="L603" s="1">
        <f t="shared" si="59"/>
        <v>-3.49999999999996</v>
      </c>
    </row>
    <row r="604" s="1" customFormat="1" spans="1:12">
      <c r="A604" s="2">
        <v>20.127</v>
      </c>
      <c r="B604" s="10" t="s">
        <v>441</v>
      </c>
      <c r="C604" s="4">
        <v>20.127</v>
      </c>
      <c r="D604" s="5">
        <v>162.5</v>
      </c>
      <c r="E604" s="4"/>
      <c r="F604" s="4"/>
      <c r="G604" s="2">
        <f t="shared" si="54"/>
        <v>20.093</v>
      </c>
      <c r="H604" s="11" t="str">
        <f t="shared" si="55"/>
        <v>3.777E-2</v>
      </c>
      <c r="I604" s="2">
        <f t="shared" si="56"/>
        <v>163</v>
      </c>
      <c r="J604" s="4">
        <f t="shared" si="57"/>
        <v>20.093</v>
      </c>
      <c r="K604" s="9">
        <f t="shared" si="58"/>
        <v>7.30000000000001</v>
      </c>
      <c r="L604" s="1">
        <f t="shared" si="59"/>
        <v>-3.49999999999996</v>
      </c>
    </row>
    <row r="605" s="1" customFormat="1" spans="1:12">
      <c r="A605" s="2">
        <v>20.16</v>
      </c>
      <c r="B605" s="10" t="s">
        <v>395</v>
      </c>
      <c r="C605" s="4">
        <v>20.16</v>
      </c>
      <c r="D605" s="5">
        <v>161.1</v>
      </c>
      <c r="E605" s="4"/>
      <c r="F605" s="4"/>
      <c r="G605" s="2">
        <f t="shared" si="54"/>
        <v>20.127</v>
      </c>
      <c r="H605" s="11" t="str">
        <f t="shared" si="55"/>
        <v>3.776E-2</v>
      </c>
      <c r="I605" s="2">
        <f t="shared" si="56"/>
        <v>162.5</v>
      </c>
      <c r="J605" s="4">
        <f t="shared" si="57"/>
        <v>20.127</v>
      </c>
      <c r="K605" s="9">
        <f t="shared" si="58"/>
        <v>7.20000000000005</v>
      </c>
      <c r="L605" s="1">
        <f t="shared" si="59"/>
        <v>-3.49999999999996</v>
      </c>
    </row>
    <row r="606" s="1" customFormat="1" spans="1:12">
      <c r="A606" s="2">
        <v>20.194</v>
      </c>
      <c r="B606" s="10" t="s">
        <v>395</v>
      </c>
      <c r="C606" s="4">
        <v>20.194</v>
      </c>
      <c r="D606" s="5">
        <v>159.7</v>
      </c>
      <c r="E606" s="4"/>
      <c r="F606" s="4"/>
      <c r="G606" s="2">
        <f t="shared" si="54"/>
        <v>20.16</v>
      </c>
      <c r="H606" s="11" t="str">
        <f t="shared" si="55"/>
        <v>3.774E-2</v>
      </c>
      <c r="I606" s="2">
        <f t="shared" si="56"/>
        <v>161.1</v>
      </c>
      <c r="J606" s="4">
        <f t="shared" si="57"/>
        <v>20.16</v>
      </c>
      <c r="K606" s="9">
        <f t="shared" si="58"/>
        <v>7.00000000000006</v>
      </c>
      <c r="L606" s="1">
        <f t="shared" si="59"/>
        <v>-3.49999999999996</v>
      </c>
    </row>
    <row r="607" s="1" customFormat="1" spans="1:12">
      <c r="A607" s="2">
        <v>20.227</v>
      </c>
      <c r="B607" s="10" t="s">
        <v>448</v>
      </c>
      <c r="C607" s="4">
        <v>20.227</v>
      </c>
      <c r="D607" s="5">
        <v>159.2</v>
      </c>
      <c r="E607" s="4"/>
      <c r="F607" s="4"/>
      <c r="G607" s="2">
        <f t="shared" si="54"/>
        <v>20.194</v>
      </c>
      <c r="H607" s="11" t="str">
        <f t="shared" si="55"/>
        <v>3.774E-2</v>
      </c>
      <c r="I607" s="2">
        <f t="shared" si="56"/>
        <v>159.7</v>
      </c>
      <c r="J607" s="4">
        <f t="shared" si="57"/>
        <v>20.194</v>
      </c>
      <c r="K607" s="9">
        <f t="shared" si="58"/>
        <v>7.00000000000006</v>
      </c>
      <c r="L607" s="1">
        <f t="shared" si="59"/>
        <v>-3.49999999999996</v>
      </c>
    </row>
    <row r="608" s="1" customFormat="1" spans="1:12">
      <c r="A608" s="2">
        <v>20.261</v>
      </c>
      <c r="B608" s="10" t="s">
        <v>444</v>
      </c>
      <c r="C608" s="4">
        <v>20.261</v>
      </c>
      <c r="D608" s="5">
        <v>158</v>
      </c>
      <c r="E608" s="4"/>
      <c r="F608" s="4"/>
      <c r="G608" s="2">
        <f t="shared" si="54"/>
        <v>20.227</v>
      </c>
      <c r="H608" s="11" t="str">
        <f t="shared" si="55"/>
        <v>3.772E-2</v>
      </c>
      <c r="I608" s="2">
        <f t="shared" si="56"/>
        <v>159.2</v>
      </c>
      <c r="J608" s="4">
        <f t="shared" si="57"/>
        <v>20.227</v>
      </c>
      <c r="K608" s="9">
        <f t="shared" si="58"/>
        <v>6.8</v>
      </c>
      <c r="L608" s="1">
        <f t="shared" si="59"/>
        <v>-3.49999999999996</v>
      </c>
    </row>
    <row r="609" s="1" customFormat="1" spans="1:12">
      <c r="A609" s="2">
        <v>20.294</v>
      </c>
      <c r="B609" s="10" t="s">
        <v>444</v>
      </c>
      <c r="C609" s="4">
        <v>20.294</v>
      </c>
      <c r="D609" s="5">
        <v>157.7</v>
      </c>
      <c r="E609" s="4"/>
      <c r="F609" s="4"/>
      <c r="G609" s="2">
        <f t="shared" si="54"/>
        <v>20.261</v>
      </c>
      <c r="H609" s="11" t="str">
        <f t="shared" si="55"/>
        <v>3.769E-2</v>
      </c>
      <c r="I609" s="2">
        <f t="shared" si="56"/>
        <v>158</v>
      </c>
      <c r="J609" s="4">
        <f t="shared" si="57"/>
        <v>20.261</v>
      </c>
      <c r="K609" s="9">
        <f t="shared" si="58"/>
        <v>6.50000000000005</v>
      </c>
      <c r="L609" s="1">
        <f t="shared" si="59"/>
        <v>-3.49999999999996</v>
      </c>
    </row>
    <row r="610" s="1" customFormat="1" spans="1:12">
      <c r="A610" s="2">
        <v>20.327</v>
      </c>
      <c r="B610" s="10" t="s">
        <v>435</v>
      </c>
      <c r="C610" s="4">
        <v>20.327</v>
      </c>
      <c r="D610" s="5">
        <v>157.3</v>
      </c>
      <c r="E610" s="4"/>
      <c r="F610" s="4"/>
      <c r="G610" s="2">
        <f t="shared" si="54"/>
        <v>20.294</v>
      </c>
      <c r="H610" s="11" t="str">
        <f t="shared" si="55"/>
        <v>3.769E-2</v>
      </c>
      <c r="I610" s="2">
        <f t="shared" si="56"/>
        <v>157.7</v>
      </c>
      <c r="J610" s="4">
        <f t="shared" si="57"/>
        <v>20.294</v>
      </c>
      <c r="K610" s="9">
        <f t="shared" si="58"/>
        <v>6.50000000000005</v>
      </c>
      <c r="L610" s="1">
        <f t="shared" si="59"/>
        <v>-3.49999999999996</v>
      </c>
    </row>
    <row r="611" s="1" customFormat="1" spans="1:12">
      <c r="A611" s="2">
        <v>20.361</v>
      </c>
      <c r="B611" s="10" t="s">
        <v>445</v>
      </c>
      <c r="C611" s="4">
        <v>20.361</v>
      </c>
      <c r="D611" s="5">
        <v>156.1</v>
      </c>
      <c r="E611" s="4"/>
      <c r="F611" s="4"/>
      <c r="G611" s="2">
        <f t="shared" si="54"/>
        <v>20.327</v>
      </c>
      <c r="H611" s="11" t="str">
        <f t="shared" si="55"/>
        <v>3.767E-2</v>
      </c>
      <c r="I611" s="2">
        <f t="shared" si="56"/>
        <v>157.3</v>
      </c>
      <c r="J611" s="4">
        <f t="shared" si="57"/>
        <v>20.327</v>
      </c>
      <c r="K611" s="9">
        <f t="shared" si="58"/>
        <v>6.30000000000006</v>
      </c>
      <c r="L611" s="1">
        <f t="shared" si="59"/>
        <v>-3.49999999999996</v>
      </c>
    </row>
    <row r="612" s="1" customFormat="1" spans="1:12">
      <c r="A612" s="2">
        <v>20.394</v>
      </c>
      <c r="B612" s="10" t="s">
        <v>364</v>
      </c>
      <c r="C612" s="4">
        <v>20.394</v>
      </c>
      <c r="D612" s="5">
        <v>155.1</v>
      </c>
      <c r="E612" s="4"/>
      <c r="F612" s="4"/>
      <c r="G612" s="2">
        <f t="shared" si="54"/>
        <v>20.361</v>
      </c>
      <c r="H612" s="11" t="str">
        <f t="shared" si="55"/>
        <v>3.766E-2</v>
      </c>
      <c r="I612" s="2">
        <f t="shared" si="56"/>
        <v>156.1</v>
      </c>
      <c r="J612" s="4">
        <f t="shared" si="57"/>
        <v>20.361</v>
      </c>
      <c r="K612" s="9">
        <f t="shared" si="58"/>
        <v>6.20000000000003</v>
      </c>
      <c r="L612" s="1">
        <f t="shared" si="59"/>
        <v>-3.49999999999996</v>
      </c>
    </row>
    <row r="613" s="1" customFormat="1" spans="1:12">
      <c r="A613" s="2">
        <v>20.428</v>
      </c>
      <c r="B613" s="10" t="s">
        <v>436</v>
      </c>
      <c r="C613" s="4">
        <v>20.428</v>
      </c>
      <c r="D613" s="5">
        <v>153.6</v>
      </c>
      <c r="E613" s="4"/>
      <c r="F613" s="4"/>
      <c r="G613" s="2">
        <f t="shared" si="54"/>
        <v>20.394</v>
      </c>
      <c r="H613" s="11" t="str">
        <f t="shared" si="55"/>
        <v>3.764E-2</v>
      </c>
      <c r="I613" s="2">
        <f t="shared" si="56"/>
        <v>155.1</v>
      </c>
      <c r="J613" s="4">
        <f t="shared" si="57"/>
        <v>20.394</v>
      </c>
      <c r="K613" s="9">
        <f t="shared" si="58"/>
        <v>6.00000000000003</v>
      </c>
      <c r="L613" s="1">
        <f t="shared" si="59"/>
        <v>-3.49999999999996</v>
      </c>
    </row>
    <row r="614" s="1" customFormat="1" spans="1:12">
      <c r="A614" s="2">
        <v>20.461</v>
      </c>
      <c r="B614" s="10" t="s">
        <v>437</v>
      </c>
      <c r="C614" s="4">
        <v>20.461</v>
      </c>
      <c r="D614" s="5">
        <v>152.5</v>
      </c>
      <c r="E614" s="4"/>
      <c r="F614" s="4"/>
      <c r="G614" s="2">
        <f t="shared" si="54"/>
        <v>20.428</v>
      </c>
      <c r="H614" s="11" t="str">
        <f t="shared" si="55"/>
        <v>3.761E-2</v>
      </c>
      <c r="I614" s="2">
        <f t="shared" si="56"/>
        <v>153.6</v>
      </c>
      <c r="J614" s="4">
        <f t="shared" si="57"/>
        <v>20.428</v>
      </c>
      <c r="K614" s="9">
        <f t="shared" si="58"/>
        <v>5.70000000000001</v>
      </c>
      <c r="L614" s="1">
        <f t="shared" si="59"/>
        <v>-3.49999999999996</v>
      </c>
    </row>
    <row r="615" s="1" customFormat="1" spans="1:12">
      <c r="A615" s="2">
        <v>20.495</v>
      </c>
      <c r="B615" s="10" t="s">
        <v>418</v>
      </c>
      <c r="C615" s="4">
        <v>20.495</v>
      </c>
      <c r="D615" s="5">
        <v>151.6</v>
      </c>
      <c r="E615" s="4"/>
      <c r="F615" s="4"/>
      <c r="G615" s="2">
        <f t="shared" si="54"/>
        <v>20.461</v>
      </c>
      <c r="H615" s="11" t="str">
        <f t="shared" si="55"/>
        <v>3.758E-2</v>
      </c>
      <c r="I615" s="2">
        <f t="shared" si="56"/>
        <v>152.5</v>
      </c>
      <c r="J615" s="4">
        <f t="shared" si="57"/>
        <v>20.461</v>
      </c>
      <c r="K615" s="9">
        <f t="shared" si="58"/>
        <v>5.40000000000006</v>
      </c>
      <c r="L615" s="1">
        <f t="shared" si="59"/>
        <v>-3.49999999999996</v>
      </c>
    </row>
    <row r="616" s="1" customFormat="1" spans="1:12">
      <c r="A616" s="2">
        <v>20.528</v>
      </c>
      <c r="B616" s="10" t="s">
        <v>383</v>
      </c>
      <c r="C616" s="4">
        <v>20.528</v>
      </c>
      <c r="D616" s="5">
        <v>151.1</v>
      </c>
      <c r="E616" s="4"/>
      <c r="F616" s="4"/>
      <c r="G616" s="2">
        <f t="shared" si="54"/>
        <v>20.495</v>
      </c>
      <c r="H616" s="11" t="str">
        <f t="shared" si="55"/>
        <v>3.756E-2</v>
      </c>
      <c r="I616" s="2">
        <f t="shared" si="56"/>
        <v>151.6</v>
      </c>
      <c r="J616" s="4">
        <f t="shared" si="57"/>
        <v>20.495</v>
      </c>
      <c r="K616" s="9">
        <f t="shared" si="58"/>
        <v>5.20000000000007</v>
      </c>
      <c r="L616" s="1">
        <f t="shared" si="59"/>
        <v>-3.49999999999996</v>
      </c>
    </row>
    <row r="617" s="1" customFormat="1" spans="1:12">
      <c r="A617" s="2">
        <v>20.561</v>
      </c>
      <c r="B617" s="10" t="s">
        <v>474</v>
      </c>
      <c r="C617" s="4">
        <v>20.561</v>
      </c>
      <c r="D617" s="5">
        <v>149.8</v>
      </c>
      <c r="E617" s="4"/>
      <c r="F617" s="4"/>
      <c r="G617" s="2">
        <f t="shared" si="54"/>
        <v>20.528</v>
      </c>
      <c r="H617" s="11" t="str">
        <f t="shared" si="55"/>
        <v>3.755E-2</v>
      </c>
      <c r="I617" s="2">
        <f t="shared" si="56"/>
        <v>151.1</v>
      </c>
      <c r="J617" s="4">
        <f t="shared" si="57"/>
        <v>20.528</v>
      </c>
      <c r="K617" s="9">
        <f t="shared" si="58"/>
        <v>5.10000000000004</v>
      </c>
      <c r="L617" s="1">
        <f t="shared" si="59"/>
        <v>-3.49999999999996</v>
      </c>
    </row>
    <row r="618" s="1" customFormat="1" spans="1:12">
      <c r="A618" s="2">
        <v>20.595</v>
      </c>
      <c r="B618" s="10" t="s">
        <v>469</v>
      </c>
      <c r="C618" s="4">
        <v>20.595</v>
      </c>
      <c r="D618" s="5">
        <v>149.7</v>
      </c>
      <c r="E618" s="4"/>
      <c r="F618" s="4"/>
      <c r="G618" s="2">
        <f t="shared" si="54"/>
        <v>20.561</v>
      </c>
      <c r="H618" s="11" t="str">
        <f t="shared" si="55"/>
        <v>3.753E-2</v>
      </c>
      <c r="I618" s="2">
        <f t="shared" si="56"/>
        <v>149.8</v>
      </c>
      <c r="J618" s="4">
        <f t="shared" si="57"/>
        <v>20.561</v>
      </c>
      <c r="K618" s="9">
        <f t="shared" si="58"/>
        <v>4.90000000000004</v>
      </c>
      <c r="L618" s="1">
        <f t="shared" si="59"/>
        <v>-3.49999999999996</v>
      </c>
    </row>
    <row r="619" s="1" customFormat="1" spans="1:12">
      <c r="A619" s="2">
        <v>20.628</v>
      </c>
      <c r="B619" s="10" t="s">
        <v>343</v>
      </c>
      <c r="C619" s="4">
        <v>20.628</v>
      </c>
      <c r="D619" s="5">
        <v>147.9</v>
      </c>
      <c r="E619" s="4"/>
      <c r="F619" s="4"/>
      <c r="G619" s="2">
        <f t="shared" si="54"/>
        <v>20.595</v>
      </c>
      <c r="H619" s="11" t="str">
        <f t="shared" si="55"/>
        <v>3.747E-2</v>
      </c>
      <c r="I619" s="2">
        <f t="shared" si="56"/>
        <v>149.7</v>
      </c>
      <c r="J619" s="4">
        <f t="shared" si="57"/>
        <v>20.595</v>
      </c>
      <c r="K619" s="9">
        <f t="shared" si="58"/>
        <v>4.30000000000007</v>
      </c>
      <c r="L619" s="1">
        <f t="shared" si="59"/>
        <v>-3.49999999999996</v>
      </c>
    </row>
    <row r="620" s="1" customFormat="1" spans="1:12">
      <c r="A620" s="2">
        <v>20.662</v>
      </c>
      <c r="B620" s="10" t="s">
        <v>349</v>
      </c>
      <c r="C620" s="4">
        <v>20.662</v>
      </c>
      <c r="D620" s="5">
        <v>147</v>
      </c>
      <c r="E620" s="4"/>
      <c r="F620" s="4"/>
      <c r="G620" s="2">
        <f t="shared" si="54"/>
        <v>20.628</v>
      </c>
      <c r="H620" s="11" t="str">
        <f t="shared" si="55"/>
        <v>3.739E-2</v>
      </c>
      <c r="I620" s="2">
        <f t="shared" si="56"/>
        <v>147.9</v>
      </c>
      <c r="J620" s="4">
        <f t="shared" si="57"/>
        <v>20.628</v>
      </c>
      <c r="K620" s="9">
        <f t="shared" si="58"/>
        <v>3.50000000000003</v>
      </c>
      <c r="L620" s="1">
        <f t="shared" si="59"/>
        <v>-3.49999999999996</v>
      </c>
    </row>
    <row r="621" s="1" customFormat="1" spans="1:12">
      <c r="A621" s="2">
        <v>20.695</v>
      </c>
      <c r="B621" s="10" t="s">
        <v>457</v>
      </c>
      <c r="C621" s="4">
        <v>20.695</v>
      </c>
      <c r="D621" s="5">
        <v>146.4</v>
      </c>
      <c r="E621" s="4"/>
      <c r="F621" s="4"/>
      <c r="G621" s="2">
        <f t="shared" si="54"/>
        <v>20.662</v>
      </c>
      <c r="H621" s="11" t="str">
        <f t="shared" si="55"/>
        <v>3.733E-2</v>
      </c>
      <c r="I621" s="2">
        <f t="shared" si="56"/>
        <v>147</v>
      </c>
      <c r="J621" s="4">
        <f t="shared" si="57"/>
        <v>20.662</v>
      </c>
      <c r="K621" s="9">
        <f t="shared" si="58"/>
        <v>2.90000000000006</v>
      </c>
      <c r="L621" s="1">
        <f t="shared" si="59"/>
        <v>-3.49999999999996</v>
      </c>
    </row>
    <row r="622" s="1" customFormat="1" spans="1:12">
      <c r="A622" s="2">
        <v>20.729</v>
      </c>
      <c r="B622" s="10" t="s">
        <v>457</v>
      </c>
      <c r="C622" s="4">
        <v>20.729</v>
      </c>
      <c r="D622" s="5">
        <v>145.8</v>
      </c>
      <c r="E622" s="4"/>
      <c r="F622" s="4"/>
      <c r="G622" s="2">
        <f t="shared" si="54"/>
        <v>20.695</v>
      </c>
      <c r="H622" s="11" t="str">
        <f t="shared" si="55"/>
        <v>3.729E-2</v>
      </c>
      <c r="I622" s="2">
        <f t="shared" si="56"/>
        <v>146.4</v>
      </c>
      <c r="J622" s="4">
        <f t="shared" si="57"/>
        <v>20.695</v>
      </c>
      <c r="K622" s="9">
        <f t="shared" si="58"/>
        <v>2.5</v>
      </c>
      <c r="L622" s="1">
        <f t="shared" si="59"/>
        <v>-3.49999999999996</v>
      </c>
    </row>
    <row r="623" s="1" customFormat="1" spans="1:12">
      <c r="A623" s="2">
        <v>20.762</v>
      </c>
      <c r="B623" s="10" t="s">
        <v>351</v>
      </c>
      <c r="C623" s="4">
        <v>20.762</v>
      </c>
      <c r="D623" s="5">
        <v>144.1</v>
      </c>
      <c r="E623" s="4"/>
      <c r="F623" s="4"/>
      <c r="G623" s="2">
        <f t="shared" si="54"/>
        <v>20.729</v>
      </c>
      <c r="H623" s="11" t="str">
        <f t="shared" si="55"/>
        <v>3.729E-2</v>
      </c>
      <c r="I623" s="2">
        <f t="shared" si="56"/>
        <v>145.8</v>
      </c>
      <c r="J623" s="4">
        <f t="shared" si="57"/>
        <v>20.729</v>
      </c>
      <c r="K623" s="9">
        <f t="shared" si="58"/>
        <v>2.5</v>
      </c>
      <c r="L623" s="1">
        <f t="shared" si="59"/>
        <v>-3.49999999999996</v>
      </c>
    </row>
    <row r="624" s="1" customFormat="1" spans="1:12">
      <c r="A624" s="2">
        <v>20.795</v>
      </c>
      <c r="B624" s="10" t="s">
        <v>351</v>
      </c>
      <c r="C624" s="4">
        <v>20.795</v>
      </c>
      <c r="D624" s="5">
        <v>143.6</v>
      </c>
      <c r="E624" s="4"/>
      <c r="F624" s="4"/>
      <c r="G624" s="2">
        <f t="shared" si="54"/>
        <v>20.762</v>
      </c>
      <c r="H624" s="11" t="str">
        <f t="shared" si="55"/>
        <v>3.727E-2</v>
      </c>
      <c r="I624" s="2">
        <f t="shared" si="56"/>
        <v>144.1</v>
      </c>
      <c r="J624" s="4">
        <f t="shared" si="57"/>
        <v>20.762</v>
      </c>
      <c r="K624" s="9">
        <f t="shared" si="58"/>
        <v>2.30000000000001</v>
      </c>
      <c r="L624" s="1">
        <f t="shared" si="59"/>
        <v>-3.49999999999996</v>
      </c>
    </row>
    <row r="625" s="1" customFormat="1" spans="1:12">
      <c r="A625" s="2">
        <v>20.829</v>
      </c>
      <c r="B625" s="10" t="s">
        <v>351</v>
      </c>
      <c r="C625" s="4">
        <v>20.829</v>
      </c>
      <c r="D625" s="5">
        <v>141.5</v>
      </c>
      <c r="E625" s="4"/>
      <c r="F625" s="4"/>
      <c r="G625" s="2">
        <f t="shared" si="54"/>
        <v>20.795</v>
      </c>
      <c r="H625" s="11" t="str">
        <f t="shared" si="55"/>
        <v>3.727E-2</v>
      </c>
      <c r="I625" s="2">
        <f t="shared" si="56"/>
        <v>143.6</v>
      </c>
      <c r="J625" s="4">
        <f t="shared" si="57"/>
        <v>20.795</v>
      </c>
      <c r="K625" s="9">
        <f t="shared" si="58"/>
        <v>2.30000000000001</v>
      </c>
      <c r="L625" s="1">
        <f t="shared" si="59"/>
        <v>-3.49999999999996</v>
      </c>
    </row>
    <row r="626" s="1" customFormat="1" spans="1:12">
      <c r="A626" s="2">
        <v>20.862</v>
      </c>
      <c r="B626" s="10" t="s">
        <v>458</v>
      </c>
      <c r="C626" s="4">
        <v>20.862</v>
      </c>
      <c r="D626" s="5">
        <v>140.3</v>
      </c>
      <c r="E626" s="4"/>
      <c r="F626" s="4"/>
      <c r="G626" s="2">
        <f t="shared" si="54"/>
        <v>20.829</v>
      </c>
      <c r="H626" s="11" t="str">
        <f t="shared" si="55"/>
        <v>3.727E-2</v>
      </c>
      <c r="I626" s="2">
        <f t="shared" si="56"/>
        <v>141.5</v>
      </c>
      <c r="J626" s="4">
        <f t="shared" si="57"/>
        <v>20.829</v>
      </c>
      <c r="K626" s="9">
        <f t="shared" si="58"/>
        <v>2.30000000000001</v>
      </c>
      <c r="L626" s="1">
        <f t="shared" si="59"/>
        <v>-3.49999999999996</v>
      </c>
    </row>
    <row r="627" s="1" customFormat="1" spans="1:12">
      <c r="A627" s="2">
        <v>20.896</v>
      </c>
      <c r="B627" s="10" t="s">
        <v>341</v>
      </c>
      <c r="C627" s="4">
        <v>20.896</v>
      </c>
      <c r="D627" s="4">
        <v>140</v>
      </c>
      <c r="G627" s="2">
        <f t="shared" si="54"/>
        <v>20.862</v>
      </c>
      <c r="H627" s="11" t="str">
        <f t="shared" si="55"/>
        <v>3.728E-2</v>
      </c>
      <c r="I627" s="2">
        <f t="shared" si="56"/>
        <v>140.3</v>
      </c>
      <c r="J627" s="4">
        <f t="shared" si="57"/>
        <v>20.862</v>
      </c>
      <c r="K627" s="9">
        <f t="shared" si="58"/>
        <v>2.40000000000004</v>
      </c>
      <c r="L627" s="1">
        <f t="shared" si="59"/>
        <v>-3.49999999999996</v>
      </c>
    </row>
    <row r="628" s="1" customFormat="1" spans="1:12">
      <c r="A628" s="2">
        <v>20.929</v>
      </c>
      <c r="B628" s="10" t="s">
        <v>349</v>
      </c>
      <c r="C628" s="4">
        <v>20.929</v>
      </c>
      <c r="D628" s="4">
        <v>140</v>
      </c>
      <c r="G628" s="2">
        <f t="shared" si="54"/>
        <v>20.896</v>
      </c>
      <c r="H628" s="11" t="str">
        <f t="shared" si="55"/>
        <v>3.731E-2</v>
      </c>
      <c r="I628" s="2">
        <f t="shared" si="56"/>
        <v>140</v>
      </c>
      <c r="J628" s="4">
        <f t="shared" si="57"/>
        <v>20.896</v>
      </c>
      <c r="K628" s="9">
        <f t="shared" si="58"/>
        <v>2.70000000000006</v>
      </c>
      <c r="L628" s="1">
        <f t="shared" si="59"/>
        <v>-3.49999999999996</v>
      </c>
    </row>
    <row r="629" s="1" customFormat="1" spans="1:12">
      <c r="A629" s="2">
        <v>20.963</v>
      </c>
      <c r="B629" s="10" t="s">
        <v>475</v>
      </c>
      <c r="C629" s="4">
        <v>20.963</v>
      </c>
      <c r="D629" s="4">
        <v>138.8</v>
      </c>
      <c r="G629" s="2">
        <f t="shared" si="54"/>
        <v>20.929</v>
      </c>
      <c r="H629" s="11" t="str">
        <f t="shared" si="55"/>
        <v>3.733E-2</v>
      </c>
      <c r="I629" s="2">
        <f t="shared" si="56"/>
        <v>140</v>
      </c>
      <c r="J629" s="4">
        <f t="shared" si="57"/>
        <v>20.929</v>
      </c>
      <c r="K629" s="9">
        <f t="shared" si="58"/>
        <v>2.90000000000006</v>
      </c>
      <c r="L629" s="1">
        <f t="shared" si="59"/>
        <v>-3.49999999999996</v>
      </c>
    </row>
    <row r="630" s="1" customFormat="1" spans="1:12">
      <c r="A630" s="2">
        <v>20.996</v>
      </c>
      <c r="B630" s="10" t="s">
        <v>342</v>
      </c>
      <c r="C630" s="4">
        <v>20.996</v>
      </c>
      <c r="D630" s="4">
        <v>137.1</v>
      </c>
      <c r="G630" s="2">
        <f t="shared" si="54"/>
        <v>20.963</v>
      </c>
      <c r="H630" s="11" t="str">
        <f t="shared" si="55"/>
        <v>3.734E-2</v>
      </c>
      <c r="I630" s="2">
        <f t="shared" si="56"/>
        <v>138.8</v>
      </c>
      <c r="J630" s="4">
        <f t="shared" si="57"/>
        <v>20.963</v>
      </c>
      <c r="K630" s="9">
        <f t="shared" si="58"/>
        <v>3.00000000000002</v>
      </c>
      <c r="L630" s="1">
        <f t="shared" si="59"/>
        <v>-3.49999999999996</v>
      </c>
    </row>
    <row r="631" s="1" customFormat="1" spans="1:12">
      <c r="A631" s="2">
        <v>21.029</v>
      </c>
      <c r="B631" s="10" t="s">
        <v>347</v>
      </c>
      <c r="C631" s="4">
        <v>21.029</v>
      </c>
      <c r="D631" s="4">
        <v>135.7</v>
      </c>
      <c r="G631" s="2">
        <f t="shared" si="54"/>
        <v>20.996</v>
      </c>
      <c r="H631" s="11" t="str">
        <f t="shared" si="55"/>
        <v>3.735E-2</v>
      </c>
      <c r="I631" s="2">
        <f t="shared" si="56"/>
        <v>137.1</v>
      </c>
      <c r="J631" s="4">
        <f t="shared" si="57"/>
        <v>20.996</v>
      </c>
      <c r="K631" s="9">
        <f t="shared" si="58"/>
        <v>3.10000000000005</v>
      </c>
      <c r="L631" s="1">
        <f t="shared" si="59"/>
        <v>-3.49999999999996</v>
      </c>
    </row>
    <row r="632" s="1" customFormat="1" spans="1:12">
      <c r="A632" s="2">
        <v>21.063</v>
      </c>
      <c r="B632" s="10" t="s">
        <v>344</v>
      </c>
      <c r="C632" s="4">
        <v>21.063</v>
      </c>
      <c r="D632" s="4">
        <v>134</v>
      </c>
      <c r="G632" s="2">
        <f t="shared" si="54"/>
        <v>21.029</v>
      </c>
      <c r="H632" s="11" t="str">
        <f t="shared" si="55"/>
        <v>3.737E-2</v>
      </c>
      <c r="I632" s="2">
        <f t="shared" si="56"/>
        <v>135.7</v>
      </c>
      <c r="J632" s="4">
        <f t="shared" si="57"/>
        <v>21.029</v>
      </c>
      <c r="K632" s="9">
        <f t="shared" si="58"/>
        <v>3.30000000000004</v>
      </c>
      <c r="L632" s="1">
        <f t="shared" si="59"/>
        <v>-3.49999999999996</v>
      </c>
    </row>
    <row r="633" s="1" customFormat="1" spans="1:12">
      <c r="A633" s="2">
        <v>21.096</v>
      </c>
      <c r="B633" s="10" t="s">
        <v>345</v>
      </c>
      <c r="C633" s="4">
        <v>21.096</v>
      </c>
      <c r="D633" s="4">
        <v>134.4</v>
      </c>
      <c r="G633" s="2">
        <f t="shared" si="54"/>
        <v>21.063</v>
      </c>
      <c r="H633" s="11" t="str">
        <f t="shared" si="55"/>
        <v>3.740E-2</v>
      </c>
      <c r="I633" s="2">
        <f t="shared" si="56"/>
        <v>134</v>
      </c>
      <c r="J633" s="4">
        <f t="shared" si="57"/>
        <v>21.063</v>
      </c>
      <c r="K633" s="9">
        <f t="shared" si="58"/>
        <v>3.60000000000006</v>
      </c>
      <c r="L633" s="1">
        <f t="shared" si="59"/>
        <v>-3.49999999999996</v>
      </c>
    </row>
    <row r="634" s="1" customFormat="1" spans="1:12">
      <c r="A634" s="2">
        <v>21.13</v>
      </c>
      <c r="B634" s="10" t="s">
        <v>394</v>
      </c>
      <c r="C634" s="4">
        <v>21.13</v>
      </c>
      <c r="D634" s="4">
        <v>133</v>
      </c>
      <c r="G634" s="2">
        <f t="shared" si="54"/>
        <v>21.096</v>
      </c>
      <c r="H634" s="11" t="str">
        <f t="shared" si="55"/>
        <v>3.741E-2</v>
      </c>
      <c r="I634" s="2">
        <f t="shared" si="56"/>
        <v>134.4</v>
      </c>
      <c r="J634" s="4">
        <f t="shared" si="57"/>
        <v>21.096</v>
      </c>
      <c r="K634" s="9">
        <f t="shared" si="58"/>
        <v>3.70000000000002</v>
      </c>
      <c r="L634" s="1">
        <f t="shared" si="59"/>
        <v>-3.49999999999996</v>
      </c>
    </row>
    <row r="635" s="1" customFormat="1" spans="1:12">
      <c r="A635" s="2">
        <v>21.163</v>
      </c>
      <c r="B635" s="10" t="s">
        <v>384</v>
      </c>
      <c r="C635" s="4">
        <v>21.163</v>
      </c>
      <c r="D635" s="4">
        <v>132.3</v>
      </c>
      <c r="G635" s="2">
        <f t="shared" si="54"/>
        <v>21.13</v>
      </c>
      <c r="H635" s="11" t="str">
        <f t="shared" si="55"/>
        <v>3.742E-2</v>
      </c>
      <c r="I635" s="2">
        <f t="shared" si="56"/>
        <v>133</v>
      </c>
      <c r="J635" s="4">
        <f t="shared" si="57"/>
        <v>21.13</v>
      </c>
      <c r="K635" s="9">
        <f t="shared" si="58"/>
        <v>3.80000000000005</v>
      </c>
      <c r="L635" s="1">
        <f t="shared" si="59"/>
        <v>-3.49999999999996</v>
      </c>
    </row>
    <row r="636" s="1" customFormat="1" spans="1:12">
      <c r="A636" s="2">
        <v>21.197</v>
      </c>
      <c r="B636" s="10" t="s">
        <v>460</v>
      </c>
      <c r="C636" s="4">
        <v>21.197</v>
      </c>
      <c r="D636" s="4">
        <v>130.6</v>
      </c>
      <c r="G636" s="2">
        <f t="shared" si="54"/>
        <v>21.163</v>
      </c>
      <c r="H636" s="11" t="str">
        <f t="shared" si="55"/>
        <v>3.745E-2</v>
      </c>
      <c r="I636" s="2">
        <f t="shared" si="56"/>
        <v>132.3</v>
      </c>
      <c r="J636" s="4">
        <f t="shared" si="57"/>
        <v>21.163</v>
      </c>
      <c r="K636" s="9">
        <f t="shared" si="58"/>
        <v>4.10000000000001</v>
      </c>
      <c r="L636" s="1">
        <f t="shared" si="59"/>
        <v>-3.49999999999996</v>
      </c>
    </row>
    <row r="637" s="1" customFormat="1" spans="1:12">
      <c r="A637" s="2">
        <v>21.23</v>
      </c>
      <c r="B637" s="10" t="s">
        <v>417</v>
      </c>
      <c r="C637" s="4">
        <v>21.23</v>
      </c>
      <c r="D637" s="4">
        <v>130.2</v>
      </c>
      <c r="G637" s="2">
        <f t="shared" si="54"/>
        <v>21.197</v>
      </c>
      <c r="H637" s="11" t="str">
        <f t="shared" si="55"/>
        <v>3.746E-2</v>
      </c>
      <c r="I637" s="2">
        <f t="shared" si="56"/>
        <v>130.6</v>
      </c>
      <c r="J637" s="4">
        <f t="shared" si="57"/>
        <v>21.197</v>
      </c>
      <c r="K637" s="9">
        <f t="shared" si="58"/>
        <v>4.20000000000004</v>
      </c>
      <c r="L637" s="1">
        <f t="shared" si="59"/>
        <v>-3.49999999999996</v>
      </c>
    </row>
    <row r="638" s="1" customFormat="1" spans="1:12">
      <c r="A638" s="2">
        <v>21.264</v>
      </c>
      <c r="B638" s="10" t="s">
        <v>474</v>
      </c>
      <c r="C638" s="4">
        <v>21.264</v>
      </c>
      <c r="D638" s="4">
        <v>129</v>
      </c>
      <c r="G638" s="2">
        <f t="shared" si="54"/>
        <v>21.23</v>
      </c>
      <c r="H638" s="11" t="str">
        <f t="shared" si="55"/>
        <v>3.748E-2</v>
      </c>
      <c r="I638" s="2">
        <f t="shared" si="56"/>
        <v>130.2</v>
      </c>
      <c r="J638" s="4">
        <f t="shared" si="57"/>
        <v>21.23</v>
      </c>
      <c r="K638" s="9">
        <f t="shared" si="58"/>
        <v>4.40000000000003</v>
      </c>
      <c r="L638" s="1">
        <f t="shared" si="59"/>
        <v>-3.49999999999996</v>
      </c>
    </row>
    <row r="639" s="1" customFormat="1" spans="1:12">
      <c r="A639" s="2">
        <v>21.297</v>
      </c>
      <c r="B639" s="10" t="s">
        <v>440</v>
      </c>
      <c r="C639" s="4">
        <v>21.297</v>
      </c>
      <c r="D639" s="4">
        <v>128</v>
      </c>
      <c r="G639" s="2">
        <f t="shared" si="54"/>
        <v>21.264</v>
      </c>
      <c r="H639" s="11" t="str">
        <f t="shared" si="55"/>
        <v>3.753E-2</v>
      </c>
      <c r="I639" s="2">
        <f t="shared" si="56"/>
        <v>129</v>
      </c>
      <c r="J639" s="4">
        <f t="shared" si="57"/>
        <v>21.264</v>
      </c>
      <c r="K639" s="9">
        <f t="shared" si="58"/>
        <v>4.90000000000004</v>
      </c>
      <c r="L639" s="1">
        <f t="shared" si="59"/>
        <v>-3.49999999999996</v>
      </c>
    </row>
    <row r="640" s="1" customFormat="1" spans="1:12">
      <c r="A640" s="2">
        <v>21.33</v>
      </c>
      <c r="B640" s="10" t="s">
        <v>462</v>
      </c>
      <c r="C640" s="4">
        <v>21.33</v>
      </c>
      <c r="D640" s="4">
        <v>126.1</v>
      </c>
      <c r="G640" s="2">
        <f t="shared" si="54"/>
        <v>21.297</v>
      </c>
      <c r="H640" s="11" t="str">
        <f t="shared" si="55"/>
        <v>3.762E-2</v>
      </c>
      <c r="I640" s="2">
        <f t="shared" si="56"/>
        <v>128</v>
      </c>
      <c r="J640" s="4">
        <f t="shared" si="57"/>
        <v>21.297</v>
      </c>
      <c r="K640" s="9">
        <f t="shared" si="58"/>
        <v>5.80000000000004</v>
      </c>
      <c r="L640" s="1">
        <f t="shared" si="59"/>
        <v>-3.49999999999996</v>
      </c>
    </row>
    <row r="641" s="1" customFormat="1" spans="1:12">
      <c r="A641" s="2">
        <v>21.364</v>
      </c>
      <c r="B641" s="10" t="s">
        <v>419</v>
      </c>
      <c r="C641" s="4">
        <v>21.364</v>
      </c>
      <c r="D641" s="4">
        <v>125.3</v>
      </c>
      <c r="G641" s="2">
        <f t="shared" si="54"/>
        <v>21.33</v>
      </c>
      <c r="H641" s="11" t="str">
        <f t="shared" si="55"/>
        <v>3.768E-2</v>
      </c>
      <c r="I641" s="2">
        <f t="shared" si="56"/>
        <v>126.1</v>
      </c>
      <c r="J641" s="4">
        <f t="shared" si="57"/>
        <v>21.33</v>
      </c>
      <c r="K641" s="9">
        <f t="shared" si="58"/>
        <v>6.40000000000002</v>
      </c>
      <c r="L641" s="1">
        <f t="shared" si="59"/>
        <v>-3.49999999999996</v>
      </c>
    </row>
    <row r="642" s="1" customFormat="1" spans="1:12">
      <c r="A642" s="2">
        <v>21.397</v>
      </c>
      <c r="B642" s="10" t="s">
        <v>448</v>
      </c>
      <c r="C642" s="4">
        <v>21.397</v>
      </c>
      <c r="D642" s="4">
        <v>124</v>
      </c>
      <c r="G642" s="2">
        <f t="shared" si="54"/>
        <v>21.364</v>
      </c>
      <c r="H642" s="11" t="str">
        <f t="shared" si="55"/>
        <v>3.770E-2</v>
      </c>
      <c r="I642" s="2">
        <f t="shared" si="56"/>
        <v>125.3</v>
      </c>
      <c r="J642" s="4">
        <f t="shared" si="57"/>
        <v>21.364</v>
      </c>
      <c r="K642" s="9">
        <f t="shared" si="58"/>
        <v>6.60000000000001</v>
      </c>
      <c r="L642" s="1">
        <f t="shared" si="59"/>
        <v>-3.49999999999996</v>
      </c>
    </row>
    <row r="643" s="1" customFormat="1" spans="1:12">
      <c r="A643" s="2">
        <v>21.431</v>
      </c>
      <c r="B643" s="10" t="s">
        <v>395</v>
      </c>
      <c r="C643" s="4">
        <v>21.431</v>
      </c>
      <c r="D643" s="4">
        <v>123.6</v>
      </c>
      <c r="G643" s="2">
        <f t="shared" si="54"/>
        <v>21.397</v>
      </c>
      <c r="H643" s="11" t="str">
        <f t="shared" si="55"/>
        <v>3.772E-2</v>
      </c>
      <c r="I643" s="2">
        <f t="shared" si="56"/>
        <v>124</v>
      </c>
      <c r="J643" s="4">
        <f t="shared" si="57"/>
        <v>21.397</v>
      </c>
      <c r="K643" s="9">
        <f t="shared" si="58"/>
        <v>6.8</v>
      </c>
      <c r="L643" s="1">
        <f t="shared" si="59"/>
        <v>-3.49999999999996</v>
      </c>
    </row>
    <row r="644" s="1" customFormat="1" spans="1:12">
      <c r="A644" s="2">
        <v>21.464</v>
      </c>
      <c r="B644" s="10" t="s">
        <v>365</v>
      </c>
      <c r="C644" s="4">
        <v>21.464</v>
      </c>
      <c r="D644" s="4">
        <v>121.8</v>
      </c>
      <c r="G644" s="2">
        <f t="shared" ref="G644:G707" si="60">A643</f>
        <v>21.431</v>
      </c>
      <c r="H644" s="11" t="str">
        <f t="shared" ref="H644:H707" si="61">B643</f>
        <v>3.774E-2</v>
      </c>
      <c r="I644" s="2">
        <f t="shared" ref="I644:I707" si="62">D643</f>
        <v>123.6</v>
      </c>
      <c r="J644" s="4">
        <f t="shared" ref="J644:J707" si="63">G644</f>
        <v>21.431</v>
      </c>
      <c r="K644" s="9">
        <f t="shared" ref="K644:K707" si="64">(H644-$H$4)*10000</f>
        <v>7.00000000000006</v>
      </c>
      <c r="L644" s="1">
        <f t="shared" ref="L644:L707" si="65">IF(I644&lt;230,MIN(K:K),MAX(K:K))</f>
        <v>-3.49999999999996</v>
      </c>
    </row>
    <row r="645" s="1" customFormat="1" spans="1:12">
      <c r="A645" s="2">
        <v>21.498</v>
      </c>
      <c r="B645" s="10" t="s">
        <v>365</v>
      </c>
      <c r="C645" s="4">
        <v>21.498</v>
      </c>
      <c r="D645" s="4">
        <v>120.3</v>
      </c>
      <c r="G645" s="2">
        <f t="shared" si="60"/>
        <v>21.464</v>
      </c>
      <c r="H645" s="11" t="str">
        <f t="shared" si="61"/>
        <v>3.773E-2</v>
      </c>
      <c r="I645" s="2">
        <f t="shared" si="62"/>
        <v>121.8</v>
      </c>
      <c r="J645" s="4">
        <f t="shared" si="63"/>
        <v>21.464</v>
      </c>
      <c r="K645" s="9">
        <f t="shared" si="64"/>
        <v>6.90000000000003</v>
      </c>
      <c r="L645" s="1">
        <f t="shared" si="65"/>
        <v>-3.49999999999996</v>
      </c>
    </row>
    <row r="646" s="1" customFormat="1" spans="1:12">
      <c r="A646" s="2">
        <v>21.531</v>
      </c>
      <c r="B646" s="10" t="s">
        <v>448</v>
      </c>
      <c r="C646" s="4">
        <v>21.531</v>
      </c>
      <c r="D646" s="4">
        <v>119.5</v>
      </c>
      <c r="G646" s="2">
        <f t="shared" si="60"/>
        <v>21.498</v>
      </c>
      <c r="H646" s="11" t="str">
        <f t="shared" si="61"/>
        <v>3.773E-2</v>
      </c>
      <c r="I646" s="2">
        <f t="shared" si="62"/>
        <v>120.3</v>
      </c>
      <c r="J646" s="4">
        <f t="shared" si="63"/>
        <v>21.498</v>
      </c>
      <c r="K646" s="9">
        <f t="shared" si="64"/>
        <v>6.90000000000003</v>
      </c>
      <c r="L646" s="1">
        <f t="shared" si="65"/>
        <v>-3.49999999999996</v>
      </c>
    </row>
    <row r="647" s="1" customFormat="1" spans="1:12">
      <c r="A647" s="2">
        <v>21.564</v>
      </c>
      <c r="B647" s="10" t="s">
        <v>419</v>
      </c>
      <c r="C647" s="4">
        <v>21.564</v>
      </c>
      <c r="D647" s="4">
        <v>117.8</v>
      </c>
      <c r="G647" s="2">
        <f t="shared" si="60"/>
        <v>21.531</v>
      </c>
      <c r="H647" s="11" t="str">
        <f t="shared" si="61"/>
        <v>3.772E-2</v>
      </c>
      <c r="I647" s="2">
        <f t="shared" si="62"/>
        <v>119.5</v>
      </c>
      <c r="J647" s="4">
        <f t="shared" si="63"/>
        <v>21.531</v>
      </c>
      <c r="K647" s="9">
        <f t="shared" si="64"/>
        <v>6.8</v>
      </c>
      <c r="L647" s="1">
        <f t="shared" si="65"/>
        <v>-3.49999999999996</v>
      </c>
    </row>
    <row r="648" s="1" customFormat="1" spans="1:12">
      <c r="A648" s="2">
        <v>21.598</v>
      </c>
      <c r="B648" s="10" t="s">
        <v>462</v>
      </c>
      <c r="C648" s="4">
        <v>21.598</v>
      </c>
      <c r="D648" s="4">
        <v>116.1</v>
      </c>
      <c r="G648" s="2">
        <f t="shared" si="60"/>
        <v>21.564</v>
      </c>
      <c r="H648" s="11" t="str">
        <f t="shared" si="61"/>
        <v>3.770E-2</v>
      </c>
      <c r="I648" s="2">
        <f t="shared" si="62"/>
        <v>117.8</v>
      </c>
      <c r="J648" s="4">
        <f t="shared" si="63"/>
        <v>21.564</v>
      </c>
      <c r="K648" s="9">
        <f t="shared" si="64"/>
        <v>6.60000000000001</v>
      </c>
      <c r="L648" s="1">
        <f t="shared" si="65"/>
        <v>-3.49999999999996</v>
      </c>
    </row>
    <row r="649" s="1" customFormat="1" spans="1:12">
      <c r="A649" s="2">
        <v>21.631</v>
      </c>
      <c r="B649" s="10" t="s">
        <v>435</v>
      </c>
      <c r="C649" s="4">
        <v>21.631</v>
      </c>
      <c r="D649" s="4">
        <v>115.3</v>
      </c>
      <c r="G649" s="2">
        <f t="shared" si="60"/>
        <v>21.598</v>
      </c>
      <c r="H649" s="11" t="str">
        <f t="shared" si="61"/>
        <v>3.768E-2</v>
      </c>
      <c r="I649" s="2">
        <f t="shared" si="62"/>
        <v>116.1</v>
      </c>
      <c r="J649" s="4">
        <f t="shared" si="63"/>
        <v>21.598</v>
      </c>
      <c r="K649" s="9">
        <f t="shared" si="64"/>
        <v>6.40000000000002</v>
      </c>
      <c r="L649" s="1">
        <f t="shared" si="65"/>
        <v>-3.49999999999996</v>
      </c>
    </row>
    <row r="650" s="1" customFormat="1" spans="1:12">
      <c r="A650" s="2">
        <v>21.665</v>
      </c>
      <c r="B650" s="10" t="s">
        <v>446</v>
      </c>
      <c r="C650" s="4">
        <v>21.665</v>
      </c>
      <c r="D650" s="4">
        <v>114</v>
      </c>
      <c r="G650" s="2">
        <f t="shared" si="60"/>
        <v>21.631</v>
      </c>
      <c r="H650" s="11" t="str">
        <f t="shared" si="61"/>
        <v>3.767E-2</v>
      </c>
      <c r="I650" s="2">
        <f t="shared" si="62"/>
        <v>115.3</v>
      </c>
      <c r="J650" s="4">
        <f t="shared" si="63"/>
        <v>21.631</v>
      </c>
      <c r="K650" s="9">
        <f t="shared" si="64"/>
        <v>6.30000000000006</v>
      </c>
      <c r="L650" s="1">
        <f t="shared" si="65"/>
        <v>-3.49999999999996</v>
      </c>
    </row>
    <row r="651" s="1" customFormat="1" spans="1:12">
      <c r="A651" s="2">
        <v>21.698</v>
      </c>
      <c r="B651" s="10" t="s">
        <v>447</v>
      </c>
      <c r="C651" s="4">
        <v>21.698</v>
      </c>
      <c r="D651" s="4">
        <v>114.3</v>
      </c>
      <c r="G651" s="2">
        <f t="shared" si="60"/>
        <v>21.665</v>
      </c>
      <c r="H651" s="11" t="str">
        <f t="shared" si="61"/>
        <v>3.765E-2</v>
      </c>
      <c r="I651" s="2">
        <f t="shared" si="62"/>
        <v>114</v>
      </c>
      <c r="J651" s="4">
        <f t="shared" si="63"/>
        <v>21.665</v>
      </c>
      <c r="K651" s="9">
        <f t="shared" si="64"/>
        <v>6.10000000000006</v>
      </c>
      <c r="L651" s="1">
        <f t="shared" si="65"/>
        <v>-3.49999999999996</v>
      </c>
    </row>
    <row r="652" s="1" customFormat="1" spans="1:12">
      <c r="A652" s="2">
        <v>21.732</v>
      </c>
      <c r="B652" s="10" t="s">
        <v>439</v>
      </c>
      <c r="C652" s="4">
        <v>21.732</v>
      </c>
      <c r="D652" s="4">
        <v>112.9</v>
      </c>
      <c r="G652" s="2">
        <f t="shared" si="60"/>
        <v>21.698</v>
      </c>
      <c r="H652" s="11" t="str">
        <f t="shared" si="61"/>
        <v>3.763E-2</v>
      </c>
      <c r="I652" s="2">
        <f t="shared" si="62"/>
        <v>114.3</v>
      </c>
      <c r="J652" s="4">
        <f t="shared" si="63"/>
        <v>21.698</v>
      </c>
      <c r="K652" s="9">
        <f t="shared" si="64"/>
        <v>5.9</v>
      </c>
      <c r="L652" s="1">
        <f t="shared" si="65"/>
        <v>-3.49999999999996</v>
      </c>
    </row>
    <row r="653" s="1" customFormat="1" spans="1:12">
      <c r="A653" s="2">
        <v>21.765</v>
      </c>
      <c r="B653" s="10" t="s">
        <v>476</v>
      </c>
      <c r="C653" s="4">
        <v>21.765</v>
      </c>
      <c r="D653" s="4">
        <v>109.8</v>
      </c>
      <c r="G653" s="2">
        <f t="shared" si="60"/>
        <v>21.732</v>
      </c>
      <c r="H653" s="11" t="str">
        <f t="shared" si="61"/>
        <v>3.759E-2</v>
      </c>
      <c r="I653" s="2">
        <f t="shared" si="62"/>
        <v>112.9</v>
      </c>
      <c r="J653" s="4">
        <f t="shared" si="63"/>
        <v>21.732</v>
      </c>
      <c r="K653" s="9">
        <f t="shared" si="64"/>
        <v>5.50000000000002</v>
      </c>
      <c r="L653" s="1">
        <f t="shared" si="65"/>
        <v>-3.49999999999996</v>
      </c>
    </row>
    <row r="654" s="1" customFormat="1" spans="1:12">
      <c r="A654" s="2">
        <v>21.798</v>
      </c>
      <c r="B654" s="10" t="s">
        <v>438</v>
      </c>
      <c r="C654" s="4">
        <v>21.798</v>
      </c>
      <c r="D654" s="4">
        <v>108.8</v>
      </c>
      <c r="G654" s="2">
        <f t="shared" si="60"/>
        <v>21.765</v>
      </c>
      <c r="H654" s="11" t="str">
        <f t="shared" si="61"/>
        <v>3.757E-2</v>
      </c>
      <c r="I654" s="2">
        <f t="shared" si="62"/>
        <v>109.8</v>
      </c>
      <c r="J654" s="4">
        <f t="shared" si="63"/>
        <v>21.765</v>
      </c>
      <c r="K654" s="9">
        <f t="shared" si="64"/>
        <v>5.30000000000003</v>
      </c>
      <c r="L654" s="1">
        <f t="shared" si="65"/>
        <v>-3.49999999999996</v>
      </c>
    </row>
    <row r="655" s="1" customFormat="1" spans="1:12">
      <c r="A655" s="2">
        <v>21.832</v>
      </c>
      <c r="B655" s="10" t="s">
        <v>461</v>
      </c>
      <c r="C655" s="4">
        <v>21.832</v>
      </c>
      <c r="D655" s="4">
        <v>108.9</v>
      </c>
      <c r="G655" s="2">
        <f t="shared" si="60"/>
        <v>21.798</v>
      </c>
      <c r="H655" s="11" t="str">
        <f t="shared" si="61"/>
        <v>3.754E-2</v>
      </c>
      <c r="I655" s="2">
        <f t="shared" si="62"/>
        <v>108.8</v>
      </c>
      <c r="J655" s="4">
        <f t="shared" si="63"/>
        <v>21.798</v>
      </c>
      <c r="K655" s="9">
        <f t="shared" si="64"/>
        <v>5</v>
      </c>
      <c r="L655" s="1">
        <f t="shared" si="65"/>
        <v>-3.49999999999996</v>
      </c>
    </row>
    <row r="656" s="1" customFormat="1" spans="1:12">
      <c r="A656" s="2">
        <v>21.865</v>
      </c>
      <c r="B656" s="10" t="s">
        <v>417</v>
      </c>
      <c r="C656" s="4">
        <v>21.865</v>
      </c>
      <c r="D656" s="4">
        <v>106</v>
      </c>
      <c r="G656" s="2">
        <f t="shared" si="60"/>
        <v>21.832</v>
      </c>
      <c r="H656" s="11" t="str">
        <f t="shared" si="61"/>
        <v>3.750E-2</v>
      </c>
      <c r="I656" s="2">
        <f t="shared" si="62"/>
        <v>108.9</v>
      </c>
      <c r="J656" s="4">
        <f t="shared" si="63"/>
        <v>21.832</v>
      </c>
      <c r="K656" s="9">
        <f t="shared" si="64"/>
        <v>4.60000000000002</v>
      </c>
      <c r="L656" s="1">
        <f t="shared" si="65"/>
        <v>-3.49999999999996</v>
      </c>
    </row>
    <row r="657" s="1" customFormat="1" spans="1:12">
      <c r="A657" s="2">
        <v>21.899</v>
      </c>
      <c r="B657" s="10" t="s">
        <v>344</v>
      </c>
      <c r="C657" s="4">
        <v>21.899</v>
      </c>
      <c r="D657" s="4">
        <v>104.9</v>
      </c>
      <c r="G657" s="2">
        <f t="shared" si="60"/>
        <v>21.865</v>
      </c>
      <c r="H657" s="11" t="str">
        <f t="shared" si="61"/>
        <v>3.748E-2</v>
      </c>
      <c r="I657" s="2">
        <f t="shared" si="62"/>
        <v>106</v>
      </c>
      <c r="J657" s="4">
        <f t="shared" si="63"/>
        <v>21.865</v>
      </c>
      <c r="K657" s="9">
        <f t="shared" si="64"/>
        <v>4.40000000000003</v>
      </c>
      <c r="L657" s="1">
        <f t="shared" si="65"/>
        <v>-3.49999999999996</v>
      </c>
    </row>
    <row r="658" s="1" customFormat="1" spans="1:12">
      <c r="A658" s="2">
        <v>21.932</v>
      </c>
      <c r="B658" s="10" t="s">
        <v>349</v>
      </c>
      <c r="C658" s="4">
        <v>21.932</v>
      </c>
      <c r="D658" s="4">
        <v>104.7</v>
      </c>
      <c r="G658" s="2">
        <f t="shared" si="60"/>
        <v>21.899</v>
      </c>
      <c r="H658" s="11" t="str">
        <f t="shared" si="61"/>
        <v>3.740E-2</v>
      </c>
      <c r="I658" s="2">
        <f t="shared" si="62"/>
        <v>104.9</v>
      </c>
      <c r="J658" s="4">
        <f t="shared" si="63"/>
        <v>21.899</v>
      </c>
      <c r="K658" s="9">
        <f t="shared" si="64"/>
        <v>3.60000000000006</v>
      </c>
      <c r="L658" s="1">
        <f t="shared" si="65"/>
        <v>-3.49999999999996</v>
      </c>
    </row>
    <row r="659" s="1" customFormat="1" spans="1:12">
      <c r="A659" s="2">
        <v>21.966</v>
      </c>
      <c r="B659" s="10" t="s">
        <v>385</v>
      </c>
      <c r="C659" s="4">
        <v>21.966</v>
      </c>
      <c r="D659" s="4">
        <v>103.7</v>
      </c>
      <c r="G659" s="2">
        <f t="shared" si="60"/>
        <v>21.932</v>
      </c>
      <c r="H659" s="11" t="str">
        <f t="shared" si="61"/>
        <v>3.733E-2</v>
      </c>
      <c r="I659" s="2">
        <f t="shared" si="62"/>
        <v>104.7</v>
      </c>
      <c r="J659" s="4">
        <f t="shared" si="63"/>
        <v>21.932</v>
      </c>
      <c r="K659" s="9">
        <f t="shared" si="64"/>
        <v>2.90000000000006</v>
      </c>
      <c r="L659" s="1">
        <f t="shared" si="65"/>
        <v>-3.49999999999996</v>
      </c>
    </row>
    <row r="660" s="1" customFormat="1" spans="1:12">
      <c r="A660" s="2">
        <v>21.999</v>
      </c>
      <c r="B660" s="10" t="s">
        <v>458</v>
      </c>
      <c r="C660" s="4">
        <v>21.999</v>
      </c>
      <c r="D660" s="4">
        <v>101.2</v>
      </c>
      <c r="G660" s="2">
        <f t="shared" si="60"/>
        <v>21.966</v>
      </c>
      <c r="H660" s="11" t="str">
        <f t="shared" si="61"/>
        <v>3.730E-2</v>
      </c>
      <c r="I660" s="2">
        <f t="shared" si="62"/>
        <v>103.7</v>
      </c>
      <c r="J660" s="4">
        <f t="shared" si="63"/>
        <v>21.966</v>
      </c>
      <c r="K660" s="9">
        <f t="shared" si="64"/>
        <v>2.60000000000003</v>
      </c>
      <c r="L660" s="1">
        <f t="shared" si="65"/>
        <v>-3.49999999999996</v>
      </c>
    </row>
    <row r="661" s="1" customFormat="1" spans="1:12">
      <c r="A661" s="2">
        <v>22.032</v>
      </c>
      <c r="B661" s="10" t="s">
        <v>416</v>
      </c>
      <c r="C661" s="4">
        <v>22.032</v>
      </c>
      <c r="D661" s="4">
        <v>99.8</v>
      </c>
      <c r="G661" s="2">
        <f t="shared" si="60"/>
        <v>21.999</v>
      </c>
      <c r="H661" s="11" t="str">
        <f t="shared" si="61"/>
        <v>3.728E-2</v>
      </c>
      <c r="I661" s="2">
        <f t="shared" si="62"/>
        <v>101.2</v>
      </c>
      <c r="J661" s="4">
        <f t="shared" si="63"/>
        <v>21.999</v>
      </c>
      <c r="K661" s="9">
        <f t="shared" si="64"/>
        <v>2.40000000000004</v>
      </c>
      <c r="L661" s="1">
        <f t="shared" si="65"/>
        <v>-3.49999999999996</v>
      </c>
    </row>
    <row r="662" s="1" customFormat="1" spans="1:12">
      <c r="A662" s="2">
        <v>22.066</v>
      </c>
      <c r="B662" s="10" t="s">
        <v>351</v>
      </c>
      <c r="C662" s="4">
        <v>22.066</v>
      </c>
      <c r="D662" s="4">
        <v>98.3</v>
      </c>
      <c r="G662" s="2">
        <f t="shared" si="60"/>
        <v>22.032</v>
      </c>
      <c r="H662" s="11" t="str">
        <f t="shared" si="61"/>
        <v>3.725E-2</v>
      </c>
      <c r="I662" s="2">
        <f t="shared" si="62"/>
        <v>99.8</v>
      </c>
      <c r="J662" s="4">
        <f t="shared" si="63"/>
        <v>22.032</v>
      </c>
      <c r="K662" s="9">
        <f t="shared" si="64"/>
        <v>2.10000000000002</v>
      </c>
      <c r="L662" s="1">
        <f t="shared" si="65"/>
        <v>-3.49999999999996</v>
      </c>
    </row>
    <row r="663" s="1" customFormat="1" spans="1:12">
      <c r="A663" s="2">
        <v>22.099</v>
      </c>
      <c r="B663" s="10" t="s">
        <v>352</v>
      </c>
      <c r="C663" s="4">
        <v>22.099</v>
      </c>
      <c r="D663" s="4">
        <v>96.6</v>
      </c>
      <c r="G663" s="2">
        <f t="shared" si="60"/>
        <v>22.066</v>
      </c>
      <c r="H663" s="11" t="str">
        <f t="shared" si="61"/>
        <v>3.727E-2</v>
      </c>
      <c r="I663" s="2">
        <f t="shared" si="62"/>
        <v>98.3</v>
      </c>
      <c r="J663" s="4">
        <f t="shared" si="63"/>
        <v>22.066</v>
      </c>
      <c r="K663" s="9">
        <f t="shared" si="64"/>
        <v>2.30000000000001</v>
      </c>
      <c r="L663" s="1">
        <f t="shared" si="65"/>
        <v>-3.49999999999996</v>
      </c>
    </row>
    <row r="664" s="1" customFormat="1" spans="1:12">
      <c r="A664" s="2">
        <v>22.133</v>
      </c>
      <c r="B664" s="10" t="s">
        <v>416</v>
      </c>
      <c r="C664" s="4">
        <v>22.133</v>
      </c>
      <c r="D664" s="4">
        <v>96</v>
      </c>
      <c r="G664" s="2">
        <f t="shared" si="60"/>
        <v>22.099</v>
      </c>
      <c r="H664" s="11" t="str">
        <f t="shared" si="61"/>
        <v>3.726E-2</v>
      </c>
      <c r="I664" s="2">
        <f t="shared" si="62"/>
        <v>96.6</v>
      </c>
      <c r="J664" s="4">
        <f t="shared" si="63"/>
        <v>22.099</v>
      </c>
      <c r="K664" s="9">
        <f t="shared" si="64"/>
        <v>2.20000000000005</v>
      </c>
      <c r="L664" s="1">
        <f t="shared" si="65"/>
        <v>-3.49999999999996</v>
      </c>
    </row>
    <row r="665" s="1" customFormat="1" spans="1:12">
      <c r="A665" s="2">
        <v>22.166</v>
      </c>
      <c r="B665" s="10" t="s">
        <v>458</v>
      </c>
      <c r="C665" s="4">
        <v>22.166</v>
      </c>
      <c r="D665" s="4">
        <v>95.1</v>
      </c>
      <c r="G665" s="2">
        <f t="shared" si="60"/>
        <v>22.133</v>
      </c>
      <c r="H665" s="11" t="str">
        <f t="shared" si="61"/>
        <v>3.725E-2</v>
      </c>
      <c r="I665" s="2">
        <f t="shared" si="62"/>
        <v>96</v>
      </c>
      <c r="J665" s="4">
        <f t="shared" si="63"/>
        <v>22.133</v>
      </c>
      <c r="K665" s="9">
        <f t="shared" si="64"/>
        <v>2.10000000000002</v>
      </c>
      <c r="L665" s="1">
        <f t="shared" si="65"/>
        <v>-3.49999999999996</v>
      </c>
    </row>
    <row r="666" s="1" customFormat="1" spans="1:12">
      <c r="A666" s="2">
        <v>22.2</v>
      </c>
      <c r="B666" s="10" t="s">
        <v>458</v>
      </c>
      <c r="C666" s="4">
        <v>22.2</v>
      </c>
      <c r="D666" s="4">
        <v>93.8</v>
      </c>
      <c r="G666" s="2">
        <f t="shared" si="60"/>
        <v>22.166</v>
      </c>
      <c r="H666" s="11" t="str">
        <f t="shared" si="61"/>
        <v>3.728E-2</v>
      </c>
      <c r="I666" s="2">
        <f t="shared" si="62"/>
        <v>95.1</v>
      </c>
      <c r="J666" s="4">
        <f t="shared" si="63"/>
        <v>22.166</v>
      </c>
      <c r="K666" s="9">
        <f t="shared" si="64"/>
        <v>2.40000000000004</v>
      </c>
      <c r="L666" s="1">
        <f t="shared" si="65"/>
        <v>-3.49999999999996</v>
      </c>
    </row>
    <row r="667" s="1" customFormat="1" spans="1:12">
      <c r="A667" s="2">
        <v>22.233</v>
      </c>
      <c r="B667" s="10" t="s">
        <v>457</v>
      </c>
      <c r="C667" s="4">
        <v>22.233</v>
      </c>
      <c r="D667" s="4">
        <v>92.9</v>
      </c>
      <c r="G667" s="2">
        <f t="shared" si="60"/>
        <v>22.2</v>
      </c>
      <c r="H667" s="11" t="str">
        <f t="shared" si="61"/>
        <v>3.728E-2</v>
      </c>
      <c r="I667" s="2">
        <f t="shared" si="62"/>
        <v>93.8</v>
      </c>
      <c r="J667" s="4">
        <f t="shared" si="63"/>
        <v>22.2</v>
      </c>
      <c r="K667" s="9">
        <f t="shared" si="64"/>
        <v>2.40000000000004</v>
      </c>
      <c r="L667" s="1">
        <f t="shared" si="65"/>
        <v>-3.49999999999996</v>
      </c>
    </row>
    <row r="668" s="1" customFormat="1" spans="1:12">
      <c r="A668" s="2">
        <v>22.266</v>
      </c>
      <c r="B668" s="10" t="s">
        <v>385</v>
      </c>
      <c r="C668" s="4">
        <v>22.266</v>
      </c>
      <c r="D668" s="4">
        <v>90.5</v>
      </c>
      <c r="G668" s="2">
        <f t="shared" si="60"/>
        <v>22.233</v>
      </c>
      <c r="H668" s="11" t="str">
        <f t="shared" si="61"/>
        <v>3.729E-2</v>
      </c>
      <c r="I668" s="2">
        <f t="shared" si="62"/>
        <v>92.9</v>
      </c>
      <c r="J668" s="4">
        <f t="shared" si="63"/>
        <v>22.233</v>
      </c>
      <c r="K668" s="9">
        <f t="shared" si="64"/>
        <v>2.5</v>
      </c>
      <c r="L668" s="1">
        <f t="shared" si="65"/>
        <v>-3.49999999999996</v>
      </c>
    </row>
    <row r="669" s="1" customFormat="1" spans="1:12">
      <c r="A669" s="2">
        <v>22.3</v>
      </c>
      <c r="B669" s="10" t="s">
        <v>341</v>
      </c>
      <c r="C669" s="4">
        <v>22.3</v>
      </c>
      <c r="D669" s="4">
        <v>89.5</v>
      </c>
      <c r="G669" s="2">
        <f t="shared" si="60"/>
        <v>22.266</v>
      </c>
      <c r="H669" s="11" t="str">
        <f t="shared" si="61"/>
        <v>3.730E-2</v>
      </c>
      <c r="I669" s="2">
        <f t="shared" si="62"/>
        <v>90.5</v>
      </c>
      <c r="J669" s="4">
        <f t="shared" si="63"/>
        <v>22.266</v>
      </c>
      <c r="K669" s="9">
        <f t="shared" si="64"/>
        <v>2.60000000000003</v>
      </c>
      <c r="L669" s="1">
        <f t="shared" si="65"/>
        <v>-3.49999999999996</v>
      </c>
    </row>
    <row r="670" s="1" customFormat="1" spans="1:12">
      <c r="A670" s="2">
        <v>22.333</v>
      </c>
      <c r="B670" s="10" t="s">
        <v>349</v>
      </c>
      <c r="C670" s="4">
        <v>22.333</v>
      </c>
      <c r="D670" s="4">
        <v>89</v>
      </c>
      <c r="G670" s="2">
        <f t="shared" si="60"/>
        <v>22.3</v>
      </c>
      <c r="H670" s="11" t="str">
        <f t="shared" si="61"/>
        <v>3.731E-2</v>
      </c>
      <c r="I670" s="2">
        <f t="shared" si="62"/>
        <v>89.5</v>
      </c>
      <c r="J670" s="4">
        <f t="shared" si="63"/>
        <v>22.3</v>
      </c>
      <c r="K670" s="9">
        <f t="shared" si="64"/>
        <v>2.70000000000006</v>
      </c>
      <c r="L670" s="1">
        <f t="shared" si="65"/>
        <v>-3.49999999999996</v>
      </c>
    </row>
    <row r="671" s="1" customFormat="1" spans="1:12">
      <c r="A671" s="2">
        <v>22.367</v>
      </c>
      <c r="B671" s="10" t="s">
        <v>342</v>
      </c>
      <c r="C671" s="4">
        <v>22.367</v>
      </c>
      <c r="D671" s="4">
        <v>86.7</v>
      </c>
      <c r="G671" s="2">
        <f t="shared" si="60"/>
        <v>22.333</v>
      </c>
      <c r="H671" s="11" t="str">
        <f t="shared" si="61"/>
        <v>3.733E-2</v>
      </c>
      <c r="I671" s="2">
        <f t="shared" si="62"/>
        <v>89</v>
      </c>
      <c r="J671" s="4">
        <f t="shared" si="63"/>
        <v>22.333</v>
      </c>
      <c r="K671" s="9">
        <f t="shared" si="64"/>
        <v>2.90000000000006</v>
      </c>
      <c r="L671" s="1">
        <f t="shared" si="65"/>
        <v>-3.49999999999996</v>
      </c>
    </row>
    <row r="672" s="1" customFormat="1" spans="1:12">
      <c r="A672" s="2">
        <v>22.4</v>
      </c>
      <c r="B672" s="10" t="s">
        <v>347</v>
      </c>
      <c r="C672" s="4">
        <v>22.4</v>
      </c>
      <c r="D672" s="4">
        <v>85.9</v>
      </c>
      <c r="G672" s="2">
        <f t="shared" si="60"/>
        <v>22.367</v>
      </c>
      <c r="H672" s="11" t="str">
        <f t="shared" si="61"/>
        <v>3.735E-2</v>
      </c>
      <c r="I672" s="2">
        <f t="shared" si="62"/>
        <v>86.7</v>
      </c>
      <c r="J672" s="4">
        <f t="shared" si="63"/>
        <v>22.367</v>
      </c>
      <c r="K672" s="9">
        <f t="shared" si="64"/>
        <v>3.10000000000005</v>
      </c>
      <c r="L672" s="1">
        <f t="shared" si="65"/>
        <v>-3.49999999999996</v>
      </c>
    </row>
    <row r="673" s="1" customFormat="1" spans="1:12">
      <c r="A673" s="2">
        <v>22.434</v>
      </c>
      <c r="B673" s="10" t="s">
        <v>343</v>
      </c>
      <c r="C673" s="4">
        <v>22.434</v>
      </c>
      <c r="D673" s="4">
        <v>84.1</v>
      </c>
      <c r="G673" s="2">
        <f t="shared" si="60"/>
        <v>22.4</v>
      </c>
      <c r="H673" s="11" t="str">
        <f t="shared" si="61"/>
        <v>3.737E-2</v>
      </c>
      <c r="I673" s="2">
        <f t="shared" si="62"/>
        <v>85.9</v>
      </c>
      <c r="J673" s="4">
        <f t="shared" si="63"/>
        <v>22.4</v>
      </c>
      <c r="K673" s="9">
        <f t="shared" si="64"/>
        <v>3.30000000000004</v>
      </c>
      <c r="L673" s="1">
        <f t="shared" si="65"/>
        <v>-3.49999999999996</v>
      </c>
    </row>
    <row r="674" s="1" customFormat="1" spans="1:12">
      <c r="A674" s="2">
        <v>22.467</v>
      </c>
      <c r="B674" s="10" t="s">
        <v>394</v>
      </c>
      <c r="C674" s="4">
        <v>22.467</v>
      </c>
      <c r="D674" s="4">
        <v>82.4</v>
      </c>
      <c r="G674" s="2">
        <f t="shared" si="60"/>
        <v>22.434</v>
      </c>
      <c r="H674" s="11" t="str">
        <f t="shared" si="61"/>
        <v>3.739E-2</v>
      </c>
      <c r="I674" s="2">
        <f t="shared" si="62"/>
        <v>84.1</v>
      </c>
      <c r="J674" s="4">
        <f t="shared" si="63"/>
        <v>22.434</v>
      </c>
      <c r="K674" s="9">
        <f t="shared" si="64"/>
        <v>3.50000000000003</v>
      </c>
      <c r="L674" s="1">
        <f t="shared" si="65"/>
        <v>-3.49999999999996</v>
      </c>
    </row>
    <row r="675" s="1" customFormat="1" spans="1:12">
      <c r="A675" s="2">
        <v>22.501</v>
      </c>
      <c r="B675" s="10" t="s">
        <v>459</v>
      </c>
      <c r="C675" s="4">
        <v>22.501</v>
      </c>
      <c r="D675" s="4">
        <v>82.2</v>
      </c>
      <c r="G675" s="2">
        <f t="shared" si="60"/>
        <v>22.467</v>
      </c>
      <c r="H675" s="11" t="str">
        <f t="shared" si="61"/>
        <v>3.742E-2</v>
      </c>
      <c r="I675" s="2">
        <f t="shared" si="62"/>
        <v>82.4</v>
      </c>
      <c r="J675" s="4">
        <f t="shared" si="63"/>
        <v>22.467</v>
      </c>
      <c r="K675" s="9">
        <f t="shared" si="64"/>
        <v>3.80000000000005</v>
      </c>
      <c r="L675" s="1">
        <f t="shared" si="65"/>
        <v>-3.49999999999996</v>
      </c>
    </row>
    <row r="676" s="1" customFormat="1" spans="1:12">
      <c r="A676" s="2">
        <v>22.534</v>
      </c>
      <c r="B676" s="10" t="s">
        <v>384</v>
      </c>
      <c r="C676" s="4">
        <v>22.534</v>
      </c>
      <c r="D676" s="4">
        <v>80.9</v>
      </c>
      <c r="G676" s="2">
        <f t="shared" si="60"/>
        <v>22.501</v>
      </c>
      <c r="H676" s="11" t="str">
        <f t="shared" si="61"/>
        <v>3.743E-2</v>
      </c>
      <c r="I676" s="2">
        <f t="shared" si="62"/>
        <v>82.2</v>
      </c>
      <c r="J676" s="4">
        <f t="shared" si="63"/>
        <v>22.501</v>
      </c>
      <c r="K676" s="9">
        <f t="shared" si="64"/>
        <v>3.90000000000001</v>
      </c>
      <c r="L676" s="1">
        <f t="shared" si="65"/>
        <v>-3.49999999999996</v>
      </c>
    </row>
    <row r="677" s="1" customFormat="1" spans="1:12">
      <c r="A677" s="2">
        <v>22.567</v>
      </c>
      <c r="B677" s="10" t="s">
        <v>460</v>
      </c>
      <c r="C677" s="4">
        <v>22.567</v>
      </c>
      <c r="D677" s="4">
        <v>79.4</v>
      </c>
      <c r="G677" s="2">
        <f t="shared" si="60"/>
        <v>22.534</v>
      </c>
      <c r="H677" s="11" t="str">
        <f t="shared" si="61"/>
        <v>3.745E-2</v>
      </c>
      <c r="I677" s="2">
        <f t="shared" si="62"/>
        <v>80.9</v>
      </c>
      <c r="J677" s="4">
        <f t="shared" si="63"/>
        <v>22.534</v>
      </c>
      <c r="K677" s="9">
        <f t="shared" si="64"/>
        <v>4.10000000000001</v>
      </c>
      <c r="L677" s="1">
        <f t="shared" si="65"/>
        <v>-3.49999999999996</v>
      </c>
    </row>
    <row r="678" s="1" customFormat="1" spans="1:12">
      <c r="A678" s="2">
        <v>22.601</v>
      </c>
      <c r="B678" s="10" t="s">
        <v>417</v>
      </c>
      <c r="C678" s="4">
        <v>22.601</v>
      </c>
      <c r="D678" s="4">
        <v>78.8</v>
      </c>
      <c r="G678" s="2">
        <f t="shared" si="60"/>
        <v>22.567</v>
      </c>
      <c r="H678" s="11" t="str">
        <f t="shared" si="61"/>
        <v>3.746E-2</v>
      </c>
      <c r="I678" s="2">
        <f t="shared" si="62"/>
        <v>79.4</v>
      </c>
      <c r="J678" s="4">
        <f t="shared" si="63"/>
        <v>22.567</v>
      </c>
      <c r="K678" s="9">
        <f t="shared" si="64"/>
        <v>4.20000000000004</v>
      </c>
      <c r="L678" s="1">
        <f t="shared" si="65"/>
        <v>-3.49999999999996</v>
      </c>
    </row>
    <row r="679" s="1" customFormat="1" spans="1:12">
      <c r="A679" s="2">
        <v>22.634</v>
      </c>
      <c r="B679" s="10" t="s">
        <v>417</v>
      </c>
      <c r="C679" s="4">
        <v>22.634</v>
      </c>
      <c r="D679" s="4">
        <v>77.2</v>
      </c>
      <c r="G679" s="2">
        <f t="shared" si="60"/>
        <v>22.601</v>
      </c>
      <c r="H679" s="11" t="str">
        <f t="shared" si="61"/>
        <v>3.748E-2</v>
      </c>
      <c r="I679" s="2">
        <f t="shared" si="62"/>
        <v>78.8</v>
      </c>
      <c r="J679" s="4">
        <f t="shared" si="63"/>
        <v>22.601</v>
      </c>
      <c r="K679" s="9">
        <f t="shared" si="64"/>
        <v>4.40000000000003</v>
      </c>
      <c r="L679" s="1">
        <f t="shared" si="65"/>
        <v>-3.49999999999996</v>
      </c>
    </row>
    <row r="680" s="1" customFormat="1" spans="1:12">
      <c r="A680" s="2">
        <v>22.668</v>
      </c>
      <c r="B680" s="10" t="s">
        <v>415</v>
      </c>
      <c r="C680" s="4">
        <v>22.668</v>
      </c>
      <c r="D680" s="4">
        <v>77.2</v>
      </c>
      <c r="G680" s="2">
        <f t="shared" si="60"/>
        <v>22.634</v>
      </c>
      <c r="H680" s="11" t="str">
        <f t="shared" si="61"/>
        <v>3.748E-2</v>
      </c>
      <c r="I680" s="2">
        <f t="shared" si="62"/>
        <v>77.2</v>
      </c>
      <c r="J680" s="4">
        <f t="shared" si="63"/>
        <v>22.634</v>
      </c>
      <c r="K680" s="9">
        <f t="shared" si="64"/>
        <v>4.40000000000003</v>
      </c>
      <c r="L680" s="1">
        <f t="shared" si="65"/>
        <v>-3.49999999999996</v>
      </c>
    </row>
    <row r="681" s="1" customFormat="1" spans="1:12">
      <c r="A681" s="2">
        <v>22.701</v>
      </c>
      <c r="B681" s="10" t="s">
        <v>363</v>
      </c>
      <c r="C681" s="4">
        <v>22.701</v>
      </c>
      <c r="D681" s="4">
        <v>76.4</v>
      </c>
      <c r="G681" s="2">
        <f t="shared" si="60"/>
        <v>22.668</v>
      </c>
      <c r="H681" s="11" t="str">
        <f t="shared" si="61"/>
        <v>3.749E-2</v>
      </c>
      <c r="I681" s="2">
        <f t="shared" si="62"/>
        <v>77.2</v>
      </c>
      <c r="J681" s="4">
        <f t="shared" si="63"/>
        <v>22.668</v>
      </c>
      <c r="K681" s="9">
        <f t="shared" si="64"/>
        <v>4.50000000000006</v>
      </c>
      <c r="L681" s="1">
        <f t="shared" si="65"/>
        <v>-3.49999999999996</v>
      </c>
    </row>
    <row r="682" s="1" customFormat="1" spans="1:12">
      <c r="A682" s="2">
        <v>22.735</v>
      </c>
      <c r="B682" s="10" t="s">
        <v>414</v>
      </c>
      <c r="C682" s="4">
        <v>22.735</v>
      </c>
      <c r="D682" s="4">
        <v>75</v>
      </c>
      <c r="G682" s="2">
        <f t="shared" si="60"/>
        <v>22.701</v>
      </c>
      <c r="H682" s="11" t="str">
        <f t="shared" si="61"/>
        <v>3.751E-2</v>
      </c>
      <c r="I682" s="2">
        <f t="shared" si="62"/>
        <v>76.4</v>
      </c>
      <c r="J682" s="4">
        <f t="shared" si="63"/>
        <v>22.701</v>
      </c>
      <c r="K682" s="9">
        <f t="shared" si="64"/>
        <v>4.70000000000005</v>
      </c>
      <c r="L682" s="1">
        <f t="shared" si="65"/>
        <v>-3.49999999999996</v>
      </c>
    </row>
    <row r="683" s="1" customFormat="1" spans="1:12">
      <c r="A683" s="2">
        <v>22.768</v>
      </c>
      <c r="B683" s="10" t="s">
        <v>364</v>
      </c>
      <c r="C683" s="4">
        <v>22.768</v>
      </c>
      <c r="D683" s="4">
        <v>75.2</v>
      </c>
      <c r="G683" s="2">
        <f t="shared" si="60"/>
        <v>22.735</v>
      </c>
      <c r="H683" s="11" t="str">
        <f t="shared" si="61"/>
        <v>3.760E-2</v>
      </c>
      <c r="I683" s="2">
        <f t="shared" si="62"/>
        <v>75</v>
      </c>
      <c r="J683" s="4">
        <f t="shared" si="63"/>
        <v>22.735</v>
      </c>
      <c r="K683" s="9">
        <f t="shared" si="64"/>
        <v>5.60000000000005</v>
      </c>
      <c r="L683" s="1">
        <f t="shared" si="65"/>
        <v>-3.49999999999996</v>
      </c>
    </row>
    <row r="684" s="1" customFormat="1" spans="1:12">
      <c r="A684" s="2">
        <v>22.801</v>
      </c>
      <c r="B684" s="10" t="s">
        <v>446</v>
      </c>
      <c r="C684" s="4">
        <v>22.801</v>
      </c>
      <c r="D684" s="4">
        <v>73.6</v>
      </c>
      <c r="G684" s="2">
        <f t="shared" si="60"/>
        <v>22.768</v>
      </c>
      <c r="H684" s="11" t="str">
        <f t="shared" si="61"/>
        <v>3.764E-2</v>
      </c>
      <c r="I684" s="2">
        <f t="shared" si="62"/>
        <v>75.2</v>
      </c>
      <c r="J684" s="4">
        <f t="shared" si="63"/>
        <v>22.768</v>
      </c>
      <c r="K684" s="9">
        <f t="shared" si="64"/>
        <v>6.00000000000003</v>
      </c>
      <c r="L684" s="1">
        <f t="shared" si="65"/>
        <v>-3.49999999999996</v>
      </c>
    </row>
    <row r="685" s="1" customFormat="1" spans="1:12">
      <c r="A685" s="2">
        <v>22.835</v>
      </c>
      <c r="B685" s="10" t="s">
        <v>462</v>
      </c>
      <c r="C685" s="4">
        <v>22.835</v>
      </c>
      <c r="D685" s="4">
        <v>73.8</v>
      </c>
      <c r="G685" s="2">
        <f t="shared" si="60"/>
        <v>22.801</v>
      </c>
      <c r="H685" s="11" t="str">
        <f t="shared" si="61"/>
        <v>3.765E-2</v>
      </c>
      <c r="I685" s="2">
        <f t="shared" si="62"/>
        <v>73.6</v>
      </c>
      <c r="J685" s="4">
        <f t="shared" si="63"/>
        <v>22.801</v>
      </c>
      <c r="K685" s="9">
        <f t="shared" si="64"/>
        <v>6.10000000000006</v>
      </c>
      <c r="L685" s="1">
        <f t="shared" si="65"/>
        <v>-3.49999999999996</v>
      </c>
    </row>
    <row r="686" s="1" customFormat="1" spans="1:12">
      <c r="A686" s="2">
        <v>22.868</v>
      </c>
      <c r="B686" s="10" t="s">
        <v>435</v>
      </c>
      <c r="C686" s="4">
        <v>22.868</v>
      </c>
      <c r="D686" s="4">
        <v>73</v>
      </c>
      <c r="G686" s="2">
        <f t="shared" si="60"/>
        <v>22.835</v>
      </c>
      <c r="H686" s="11" t="str">
        <f t="shared" si="61"/>
        <v>3.768E-2</v>
      </c>
      <c r="I686" s="2">
        <f t="shared" si="62"/>
        <v>73.8</v>
      </c>
      <c r="J686" s="4">
        <f t="shared" si="63"/>
        <v>22.835</v>
      </c>
      <c r="K686" s="9">
        <f t="shared" si="64"/>
        <v>6.40000000000002</v>
      </c>
      <c r="L686" s="1">
        <f t="shared" si="65"/>
        <v>-3.49999999999996</v>
      </c>
    </row>
    <row r="687" s="1" customFormat="1" spans="1:12">
      <c r="A687" s="2">
        <v>22.902</v>
      </c>
      <c r="B687" s="10" t="s">
        <v>435</v>
      </c>
      <c r="C687" s="4">
        <v>22.902</v>
      </c>
      <c r="D687" s="4">
        <v>72.9</v>
      </c>
      <c r="G687" s="2">
        <f t="shared" si="60"/>
        <v>22.868</v>
      </c>
      <c r="H687" s="11" t="str">
        <f t="shared" si="61"/>
        <v>3.767E-2</v>
      </c>
      <c r="I687" s="2">
        <f t="shared" si="62"/>
        <v>73</v>
      </c>
      <c r="J687" s="4">
        <f t="shared" si="63"/>
        <v>22.868</v>
      </c>
      <c r="K687" s="9">
        <f t="shared" si="64"/>
        <v>6.30000000000006</v>
      </c>
      <c r="L687" s="1">
        <f t="shared" si="65"/>
        <v>-3.49999999999996</v>
      </c>
    </row>
    <row r="688" s="1" customFormat="1" spans="1:12">
      <c r="A688" s="2">
        <v>22.935</v>
      </c>
      <c r="B688" s="10" t="s">
        <v>364</v>
      </c>
      <c r="C688" s="4">
        <v>22.935</v>
      </c>
      <c r="D688" s="4">
        <v>72.1</v>
      </c>
      <c r="G688" s="2">
        <f t="shared" si="60"/>
        <v>22.902</v>
      </c>
      <c r="H688" s="11" t="str">
        <f t="shared" si="61"/>
        <v>3.767E-2</v>
      </c>
      <c r="I688" s="2">
        <f t="shared" si="62"/>
        <v>72.9</v>
      </c>
      <c r="J688" s="4">
        <f t="shared" si="63"/>
        <v>22.902</v>
      </c>
      <c r="K688" s="9">
        <f t="shared" si="64"/>
        <v>6.30000000000006</v>
      </c>
      <c r="L688" s="1">
        <f t="shared" si="65"/>
        <v>-3.49999999999996</v>
      </c>
    </row>
    <row r="689" s="1" customFormat="1" spans="1:12">
      <c r="A689" s="2">
        <v>22.969</v>
      </c>
      <c r="B689" s="10" t="s">
        <v>447</v>
      </c>
      <c r="C689" s="4">
        <v>22.969</v>
      </c>
      <c r="D689" s="4">
        <v>71.3</v>
      </c>
      <c r="G689" s="2">
        <f t="shared" si="60"/>
        <v>22.935</v>
      </c>
      <c r="H689" s="11" t="str">
        <f t="shared" si="61"/>
        <v>3.764E-2</v>
      </c>
      <c r="I689" s="2">
        <f t="shared" si="62"/>
        <v>72.1</v>
      </c>
      <c r="J689" s="4">
        <f t="shared" si="63"/>
        <v>22.935</v>
      </c>
      <c r="K689" s="9">
        <f t="shared" si="64"/>
        <v>6.00000000000003</v>
      </c>
      <c r="L689" s="1">
        <f t="shared" si="65"/>
        <v>-3.49999999999996</v>
      </c>
    </row>
    <row r="690" s="1" customFormat="1" spans="1:12">
      <c r="A690" s="2">
        <v>23.002</v>
      </c>
      <c r="B690" s="10" t="s">
        <v>436</v>
      </c>
      <c r="C690" s="4">
        <v>23.002</v>
      </c>
      <c r="D690" s="4">
        <v>71.1</v>
      </c>
      <c r="G690" s="2">
        <f t="shared" si="60"/>
        <v>22.969</v>
      </c>
      <c r="H690" s="11" t="str">
        <f t="shared" si="61"/>
        <v>3.763E-2</v>
      </c>
      <c r="I690" s="2">
        <f t="shared" si="62"/>
        <v>71.3</v>
      </c>
      <c r="J690" s="4">
        <f t="shared" si="63"/>
        <v>22.969</v>
      </c>
      <c r="K690" s="9">
        <f t="shared" si="64"/>
        <v>5.9</v>
      </c>
      <c r="L690" s="1">
        <f t="shared" si="65"/>
        <v>-3.49999999999996</v>
      </c>
    </row>
    <row r="691" s="1" customFormat="1" spans="1:12">
      <c r="A691" s="2">
        <v>23.035</v>
      </c>
      <c r="B691" s="10" t="s">
        <v>439</v>
      </c>
      <c r="C691" s="4">
        <v>23.035</v>
      </c>
      <c r="D691" s="4">
        <v>70.8</v>
      </c>
      <c r="G691" s="2">
        <f t="shared" si="60"/>
        <v>23.002</v>
      </c>
      <c r="H691" s="11" t="str">
        <f t="shared" si="61"/>
        <v>3.761E-2</v>
      </c>
      <c r="I691" s="2">
        <f t="shared" si="62"/>
        <v>71.1</v>
      </c>
      <c r="J691" s="4">
        <f t="shared" si="63"/>
        <v>23.002</v>
      </c>
      <c r="K691" s="9">
        <f t="shared" si="64"/>
        <v>5.70000000000001</v>
      </c>
      <c r="L691" s="1">
        <f t="shared" si="65"/>
        <v>-3.49999999999996</v>
      </c>
    </row>
    <row r="692" s="1" customFormat="1" spans="1:12">
      <c r="A692" s="2">
        <v>23.069</v>
      </c>
      <c r="B692" s="10" t="s">
        <v>418</v>
      </c>
      <c r="C692" s="4">
        <v>23.069</v>
      </c>
      <c r="D692" s="4">
        <v>71.1</v>
      </c>
      <c r="G692" s="2">
        <f t="shared" si="60"/>
        <v>23.035</v>
      </c>
      <c r="H692" s="11" t="str">
        <f t="shared" si="61"/>
        <v>3.759E-2</v>
      </c>
      <c r="I692" s="2">
        <f t="shared" si="62"/>
        <v>70.8</v>
      </c>
      <c r="J692" s="4">
        <f t="shared" si="63"/>
        <v>23.035</v>
      </c>
      <c r="K692" s="9">
        <f t="shared" si="64"/>
        <v>5.50000000000002</v>
      </c>
      <c r="L692" s="1">
        <f t="shared" si="65"/>
        <v>-3.49999999999996</v>
      </c>
    </row>
    <row r="693" s="1" customFormat="1" spans="1:12">
      <c r="A693" s="2">
        <v>23.102</v>
      </c>
      <c r="B693" s="10" t="s">
        <v>383</v>
      </c>
      <c r="C693" s="4">
        <v>23.102</v>
      </c>
      <c r="D693" s="4">
        <v>70.7</v>
      </c>
      <c r="G693" s="2">
        <f t="shared" si="60"/>
        <v>23.069</v>
      </c>
      <c r="H693" s="11" t="str">
        <f t="shared" si="61"/>
        <v>3.756E-2</v>
      </c>
      <c r="I693" s="2">
        <f t="shared" si="62"/>
        <v>71.1</v>
      </c>
      <c r="J693" s="4">
        <f t="shared" si="63"/>
        <v>23.069</v>
      </c>
      <c r="K693" s="9">
        <f t="shared" si="64"/>
        <v>5.20000000000007</v>
      </c>
      <c r="L693" s="1">
        <f t="shared" si="65"/>
        <v>-3.49999999999996</v>
      </c>
    </row>
    <row r="694" s="1" customFormat="1" spans="1:12">
      <c r="A694" s="2">
        <v>23.136</v>
      </c>
      <c r="B694" s="10" t="s">
        <v>474</v>
      </c>
      <c r="C694" s="4">
        <v>23.136</v>
      </c>
      <c r="D694" s="4">
        <v>70</v>
      </c>
      <c r="G694" s="2">
        <f t="shared" si="60"/>
        <v>23.102</v>
      </c>
      <c r="H694" s="11" t="str">
        <f t="shared" si="61"/>
        <v>3.755E-2</v>
      </c>
      <c r="I694" s="2">
        <f t="shared" si="62"/>
        <v>70.7</v>
      </c>
      <c r="J694" s="4">
        <f t="shared" si="63"/>
        <v>23.102</v>
      </c>
      <c r="K694" s="9">
        <f t="shared" si="64"/>
        <v>5.10000000000004</v>
      </c>
      <c r="L694" s="1">
        <f t="shared" si="65"/>
        <v>-3.49999999999996</v>
      </c>
    </row>
    <row r="695" s="1" customFormat="1" spans="1:12">
      <c r="A695" s="2">
        <v>23.169</v>
      </c>
      <c r="B695" s="10" t="s">
        <v>363</v>
      </c>
      <c r="C695" s="4">
        <v>23.169</v>
      </c>
      <c r="D695" s="4">
        <v>70</v>
      </c>
      <c r="G695" s="2">
        <f t="shared" si="60"/>
        <v>23.136</v>
      </c>
      <c r="H695" s="11" t="str">
        <f t="shared" si="61"/>
        <v>3.753E-2</v>
      </c>
      <c r="I695" s="2">
        <f t="shared" si="62"/>
        <v>70</v>
      </c>
      <c r="J695" s="4">
        <f t="shared" si="63"/>
        <v>23.136</v>
      </c>
      <c r="K695" s="9">
        <f t="shared" si="64"/>
        <v>4.90000000000004</v>
      </c>
      <c r="L695" s="1">
        <f t="shared" si="65"/>
        <v>-3.49999999999996</v>
      </c>
    </row>
    <row r="696" s="1" customFormat="1" spans="1:12">
      <c r="A696" s="2">
        <v>23.203</v>
      </c>
      <c r="B696" s="10" t="s">
        <v>415</v>
      </c>
      <c r="C696" s="4">
        <v>23.203</v>
      </c>
      <c r="D696" s="4">
        <v>69.8</v>
      </c>
      <c r="G696" s="2">
        <f t="shared" si="60"/>
        <v>23.169</v>
      </c>
      <c r="H696" s="11" t="str">
        <f t="shared" si="61"/>
        <v>3.751E-2</v>
      </c>
      <c r="I696" s="2">
        <f t="shared" si="62"/>
        <v>70</v>
      </c>
      <c r="J696" s="4">
        <f t="shared" si="63"/>
        <v>23.169</v>
      </c>
      <c r="K696" s="9">
        <f t="shared" si="64"/>
        <v>4.70000000000005</v>
      </c>
      <c r="L696" s="1">
        <f t="shared" si="65"/>
        <v>-3.49999999999996</v>
      </c>
    </row>
    <row r="697" s="1" customFormat="1" spans="1:12">
      <c r="A697" s="2">
        <v>23.236</v>
      </c>
      <c r="B697" s="10" t="s">
        <v>346</v>
      </c>
      <c r="C697" s="4">
        <v>23.236</v>
      </c>
      <c r="D697" s="4">
        <v>69.2</v>
      </c>
      <c r="G697" s="2">
        <f t="shared" si="60"/>
        <v>23.203</v>
      </c>
      <c r="H697" s="11" t="str">
        <f t="shared" si="61"/>
        <v>3.749E-2</v>
      </c>
      <c r="I697" s="2">
        <f t="shared" si="62"/>
        <v>69.8</v>
      </c>
      <c r="J697" s="4">
        <f t="shared" si="63"/>
        <v>23.203</v>
      </c>
      <c r="K697" s="9">
        <f t="shared" si="64"/>
        <v>4.50000000000006</v>
      </c>
      <c r="L697" s="1">
        <f t="shared" si="65"/>
        <v>-3.49999999999996</v>
      </c>
    </row>
    <row r="698" s="1" customFormat="1" spans="1:12">
      <c r="A698" s="2">
        <v>23.269</v>
      </c>
      <c r="B698" s="10" t="s">
        <v>349</v>
      </c>
      <c r="C698" s="4">
        <v>23.269</v>
      </c>
      <c r="D698" s="4">
        <v>69.4</v>
      </c>
      <c r="G698" s="2">
        <f t="shared" si="60"/>
        <v>23.236</v>
      </c>
      <c r="H698" s="11" t="str">
        <f t="shared" si="61"/>
        <v>3.738E-2</v>
      </c>
      <c r="I698" s="2">
        <f t="shared" si="62"/>
        <v>69.2</v>
      </c>
      <c r="J698" s="4">
        <f t="shared" si="63"/>
        <v>23.236</v>
      </c>
      <c r="K698" s="9">
        <f t="shared" si="64"/>
        <v>3.4</v>
      </c>
      <c r="L698" s="1">
        <f t="shared" si="65"/>
        <v>-3.49999999999996</v>
      </c>
    </row>
    <row r="699" s="1" customFormat="1" spans="1:12">
      <c r="A699" s="2">
        <v>23.303</v>
      </c>
      <c r="B699" s="10" t="s">
        <v>351</v>
      </c>
      <c r="C699" s="4">
        <v>23.303</v>
      </c>
      <c r="D699" s="4">
        <v>69.2</v>
      </c>
      <c r="G699" s="2">
        <f t="shared" si="60"/>
        <v>23.269</v>
      </c>
      <c r="H699" s="11" t="str">
        <f t="shared" si="61"/>
        <v>3.733E-2</v>
      </c>
      <c r="I699" s="2">
        <f t="shared" si="62"/>
        <v>69.4</v>
      </c>
      <c r="J699" s="4">
        <f t="shared" si="63"/>
        <v>23.269</v>
      </c>
      <c r="K699" s="9">
        <f t="shared" si="64"/>
        <v>2.90000000000006</v>
      </c>
      <c r="L699" s="1">
        <f t="shared" si="65"/>
        <v>-3.49999999999996</v>
      </c>
    </row>
    <row r="700" s="1" customFormat="1" spans="1:12">
      <c r="A700" s="2">
        <v>23.336</v>
      </c>
      <c r="B700" s="10" t="s">
        <v>352</v>
      </c>
      <c r="C700" s="4">
        <v>23.336</v>
      </c>
      <c r="D700" s="4">
        <v>69.3</v>
      </c>
      <c r="G700" s="2">
        <f t="shared" si="60"/>
        <v>23.303</v>
      </c>
      <c r="H700" s="11" t="str">
        <f t="shared" si="61"/>
        <v>3.727E-2</v>
      </c>
      <c r="I700" s="2">
        <f t="shared" si="62"/>
        <v>69.2</v>
      </c>
      <c r="J700" s="4">
        <f t="shared" si="63"/>
        <v>23.303</v>
      </c>
      <c r="K700" s="9">
        <f t="shared" si="64"/>
        <v>2.30000000000001</v>
      </c>
      <c r="L700" s="1">
        <f t="shared" si="65"/>
        <v>-3.49999999999996</v>
      </c>
    </row>
    <row r="701" s="1" customFormat="1" spans="1:12">
      <c r="A701" s="2">
        <v>23.37</v>
      </c>
      <c r="B701" s="10" t="s">
        <v>361</v>
      </c>
      <c r="C701" s="4">
        <v>23.37</v>
      </c>
      <c r="D701" s="4">
        <v>69.4</v>
      </c>
      <c r="G701" s="2">
        <f t="shared" si="60"/>
        <v>23.336</v>
      </c>
      <c r="H701" s="11" t="str">
        <f t="shared" si="61"/>
        <v>3.726E-2</v>
      </c>
      <c r="I701" s="2">
        <f t="shared" si="62"/>
        <v>69.3</v>
      </c>
      <c r="J701" s="4">
        <f t="shared" si="63"/>
        <v>23.336</v>
      </c>
      <c r="K701" s="9">
        <f t="shared" si="64"/>
        <v>2.20000000000005</v>
      </c>
      <c r="L701" s="1">
        <f t="shared" si="65"/>
        <v>-3.49999999999996</v>
      </c>
    </row>
    <row r="702" s="1" customFormat="1" spans="1:12">
      <c r="A702" s="2">
        <v>23.403</v>
      </c>
      <c r="B702" s="10" t="s">
        <v>353</v>
      </c>
      <c r="C702" s="4">
        <v>23.403</v>
      </c>
      <c r="D702" s="4">
        <v>68.7</v>
      </c>
      <c r="G702" s="2">
        <f t="shared" si="60"/>
        <v>23.37</v>
      </c>
      <c r="H702" s="11" t="str">
        <f t="shared" si="61"/>
        <v>3.724E-2</v>
      </c>
      <c r="I702" s="2">
        <f t="shared" si="62"/>
        <v>69.4</v>
      </c>
      <c r="J702" s="4">
        <f t="shared" si="63"/>
        <v>23.37</v>
      </c>
      <c r="K702" s="9">
        <f t="shared" si="64"/>
        <v>2.00000000000006</v>
      </c>
      <c r="L702" s="1">
        <f t="shared" si="65"/>
        <v>-3.49999999999996</v>
      </c>
    </row>
    <row r="703" s="1" customFormat="1" spans="1:12">
      <c r="A703" s="2">
        <v>23.437</v>
      </c>
      <c r="B703" s="10" t="s">
        <v>353</v>
      </c>
      <c r="C703" s="4">
        <v>23.437</v>
      </c>
      <c r="D703" s="4">
        <v>68.3</v>
      </c>
      <c r="G703" s="2">
        <f t="shared" si="60"/>
        <v>23.403</v>
      </c>
      <c r="H703" s="11" t="str">
        <f t="shared" si="61"/>
        <v>3.722E-2</v>
      </c>
      <c r="I703" s="2">
        <f t="shared" si="62"/>
        <v>68.7</v>
      </c>
      <c r="J703" s="4">
        <f t="shared" si="63"/>
        <v>23.403</v>
      </c>
      <c r="K703" s="9">
        <f t="shared" si="64"/>
        <v>1.80000000000007</v>
      </c>
      <c r="L703" s="1">
        <f t="shared" si="65"/>
        <v>-3.49999999999996</v>
      </c>
    </row>
    <row r="704" s="1" customFormat="1" spans="1:12">
      <c r="A704" s="2">
        <v>23.47</v>
      </c>
      <c r="B704" s="10" t="s">
        <v>477</v>
      </c>
      <c r="C704" s="4">
        <v>23.47</v>
      </c>
      <c r="D704" s="4">
        <v>68.9</v>
      </c>
      <c r="G704" s="2">
        <f t="shared" si="60"/>
        <v>23.437</v>
      </c>
      <c r="H704" s="11" t="str">
        <f t="shared" si="61"/>
        <v>3.722E-2</v>
      </c>
      <c r="I704" s="2">
        <f t="shared" si="62"/>
        <v>68.3</v>
      </c>
      <c r="J704" s="4">
        <f t="shared" si="63"/>
        <v>23.437</v>
      </c>
      <c r="K704" s="9">
        <f t="shared" si="64"/>
        <v>1.80000000000007</v>
      </c>
      <c r="L704" s="1">
        <f t="shared" si="65"/>
        <v>-3.49999999999996</v>
      </c>
    </row>
    <row r="705" s="1" customFormat="1" spans="1:12">
      <c r="A705" s="2">
        <v>23.504</v>
      </c>
      <c r="B705" s="10" t="s">
        <v>416</v>
      </c>
      <c r="C705" s="4">
        <v>23.504</v>
      </c>
      <c r="D705" s="4">
        <v>68.6</v>
      </c>
      <c r="G705" s="2">
        <f t="shared" si="60"/>
        <v>23.47</v>
      </c>
      <c r="H705" s="11" t="str">
        <f t="shared" si="61"/>
        <v>3.723E-2</v>
      </c>
      <c r="I705" s="2">
        <f t="shared" si="62"/>
        <v>68.9</v>
      </c>
      <c r="J705" s="4">
        <f t="shared" si="63"/>
        <v>23.47</v>
      </c>
      <c r="K705" s="9">
        <f t="shared" si="64"/>
        <v>1.90000000000003</v>
      </c>
      <c r="L705" s="1">
        <f t="shared" si="65"/>
        <v>-3.49999999999996</v>
      </c>
    </row>
    <row r="706" s="1" customFormat="1" spans="1:12">
      <c r="A706" s="2">
        <v>23.537</v>
      </c>
      <c r="B706" s="10" t="s">
        <v>352</v>
      </c>
      <c r="C706" s="4">
        <v>23.537</v>
      </c>
      <c r="D706" s="4">
        <v>68.7</v>
      </c>
      <c r="G706" s="2">
        <f t="shared" si="60"/>
        <v>23.504</v>
      </c>
      <c r="H706" s="11" t="str">
        <f t="shared" si="61"/>
        <v>3.725E-2</v>
      </c>
      <c r="I706" s="2">
        <f t="shared" si="62"/>
        <v>68.6</v>
      </c>
      <c r="J706" s="4">
        <f t="shared" si="63"/>
        <v>23.504</v>
      </c>
      <c r="K706" s="9">
        <f t="shared" si="64"/>
        <v>2.10000000000002</v>
      </c>
      <c r="L706" s="1">
        <f t="shared" si="65"/>
        <v>-3.49999999999996</v>
      </c>
    </row>
    <row r="707" s="1" customFormat="1" spans="1:12">
      <c r="A707" s="2">
        <v>23.57</v>
      </c>
      <c r="B707" s="10" t="s">
        <v>458</v>
      </c>
      <c r="C707" s="4">
        <v>23.57</v>
      </c>
      <c r="D707" s="4">
        <v>68.4</v>
      </c>
      <c r="G707" s="2">
        <f t="shared" si="60"/>
        <v>23.537</v>
      </c>
      <c r="H707" s="11" t="str">
        <f t="shared" si="61"/>
        <v>3.726E-2</v>
      </c>
      <c r="I707" s="2">
        <f t="shared" si="62"/>
        <v>68.7</v>
      </c>
      <c r="J707" s="4">
        <f t="shared" si="63"/>
        <v>23.537</v>
      </c>
      <c r="K707" s="9">
        <f t="shared" si="64"/>
        <v>2.20000000000005</v>
      </c>
      <c r="L707" s="1">
        <f t="shared" si="65"/>
        <v>-3.49999999999996</v>
      </c>
    </row>
    <row r="708" s="1" customFormat="1" spans="1:12">
      <c r="A708" s="2">
        <v>23.604</v>
      </c>
      <c r="B708" s="10" t="s">
        <v>385</v>
      </c>
      <c r="C708" s="4">
        <v>23.604</v>
      </c>
      <c r="D708" s="4">
        <v>68.2</v>
      </c>
      <c r="G708" s="2">
        <f t="shared" ref="G708:G771" si="66">A707</f>
        <v>23.57</v>
      </c>
      <c r="H708" s="11" t="str">
        <f t="shared" ref="H708:H771" si="67">B707</f>
        <v>3.728E-2</v>
      </c>
      <c r="I708" s="2">
        <f t="shared" ref="I708:I771" si="68">D707</f>
        <v>68.4</v>
      </c>
      <c r="J708" s="4">
        <f t="shared" ref="J708:J771" si="69">G708</f>
        <v>23.57</v>
      </c>
      <c r="K708" s="9">
        <f t="shared" ref="K708:K771" si="70">(H708-$H$4)*10000</f>
        <v>2.40000000000004</v>
      </c>
      <c r="L708" s="1">
        <f t="shared" ref="L708:L771" si="71">IF(I708&lt;230,MIN(K:K),MAX(K:K))</f>
        <v>-3.49999999999996</v>
      </c>
    </row>
    <row r="709" s="1" customFormat="1" spans="1:12">
      <c r="A709" s="2">
        <v>23.637</v>
      </c>
      <c r="B709" s="10" t="s">
        <v>341</v>
      </c>
      <c r="C709" s="4">
        <v>23.637</v>
      </c>
      <c r="D709" s="4">
        <v>68.3</v>
      </c>
      <c r="G709" s="2">
        <f t="shared" si="66"/>
        <v>23.604</v>
      </c>
      <c r="H709" s="11" t="str">
        <f t="shared" si="67"/>
        <v>3.730E-2</v>
      </c>
      <c r="I709" s="2">
        <f t="shared" si="68"/>
        <v>68.2</v>
      </c>
      <c r="J709" s="4">
        <f t="shared" si="69"/>
        <v>23.604</v>
      </c>
      <c r="K709" s="9">
        <f t="shared" si="70"/>
        <v>2.60000000000003</v>
      </c>
      <c r="L709" s="1">
        <f t="shared" si="71"/>
        <v>-3.49999999999996</v>
      </c>
    </row>
    <row r="710" s="1" customFormat="1" spans="1:12">
      <c r="A710" s="2">
        <v>23.671</v>
      </c>
      <c r="B710" s="10" t="s">
        <v>350</v>
      </c>
      <c r="C710" s="4">
        <v>23.671</v>
      </c>
      <c r="D710" s="4">
        <v>68.3</v>
      </c>
      <c r="G710" s="2">
        <f t="shared" si="66"/>
        <v>23.637</v>
      </c>
      <c r="H710" s="11" t="str">
        <f t="shared" si="67"/>
        <v>3.731E-2</v>
      </c>
      <c r="I710" s="2">
        <f t="shared" si="68"/>
        <v>68.3</v>
      </c>
      <c r="J710" s="4">
        <f t="shared" si="69"/>
        <v>23.637</v>
      </c>
      <c r="K710" s="9">
        <f t="shared" si="70"/>
        <v>2.70000000000006</v>
      </c>
      <c r="L710" s="1">
        <f t="shared" si="71"/>
        <v>-3.49999999999996</v>
      </c>
    </row>
    <row r="711" s="1" customFormat="1" spans="1:12">
      <c r="A711" s="2">
        <v>23.704</v>
      </c>
      <c r="B711" s="10" t="s">
        <v>342</v>
      </c>
      <c r="C711" s="4">
        <v>23.704</v>
      </c>
      <c r="D711" s="4">
        <v>68</v>
      </c>
      <c r="G711" s="2">
        <f t="shared" si="66"/>
        <v>23.671</v>
      </c>
      <c r="H711" s="11" t="str">
        <f t="shared" si="67"/>
        <v>3.732E-2</v>
      </c>
      <c r="I711" s="2">
        <f t="shared" si="68"/>
        <v>68.3</v>
      </c>
      <c r="J711" s="4">
        <f t="shared" si="69"/>
        <v>23.671</v>
      </c>
      <c r="K711" s="9">
        <f t="shared" si="70"/>
        <v>2.80000000000002</v>
      </c>
      <c r="L711" s="1">
        <f t="shared" si="71"/>
        <v>-3.49999999999996</v>
      </c>
    </row>
    <row r="712" s="1" customFormat="1" spans="1:12">
      <c r="A712" s="2">
        <v>23.738</v>
      </c>
      <c r="B712" s="10" t="s">
        <v>347</v>
      </c>
      <c r="C712" s="4">
        <v>23.738</v>
      </c>
      <c r="D712" s="4">
        <v>68.2</v>
      </c>
      <c r="G712" s="2">
        <f t="shared" si="66"/>
        <v>23.704</v>
      </c>
      <c r="H712" s="11" t="str">
        <f t="shared" si="67"/>
        <v>3.735E-2</v>
      </c>
      <c r="I712" s="2">
        <f t="shared" si="68"/>
        <v>68</v>
      </c>
      <c r="J712" s="4">
        <f t="shared" si="69"/>
        <v>23.704</v>
      </c>
      <c r="K712" s="9">
        <f t="shared" si="70"/>
        <v>3.10000000000005</v>
      </c>
      <c r="L712" s="1">
        <f t="shared" si="71"/>
        <v>-3.49999999999996</v>
      </c>
    </row>
    <row r="713" s="1" customFormat="1" spans="1:12">
      <c r="A713" s="2">
        <v>23.771</v>
      </c>
      <c r="B713" s="10" t="s">
        <v>346</v>
      </c>
      <c r="C713" s="4">
        <v>23.771</v>
      </c>
      <c r="D713" s="4">
        <v>68.3</v>
      </c>
      <c r="G713" s="2">
        <f t="shared" si="66"/>
        <v>23.738</v>
      </c>
      <c r="H713" s="11" t="str">
        <f t="shared" si="67"/>
        <v>3.737E-2</v>
      </c>
      <c r="I713" s="2">
        <f t="shared" si="68"/>
        <v>68.2</v>
      </c>
      <c r="J713" s="4">
        <f t="shared" si="69"/>
        <v>23.738</v>
      </c>
      <c r="K713" s="9">
        <f t="shared" si="70"/>
        <v>3.30000000000004</v>
      </c>
      <c r="L713" s="1">
        <f t="shared" si="71"/>
        <v>-3.49999999999996</v>
      </c>
    </row>
    <row r="714" s="1" customFormat="1" spans="1:12">
      <c r="A714" s="2">
        <v>23.804</v>
      </c>
      <c r="B714" s="10" t="s">
        <v>344</v>
      </c>
      <c r="C714" s="4">
        <v>23.804</v>
      </c>
      <c r="D714" s="4">
        <v>68.1</v>
      </c>
      <c r="G714" s="2">
        <f t="shared" si="66"/>
        <v>23.771</v>
      </c>
      <c r="H714" s="11" t="str">
        <f t="shared" si="67"/>
        <v>3.738E-2</v>
      </c>
      <c r="I714" s="2">
        <f t="shared" si="68"/>
        <v>68.3</v>
      </c>
      <c r="J714" s="4">
        <f t="shared" si="69"/>
        <v>23.771</v>
      </c>
      <c r="K714" s="9">
        <f t="shared" si="70"/>
        <v>3.4</v>
      </c>
      <c r="L714" s="1">
        <f t="shared" si="71"/>
        <v>-3.49999999999996</v>
      </c>
    </row>
    <row r="715" s="1" customFormat="1" spans="1:12">
      <c r="A715" s="2">
        <v>23.838</v>
      </c>
      <c r="B715" s="10" t="s">
        <v>394</v>
      </c>
      <c r="C715" s="4">
        <v>23.838</v>
      </c>
      <c r="D715" s="4">
        <v>68.2</v>
      </c>
      <c r="G715" s="2">
        <f t="shared" si="66"/>
        <v>23.804</v>
      </c>
      <c r="H715" s="11" t="str">
        <f t="shared" si="67"/>
        <v>3.740E-2</v>
      </c>
      <c r="I715" s="2">
        <f t="shared" si="68"/>
        <v>68.1</v>
      </c>
      <c r="J715" s="4">
        <f t="shared" si="69"/>
        <v>23.804</v>
      </c>
      <c r="K715" s="9">
        <f t="shared" si="70"/>
        <v>3.60000000000006</v>
      </c>
      <c r="L715" s="1">
        <f t="shared" si="71"/>
        <v>-3.49999999999996</v>
      </c>
    </row>
    <row r="716" s="1" customFormat="1" spans="1:12">
      <c r="A716" s="2">
        <v>23.871</v>
      </c>
      <c r="B716" s="10" t="s">
        <v>459</v>
      </c>
      <c r="C716" s="4">
        <v>23.871</v>
      </c>
      <c r="D716" s="4">
        <v>68.1</v>
      </c>
      <c r="G716" s="2">
        <f t="shared" si="66"/>
        <v>23.838</v>
      </c>
      <c r="H716" s="11" t="str">
        <f t="shared" si="67"/>
        <v>3.742E-2</v>
      </c>
      <c r="I716" s="2">
        <f t="shared" si="68"/>
        <v>68.2</v>
      </c>
      <c r="J716" s="4">
        <f t="shared" si="69"/>
        <v>23.838</v>
      </c>
      <c r="K716" s="9">
        <f t="shared" si="70"/>
        <v>3.80000000000005</v>
      </c>
      <c r="L716" s="1">
        <f t="shared" si="71"/>
        <v>-3.49999999999996</v>
      </c>
    </row>
    <row r="717" s="1" customFormat="1" spans="1:12">
      <c r="A717" s="2">
        <v>23.905</v>
      </c>
      <c r="B717" s="10" t="s">
        <v>362</v>
      </c>
      <c r="C717" s="4">
        <v>23.905</v>
      </c>
      <c r="D717" s="4">
        <v>68.2</v>
      </c>
      <c r="G717" s="2">
        <f t="shared" si="66"/>
        <v>23.871</v>
      </c>
      <c r="H717" s="11" t="str">
        <f t="shared" si="67"/>
        <v>3.743E-2</v>
      </c>
      <c r="I717" s="2">
        <f t="shared" si="68"/>
        <v>68.1</v>
      </c>
      <c r="J717" s="4">
        <f t="shared" si="69"/>
        <v>23.871</v>
      </c>
      <c r="K717" s="9">
        <f t="shared" si="70"/>
        <v>3.90000000000001</v>
      </c>
      <c r="L717" s="1">
        <f t="shared" si="71"/>
        <v>-3.49999999999996</v>
      </c>
    </row>
    <row r="718" s="1" customFormat="1" spans="1:12">
      <c r="A718" s="2">
        <v>23.938</v>
      </c>
      <c r="B718" s="10" t="s">
        <v>460</v>
      </c>
      <c r="C718" s="4">
        <v>23.938</v>
      </c>
      <c r="D718" s="4">
        <v>68.4</v>
      </c>
      <c r="G718" s="2">
        <f t="shared" si="66"/>
        <v>23.905</v>
      </c>
      <c r="H718" s="11" t="str">
        <f t="shared" si="67"/>
        <v>3.744E-2</v>
      </c>
      <c r="I718" s="2">
        <f t="shared" si="68"/>
        <v>68.2</v>
      </c>
      <c r="J718" s="4">
        <f t="shared" si="69"/>
        <v>23.905</v>
      </c>
      <c r="K718" s="9">
        <f t="shared" si="70"/>
        <v>4.00000000000005</v>
      </c>
      <c r="L718" s="1">
        <f t="shared" si="71"/>
        <v>-3.49999999999996</v>
      </c>
    </row>
    <row r="719" s="1" customFormat="1" spans="1:12">
      <c r="A719" s="2">
        <v>23.972</v>
      </c>
      <c r="B719" s="10" t="s">
        <v>460</v>
      </c>
      <c r="C719" s="4">
        <v>23.972</v>
      </c>
      <c r="D719" s="4">
        <v>68.2</v>
      </c>
      <c r="G719" s="2">
        <f t="shared" si="66"/>
        <v>23.938</v>
      </c>
      <c r="H719" s="11" t="str">
        <f t="shared" si="67"/>
        <v>3.746E-2</v>
      </c>
      <c r="I719" s="2">
        <f t="shared" si="68"/>
        <v>68.4</v>
      </c>
      <c r="J719" s="4">
        <f t="shared" si="69"/>
        <v>23.938</v>
      </c>
      <c r="K719" s="9">
        <f t="shared" si="70"/>
        <v>4.20000000000004</v>
      </c>
      <c r="L719" s="1">
        <f t="shared" si="71"/>
        <v>-3.49999999999996</v>
      </c>
    </row>
    <row r="720" s="1" customFormat="1" spans="1:12">
      <c r="A720" s="2">
        <v>24.005</v>
      </c>
      <c r="B720" s="10" t="s">
        <v>460</v>
      </c>
      <c r="C720" s="4">
        <v>24.005</v>
      </c>
      <c r="D720" s="4">
        <v>68.2</v>
      </c>
      <c r="G720" s="2">
        <f t="shared" si="66"/>
        <v>23.972</v>
      </c>
      <c r="H720" s="11" t="str">
        <f t="shared" si="67"/>
        <v>3.746E-2</v>
      </c>
      <c r="I720" s="2">
        <f t="shared" si="68"/>
        <v>68.2</v>
      </c>
      <c r="J720" s="4">
        <f t="shared" si="69"/>
        <v>23.972</v>
      </c>
      <c r="K720" s="9">
        <f t="shared" si="70"/>
        <v>4.20000000000004</v>
      </c>
      <c r="L720" s="1">
        <f t="shared" si="71"/>
        <v>-3.49999999999996</v>
      </c>
    </row>
    <row r="721" s="1" customFormat="1" spans="1:12">
      <c r="A721" s="2">
        <v>24.038</v>
      </c>
      <c r="B721" s="10" t="s">
        <v>469</v>
      </c>
      <c r="C721" s="4">
        <v>24.038</v>
      </c>
      <c r="D721" s="4">
        <v>68.2</v>
      </c>
      <c r="G721" s="2">
        <f t="shared" si="66"/>
        <v>24.005</v>
      </c>
      <c r="H721" s="11" t="str">
        <f t="shared" si="67"/>
        <v>3.746E-2</v>
      </c>
      <c r="I721" s="2">
        <f t="shared" si="68"/>
        <v>68.2</v>
      </c>
      <c r="J721" s="4">
        <f t="shared" si="69"/>
        <v>24.005</v>
      </c>
      <c r="K721" s="9">
        <f t="shared" si="70"/>
        <v>4.20000000000004</v>
      </c>
      <c r="L721" s="1">
        <f t="shared" si="71"/>
        <v>-3.49999999999996</v>
      </c>
    </row>
    <row r="722" s="1" customFormat="1" spans="1:12">
      <c r="A722" s="2">
        <v>24.072</v>
      </c>
      <c r="B722" s="10" t="s">
        <v>469</v>
      </c>
      <c r="C722" s="4">
        <v>24.072</v>
      </c>
      <c r="D722" s="4">
        <v>68.3</v>
      </c>
      <c r="G722" s="2">
        <f t="shared" si="66"/>
        <v>24.038</v>
      </c>
      <c r="H722" s="11" t="str">
        <f t="shared" si="67"/>
        <v>3.747E-2</v>
      </c>
      <c r="I722" s="2">
        <f t="shared" si="68"/>
        <v>68.2</v>
      </c>
      <c r="J722" s="4">
        <f t="shared" si="69"/>
        <v>24.038</v>
      </c>
      <c r="K722" s="9">
        <f t="shared" si="70"/>
        <v>4.30000000000007</v>
      </c>
      <c r="L722" s="1">
        <f t="shared" si="71"/>
        <v>-3.49999999999996</v>
      </c>
    </row>
    <row r="723" s="1" customFormat="1" spans="1:12">
      <c r="A723" s="2">
        <v>24.105</v>
      </c>
      <c r="B723" s="10" t="s">
        <v>460</v>
      </c>
      <c r="C723" s="4">
        <v>24.105</v>
      </c>
      <c r="D723" s="4">
        <v>68.3</v>
      </c>
      <c r="G723" s="2">
        <f t="shared" si="66"/>
        <v>24.072</v>
      </c>
      <c r="H723" s="11" t="str">
        <f t="shared" si="67"/>
        <v>3.747E-2</v>
      </c>
      <c r="I723" s="2">
        <f t="shared" si="68"/>
        <v>68.3</v>
      </c>
      <c r="J723" s="4">
        <f t="shared" si="69"/>
        <v>24.072</v>
      </c>
      <c r="K723" s="9">
        <f t="shared" si="70"/>
        <v>4.30000000000007</v>
      </c>
      <c r="L723" s="1">
        <f t="shared" si="71"/>
        <v>-3.49999999999996</v>
      </c>
    </row>
    <row r="724" s="1" customFormat="1" spans="1:12">
      <c r="A724" s="2">
        <v>24.139</v>
      </c>
      <c r="B724" s="10" t="s">
        <v>362</v>
      </c>
      <c r="C724" s="4">
        <v>24.139</v>
      </c>
      <c r="D724" s="4">
        <v>68.2</v>
      </c>
      <c r="G724" s="2">
        <f t="shared" si="66"/>
        <v>24.105</v>
      </c>
      <c r="H724" s="11" t="str">
        <f t="shared" si="67"/>
        <v>3.746E-2</v>
      </c>
      <c r="I724" s="2">
        <f t="shared" si="68"/>
        <v>68.3</v>
      </c>
      <c r="J724" s="4">
        <f t="shared" si="69"/>
        <v>24.105</v>
      </c>
      <c r="K724" s="9">
        <f t="shared" si="70"/>
        <v>4.20000000000004</v>
      </c>
      <c r="L724" s="1">
        <f t="shared" si="71"/>
        <v>-3.49999999999996</v>
      </c>
    </row>
    <row r="725" s="1" customFormat="1" spans="1:12">
      <c r="A725" s="2">
        <v>24.172</v>
      </c>
      <c r="B725" s="10" t="s">
        <v>384</v>
      </c>
      <c r="C725" s="4">
        <v>24.172</v>
      </c>
      <c r="D725" s="4">
        <v>68.2</v>
      </c>
      <c r="G725" s="2">
        <f t="shared" si="66"/>
        <v>24.139</v>
      </c>
      <c r="H725" s="11" t="str">
        <f t="shared" si="67"/>
        <v>3.744E-2</v>
      </c>
      <c r="I725" s="2">
        <f t="shared" si="68"/>
        <v>68.2</v>
      </c>
      <c r="J725" s="4">
        <f t="shared" si="69"/>
        <v>24.139</v>
      </c>
      <c r="K725" s="9">
        <f t="shared" si="70"/>
        <v>4.00000000000005</v>
      </c>
      <c r="L725" s="1">
        <f t="shared" si="71"/>
        <v>-3.49999999999996</v>
      </c>
    </row>
    <row r="726" s="1" customFormat="1" spans="1:12">
      <c r="A726" s="2">
        <v>24.206</v>
      </c>
      <c r="B726" s="10" t="s">
        <v>459</v>
      </c>
      <c r="C726" s="4">
        <v>24.206</v>
      </c>
      <c r="D726" s="4">
        <v>68.3</v>
      </c>
      <c r="G726" s="2">
        <f t="shared" si="66"/>
        <v>24.172</v>
      </c>
      <c r="H726" s="11" t="str">
        <f t="shared" si="67"/>
        <v>3.745E-2</v>
      </c>
      <c r="I726" s="2">
        <f t="shared" si="68"/>
        <v>68.2</v>
      </c>
      <c r="J726" s="4">
        <f t="shared" si="69"/>
        <v>24.172</v>
      </c>
      <c r="K726" s="9">
        <f t="shared" si="70"/>
        <v>4.10000000000001</v>
      </c>
      <c r="L726" s="1">
        <f t="shared" si="71"/>
        <v>-3.49999999999996</v>
      </c>
    </row>
    <row r="727" s="1" customFormat="1" spans="1:12">
      <c r="A727" s="2">
        <v>24.239</v>
      </c>
      <c r="B727" s="10" t="s">
        <v>345</v>
      </c>
      <c r="C727" s="4">
        <v>24.239</v>
      </c>
      <c r="D727" s="4">
        <v>68.2</v>
      </c>
      <c r="G727" s="2">
        <f t="shared" si="66"/>
        <v>24.206</v>
      </c>
      <c r="H727" s="11" t="str">
        <f t="shared" si="67"/>
        <v>3.743E-2</v>
      </c>
      <c r="I727" s="2">
        <f t="shared" si="68"/>
        <v>68.3</v>
      </c>
      <c r="J727" s="4">
        <f t="shared" si="69"/>
        <v>24.206</v>
      </c>
      <c r="K727" s="9">
        <f t="shared" si="70"/>
        <v>3.90000000000001</v>
      </c>
      <c r="L727" s="1">
        <f t="shared" si="71"/>
        <v>-3.49999999999996</v>
      </c>
    </row>
    <row r="728" s="1" customFormat="1" spans="1:12">
      <c r="A728" s="2">
        <v>24.272</v>
      </c>
      <c r="B728" s="10" t="s">
        <v>343</v>
      </c>
      <c r="C728" s="4">
        <v>24.272</v>
      </c>
      <c r="D728" s="4">
        <v>68.2</v>
      </c>
      <c r="G728" s="2">
        <f t="shared" si="66"/>
        <v>24.239</v>
      </c>
      <c r="H728" s="11" t="str">
        <f t="shared" si="67"/>
        <v>3.741E-2</v>
      </c>
      <c r="I728" s="2">
        <f t="shared" si="68"/>
        <v>68.2</v>
      </c>
      <c r="J728" s="4">
        <f t="shared" si="69"/>
        <v>24.239</v>
      </c>
      <c r="K728" s="9">
        <f t="shared" si="70"/>
        <v>3.70000000000002</v>
      </c>
      <c r="L728" s="1">
        <f t="shared" si="71"/>
        <v>-3.49999999999996</v>
      </c>
    </row>
    <row r="729" s="1" customFormat="1" spans="1:12">
      <c r="A729" s="2">
        <v>24.306</v>
      </c>
      <c r="B729" s="10" t="s">
        <v>347</v>
      </c>
      <c r="C729" s="4">
        <v>24.306</v>
      </c>
      <c r="D729" s="4">
        <v>68.2</v>
      </c>
      <c r="G729" s="2">
        <f t="shared" si="66"/>
        <v>24.272</v>
      </c>
      <c r="H729" s="11" t="str">
        <f t="shared" si="67"/>
        <v>3.739E-2</v>
      </c>
      <c r="I729" s="2">
        <f t="shared" si="68"/>
        <v>68.2</v>
      </c>
      <c r="J729" s="4">
        <f t="shared" si="69"/>
        <v>24.272</v>
      </c>
      <c r="K729" s="9">
        <f t="shared" si="70"/>
        <v>3.50000000000003</v>
      </c>
      <c r="L729" s="1">
        <f t="shared" si="71"/>
        <v>-3.49999999999996</v>
      </c>
    </row>
    <row r="730" s="1" customFormat="1" spans="1:12">
      <c r="A730" s="2">
        <v>24.339</v>
      </c>
      <c r="B730" s="10" t="s">
        <v>349</v>
      </c>
      <c r="C730" s="4">
        <v>24.339</v>
      </c>
      <c r="D730" s="4">
        <v>68.2</v>
      </c>
      <c r="G730" s="2">
        <f t="shared" si="66"/>
        <v>24.306</v>
      </c>
      <c r="H730" s="11" t="str">
        <f t="shared" si="67"/>
        <v>3.737E-2</v>
      </c>
      <c r="I730" s="2">
        <f t="shared" si="68"/>
        <v>68.2</v>
      </c>
      <c r="J730" s="4">
        <f t="shared" si="69"/>
        <v>24.306</v>
      </c>
      <c r="K730" s="9">
        <f t="shared" si="70"/>
        <v>3.30000000000004</v>
      </c>
      <c r="L730" s="1">
        <f t="shared" si="71"/>
        <v>-3.49999999999996</v>
      </c>
    </row>
    <row r="731" s="1" customFormat="1" spans="1:12">
      <c r="A731" s="2">
        <v>24.373</v>
      </c>
      <c r="B731" s="10" t="s">
        <v>350</v>
      </c>
      <c r="C731" s="4">
        <v>24.373</v>
      </c>
      <c r="D731" s="4">
        <v>68.2</v>
      </c>
      <c r="G731" s="2">
        <f t="shared" si="66"/>
        <v>24.339</v>
      </c>
      <c r="H731" s="11" t="str">
        <f t="shared" si="67"/>
        <v>3.733E-2</v>
      </c>
      <c r="I731" s="2">
        <f t="shared" si="68"/>
        <v>68.2</v>
      </c>
      <c r="J731" s="4">
        <f t="shared" si="69"/>
        <v>24.339</v>
      </c>
      <c r="K731" s="9">
        <f t="shared" si="70"/>
        <v>2.90000000000006</v>
      </c>
      <c r="L731" s="1">
        <f t="shared" si="71"/>
        <v>-3.49999999999996</v>
      </c>
    </row>
    <row r="732" s="1" customFormat="1" spans="1:12">
      <c r="A732" s="2">
        <v>24.406</v>
      </c>
      <c r="B732" s="10" t="s">
        <v>385</v>
      </c>
      <c r="C732" s="4">
        <v>24.406</v>
      </c>
      <c r="D732" s="4">
        <v>68.2</v>
      </c>
      <c r="G732" s="2">
        <f t="shared" si="66"/>
        <v>24.373</v>
      </c>
      <c r="H732" s="11" t="str">
        <f t="shared" si="67"/>
        <v>3.732E-2</v>
      </c>
      <c r="I732" s="2">
        <f t="shared" si="68"/>
        <v>68.2</v>
      </c>
      <c r="J732" s="4">
        <f t="shared" si="69"/>
        <v>24.373</v>
      </c>
      <c r="K732" s="9">
        <f t="shared" si="70"/>
        <v>2.80000000000002</v>
      </c>
      <c r="L732" s="1">
        <f t="shared" si="71"/>
        <v>-3.49999999999996</v>
      </c>
    </row>
    <row r="733" s="1" customFormat="1" spans="1:12">
      <c r="A733" s="2">
        <v>24.44</v>
      </c>
      <c r="B733" s="10" t="s">
        <v>457</v>
      </c>
      <c r="C733" s="4">
        <v>24.44</v>
      </c>
      <c r="D733" s="4">
        <v>68.2</v>
      </c>
      <c r="G733" s="2">
        <f t="shared" si="66"/>
        <v>24.406</v>
      </c>
      <c r="H733" s="11" t="str">
        <f t="shared" si="67"/>
        <v>3.730E-2</v>
      </c>
      <c r="I733" s="2">
        <f t="shared" si="68"/>
        <v>68.2</v>
      </c>
      <c r="J733" s="4">
        <f t="shared" si="69"/>
        <v>24.406</v>
      </c>
      <c r="K733" s="9">
        <f t="shared" si="70"/>
        <v>2.60000000000003</v>
      </c>
      <c r="L733" s="1">
        <f t="shared" si="71"/>
        <v>-3.49999999999996</v>
      </c>
    </row>
    <row r="734" s="1" customFormat="1" spans="1:12">
      <c r="A734" s="2">
        <v>24.473</v>
      </c>
      <c r="B734" s="10" t="s">
        <v>352</v>
      </c>
      <c r="C734" s="4">
        <v>24.473</v>
      </c>
      <c r="D734" s="4">
        <v>68.2</v>
      </c>
      <c r="G734" s="2">
        <f t="shared" si="66"/>
        <v>24.44</v>
      </c>
      <c r="H734" s="11" t="str">
        <f t="shared" si="67"/>
        <v>3.729E-2</v>
      </c>
      <c r="I734" s="2">
        <f t="shared" si="68"/>
        <v>68.2</v>
      </c>
      <c r="J734" s="4">
        <f t="shared" si="69"/>
        <v>24.44</v>
      </c>
      <c r="K734" s="9">
        <f t="shared" si="70"/>
        <v>2.5</v>
      </c>
      <c r="L734" s="1">
        <f t="shared" si="71"/>
        <v>-3.49999999999996</v>
      </c>
    </row>
    <row r="735" s="1" customFormat="1" spans="1:12">
      <c r="A735" s="2">
        <v>24.507</v>
      </c>
      <c r="B735" s="10" t="s">
        <v>361</v>
      </c>
      <c r="C735" s="4">
        <v>24.507</v>
      </c>
      <c r="D735" s="4">
        <v>68.2</v>
      </c>
      <c r="G735" s="2">
        <f t="shared" si="66"/>
        <v>24.473</v>
      </c>
      <c r="H735" s="11" t="str">
        <f t="shared" si="67"/>
        <v>3.726E-2</v>
      </c>
      <c r="I735" s="2">
        <f t="shared" si="68"/>
        <v>68.2</v>
      </c>
      <c r="J735" s="4">
        <f t="shared" si="69"/>
        <v>24.473</v>
      </c>
      <c r="K735" s="9">
        <f t="shared" si="70"/>
        <v>2.20000000000005</v>
      </c>
      <c r="L735" s="1">
        <f t="shared" si="71"/>
        <v>-3.49999999999996</v>
      </c>
    </row>
    <row r="736" s="1" customFormat="1" spans="1:12">
      <c r="A736" s="2">
        <v>24.54</v>
      </c>
      <c r="B736" s="10" t="s">
        <v>340</v>
      </c>
      <c r="C736" s="4">
        <v>24.54</v>
      </c>
      <c r="D736" s="4">
        <v>68.1</v>
      </c>
      <c r="G736" s="2">
        <f t="shared" si="66"/>
        <v>24.507</v>
      </c>
      <c r="H736" s="11" t="str">
        <f t="shared" si="67"/>
        <v>3.724E-2</v>
      </c>
      <c r="I736" s="2">
        <f t="shared" si="68"/>
        <v>68.2</v>
      </c>
      <c r="J736" s="4">
        <f t="shared" si="69"/>
        <v>24.507</v>
      </c>
      <c r="K736" s="9">
        <f t="shared" si="70"/>
        <v>2.00000000000006</v>
      </c>
      <c r="L736" s="1">
        <f t="shared" si="71"/>
        <v>-3.49999999999996</v>
      </c>
    </row>
    <row r="737" s="1" customFormat="1" spans="1:12">
      <c r="A737" s="2">
        <v>24.573</v>
      </c>
      <c r="B737" s="10" t="s">
        <v>353</v>
      </c>
      <c r="C737" s="4">
        <v>24.573</v>
      </c>
      <c r="D737" s="4">
        <v>68.3</v>
      </c>
      <c r="G737" s="2">
        <f t="shared" si="66"/>
        <v>24.54</v>
      </c>
      <c r="H737" s="11" t="str">
        <f t="shared" si="67"/>
        <v>3.721E-2</v>
      </c>
      <c r="I737" s="2">
        <f t="shared" si="68"/>
        <v>68.1</v>
      </c>
      <c r="J737" s="4">
        <f t="shared" si="69"/>
        <v>24.54</v>
      </c>
      <c r="K737" s="9">
        <f t="shared" si="70"/>
        <v>1.70000000000003</v>
      </c>
      <c r="L737" s="1">
        <f t="shared" si="71"/>
        <v>-3.49999999999996</v>
      </c>
    </row>
    <row r="738" s="1" customFormat="1" spans="1:12">
      <c r="A738" s="2">
        <v>24.607</v>
      </c>
      <c r="B738" s="10" t="s">
        <v>338</v>
      </c>
      <c r="C738" s="4">
        <v>24.607</v>
      </c>
      <c r="D738" s="4">
        <v>68.2</v>
      </c>
      <c r="G738" s="2">
        <f t="shared" si="66"/>
        <v>24.573</v>
      </c>
      <c r="H738" s="11" t="str">
        <f t="shared" si="67"/>
        <v>3.722E-2</v>
      </c>
      <c r="I738" s="2">
        <f t="shared" si="68"/>
        <v>68.3</v>
      </c>
      <c r="J738" s="4">
        <f t="shared" si="69"/>
        <v>24.573</v>
      </c>
      <c r="K738" s="9">
        <f t="shared" si="70"/>
        <v>1.80000000000007</v>
      </c>
      <c r="L738" s="1">
        <f t="shared" si="71"/>
        <v>-3.49999999999996</v>
      </c>
    </row>
    <row r="739" s="1" customFormat="1" spans="1:12">
      <c r="A739" s="2">
        <v>24.64</v>
      </c>
      <c r="B739" s="10" t="s">
        <v>478</v>
      </c>
      <c r="C739" s="4">
        <v>24.64</v>
      </c>
      <c r="D739" s="4">
        <v>68.1</v>
      </c>
      <c r="G739" s="2">
        <f t="shared" si="66"/>
        <v>24.607</v>
      </c>
      <c r="H739" s="11" t="str">
        <f t="shared" si="67"/>
        <v>3.717E-2</v>
      </c>
      <c r="I739" s="2">
        <f t="shared" si="68"/>
        <v>68.2</v>
      </c>
      <c r="J739" s="4">
        <f t="shared" si="69"/>
        <v>24.607</v>
      </c>
      <c r="K739" s="9">
        <f t="shared" si="70"/>
        <v>1.30000000000005</v>
      </c>
      <c r="L739" s="1">
        <f t="shared" si="71"/>
        <v>-3.49999999999996</v>
      </c>
    </row>
    <row r="740" s="1" customFormat="1" spans="1:12">
      <c r="A740" s="2">
        <v>24.674</v>
      </c>
      <c r="B740" s="10" t="s">
        <v>322</v>
      </c>
      <c r="C740" s="4">
        <v>24.674</v>
      </c>
      <c r="D740" s="4">
        <v>68</v>
      </c>
      <c r="G740" s="2">
        <f t="shared" si="66"/>
        <v>24.64</v>
      </c>
      <c r="H740" s="11" t="str">
        <f t="shared" si="67"/>
        <v>3.710E-2</v>
      </c>
      <c r="I740" s="2">
        <f t="shared" si="68"/>
        <v>68.1</v>
      </c>
      <c r="J740" s="4">
        <f t="shared" si="69"/>
        <v>24.64</v>
      </c>
      <c r="K740" s="9">
        <f t="shared" si="70"/>
        <v>0.600000000000045</v>
      </c>
      <c r="L740" s="1">
        <f t="shared" si="71"/>
        <v>-3.49999999999996</v>
      </c>
    </row>
    <row r="741" s="1" customFormat="1" spans="1:12">
      <c r="A741" s="2">
        <v>24.707</v>
      </c>
      <c r="B741" s="10" t="s">
        <v>331</v>
      </c>
      <c r="C741" s="4">
        <v>24.707</v>
      </c>
      <c r="D741" s="4">
        <v>67.9</v>
      </c>
      <c r="G741" s="2">
        <f t="shared" si="66"/>
        <v>24.674</v>
      </c>
      <c r="H741" s="11" t="str">
        <f t="shared" si="67"/>
        <v>3.704E-2</v>
      </c>
      <c r="I741" s="2">
        <f t="shared" si="68"/>
        <v>68</v>
      </c>
      <c r="J741" s="4">
        <f t="shared" si="69"/>
        <v>24.674</v>
      </c>
      <c r="K741" s="9">
        <f t="shared" si="70"/>
        <v>0</v>
      </c>
      <c r="L741" s="1">
        <f t="shared" si="71"/>
        <v>-3.49999999999996</v>
      </c>
    </row>
    <row r="742" s="1" customFormat="1" spans="1:12">
      <c r="A742" s="2">
        <v>24.741</v>
      </c>
      <c r="B742" s="10" t="s">
        <v>327</v>
      </c>
      <c r="C742" s="4">
        <v>24.741</v>
      </c>
      <c r="D742" s="4">
        <v>68</v>
      </c>
      <c r="G742" s="2">
        <f t="shared" si="66"/>
        <v>24.707</v>
      </c>
      <c r="H742" s="11" t="str">
        <f t="shared" si="67"/>
        <v>3.702E-2</v>
      </c>
      <c r="I742" s="2">
        <f t="shared" si="68"/>
        <v>67.9</v>
      </c>
      <c r="J742" s="4">
        <f t="shared" si="69"/>
        <v>24.707</v>
      </c>
      <c r="K742" s="9">
        <f t="shared" si="70"/>
        <v>-0.199999999999992</v>
      </c>
      <c r="L742" s="1">
        <f t="shared" si="71"/>
        <v>-3.49999999999996</v>
      </c>
    </row>
    <row r="743" s="1" customFormat="1" spans="1:12">
      <c r="A743" s="2">
        <v>24.774</v>
      </c>
      <c r="B743" s="10" t="s">
        <v>328</v>
      </c>
      <c r="C743" s="4">
        <v>24.774</v>
      </c>
      <c r="D743" s="4">
        <v>67.9</v>
      </c>
      <c r="G743" s="2">
        <f t="shared" si="66"/>
        <v>24.741</v>
      </c>
      <c r="H743" s="11" t="str">
        <f t="shared" si="67"/>
        <v>3.700E-2</v>
      </c>
      <c r="I743" s="2">
        <f t="shared" si="68"/>
        <v>68</v>
      </c>
      <c r="J743" s="4">
        <f t="shared" si="69"/>
        <v>24.741</v>
      </c>
      <c r="K743" s="9">
        <f t="shared" si="70"/>
        <v>-0.399999999999984</v>
      </c>
      <c r="L743" s="1">
        <f t="shared" si="71"/>
        <v>-3.49999999999996</v>
      </c>
    </row>
    <row r="744" s="1" customFormat="1" spans="1:12">
      <c r="A744" s="2">
        <v>24.807</v>
      </c>
      <c r="B744" s="10" t="s">
        <v>328</v>
      </c>
      <c r="C744" s="4">
        <v>24.807</v>
      </c>
      <c r="D744" s="4">
        <v>67.7</v>
      </c>
      <c r="G744" s="2">
        <f t="shared" si="66"/>
        <v>24.774</v>
      </c>
      <c r="H744" s="11" t="str">
        <f t="shared" si="67"/>
        <v>3.699E-2</v>
      </c>
      <c r="I744" s="2">
        <f t="shared" si="68"/>
        <v>67.9</v>
      </c>
      <c r="J744" s="4">
        <f t="shared" si="69"/>
        <v>24.774</v>
      </c>
      <c r="K744" s="9">
        <f t="shared" si="70"/>
        <v>-0.499999999999945</v>
      </c>
      <c r="L744" s="1">
        <f t="shared" si="71"/>
        <v>-3.49999999999996</v>
      </c>
    </row>
    <row r="745" s="1" customFormat="1" spans="1:12">
      <c r="A745" s="2">
        <v>24.841</v>
      </c>
      <c r="B745" s="10" t="s">
        <v>327</v>
      </c>
      <c r="C745" s="4">
        <v>24.841</v>
      </c>
      <c r="D745" s="4">
        <v>67.6</v>
      </c>
      <c r="G745" s="2">
        <f t="shared" si="66"/>
        <v>24.807</v>
      </c>
      <c r="H745" s="11" t="str">
        <f t="shared" si="67"/>
        <v>3.699E-2</v>
      </c>
      <c r="I745" s="2">
        <f t="shared" si="68"/>
        <v>67.7</v>
      </c>
      <c r="J745" s="4">
        <f t="shared" si="69"/>
        <v>24.807</v>
      </c>
      <c r="K745" s="9">
        <f t="shared" si="70"/>
        <v>-0.499999999999945</v>
      </c>
      <c r="L745" s="1">
        <f t="shared" si="71"/>
        <v>-3.49999999999996</v>
      </c>
    </row>
    <row r="746" s="1" customFormat="1" spans="1:12">
      <c r="A746" s="2">
        <v>24.874</v>
      </c>
      <c r="B746" s="10" t="s">
        <v>326</v>
      </c>
      <c r="C746" s="4">
        <v>24.874</v>
      </c>
      <c r="D746" s="4">
        <v>67.4</v>
      </c>
      <c r="G746" s="2">
        <f t="shared" si="66"/>
        <v>24.841</v>
      </c>
      <c r="H746" s="11" t="str">
        <f t="shared" si="67"/>
        <v>3.700E-2</v>
      </c>
      <c r="I746" s="2">
        <f t="shared" si="68"/>
        <v>67.6</v>
      </c>
      <c r="J746" s="4">
        <f t="shared" si="69"/>
        <v>24.841</v>
      </c>
      <c r="K746" s="9">
        <f t="shared" si="70"/>
        <v>-0.399999999999984</v>
      </c>
      <c r="L746" s="1">
        <f t="shared" si="71"/>
        <v>-3.49999999999996</v>
      </c>
    </row>
    <row r="747" s="1" customFormat="1" spans="1:12">
      <c r="A747" s="2">
        <v>24.908</v>
      </c>
      <c r="B747" s="10" t="s">
        <v>331</v>
      </c>
      <c r="C747" s="4">
        <v>24.908</v>
      </c>
      <c r="D747" s="4">
        <v>67.6</v>
      </c>
      <c r="G747" s="2">
        <f t="shared" si="66"/>
        <v>24.874</v>
      </c>
      <c r="H747" s="11" t="str">
        <f t="shared" si="67"/>
        <v>3.701E-2</v>
      </c>
      <c r="I747" s="2">
        <f t="shared" si="68"/>
        <v>67.4</v>
      </c>
      <c r="J747" s="4">
        <f t="shared" si="69"/>
        <v>24.874</v>
      </c>
      <c r="K747" s="9">
        <f t="shared" si="70"/>
        <v>-0.299999999999953</v>
      </c>
      <c r="L747" s="1">
        <f t="shared" si="71"/>
        <v>-3.49999999999996</v>
      </c>
    </row>
    <row r="748" s="1" customFormat="1" spans="1:12">
      <c r="A748" s="2">
        <v>24.941</v>
      </c>
      <c r="B748" s="10" t="s">
        <v>325</v>
      </c>
      <c r="C748" s="4">
        <v>24.941</v>
      </c>
      <c r="D748" s="4">
        <v>66.7</v>
      </c>
      <c r="G748" s="2">
        <f t="shared" si="66"/>
        <v>24.908</v>
      </c>
      <c r="H748" s="11" t="str">
        <f t="shared" si="67"/>
        <v>3.702E-2</v>
      </c>
      <c r="I748" s="2">
        <f t="shared" si="68"/>
        <v>67.6</v>
      </c>
      <c r="J748" s="4">
        <f t="shared" si="69"/>
        <v>24.908</v>
      </c>
      <c r="K748" s="9">
        <f t="shared" si="70"/>
        <v>-0.199999999999992</v>
      </c>
      <c r="L748" s="1">
        <f t="shared" si="71"/>
        <v>-3.49999999999996</v>
      </c>
    </row>
    <row r="749" s="1" customFormat="1" spans="1:12">
      <c r="A749" s="2">
        <v>24.975</v>
      </c>
      <c r="B749" s="10" t="s">
        <v>324</v>
      </c>
      <c r="C749" s="4">
        <v>24.975</v>
      </c>
      <c r="D749" s="4">
        <v>66.6</v>
      </c>
      <c r="G749" s="2">
        <f t="shared" si="66"/>
        <v>24.941</v>
      </c>
      <c r="H749" s="11" t="str">
        <f t="shared" si="67"/>
        <v>3.703E-2</v>
      </c>
      <c r="I749" s="2">
        <f t="shared" si="68"/>
        <v>66.7</v>
      </c>
      <c r="J749" s="4">
        <f t="shared" si="69"/>
        <v>24.941</v>
      </c>
      <c r="K749" s="9">
        <f t="shared" si="70"/>
        <v>-0.0999999999999612</v>
      </c>
      <c r="L749" s="1">
        <f t="shared" si="71"/>
        <v>-3.49999999999996</v>
      </c>
    </row>
    <row r="750" s="1" customFormat="1" spans="1:12">
      <c r="A750" s="2">
        <v>25.008</v>
      </c>
      <c r="B750" s="10" t="s">
        <v>332</v>
      </c>
      <c r="C750" s="4">
        <v>25.008</v>
      </c>
      <c r="D750" s="4">
        <v>66.3</v>
      </c>
      <c r="G750" s="2">
        <f t="shared" si="66"/>
        <v>24.975</v>
      </c>
      <c r="H750" s="11" t="str">
        <f t="shared" si="67"/>
        <v>3.705E-2</v>
      </c>
      <c r="I750" s="2">
        <f t="shared" si="68"/>
        <v>66.6</v>
      </c>
      <c r="J750" s="4">
        <f t="shared" si="69"/>
        <v>24.975</v>
      </c>
      <c r="K750" s="9">
        <f t="shared" si="70"/>
        <v>0.100000000000031</v>
      </c>
      <c r="L750" s="1">
        <f t="shared" si="71"/>
        <v>-3.49999999999996</v>
      </c>
    </row>
    <row r="751" s="1" customFormat="1" spans="1:12">
      <c r="A751" s="2">
        <v>25.041</v>
      </c>
      <c r="B751" s="10" t="s">
        <v>334</v>
      </c>
      <c r="C751" s="4">
        <v>25.041</v>
      </c>
      <c r="D751" s="4">
        <v>66</v>
      </c>
      <c r="G751" s="2">
        <f t="shared" si="66"/>
        <v>25.008</v>
      </c>
      <c r="H751" s="11" t="str">
        <f t="shared" si="67"/>
        <v>3.707E-2</v>
      </c>
      <c r="I751" s="2">
        <f t="shared" si="68"/>
        <v>66.3</v>
      </c>
      <c r="J751" s="4">
        <f t="shared" si="69"/>
        <v>25.008</v>
      </c>
      <c r="K751" s="9">
        <f t="shared" si="70"/>
        <v>0.300000000000022</v>
      </c>
      <c r="L751" s="1">
        <f t="shared" si="71"/>
        <v>-3.49999999999996</v>
      </c>
    </row>
    <row r="752" s="1" customFormat="1" spans="1:12">
      <c r="A752" s="2">
        <v>25.075</v>
      </c>
      <c r="B752" s="10" t="s">
        <v>335</v>
      </c>
      <c r="C752" s="4">
        <v>25.075</v>
      </c>
      <c r="D752" s="4">
        <v>66</v>
      </c>
      <c r="G752" s="2">
        <f t="shared" si="66"/>
        <v>25.041</v>
      </c>
      <c r="H752" s="11" t="str">
        <f t="shared" si="67"/>
        <v>3.709E-2</v>
      </c>
      <c r="I752" s="2">
        <f t="shared" si="68"/>
        <v>66</v>
      </c>
      <c r="J752" s="4">
        <f t="shared" si="69"/>
        <v>25.041</v>
      </c>
      <c r="K752" s="9">
        <f t="shared" si="70"/>
        <v>0.500000000000014</v>
      </c>
      <c r="L752" s="1">
        <f t="shared" si="71"/>
        <v>-3.49999999999996</v>
      </c>
    </row>
    <row r="753" s="1" customFormat="1" spans="1:12">
      <c r="A753" s="2">
        <v>25.108</v>
      </c>
      <c r="B753" s="10" t="s">
        <v>479</v>
      </c>
      <c r="C753" s="4">
        <v>25.108</v>
      </c>
      <c r="D753" s="4">
        <v>65.9</v>
      </c>
      <c r="G753" s="2">
        <f t="shared" si="66"/>
        <v>25.075</v>
      </c>
      <c r="H753" s="11" t="str">
        <f t="shared" si="67"/>
        <v>3.711E-2</v>
      </c>
      <c r="I753" s="2">
        <f t="shared" si="68"/>
        <v>66</v>
      </c>
      <c r="J753" s="4">
        <f t="shared" si="69"/>
        <v>25.075</v>
      </c>
      <c r="K753" s="9">
        <f t="shared" si="70"/>
        <v>0.700000000000006</v>
      </c>
      <c r="L753" s="1">
        <f t="shared" si="71"/>
        <v>-3.49999999999996</v>
      </c>
    </row>
    <row r="754" s="1" customFormat="1" spans="1:12">
      <c r="A754" s="2">
        <v>25.142</v>
      </c>
      <c r="B754" s="10" t="s">
        <v>359</v>
      </c>
      <c r="C754" s="4">
        <v>25.142</v>
      </c>
      <c r="D754" s="4">
        <v>65.4</v>
      </c>
      <c r="G754" s="2">
        <f t="shared" si="66"/>
        <v>25.108</v>
      </c>
      <c r="H754" s="11" t="str">
        <f t="shared" si="67"/>
        <v>3.712E-2</v>
      </c>
      <c r="I754" s="2">
        <f t="shared" si="68"/>
        <v>65.9</v>
      </c>
      <c r="J754" s="4">
        <f t="shared" si="69"/>
        <v>25.108</v>
      </c>
      <c r="K754" s="9">
        <f t="shared" si="70"/>
        <v>0.800000000000037</v>
      </c>
      <c r="L754" s="1">
        <f t="shared" si="71"/>
        <v>-3.49999999999996</v>
      </c>
    </row>
    <row r="755" s="1" customFormat="1" spans="1:12">
      <c r="A755" s="2">
        <v>25.175</v>
      </c>
      <c r="B755" s="10" t="s">
        <v>337</v>
      </c>
      <c r="C755" s="4">
        <v>25.175</v>
      </c>
      <c r="D755" s="4">
        <v>65</v>
      </c>
      <c r="G755" s="2">
        <f t="shared" si="66"/>
        <v>25.142</v>
      </c>
      <c r="H755" s="11" t="str">
        <f t="shared" si="67"/>
        <v>3.714E-2</v>
      </c>
      <c r="I755" s="2">
        <f t="shared" si="68"/>
        <v>65.4</v>
      </c>
      <c r="J755" s="4">
        <f t="shared" si="69"/>
        <v>25.142</v>
      </c>
      <c r="K755" s="9">
        <f t="shared" si="70"/>
        <v>1.00000000000003</v>
      </c>
      <c r="L755" s="1">
        <f t="shared" si="71"/>
        <v>-3.49999999999996</v>
      </c>
    </row>
    <row r="756" s="1" customFormat="1" spans="1:12">
      <c r="A756" s="2">
        <v>25.209</v>
      </c>
      <c r="B756" s="10" t="s">
        <v>337</v>
      </c>
      <c r="C756" s="4">
        <v>25.209</v>
      </c>
      <c r="D756" s="4">
        <v>64.6</v>
      </c>
      <c r="G756" s="2">
        <f t="shared" si="66"/>
        <v>25.175</v>
      </c>
      <c r="H756" s="11" t="str">
        <f t="shared" si="67"/>
        <v>3.716E-2</v>
      </c>
      <c r="I756" s="2">
        <f t="shared" si="68"/>
        <v>65</v>
      </c>
      <c r="J756" s="4">
        <f t="shared" si="69"/>
        <v>25.175</v>
      </c>
      <c r="K756" s="9">
        <f t="shared" si="70"/>
        <v>1.20000000000002</v>
      </c>
      <c r="L756" s="1">
        <f t="shared" si="71"/>
        <v>-3.49999999999996</v>
      </c>
    </row>
    <row r="757" s="1" customFormat="1" spans="1:12">
      <c r="A757" s="2">
        <v>25.242</v>
      </c>
      <c r="B757" s="10" t="s">
        <v>339</v>
      </c>
      <c r="C757" s="4">
        <v>25.242</v>
      </c>
      <c r="D757" s="4">
        <v>64</v>
      </c>
      <c r="G757" s="2">
        <f t="shared" si="66"/>
        <v>25.209</v>
      </c>
      <c r="H757" s="11" t="str">
        <f t="shared" si="67"/>
        <v>3.716E-2</v>
      </c>
      <c r="I757" s="2">
        <f t="shared" si="68"/>
        <v>64.6</v>
      </c>
      <c r="J757" s="4">
        <f t="shared" si="69"/>
        <v>25.209</v>
      </c>
      <c r="K757" s="9">
        <f t="shared" si="70"/>
        <v>1.20000000000002</v>
      </c>
      <c r="L757" s="1">
        <f t="shared" si="71"/>
        <v>-3.49999999999996</v>
      </c>
    </row>
    <row r="758" s="1" customFormat="1" spans="1:12">
      <c r="A758" s="2">
        <v>25.275</v>
      </c>
      <c r="B758" s="10" t="s">
        <v>339</v>
      </c>
      <c r="C758" s="4">
        <v>25.275</v>
      </c>
      <c r="D758" s="4">
        <v>63.3</v>
      </c>
      <c r="G758" s="2">
        <f t="shared" si="66"/>
        <v>25.242</v>
      </c>
      <c r="H758" s="11" t="str">
        <f t="shared" si="67"/>
        <v>3.719E-2</v>
      </c>
      <c r="I758" s="2">
        <f t="shared" si="68"/>
        <v>64</v>
      </c>
      <c r="J758" s="4">
        <f t="shared" si="69"/>
        <v>25.242</v>
      </c>
      <c r="K758" s="9">
        <f t="shared" si="70"/>
        <v>1.50000000000004</v>
      </c>
      <c r="L758" s="1">
        <f t="shared" si="71"/>
        <v>-3.49999999999996</v>
      </c>
    </row>
    <row r="759" s="1" customFormat="1" spans="1:12">
      <c r="A759" s="2">
        <v>25.309</v>
      </c>
      <c r="B759" s="10" t="s">
        <v>360</v>
      </c>
      <c r="C759" s="4">
        <v>25.309</v>
      </c>
      <c r="D759" s="4">
        <v>62.4</v>
      </c>
      <c r="G759" s="2">
        <f t="shared" si="66"/>
        <v>25.275</v>
      </c>
      <c r="H759" s="11" t="str">
        <f t="shared" si="67"/>
        <v>3.719E-2</v>
      </c>
      <c r="I759" s="2">
        <f t="shared" si="68"/>
        <v>63.3</v>
      </c>
      <c r="J759" s="4">
        <f t="shared" si="69"/>
        <v>25.275</v>
      </c>
      <c r="K759" s="9">
        <f t="shared" si="70"/>
        <v>1.50000000000004</v>
      </c>
      <c r="L759" s="1">
        <f t="shared" si="71"/>
        <v>-3.49999999999996</v>
      </c>
    </row>
    <row r="760" s="1" customFormat="1" spans="1:12">
      <c r="A760" s="2">
        <v>25.342</v>
      </c>
      <c r="B760" s="10" t="s">
        <v>339</v>
      </c>
      <c r="C760" s="4">
        <v>25.342</v>
      </c>
      <c r="D760" s="4">
        <v>62</v>
      </c>
      <c r="G760" s="2">
        <f t="shared" si="66"/>
        <v>25.309</v>
      </c>
      <c r="H760" s="11" t="str">
        <f t="shared" si="67"/>
        <v>3.718E-2</v>
      </c>
      <c r="I760" s="2">
        <f t="shared" si="68"/>
        <v>62.4</v>
      </c>
      <c r="J760" s="4">
        <f t="shared" si="69"/>
        <v>25.309</v>
      </c>
      <c r="K760" s="9">
        <f t="shared" si="70"/>
        <v>1.40000000000001</v>
      </c>
      <c r="L760" s="1">
        <f t="shared" si="71"/>
        <v>-3.49999999999996</v>
      </c>
    </row>
    <row r="761" s="1" customFormat="1" spans="1:12">
      <c r="A761" s="2">
        <v>25.376</v>
      </c>
      <c r="B761" s="10" t="s">
        <v>339</v>
      </c>
      <c r="C761" s="4">
        <v>25.376</v>
      </c>
      <c r="D761" s="4">
        <v>61.2</v>
      </c>
      <c r="G761" s="2">
        <f t="shared" si="66"/>
        <v>25.342</v>
      </c>
      <c r="H761" s="11" t="str">
        <f t="shared" si="67"/>
        <v>3.719E-2</v>
      </c>
      <c r="I761" s="2">
        <f t="shared" si="68"/>
        <v>62</v>
      </c>
      <c r="J761" s="4">
        <f t="shared" si="69"/>
        <v>25.342</v>
      </c>
      <c r="K761" s="9">
        <f t="shared" si="70"/>
        <v>1.50000000000004</v>
      </c>
      <c r="L761" s="1">
        <f t="shared" si="71"/>
        <v>-3.49999999999996</v>
      </c>
    </row>
    <row r="762" s="1" customFormat="1" spans="1:12">
      <c r="A762" s="2">
        <v>25.409</v>
      </c>
      <c r="B762" s="10" t="s">
        <v>339</v>
      </c>
      <c r="C762" s="4">
        <v>25.409</v>
      </c>
      <c r="D762" s="4">
        <v>61.6</v>
      </c>
      <c r="G762" s="2">
        <f t="shared" si="66"/>
        <v>25.376</v>
      </c>
      <c r="H762" s="11" t="str">
        <f t="shared" si="67"/>
        <v>3.719E-2</v>
      </c>
      <c r="I762" s="2">
        <f t="shared" si="68"/>
        <v>61.2</v>
      </c>
      <c r="J762" s="4">
        <f t="shared" si="69"/>
        <v>25.376</v>
      </c>
      <c r="K762" s="9">
        <f t="shared" si="70"/>
        <v>1.50000000000004</v>
      </c>
      <c r="L762" s="1">
        <f t="shared" si="71"/>
        <v>-3.49999999999996</v>
      </c>
    </row>
    <row r="763" s="1" customFormat="1" spans="1:12">
      <c r="A763" s="2">
        <v>25.443</v>
      </c>
      <c r="B763" s="10" t="s">
        <v>338</v>
      </c>
      <c r="C763" s="4">
        <v>25.443</v>
      </c>
      <c r="D763" s="4">
        <v>59.9</v>
      </c>
      <c r="G763" s="2">
        <f t="shared" si="66"/>
        <v>25.409</v>
      </c>
      <c r="H763" s="11" t="str">
        <f t="shared" si="67"/>
        <v>3.719E-2</v>
      </c>
      <c r="I763" s="2">
        <f t="shared" si="68"/>
        <v>61.6</v>
      </c>
      <c r="J763" s="4">
        <f t="shared" si="69"/>
        <v>25.409</v>
      </c>
      <c r="K763" s="9">
        <f t="shared" si="70"/>
        <v>1.50000000000004</v>
      </c>
      <c r="L763" s="1">
        <f t="shared" si="71"/>
        <v>-3.49999999999996</v>
      </c>
    </row>
    <row r="764" s="1" customFormat="1" spans="1:12">
      <c r="A764" s="2">
        <v>25.476</v>
      </c>
      <c r="B764" s="10" t="s">
        <v>480</v>
      </c>
      <c r="C764" s="4">
        <v>25.476</v>
      </c>
      <c r="D764" s="4">
        <v>60.3</v>
      </c>
      <c r="G764" s="2">
        <f t="shared" si="66"/>
        <v>25.443</v>
      </c>
      <c r="H764" s="11" t="str">
        <f t="shared" si="67"/>
        <v>3.717E-2</v>
      </c>
      <c r="I764" s="2">
        <f t="shared" si="68"/>
        <v>59.9</v>
      </c>
      <c r="J764" s="4">
        <f t="shared" si="69"/>
        <v>25.443</v>
      </c>
      <c r="K764" s="9">
        <f t="shared" si="70"/>
        <v>1.30000000000005</v>
      </c>
      <c r="L764" s="1">
        <f t="shared" si="71"/>
        <v>-3.49999999999996</v>
      </c>
    </row>
    <row r="765" s="1" customFormat="1" spans="1:12">
      <c r="A765" s="2">
        <v>25.51</v>
      </c>
      <c r="B765" s="10" t="s">
        <v>359</v>
      </c>
      <c r="C765" s="4">
        <v>25.51</v>
      </c>
      <c r="D765" s="4">
        <v>59.2</v>
      </c>
      <c r="G765" s="2">
        <f t="shared" si="66"/>
        <v>25.476</v>
      </c>
      <c r="H765" s="11" t="str">
        <f t="shared" si="67"/>
        <v>3.715E-2</v>
      </c>
      <c r="I765" s="2">
        <f t="shared" si="68"/>
        <v>60.3</v>
      </c>
      <c r="J765" s="4">
        <f t="shared" si="69"/>
        <v>25.476</v>
      </c>
      <c r="K765" s="9">
        <f t="shared" si="70"/>
        <v>1.10000000000006</v>
      </c>
      <c r="L765" s="1">
        <f t="shared" si="71"/>
        <v>-3.49999999999996</v>
      </c>
    </row>
    <row r="766" s="1" customFormat="1" spans="1:12">
      <c r="A766" s="2">
        <v>25.543</v>
      </c>
      <c r="B766" s="10" t="s">
        <v>479</v>
      </c>
      <c r="C766" s="4">
        <v>25.543</v>
      </c>
      <c r="D766" s="4">
        <v>59.3</v>
      </c>
      <c r="G766" s="2">
        <f t="shared" si="66"/>
        <v>25.51</v>
      </c>
      <c r="H766" s="11" t="str">
        <f t="shared" si="67"/>
        <v>3.714E-2</v>
      </c>
      <c r="I766" s="2">
        <f t="shared" si="68"/>
        <v>59.2</v>
      </c>
      <c r="J766" s="4">
        <f t="shared" si="69"/>
        <v>25.51</v>
      </c>
      <c r="K766" s="9">
        <f t="shared" si="70"/>
        <v>1.00000000000003</v>
      </c>
      <c r="L766" s="1">
        <f t="shared" si="71"/>
        <v>-3.49999999999996</v>
      </c>
    </row>
    <row r="767" s="1" customFormat="1" spans="1:12">
      <c r="A767" s="2">
        <v>25.576</v>
      </c>
      <c r="B767" s="10" t="s">
        <v>478</v>
      </c>
      <c r="C767" s="4">
        <v>25.576</v>
      </c>
      <c r="D767" s="4">
        <v>58.7</v>
      </c>
      <c r="G767" s="2">
        <f t="shared" si="66"/>
        <v>25.543</v>
      </c>
      <c r="H767" s="11" t="str">
        <f t="shared" si="67"/>
        <v>3.712E-2</v>
      </c>
      <c r="I767" s="2">
        <f t="shared" si="68"/>
        <v>59.3</v>
      </c>
      <c r="J767" s="4">
        <f t="shared" si="69"/>
        <v>25.543</v>
      </c>
      <c r="K767" s="9">
        <f t="shared" si="70"/>
        <v>0.800000000000037</v>
      </c>
      <c r="L767" s="1">
        <f t="shared" si="71"/>
        <v>-3.49999999999996</v>
      </c>
    </row>
    <row r="768" s="1" customFormat="1" spans="1:12">
      <c r="A768" s="2">
        <v>25.61</v>
      </c>
      <c r="B768" s="10" t="s">
        <v>334</v>
      </c>
      <c r="C768" s="4">
        <v>25.61</v>
      </c>
      <c r="D768" s="4">
        <v>57.6</v>
      </c>
      <c r="G768" s="2">
        <f t="shared" si="66"/>
        <v>25.576</v>
      </c>
      <c r="H768" s="11" t="str">
        <f t="shared" si="67"/>
        <v>3.710E-2</v>
      </c>
      <c r="I768" s="2">
        <f t="shared" si="68"/>
        <v>58.7</v>
      </c>
      <c r="J768" s="4">
        <f t="shared" si="69"/>
        <v>25.576</v>
      </c>
      <c r="K768" s="9">
        <f t="shared" si="70"/>
        <v>0.600000000000045</v>
      </c>
      <c r="L768" s="1">
        <f t="shared" si="71"/>
        <v>-3.49999999999996</v>
      </c>
    </row>
    <row r="769" s="1" customFormat="1" spans="1:12">
      <c r="A769" s="2">
        <v>25.643</v>
      </c>
      <c r="B769" s="10" t="s">
        <v>323</v>
      </c>
      <c r="C769" s="4">
        <v>25.643</v>
      </c>
      <c r="D769" s="4">
        <v>57.6</v>
      </c>
      <c r="G769" s="2">
        <f t="shared" si="66"/>
        <v>25.61</v>
      </c>
      <c r="H769" s="11" t="str">
        <f t="shared" si="67"/>
        <v>3.709E-2</v>
      </c>
      <c r="I769" s="2">
        <f t="shared" si="68"/>
        <v>57.6</v>
      </c>
      <c r="J769" s="4">
        <f t="shared" si="69"/>
        <v>25.61</v>
      </c>
      <c r="K769" s="9">
        <f t="shared" si="70"/>
        <v>0.500000000000014</v>
      </c>
      <c r="L769" s="1">
        <f t="shared" si="71"/>
        <v>-3.49999999999996</v>
      </c>
    </row>
    <row r="770" s="1" customFormat="1" spans="1:12">
      <c r="A770" s="2">
        <v>25.677</v>
      </c>
      <c r="B770" s="10" t="s">
        <v>323</v>
      </c>
      <c r="C770" s="4">
        <v>25.677</v>
      </c>
      <c r="D770" s="4">
        <v>57.7</v>
      </c>
      <c r="G770" s="2">
        <f t="shared" si="66"/>
        <v>25.643</v>
      </c>
      <c r="H770" s="11" t="str">
        <f t="shared" si="67"/>
        <v>3.706E-2</v>
      </c>
      <c r="I770" s="2">
        <f t="shared" si="68"/>
        <v>57.6</v>
      </c>
      <c r="J770" s="4">
        <f t="shared" si="69"/>
        <v>25.643</v>
      </c>
      <c r="K770" s="9">
        <f t="shared" si="70"/>
        <v>0.200000000000061</v>
      </c>
      <c r="L770" s="1">
        <f t="shared" si="71"/>
        <v>-3.49999999999996</v>
      </c>
    </row>
    <row r="771" s="1" customFormat="1" spans="1:12">
      <c r="A771" s="2">
        <v>25.71</v>
      </c>
      <c r="B771" s="10" t="s">
        <v>325</v>
      </c>
      <c r="C771" s="4">
        <v>25.71</v>
      </c>
      <c r="D771" s="4">
        <v>57.3</v>
      </c>
      <c r="G771" s="2">
        <f t="shared" si="66"/>
        <v>25.677</v>
      </c>
      <c r="H771" s="11" t="str">
        <f t="shared" si="67"/>
        <v>3.706E-2</v>
      </c>
      <c r="I771" s="2">
        <f t="shared" si="68"/>
        <v>57.7</v>
      </c>
      <c r="J771" s="4">
        <f t="shared" si="69"/>
        <v>25.677</v>
      </c>
      <c r="K771" s="9">
        <f t="shared" si="70"/>
        <v>0.200000000000061</v>
      </c>
      <c r="L771" s="1">
        <f t="shared" si="71"/>
        <v>-3.49999999999996</v>
      </c>
    </row>
    <row r="772" s="1" customFormat="1" spans="1:12">
      <c r="A772" s="2">
        <v>25.744</v>
      </c>
      <c r="B772" s="10" t="s">
        <v>325</v>
      </c>
      <c r="C772" s="4">
        <v>25.744</v>
      </c>
      <c r="D772" s="4">
        <v>55.9</v>
      </c>
      <c r="G772" s="2">
        <f t="shared" ref="G772:G835" si="72">A771</f>
        <v>25.71</v>
      </c>
      <c r="H772" s="11" t="str">
        <f t="shared" ref="H772:H835" si="73">B771</f>
        <v>3.703E-2</v>
      </c>
      <c r="I772" s="2">
        <f t="shared" ref="I772:I835" si="74">D771</f>
        <v>57.3</v>
      </c>
      <c r="J772" s="4">
        <f t="shared" ref="J772:J835" si="75">G772</f>
        <v>25.71</v>
      </c>
      <c r="K772" s="9">
        <f t="shared" ref="K772:K835" si="76">(H772-$H$4)*10000</f>
        <v>-0.0999999999999612</v>
      </c>
      <c r="L772" s="1">
        <f t="shared" ref="L772:L835" si="77">IF(I772&lt;230,MIN(K:K),MAX(K:K))</f>
        <v>-3.49999999999996</v>
      </c>
    </row>
    <row r="773" s="1" customFormat="1" spans="1:12">
      <c r="A773" s="2">
        <v>25.777</v>
      </c>
      <c r="B773" s="10" t="s">
        <v>327</v>
      </c>
      <c r="C773" s="4">
        <v>25.777</v>
      </c>
      <c r="D773" s="4">
        <v>55.4</v>
      </c>
      <c r="G773" s="2">
        <f t="shared" si="72"/>
        <v>25.744</v>
      </c>
      <c r="H773" s="11" t="str">
        <f t="shared" si="73"/>
        <v>3.703E-2</v>
      </c>
      <c r="I773" s="2">
        <f t="shared" si="74"/>
        <v>55.9</v>
      </c>
      <c r="J773" s="4">
        <f t="shared" si="75"/>
        <v>25.744</v>
      </c>
      <c r="K773" s="9">
        <f t="shared" si="76"/>
        <v>-0.0999999999999612</v>
      </c>
      <c r="L773" s="1">
        <f t="shared" si="77"/>
        <v>-3.49999999999996</v>
      </c>
    </row>
    <row r="774" s="1" customFormat="1" spans="1:12">
      <c r="A774" s="2">
        <v>25.81</v>
      </c>
      <c r="B774" s="10" t="s">
        <v>328</v>
      </c>
      <c r="C774" s="4">
        <v>25.81</v>
      </c>
      <c r="D774" s="4">
        <v>55.4</v>
      </c>
      <c r="G774" s="2">
        <f t="shared" si="72"/>
        <v>25.777</v>
      </c>
      <c r="H774" s="11" t="str">
        <f t="shared" si="73"/>
        <v>3.700E-2</v>
      </c>
      <c r="I774" s="2">
        <f t="shared" si="74"/>
        <v>55.4</v>
      </c>
      <c r="J774" s="4">
        <f t="shared" si="75"/>
        <v>25.777</v>
      </c>
      <c r="K774" s="9">
        <f t="shared" si="76"/>
        <v>-0.399999999999984</v>
      </c>
      <c r="L774" s="1">
        <f t="shared" si="77"/>
        <v>-3.49999999999996</v>
      </c>
    </row>
    <row r="775" s="1" customFormat="1" spans="1:12">
      <c r="A775" s="2">
        <v>25.844</v>
      </c>
      <c r="B775" s="10" t="s">
        <v>481</v>
      </c>
      <c r="C775" s="4">
        <v>25.844</v>
      </c>
      <c r="D775" s="4">
        <v>54.6</v>
      </c>
      <c r="G775" s="2">
        <f t="shared" si="72"/>
        <v>25.81</v>
      </c>
      <c r="H775" s="11" t="str">
        <f t="shared" si="73"/>
        <v>3.699E-2</v>
      </c>
      <c r="I775" s="2">
        <f t="shared" si="74"/>
        <v>55.4</v>
      </c>
      <c r="J775" s="4">
        <f t="shared" si="75"/>
        <v>25.81</v>
      </c>
      <c r="K775" s="9">
        <f t="shared" si="76"/>
        <v>-0.499999999999945</v>
      </c>
      <c r="L775" s="1">
        <f t="shared" si="77"/>
        <v>-3.49999999999996</v>
      </c>
    </row>
    <row r="776" s="1" customFormat="1" spans="1:12">
      <c r="A776" s="2">
        <v>25.877</v>
      </c>
      <c r="B776" s="10" t="s">
        <v>330</v>
      </c>
      <c r="C776" s="4">
        <v>25.877</v>
      </c>
      <c r="D776" s="4">
        <v>54.3</v>
      </c>
      <c r="G776" s="2">
        <f t="shared" si="72"/>
        <v>25.844</v>
      </c>
      <c r="H776" s="11" t="str">
        <f t="shared" si="73"/>
        <v>3.696E-2</v>
      </c>
      <c r="I776" s="2">
        <f t="shared" si="74"/>
        <v>54.6</v>
      </c>
      <c r="J776" s="4">
        <f t="shared" si="75"/>
        <v>25.844</v>
      </c>
      <c r="K776" s="9">
        <f t="shared" si="76"/>
        <v>-0.799999999999967</v>
      </c>
      <c r="L776" s="1">
        <f t="shared" si="77"/>
        <v>-3.49999999999996</v>
      </c>
    </row>
    <row r="777" s="1" customFormat="1" spans="1:12">
      <c r="A777" s="2">
        <v>25.911</v>
      </c>
      <c r="B777" s="10" t="s">
        <v>481</v>
      </c>
      <c r="C777" s="4">
        <v>25.911</v>
      </c>
      <c r="D777" s="4">
        <v>53.7</v>
      </c>
      <c r="G777" s="2">
        <f t="shared" si="72"/>
        <v>25.877</v>
      </c>
      <c r="H777" s="11" t="str">
        <f t="shared" si="73"/>
        <v>3.697E-2</v>
      </c>
      <c r="I777" s="2">
        <f t="shared" si="74"/>
        <v>54.3</v>
      </c>
      <c r="J777" s="4">
        <f t="shared" si="75"/>
        <v>25.877</v>
      </c>
      <c r="K777" s="9">
        <f t="shared" si="76"/>
        <v>-0.699999999999937</v>
      </c>
      <c r="L777" s="1">
        <f t="shared" si="77"/>
        <v>-3.49999999999996</v>
      </c>
    </row>
    <row r="778" s="1" customFormat="1" spans="1:12">
      <c r="A778" s="2">
        <v>25.944</v>
      </c>
      <c r="B778" s="10" t="s">
        <v>481</v>
      </c>
      <c r="C778" s="4">
        <v>25.944</v>
      </c>
      <c r="D778" s="4">
        <v>53.4</v>
      </c>
      <c r="G778" s="2">
        <f t="shared" si="72"/>
        <v>25.911</v>
      </c>
      <c r="H778" s="11" t="str">
        <f t="shared" si="73"/>
        <v>3.696E-2</v>
      </c>
      <c r="I778" s="2">
        <f t="shared" si="74"/>
        <v>53.7</v>
      </c>
      <c r="J778" s="4">
        <f t="shared" si="75"/>
        <v>25.911</v>
      </c>
      <c r="K778" s="9">
        <f t="shared" si="76"/>
        <v>-0.799999999999967</v>
      </c>
      <c r="L778" s="1">
        <f t="shared" si="77"/>
        <v>-3.49999999999996</v>
      </c>
    </row>
    <row r="779" s="1" customFormat="1" spans="1:12">
      <c r="A779" s="2">
        <v>25.978</v>
      </c>
      <c r="B779" s="10" t="s">
        <v>481</v>
      </c>
      <c r="C779" s="4">
        <v>25.978</v>
      </c>
      <c r="D779" s="4">
        <v>52.3</v>
      </c>
      <c r="G779" s="2">
        <f t="shared" si="72"/>
        <v>25.944</v>
      </c>
      <c r="H779" s="11" t="str">
        <f t="shared" si="73"/>
        <v>3.696E-2</v>
      </c>
      <c r="I779" s="2">
        <f t="shared" si="74"/>
        <v>53.4</v>
      </c>
      <c r="J779" s="4">
        <f t="shared" si="75"/>
        <v>25.944</v>
      </c>
      <c r="K779" s="9">
        <f t="shared" si="76"/>
        <v>-0.799999999999967</v>
      </c>
      <c r="L779" s="1">
        <f t="shared" si="77"/>
        <v>-3.49999999999996</v>
      </c>
    </row>
    <row r="780" s="1" customFormat="1" spans="1:12">
      <c r="A780" s="2">
        <v>26.011</v>
      </c>
      <c r="B780" s="10" t="s">
        <v>482</v>
      </c>
      <c r="C780" s="4">
        <v>26.011</v>
      </c>
      <c r="D780" s="4">
        <v>52</v>
      </c>
      <c r="G780" s="2">
        <f t="shared" si="72"/>
        <v>25.978</v>
      </c>
      <c r="H780" s="11" t="str">
        <f t="shared" si="73"/>
        <v>3.696E-2</v>
      </c>
      <c r="I780" s="2">
        <f t="shared" si="74"/>
        <v>52.3</v>
      </c>
      <c r="J780" s="4">
        <f t="shared" si="75"/>
        <v>25.978</v>
      </c>
      <c r="K780" s="9">
        <f t="shared" si="76"/>
        <v>-0.799999999999967</v>
      </c>
      <c r="L780" s="1">
        <f t="shared" si="77"/>
        <v>-3.49999999999996</v>
      </c>
    </row>
    <row r="781" s="1" customFormat="1" spans="1:12">
      <c r="A781" s="2">
        <v>26.044</v>
      </c>
      <c r="B781" s="10" t="s">
        <v>482</v>
      </c>
      <c r="C781" s="4">
        <v>26.044</v>
      </c>
      <c r="D781" s="4">
        <v>51.5</v>
      </c>
      <c r="G781" s="2">
        <f t="shared" si="72"/>
        <v>26.011</v>
      </c>
      <c r="H781" s="11" t="str">
        <f t="shared" si="73"/>
        <v>3.695E-2</v>
      </c>
      <c r="I781" s="2">
        <f t="shared" si="74"/>
        <v>52</v>
      </c>
      <c r="J781" s="4">
        <f t="shared" si="75"/>
        <v>26.011</v>
      </c>
      <c r="K781" s="9">
        <f t="shared" si="76"/>
        <v>-0.899999999999998</v>
      </c>
      <c r="L781" s="1">
        <f t="shared" si="77"/>
        <v>-3.49999999999996</v>
      </c>
    </row>
    <row r="782" s="1" customFormat="1" spans="1:12">
      <c r="A782" s="2">
        <v>26.078</v>
      </c>
      <c r="B782" s="10" t="s">
        <v>481</v>
      </c>
      <c r="C782" s="4">
        <v>26.078</v>
      </c>
      <c r="D782" s="4">
        <v>51.6</v>
      </c>
      <c r="G782" s="2">
        <f t="shared" si="72"/>
        <v>26.044</v>
      </c>
      <c r="H782" s="11" t="str">
        <f t="shared" si="73"/>
        <v>3.695E-2</v>
      </c>
      <c r="I782" s="2">
        <f t="shared" si="74"/>
        <v>51.5</v>
      </c>
      <c r="J782" s="4">
        <f t="shared" si="75"/>
        <v>26.044</v>
      </c>
      <c r="K782" s="9">
        <f t="shared" si="76"/>
        <v>-0.899999999999998</v>
      </c>
      <c r="L782" s="1">
        <f t="shared" si="77"/>
        <v>-3.49999999999996</v>
      </c>
    </row>
    <row r="783" s="1" customFormat="1" spans="1:12">
      <c r="A783" s="2">
        <v>26.111</v>
      </c>
      <c r="B783" s="10" t="s">
        <v>330</v>
      </c>
      <c r="C783" s="4">
        <v>26.111</v>
      </c>
      <c r="D783" s="4">
        <v>50.8</v>
      </c>
      <c r="G783" s="2">
        <f t="shared" si="72"/>
        <v>26.078</v>
      </c>
      <c r="H783" s="11" t="str">
        <f t="shared" si="73"/>
        <v>3.696E-2</v>
      </c>
      <c r="I783" s="2">
        <f t="shared" si="74"/>
        <v>51.6</v>
      </c>
      <c r="J783" s="4">
        <f t="shared" si="75"/>
        <v>26.078</v>
      </c>
      <c r="K783" s="9">
        <f t="shared" si="76"/>
        <v>-0.799999999999967</v>
      </c>
      <c r="L783" s="1">
        <f t="shared" si="77"/>
        <v>-3.49999999999996</v>
      </c>
    </row>
    <row r="784" s="1" customFormat="1" spans="1:12">
      <c r="A784" s="2">
        <v>26.145</v>
      </c>
      <c r="B784" s="10" t="s">
        <v>329</v>
      </c>
      <c r="C784" s="4">
        <v>26.145</v>
      </c>
      <c r="D784" s="4">
        <v>50.7</v>
      </c>
      <c r="G784" s="2">
        <f t="shared" si="72"/>
        <v>26.111</v>
      </c>
      <c r="H784" s="11" t="str">
        <f t="shared" si="73"/>
        <v>3.697E-2</v>
      </c>
      <c r="I784" s="2">
        <f t="shared" si="74"/>
        <v>50.8</v>
      </c>
      <c r="J784" s="4">
        <f t="shared" si="75"/>
        <v>26.111</v>
      </c>
      <c r="K784" s="9">
        <f t="shared" si="76"/>
        <v>-0.699999999999937</v>
      </c>
      <c r="L784" s="1">
        <f t="shared" si="77"/>
        <v>-3.49999999999996</v>
      </c>
    </row>
    <row r="785" s="1" customFormat="1" spans="1:12">
      <c r="A785" s="2">
        <v>26.178</v>
      </c>
      <c r="B785" s="10" t="s">
        <v>327</v>
      </c>
      <c r="C785" s="4">
        <v>26.178</v>
      </c>
      <c r="D785" s="4">
        <v>50</v>
      </c>
      <c r="G785" s="2">
        <f t="shared" si="72"/>
        <v>26.145</v>
      </c>
      <c r="H785" s="11" t="str">
        <f t="shared" si="73"/>
        <v>3.698E-2</v>
      </c>
      <c r="I785" s="2">
        <f t="shared" si="74"/>
        <v>50.7</v>
      </c>
      <c r="J785" s="4">
        <f t="shared" si="75"/>
        <v>26.145</v>
      </c>
      <c r="K785" s="9">
        <f t="shared" si="76"/>
        <v>-0.599999999999976</v>
      </c>
      <c r="L785" s="1">
        <f t="shared" si="77"/>
        <v>-3.49999999999996</v>
      </c>
    </row>
    <row r="786" s="1" customFormat="1" spans="1:12">
      <c r="A786" s="2">
        <v>26.212</v>
      </c>
      <c r="B786" s="10" t="s">
        <v>327</v>
      </c>
      <c r="C786" s="4">
        <v>26.212</v>
      </c>
      <c r="D786" s="4">
        <v>50.1</v>
      </c>
      <c r="G786" s="2">
        <f t="shared" si="72"/>
        <v>26.178</v>
      </c>
      <c r="H786" s="11" t="str">
        <f t="shared" si="73"/>
        <v>3.700E-2</v>
      </c>
      <c r="I786" s="2">
        <f t="shared" si="74"/>
        <v>50</v>
      </c>
      <c r="J786" s="4">
        <f t="shared" si="75"/>
        <v>26.178</v>
      </c>
      <c r="K786" s="9">
        <f t="shared" si="76"/>
        <v>-0.399999999999984</v>
      </c>
      <c r="L786" s="1">
        <f t="shared" si="77"/>
        <v>-3.49999999999996</v>
      </c>
    </row>
    <row r="787" s="1" customFormat="1" spans="1:12">
      <c r="A787" s="2">
        <v>26.245</v>
      </c>
      <c r="B787" s="10" t="s">
        <v>331</v>
      </c>
      <c r="C787" s="4">
        <v>26.245</v>
      </c>
      <c r="D787" s="4">
        <v>49.5</v>
      </c>
      <c r="G787" s="2">
        <f t="shared" si="72"/>
        <v>26.212</v>
      </c>
      <c r="H787" s="11" t="str">
        <f t="shared" si="73"/>
        <v>3.700E-2</v>
      </c>
      <c r="I787" s="2">
        <f t="shared" si="74"/>
        <v>50.1</v>
      </c>
      <c r="J787" s="4">
        <f t="shared" si="75"/>
        <v>26.212</v>
      </c>
      <c r="K787" s="9">
        <f t="shared" si="76"/>
        <v>-0.399999999999984</v>
      </c>
      <c r="L787" s="1">
        <f t="shared" si="77"/>
        <v>-3.49999999999996</v>
      </c>
    </row>
    <row r="788" s="1" customFormat="1" spans="1:12">
      <c r="A788" s="2">
        <v>26.278</v>
      </c>
      <c r="B788" s="10" t="s">
        <v>322</v>
      </c>
      <c r="C788" s="4">
        <v>26.278</v>
      </c>
      <c r="D788" s="4">
        <v>49.3</v>
      </c>
      <c r="G788" s="2">
        <f t="shared" si="72"/>
        <v>26.245</v>
      </c>
      <c r="H788" s="11" t="str">
        <f t="shared" si="73"/>
        <v>3.702E-2</v>
      </c>
      <c r="I788" s="2">
        <f t="shared" si="74"/>
        <v>49.5</v>
      </c>
      <c r="J788" s="4">
        <f t="shared" si="75"/>
        <v>26.245</v>
      </c>
      <c r="K788" s="9">
        <f t="shared" si="76"/>
        <v>-0.199999999999992</v>
      </c>
      <c r="L788" s="1">
        <f t="shared" si="77"/>
        <v>-3.49999999999996</v>
      </c>
    </row>
    <row r="789" s="1" customFormat="1" spans="1:12">
      <c r="A789" s="2">
        <v>26.312</v>
      </c>
      <c r="B789" s="10" t="s">
        <v>322</v>
      </c>
      <c r="C789" s="4">
        <v>26.312</v>
      </c>
      <c r="D789" s="4">
        <v>48.8</v>
      </c>
      <c r="G789" s="2">
        <f t="shared" si="72"/>
        <v>26.278</v>
      </c>
      <c r="H789" s="11" t="str">
        <f t="shared" si="73"/>
        <v>3.704E-2</v>
      </c>
      <c r="I789" s="2">
        <f t="shared" si="74"/>
        <v>49.3</v>
      </c>
      <c r="J789" s="4">
        <f t="shared" si="75"/>
        <v>26.278</v>
      </c>
      <c r="K789" s="9">
        <f t="shared" si="76"/>
        <v>0</v>
      </c>
      <c r="L789" s="1">
        <f t="shared" si="77"/>
        <v>-3.49999999999996</v>
      </c>
    </row>
    <row r="790" s="1" customFormat="1" spans="1:12">
      <c r="A790" s="2">
        <v>26.345</v>
      </c>
      <c r="B790" s="10" t="s">
        <v>332</v>
      </c>
      <c r="C790" s="4">
        <v>26.345</v>
      </c>
      <c r="D790" s="4">
        <v>48.8</v>
      </c>
      <c r="G790" s="2">
        <f t="shared" si="72"/>
        <v>26.312</v>
      </c>
      <c r="H790" s="11" t="str">
        <f t="shared" si="73"/>
        <v>3.704E-2</v>
      </c>
      <c r="I790" s="2">
        <f t="shared" si="74"/>
        <v>48.8</v>
      </c>
      <c r="J790" s="4">
        <f t="shared" si="75"/>
        <v>26.312</v>
      </c>
      <c r="K790" s="9">
        <f t="shared" si="76"/>
        <v>0</v>
      </c>
      <c r="L790" s="1">
        <f t="shared" si="77"/>
        <v>-3.49999999999996</v>
      </c>
    </row>
    <row r="791" s="1" customFormat="1" spans="1:12">
      <c r="A791" s="2">
        <v>26.379</v>
      </c>
      <c r="B791" s="10" t="s">
        <v>334</v>
      </c>
      <c r="C791" s="4">
        <v>26.379</v>
      </c>
      <c r="D791" s="4">
        <v>48.6</v>
      </c>
      <c r="G791" s="2">
        <f t="shared" si="72"/>
        <v>26.345</v>
      </c>
      <c r="H791" s="11" t="str">
        <f t="shared" si="73"/>
        <v>3.707E-2</v>
      </c>
      <c r="I791" s="2">
        <f t="shared" si="74"/>
        <v>48.8</v>
      </c>
      <c r="J791" s="4">
        <f t="shared" si="75"/>
        <v>26.345</v>
      </c>
      <c r="K791" s="9">
        <f t="shared" si="76"/>
        <v>0.300000000000022</v>
      </c>
      <c r="L791" s="1">
        <f t="shared" si="77"/>
        <v>-3.49999999999996</v>
      </c>
    </row>
    <row r="792" s="1" customFormat="1" spans="1:12">
      <c r="A792" s="2">
        <v>26.412</v>
      </c>
      <c r="B792" s="10" t="s">
        <v>479</v>
      </c>
      <c r="C792" s="4">
        <v>26.412</v>
      </c>
      <c r="D792" s="4">
        <v>48.3</v>
      </c>
      <c r="G792" s="2">
        <f t="shared" si="72"/>
        <v>26.379</v>
      </c>
      <c r="H792" s="11" t="str">
        <f t="shared" si="73"/>
        <v>3.709E-2</v>
      </c>
      <c r="I792" s="2">
        <f t="shared" si="74"/>
        <v>48.6</v>
      </c>
      <c r="J792" s="4">
        <f t="shared" si="75"/>
        <v>26.379</v>
      </c>
      <c r="K792" s="9">
        <f t="shared" si="76"/>
        <v>0.500000000000014</v>
      </c>
      <c r="L792" s="1">
        <f t="shared" si="77"/>
        <v>-3.49999999999996</v>
      </c>
    </row>
    <row r="793" s="1" customFormat="1" spans="1:12">
      <c r="A793" s="2">
        <v>26.446</v>
      </c>
      <c r="B793" s="10" t="s">
        <v>336</v>
      </c>
      <c r="C793" s="4">
        <v>26.446</v>
      </c>
      <c r="D793" s="4">
        <v>48.1</v>
      </c>
      <c r="G793" s="2">
        <f t="shared" si="72"/>
        <v>26.412</v>
      </c>
      <c r="H793" s="11" t="str">
        <f t="shared" si="73"/>
        <v>3.712E-2</v>
      </c>
      <c r="I793" s="2">
        <f t="shared" si="74"/>
        <v>48.3</v>
      </c>
      <c r="J793" s="4">
        <f t="shared" si="75"/>
        <v>26.412</v>
      </c>
      <c r="K793" s="9">
        <f t="shared" si="76"/>
        <v>0.800000000000037</v>
      </c>
      <c r="L793" s="1">
        <f t="shared" si="77"/>
        <v>-3.49999999999996</v>
      </c>
    </row>
    <row r="794" s="1" customFormat="1" spans="1:12">
      <c r="A794" s="2">
        <v>26.479</v>
      </c>
      <c r="B794" s="10" t="s">
        <v>480</v>
      </c>
      <c r="C794" s="4">
        <v>26.479</v>
      </c>
      <c r="D794" s="4">
        <v>47.8</v>
      </c>
      <c r="G794" s="2">
        <f t="shared" si="72"/>
        <v>26.446</v>
      </c>
      <c r="H794" s="11" t="str">
        <f t="shared" si="73"/>
        <v>3.713E-2</v>
      </c>
      <c r="I794" s="2">
        <f t="shared" si="74"/>
        <v>48.1</v>
      </c>
      <c r="J794" s="4">
        <f t="shared" si="75"/>
        <v>26.446</v>
      </c>
      <c r="K794" s="9">
        <f t="shared" si="76"/>
        <v>0.900000000000067</v>
      </c>
      <c r="L794" s="1">
        <f t="shared" si="77"/>
        <v>-3.49999999999996</v>
      </c>
    </row>
    <row r="795" s="1" customFormat="1" spans="1:12">
      <c r="A795" s="2">
        <v>26.513</v>
      </c>
      <c r="B795" s="10" t="s">
        <v>338</v>
      </c>
      <c r="C795" s="4">
        <v>26.513</v>
      </c>
      <c r="D795" s="4">
        <v>47.6</v>
      </c>
      <c r="G795" s="2">
        <f t="shared" si="72"/>
        <v>26.479</v>
      </c>
      <c r="H795" s="11" t="str">
        <f t="shared" si="73"/>
        <v>3.715E-2</v>
      </c>
      <c r="I795" s="2">
        <f t="shared" si="74"/>
        <v>47.8</v>
      </c>
      <c r="J795" s="4">
        <f t="shared" si="75"/>
        <v>26.479</v>
      </c>
      <c r="K795" s="9">
        <f t="shared" si="76"/>
        <v>1.10000000000006</v>
      </c>
      <c r="L795" s="1">
        <f t="shared" si="77"/>
        <v>-3.49999999999996</v>
      </c>
    </row>
    <row r="796" s="1" customFormat="1" spans="1:12">
      <c r="A796" s="2">
        <v>26.546</v>
      </c>
      <c r="B796" s="10" t="s">
        <v>360</v>
      </c>
      <c r="C796" s="4">
        <v>26.546</v>
      </c>
      <c r="D796" s="4">
        <v>47.5</v>
      </c>
      <c r="G796" s="2">
        <f t="shared" si="72"/>
        <v>26.513</v>
      </c>
      <c r="H796" s="11" t="str">
        <f t="shared" si="73"/>
        <v>3.717E-2</v>
      </c>
      <c r="I796" s="2">
        <f t="shared" si="74"/>
        <v>47.6</v>
      </c>
      <c r="J796" s="4">
        <f t="shared" si="75"/>
        <v>26.513</v>
      </c>
      <c r="K796" s="9">
        <f t="shared" si="76"/>
        <v>1.30000000000005</v>
      </c>
      <c r="L796" s="1">
        <f t="shared" si="77"/>
        <v>-3.49999999999996</v>
      </c>
    </row>
    <row r="797" s="1" customFormat="1" spans="1:12">
      <c r="A797" s="2">
        <v>26.579</v>
      </c>
      <c r="B797" s="10" t="s">
        <v>483</v>
      </c>
      <c r="C797" s="4">
        <v>26.579</v>
      </c>
      <c r="D797" s="4">
        <v>47.4</v>
      </c>
      <c r="G797" s="2">
        <f t="shared" si="72"/>
        <v>26.546</v>
      </c>
      <c r="H797" s="11" t="str">
        <f t="shared" si="73"/>
        <v>3.718E-2</v>
      </c>
      <c r="I797" s="2">
        <f t="shared" si="74"/>
        <v>47.5</v>
      </c>
      <c r="J797" s="4">
        <f t="shared" si="75"/>
        <v>26.546</v>
      </c>
      <c r="K797" s="9">
        <f t="shared" si="76"/>
        <v>1.40000000000001</v>
      </c>
      <c r="L797" s="1">
        <f t="shared" si="77"/>
        <v>-3.49999999999996</v>
      </c>
    </row>
    <row r="798" s="1" customFormat="1" spans="1:12">
      <c r="A798" s="2">
        <v>26.613</v>
      </c>
      <c r="B798" s="10" t="s">
        <v>458</v>
      </c>
      <c r="C798" s="4">
        <v>26.613</v>
      </c>
      <c r="D798" s="4">
        <v>47.1</v>
      </c>
      <c r="G798" s="2">
        <f t="shared" si="72"/>
        <v>26.579</v>
      </c>
      <c r="H798" s="11" t="str">
        <f t="shared" si="73"/>
        <v>3.720E-2</v>
      </c>
      <c r="I798" s="2">
        <f t="shared" si="74"/>
        <v>47.4</v>
      </c>
      <c r="J798" s="4">
        <f t="shared" si="75"/>
        <v>26.579</v>
      </c>
      <c r="K798" s="9">
        <f t="shared" si="76"/>
        <v>1.6</v>
      </c>
      <c r="L798" s="1">
        <f t="shared" si="77"/>
        <v>-3.49999999999996</v>
      </c>
    </row>
    <row r="799" s="1" customFormat="1" spans="1:12">
      <c r="A799" s="2">
        <v>26.646</v>
      </c>
      <c r="B799" s="10" t="s">
        <v>475</v>
      </c>
      <c r="C799" s="4">
        <v>26.646</v>
      </c>
      <c r="D799" s="4">
        <v>46.7</v>
      </c>
      <c r="G799" s="2">
        <f t="shared" si="72"/>
        <v>26.613</v>
      </c>
      <c r="H799" s="11" t="str">
        <f t="shared" si="73"/>
        <v>3.728E-2</v>
      </c>
      <c r="I799" s="2">
        <f t="shared" si="74"/>
        <v>47.1</v>
      </c>
      <c r="J799" s="4">
        <f t="shared" si="75"/>
        <v>26.613</v>
      </c>
      <c r="K799" s="9">
        <f t="shared" si="76"/>
        <v>2.40000000000004</v>
      </c>
      <c r="L799" s="1">
        <f t="shared" si="77"/>
        <v>-3.49999999999996</v>
      </c>
    </row>
    <row r="800" s="1" customFormat="1" spans="1:12">
      <c r="A800" s="2">
        <v>26.68</v>
      </c>
      <c r="B800" s="10" t="s">
        <v>346</v>
      </c>
      <c r="C800" s="4">
        <v>26.68</v>
      </c>
      <c r="D800" s="4">
        <v>46.9</v>
      </c>
      <c r="G800" s="2">
        <f t="shared" si="72"/>
        <v>26.646</v>
      </c>
      <c r="H800" s="11" t="str">
        <f t="shared" si="73"/>
        <v>3.734E-2</v>
      </c>
      <c r="I800" s="2">
        <f t="shared" si="74"/>
        <v>46.7</v>
      </c>
      <c r="J800" s="4">
        <f t="shared" si="75"/>
        <v>26.646</v>
      </c>
      <c r="K800" s="9">
        <f t="shared" si="76"/>
        <v>3.00000000000002</v>
      </c>
      <c r="L800" s="1">
        <f t="shared" si="77"/>
        <v>-3.49999999999996</v>
      </c>
    </row>
    <row r="801" s="1" customFormat="1" spans="1:12">
      <c r="A801" s="2">
        <v>26.713</v>
      </c>
      <c r="B801" s="10" t="s">
        <v>346</v>
      </c>
      <c r="C801" s="4">
        <v>26.713</v>
      </c>
      <c r="D801" s="4">
        <v>46.7</v>
      </c>
      <c r="G801" s="2">
        <f t="shared" si="72"/>
        <v>26.68</v>
      </c>
      <c r="H801" s="11" t="str">
        <f t="shared" si="73"/>
        <v>3.738E-2</v>
      </c>
      <c r="I801" s="2">
        <f t="shared" si="74"/>
        <v>46.9</v>
      </c>
      <c r="J801" s="4">
        <f t="shared" si="75"/>
        <v>26.68</v>
      </c>
      <c r="K801" s="9">
        <f t="shared" si="76"/>
        <v>3.4</v>
      </c>
      <c r="L801" s="1">
        <f t="shared" si="77"/>
        <v>-3.49999999999996</v>
      </c>
    </row>
    <row r="802" s="1" customFormat="1" spans="1:12">
      <c r="A802" s="2">
        <v>26.747</v>
      </c>
      <c r="B802" s="10" t="s">
        <v>343</v>
      </c>
      <c r="C802" s="4">
        <v>26.747</v>
      </c>
      <c r="D802" s="4">
        <v>46.7</v>
      </c>
      <c r="G802" s="2">
        <f t="shared" si="72"/>
        <v>26.713</v>
      </c>
      <c r="H802" s="11" t="str">
        <f t="shared" si="73"/>
        <v>3.738E-2</v>
      </c>
      <c r="I802" s="2">
        <f t="shared" si="74"/>
        <v>46.7</v>
      </c>
      <c r="J802" s="4">
        <f t="shared" si="75"/>
        <v>26.713</v>
      </c>
      <c r="K802" s="9">
        <f t="shared" si="76"/>
        <v>3.4</v>
      </c>
      <c r="L802" s="1">
        <f t="shared" si="77"/>
        <v>-3.49999999999996</v>
      </c>
    </row>
    <row r="803" s="1" customFormat="1" spans="1:12">
      <c r="A803" s="2">
        <v>26.78</v>
      </c>
      <c r="B803" s="10" t="s">
        <v>343</v>
      </c>
      <c r="C803" s="4">
        <v>26.78</v>
      </c>
      <c r="D803" s="4">
        <v>47</v>
      </c>
      <c r="G803" s="2">
        <f t="shared" si="72"/>
        <v>26.747</v>
      </c>
      <c r="H803" s="11" t="str">
        <f t="shared" si="73"/>
        <v>3.739E-2</v>
      </c>
      <c r="I803" s="2">
        <f t="shared" si="74"/>
        <v>46.7</v>
      </c>
      <c r="J803" s="4">
        <f t="shared" si="75"/>
        <v>26.747</v>
      </c>
      <c r="K803" s="9">
        <f t="shared" si="76"/>
        <v>3.50000000000003</v>
      </c>
      <c r="L803" s="1">
        <f t="shared" si="77"/>
        <v>-3.49999999999996</v>
      </c>
    </row>
    <row r="804" s="1" customFormat="1" spans="1:12">
      <c r="A804" s="2">
        <v>26.813</v>
      </c>
      <c r="B804" s="10" t="s">
        <v>343</v>
      </c>
      <c r="C804" s="4">
        <v>26.813</v>
      </c>
      <c r="D804" s="4">
        <v>46.6</v>
      </c>
      <c r="G804" s="2">
        <f t="shared" si="72"/>
        <v>26.78</v>
      </c>
      <c r="H804" s="11" t="str">
        <f t="shared" si="73"/>
        <v>3.739E-2</v>
      </c>
      <c r="I804" s="2">
        <f t="shared" si="74"/>
        <v>47</v>
      </c>
      <c r="J804" s="4">
        <f t="shared" si="75"/>
        <v>26.78</v>
      </c>
      <c r="K804" s="9">
        <f t="shared" si="76"/>
        <v>3.50000000000003</v>
      </c>
      <c r="L804" s="1">
        <f t="shared" si="77"/>
        <v>-3.49999999999996</v>
      </c>
    </row>
    <row r="805" s="1" customFormat="1" spans="1:12">
      <c r="A805" s="2">
        <v>26.847</v>
      </c>
      <c r="B805" s="10" t="s">
        <v>343</v>
      </c>
      <c r="C805" s="4">
        <v>26.847</v>
      </c>
      <c r="D805" s="4">
        <v>46.7</v>
      </c>
      <c r="G805" s="2">
        <f t="shared" si="72"/>
        <v>26.813</v>
      </c>
      <c r="H805" s="11" t="str">
        <f t="shared" si="73"/>
        <v>3.739E-2</v>
      </c>
      <c r="I805" s="2">
        <f t="shared" si="74"/>
        <v>46.6</v>
      </c>
      <c r="J805" s="4">
        <f t="shared" si="75"/>
        <v>26.813</v>
      </c>
      <c r="K805" s="9">
        <f t="shared" si="76"/>
        <v>3.50000000000003</v>
      </c>
      <c r="L805" s="1">
        <f t="shared" si="77"/>
        <v>-3.49999999999996</v>
      </c>
    </row>
    <row r="806" s="1" customFormat="1" spans="1:12">
      <c r="A806" s="2">
        <v>26.88</v>
      </c>
      <c r="B806" s="10" t="s">
        <v>347</v>
      </c>
      <c r="C806" s="4">
        <v>26.88</v>
      </c>
      <c r="D806" s="4">
        <v>46.4</v>
      </c>
      <c r="G806" s="2">
        <f t="shared" si="72"/>
        <v>26.847</v>
      </c>
      <c r="H806" s="11" t="str">
        <f t="shared" si="73"/>
        <v>3.739E-2</v>
      </c>
      <c r="I806" s="2">
        <f t="shared" si="74"/>
        <v>46.7</v>
      </c>
      <c r="J806" s="4">
        <f t="shared" si="75"/>
        <v>26.847</v>
      </c>
      <c r="K806" s="9">
        <f t="shared" si="76"/>
        <v>3.50000000000003</v>
      </c>
      <c r="L806" s="1">
        <f t="shared" si="77"/>
        <v>-3.49999999999996</v>
      </c>
    </row>
    <row r="807" s="1" customFormat="1" spans="1:12">
      <c r="A807" s="2">
        <v>26.914</v>
      </c>
      <c r="B807" s="10" t="s">
        <v>342</v>
      </c>
      <c r="C807" s="4">
        <v>26.914</v>
      </c>
      <c r="D807" s="4">
        <v>46.1</v>
      </c>
      <c r="G807" s="2">
        <f t="shared" si="72"/>
        <v>26.88</v>
      </c>
      <c r="H807" s="11" t="str">
        <f t="shared" si="73"/>
        <v>3.737E-2</v>
      </c>
      <c r="I807" s="2">
        <f t="shared" si="74"/>
        <v>46.4</v>
      </c>
      <c r="J807" s="4">
        <f t="shared" si="75"/>
        <v>26.88</v>
      </c>
      <c r="K807" s="9">
        <f t="shared" si="76"/>
        <v>3.30000000000004</v>
      </c>
      <c r="L807" s="1">
        <f t="shared" si="77"/>
        <v>-3.49999999999996</v>
      </c>
    </row>
    <row r="808" s="1" customFormat="1" spans="1:12">
      <c r="A808" s="2">
        <v>26.947</v>
      </c>
      <c r="B808" s="10" t="s">
        <v>475</v>
      </c>
      <c r="C808" s="4">
        <v>26.947</v>
      </c>
      <c r="D808" s="4">
        <v>46.6</v>
      </c>
      <c r="G808" s="2">
        <f t="shared" si="72"/>
        <v>26.914</v>
      </c>
      <c r="H808" s="11" t="str">
        <f t="shared" si="73"/>
        <v>3.735E-2</v>
      </c>
      <c r="I808" s="2">
        <f t="shared" si="74"/>
        <v>46.1</v>
      </c>
      <c r="J808" s="4">
        <f t="shared" si="75"/>
        <v>26.914</v>
      </c>
      <c r="K808" s="9">
        <f t="shared" si="76"/>
        <v>3.10000000000005</v>
      </c>
      <c r="L808" s="1">
        <f t="shared" si="77"/>
        <v>-3.49999999999996</v>
      </c>
    </row>
    <row r="809" s="1" customFormat="1" spans="1:12">
      <c r="A809" s="2">
        <v>26.981</v>
      </c>
      <c r="B809" s="10" t="s">
        <v>350</v>
      </c>
      <c r="C809" s="4">
        <v>26.981</v>
      </c>
      <c r="D809" s="4">
        <v>46.9</v>
      </c>
      <c r="G809" s="2">
        <f t="shared" si="72"/>
        <v>26.947</v>
      </c>
      <c r="H809" s="11" t="str">
        <f t="shared" si="73"/>
        <v>3.734E-2</v>
      </c>
      <c r="I809" s="2">
        <f t="shared" si="74"/>
        <v>46.6</v>
      </c>
      <c r="J809" s="4">
        <f t="shared" si="75"/>
        <v>26.947</v>
      </c>
      <c r="K809" s="9">
        <f t="shared" si="76"/>
        <v>3.00000000000002</v>
      </c>
      <c r="L809" s="1">
        <f t="shared" si="77"/>
        <v>-3.49999999999996</v>
      </c>
    </row>
    <row r="810" s="1" customFormat="1" spans="1:12">
      <c r="A810" s="2">
        <v>27.014</v>
      </c>
      <c r="B810" s="10" t="s">
        <v>385</v>
      </c>
      <c r="C810" s="4">
        <v>27.014</v>
      </c>
      <c r="D810" s="4">
        <v>46.5</v>
      </c>
      <c r="G810" s="2">
        <f t="shared" si="72"/>
        <v>26.981</v>
      </c>
      <c r="H810" s="11" t="str">
        <f t="shared" si="73"/>
        <v>3.732E-2</v>
      </c>
      <c r="I810" s="2">
        <f t="shared" si="74"/>
        <v>46.9</v>
      </c>
      <c r="J810" s="4">
        <f t="shared" si="75"/>
        <v>26.981</v>
      </c>
      <c r="K810" s="9">
        <f t="shared" si="76"/>
        <v>2.80000000000002</v>
      </c>
      <c r="L810" s="1">
        <f t="shared" si="77"/>
        <v>-3.49999999999996</v>
      </c>
    </row>
    <row r="811" s="1" customFormat="1" spans="1:12">
      <c r="A811" s="2">
        <v>27.047</v>
      </c>
      <c r="B811" s="10" t="s">
        <v>351</v>
      </c>
      <c r="C811" s="4">
        <v>27.047</v>
      </c>
      <c r="D811" s="4">
        <v>45.8</v>
      </c>
      <c r="G811" s="2">
        <f t="shared" si="72"/>
        <v>27.014</v>
      </c>
      <c r="H811" s="11" t="str">
        <f t="shared" si="73"/>
        <v>3.730E-2</v>
      </c>
      <c r="I811" s="2">
        <f t="shared" si="74"/>
        <v>46.5</v>
      </c>
      <c r="J811" s="4">
        <f t="shared" si="75"/>
        <v>27.014</v>
      </c>
      <c r="K811" s="9">
        <f t="shared" si="76"/>
        <v>2.60000000000003</v>
      </c>
      <c r="L811" s="1">
        <f t="shared" si="77"/>
        <v>-3.49999999999996</v>
      </c>
    </row>
    <row r="812" s="1" customFormat="1" spans="1:12">
      <c r="A812" s="2">
        <v>27.081</v>
      </c>
      <c r="B812" s="10" t="s">
        <v>351</v>
      </c>
      <c r="C812" s="4">
        <v>27.081</v>
      </c>
      <c r="D812" s="4">
        <v>46.6</v>
      </c>
      <c r="G812" s="2">
        <f t="shared" si="72"/>
        <v>27.047</v>
      </c>
      <c r="H812" s="11" t="str">
        <f t="shared" si="73"/>
        <v>3.727E-2</v>
      </c>
      <c r="I812" s="2">
        <f t="shared" si="74"/>
        <v>45.8</v>
      </c>
      <c r="J812" s="4">
        <f t="shared" si="75"/>
        <v>27.047</v>
      </c>
      <c r="K812" s="9">
        <f t="shared" si="76"/>
        <v>2.30000000000001</v>
      </c>
      <c r="L812" s="1">
        <f t="shared" si="77"/>
        <v>-3.49999999999996</v>
      </c>
    </row>
    <row r="813" s="1" customFormat="1" spans="1:12">
      <c r="A813" s="2">
        <v>27.114</v>
      </c>
      <c r="B813" s="10" t="s">
        <v>416</v>
      </c>
      <c r="C813" s="4">
        <v>27.114</v>
      </c>
      <c r="D813" s="4">
        <v>45.9</v>
      </c>
      <c r="G813" s="2">
        <f t="shared" si="72"/>
        <v>27.081</v>
      </c>
      <c r="H813" s="11" t="str">
        <f t="shared" si="73"/>
        <v>3.727E-2</v>
      </c>
      <c r="I813" s="2">
        <f t="shared" si="74"/>
        <v>46.6</v>
      </c>
      <c r="J813" s="4">
        <f t="shared" si="75"/>
        <v>27.081</v>
      </c>
      <c r="K813" s="9">
        <f t="shared" si="76"/>
        <v>2.30000000000001</v>
      </c>
      <c r="L813" s="1">
        <f t="shared" si="77"/>
        <v>-3.49999999999996</v>
      </c>
    </row>
    <row r="814" s="1" customFormat="1" spans="1:12">
      <c r="A814" s="2">
        <v>27.148</v>
      </c>
      <c r="B814" s="10" t="s">
        <v>361</v>
      </c>
      <c r="C814" s="4">
        <v>27.148</v>
      </c>
      <c r="D814" s="4">
        <v>45.9</v>
      </c>
      <c r="G814" s="2">
        <f t="shared" si="72"/>
        <v>27.114</v>
      </c>
      <c r="H814" s="11" t="str">
        <f t="shared" si="73"/>
        <v>3.725E-2</v>
      </c>
      <c r="I814" s="2">
        <f t="shared" si="74"/>
        <v>45.9</v>
      </c>
      <c r="J814" s="4">
        <f t="shared" si="75"/>
        <v>27.114</v>
      </c>
      <c r="K814" s="9">
        <f t="shared" si="76"/>
        <v>2.10000000000002</v>
      </c>
      <c r="L814" s="1">
        <f t="shared" si="77"/>
        <v>-3.49999999999996</v>
      </c>
    </row>
    <row r="815" s="1" customFormat="1" spans="1:12">
      <c r="A815" s="2">
        <v>27.181</v>
      </c>
      <c r="B815" s="10" t="s">
        <v>483</v>
      </c>
      <c r="C815" s="4">
        <v>27.181</v>
      </c>
      <c r="D815" s="4">
        <v>46</v>
      </c>
      <c r="G815" s="2">
        <f t="shared" si="72"/>
        <v>27.148</v>
      </c>
      <c r="H815" s="11" t="str">
        <f t="shared" si="73"/>
        <v>3.724E-2</v>
      </c>
      <c r="I815" s="2">
        <f t="shared" si="74"/>
        <v>45.9</v>
      </c>
      <c r="J815" s="4">
        <f t="shared" si="75"/>
        <v>27.148</v>
      </c>
      <c r="K815" s="9">
        <f t="shared" si="76"/>
        <v>2.00000000000006</v>
      </c>
      <c r="L815" s="1">
        <f t="shared" si="77"/>
        <v>-3.49999999999996</v>
      </c>
    </row>
    <row r="816" s="1" customFormat="1" spans="1:12">
      <c r="A816" s="2">
        <v>27.215</v>
      </c>
      <c r="B816" s="10" t="s">
        <v>483</v>
      </c>
      <c r="C816" s="4">
        <v>27.215</v>
      </c>
      <c r="D816" s="4">
        <v>47</v>
      </c>
      <c r="G816" s="2">
        <f t="shared" si="72"/>
        <v>27.181</v>
      </c>
      <c r="H816" s="11" t="str">
        <f t="shared" si="73"/>
        <v>3.720E-2</v>
      </c>
      <c r="I816" s="2">
        <f t="shared" si="74"/>
        <v>46</v>
      </c>
      <c r="J816" s="4">
        <f t="shared" si="75"/>
        <v>27.181</v>
      </c>
      <c r="K816" s="9">
        <f t="shared" si="76"/>
        <v>1.6</v>
      </c>
      <c r="L816" s="1">
        <f t="shared" si="77"/>
        <v>-3.49999999999996</v>
      </c>
    </row>
    <row r="817" s="1" customFormat="1" spans="1:12">
      <c r="A817" s="2">
        <v>27.248</v>
      </c>
      <c r="B817" s="10" t="s">
        <v>360</v>
      </c>
      <c r="C817" s="4">
        <v>27.248</v>
      </c>
      <c r="D817" s="4">
        <v>45.9</v>
      </c>
      <c r="G817" s="2">
        <f t="shared" si="72"/>
        <v>27.215</v>
      </c>
      <c r="H817" s="11" t="str">
        <f t="shared" si="73"/>
        <v>3.720E-2</v>
      </c>
      <c r="I817" s="2">
        <f t="shared" si="74"/>
        <v>47</v>
      </c>
      <c r="J817" s="4">
        <f t="shared" si="75"/>
        <v>27.215</v>
      </c>
      <c r="K817" s="9">
        <f t="shared" si="76"/>
        <v>1.6</v>
      </c>
      <c r="L817" s="1">
        <f t="shared" si="77"/>
        <v>-3.49999999999996</v>
      </c>
    </row>
    <row r="818" s="1" customFormat="1" spans="1:12">
      <c r="A818" s="2">
        <v>27.281</v>
      </c>
      <c r="B818" s="10" t="s">
        <v>478</v>
      </c>
      <c r="C818" s="4">
        <v>27.281</v>
      </c>
      <c r="D818" s="4">
        <v>45.5</v>
      </c>
      <c r="G818" s="2">
        <f t="shared" si="72"/>
        <v>27.248</v>
      </c>
      <c r="H818" s="11" t="str">
        <f t="shared" si="73"/>
        <v>3.718E-2</v>
      </c>
      <c r="I818" s="2">
        <f t="shared" si="74"/>
        <v>45.9</v>
      </c>
      <c r="J818" s="4">
        <f t="shared" si="75"/>
        <v>27.248</v>
      </c>
      <c r="K818" s="9">
        <f t="shared" si="76"/>
        <v>1.40000000000001</v>
      </c>
      <c r="L818" s="1">
        <f t="shared" si="77"/>
        <v>-3.49999999999996</v>
      </c>
    </row>
    <row r="819" s="1" customFormat="1" spans="1:12">
      <c r="A819" s="2">
        <v>27.315</v>
      </c>
      <c r="B819" s="10" t="s">
        <v>324</v>
      </c>
      <c r="C819" s="4">
        <v>27.315</v>
      </c>
      <c r="D819" s="4">
        <v>46.5</v>
      </c>
      <c r="G819" s="2">
        <f t="shared" si="72"/>
        <v>27.281</v>
      </c>
      <c r="H819" s="11" t="str">
        <f t="shared" si="73"/>
        <v>3.710E-2</v>
      </c>
      <c r="I819" s="2">
        <f t="shared" si="74"/>
        <v>45.5</v>
      </c>
      <c r="J819" s="4">
        <f t="shared" si="75"/>
        <v>27.281</v>
      </c>
      <c r="K819" s="9">
        <f t="shared" si="76"/>
        <v>0.600000000000045</v>
      </c>
      <c r="L819" s="1">
        <f t="shared" si="77"/>
        <v>-3.49999999999996</v>
      </c>
    </row>
    <row r="820" s="1" customFormat="1" spans="1:12">
      <c r="A820" s="2">
        <v>27.348</v>
      </c>
      <c r="B820" s="10" t="s">
        <v>331</v>
      </c>
      <c r="C820" s="4">
        <v>27.348</v>
      </c>
      <c r="D820" s="4">
        <v>46.6</v>
      </c>
      <c r="G820" s="2">
        <f t="shared" si="72"/>
        <v>27.315</v>
      </c>
      <c r="H820" s="11" t="str">
        <f t="shared" si="73"/>
        <v>3.705E-2</v>
      </c>
      <c r="I820" s="2">
        <f t="shared" si="74"/>
        <v>46.5</v>
      </c>
      <c r="J820" s="4">
        <f t="shared" si="75"/>
        <v>27.315</v>
      </c>
      <c r="K820" s="9">
        <f t="shared" si="76"/>
        <v>0.100000000000031</v>
      </c>
      <c r="L820" s="1">
        <f t="shared" si="77"/>
        <v>-3.49999999999996</v>
      </c>
    </row>
    <row r="821" s="1" customFormat="1" spans="1:12">
      <c r="A821" s="2">
        <v>27.382</v>
      </c>
      <c r="B821" s="10" t="s">
        <v>327</v>
      </c>
      <c r="C821" s="4">
        <v>27.382</v>
      </c>
      <c r="D821" s="4">
        <v>46.1</v>
      </c>
      <c r="G821" s="2">
        <f t="shared" si="72"/>
        <v>27.348</v>
      </c>
      <c r="H821" s="11" t="str">
        <f t="shared" si="73"/>
        <v>3.702E-2</v>
      </c>
      <c r="I821" s="2">
        <f t="shared" si="74"/>
        <v>46.6</v>
      </c>
      <c r="J821" s="4">
        <f t="shared" si="75"/>
        <v>27.348</v>
      </c>
      <c r="K821" s="9">
        <f t="shared" si="76"/>
        <v>-0.199999999999992</v>
      </c>
      <c r="L821" s="1">
        <f t="shared" si="77"/>
        <v>-3.49999999999996</v>
      </c>
    </row>
    <row r="822" s="1" customFormat="1" spans="1:12">
      <c r="A822" s="2">
        <v>27.415</v>
      </c>
      <c r="B822" s="10" t="s">
        <v>328</v>
      </c>
      <c r="C822" s="4">
        <v>27.415</v>
      </c>
      <c r="D822" s="4">
        <v>46</v>
      </c>
      <c r="G822" s="2">
        <f t="shared" si="72"/>
        <v>27.382</v>
      </c>
      <c r="H822" s="11" t="str">
        <f t="shared" si="73"/>
        <v>3.700E-2</v>
      </c>
      <c r="I822" s="2">
        <f t="shared" si="74"/>
        <v>46.1</v>
      </c>
      <c r="J822" s="4">
        <f t="shared" si="75"/>
        <v>27.382</v>
      </c>
      <c r="K822" s="9">
        <f t="shared" si="76"/>
        <v>-0.399999999999984</v>
      </c>
      <c r="L822" s="1">
        <f t="shared" si="77"/>
        <v>-3.49999999999996</v>
      </c>
    </row>
    <row r="823" s="1" customFormat="1" spans="1:12">
      <c r="A823" s="2">
        <v>27.449</v>
      </c>
      <c r="B823" s="10" t="s">
        <v>328</v>
      </c>
      <c r="C823" s="4">
        <v>27.449</v>
      </c>
      <c r="D823" s="4">
        <v>46.3</v>
      </c>
      <c r="G823" s="2">
        <f t="shared" si="72"/>
        <v>27.415</v>
      </c>
      <c r="H823" s="11" t="str">
        <f t="shared" si="73"/>
        <v>3.699E-2</v>
      </c>
      <c r="I823" s="2">
        <f t="shared" si="74"/>
        <v>46</v>
      </c>
      <c r="J823" s="4">
        <f t="shared" si="75"/>
        <v>27.415</v>
      </c>
      <c r="K823" s="9">
        <f t="shared" si="76"/>
        <v>-0.499999999999945</v>
      </c>
      <c r="L823" s="1">
        <f t="shared" si="77"/>
        <v>-3.49999999999996</v>
      </c>
    </row>
    <row r="824" s="1" customFormat="1" spans="1:12">
      <c r="A824" s="2">
        <v>27.482</v>
      </c>
      <c r="B824" s="10" t="s">
        <v>326</v>
      </c>
      <c r="C824" s="4">
        <v>27.482</v>
      </c>
      <c r="D824" s="4">
        <v>45.7</v>
      </c>
      <c r="G824" s="2">
        <f t="shared" si="72"/>
        <v>27.449</v>
      </c>
      <c r="H824" s="11" t="str">
        <f t="shared" si="73"/>
        <v>3.699E-2</v>
      </c>
      <c r="I824" s="2">
        <f t="shared" si="74"/>
        <v>46.3</v>
      </c>
      <c r="J824" s="4">
        <f t="shared" si="75"/>
        <v>27.449</v>
      </c>
      <c r="K824" s="9">
        <f t="shared" si="76"/>
        <v>-0.499999999999945</v>
      </c>
      <c r="L824" s="1">
        <f t="shared" si="77"/>
        <v>-3.49999999999996</v>
      </c>
    </row>
    <row r="825" s="1" customFormat="1" spans="1:12">
      <c r="A825" s="2">
        <v>27.516</v>
      </c>
      <c r="B825" s="10" t="s">
        <v>326</v>
      </c>
      <c r="C825" s="4">
        <v>27.516</v>
      </c>
      <c r="D825" s="4">
        <v>46.1</v>
      </c>
      <c r="G825" s="2">
        <f t="shared" si="72"/>
        <v>27.482</v>
      </c>
      <c r="H825" s="11" t="str">
        <f t="shared" si="73"/>
        <v>3.701E-2</v>
      </c>
      <c r="I825" s="2">
        <f t="shared" si="74"/>
        <v>45.7</v>
      </c>
      <c r="J825" s="4">
        <f t="shared" si="75"/>
        <v>27.482</v>
      </c>
      <c r="K825" s="9">
        <f t="shared" si="76"/>
        <v>-0.299999999999953</v>
      </c>
      <c r="L825" s="1">
        <f t="shared" si="77"/>
        <v>-3.49999999999996</v>
      </c>
    </row>
    <row r="826" s="1" customFormat="1" spans="1:12">
      <c r="A826" s="2">
        <v>27.549</v>
      </c>
      <c r="B826" s="10" t="s">
        <v>331</v>
      </c>
      <c r="C826" s="4">
        <v>27.549</v>
      </c>
      <c r="D826" s="4">
        <v>46</v>
      </c>
      <c r="G826" s="2">
        <f t="shared" si="72"/>
        <v>27.516</v>
      </c>
      <c r="H826" s="11" t="str">
        <f t="shared" si="73"/>
        <v>3.701E-2</v>
      </c>
      <c r="I826" s="2">
        <f t="shared" si="74"/>
        <v>46.1</v>
      </c>
      <c r="J826" s="4">
        <f t="shared" si="75"/>
        <v>27.516</v>
      </c>
      <c r="K826" s="9">
        <f t="shared" si="76"/>
        <v>-0.299999999999953</v>
      </c>
      <c r="L826" s="1">
        <f t="shared" si="77"/>
        <v>-3.49999999999996</v>
      </c>
    </row>
    <row r="827" s="1" customFormat="1" spans="1:12">
      <c r="A827" s="2">
        <v>27.582</v>
      </c>
      <c r="B827" s="10" t="s">
        <v>325</v>
      </c>
      <c r="C827" s="4">
        <v>27.582</v>
      </c>
      <c r="D827" s="4">
        <v>45.8</v>
      </c>
      <c r="G827" s="2">
        <f t="shared" si="72"/>
        <v>27.549</v>
      </c>
      <c r="H827" s="11" t="str">
        <f t="shared" si="73"/>
        <v>3.702E-2</v>
      </c>
      <c r="I827" s="2">
        <f t="shared" si="74"/>
        <v>46</v>
      </c>
      <c r="J827" s="4">
        <f t="shared" si="75"/>
        <v>27.549</v>
      </c>
      <c r="K827" s="9">
        <f t="shared" si="76"/>
        <v>-0.199999999999992</v>
      </c>
      <c r="L827" s="1">
        <f t="shared" si="77"/>
        <v>-3.49999999999996</v>
      </c>
    </row>
    <row r="828" s="1" customFormat="1" spans="1:12">
      <c r="A828" s="2">
        <v>27.616</v>
      </c>
      <c r="B828" s="10" t="s">
        <v>324</v>
      </c>
      <c r="C828" s="4">
        <v>27.616</v>
      </c>
      <c r="D828" s="4">
        <v>45.9</v>
      </c>
      <c r="G828" s="2">
        <f t="shared" si="72"/>
        <v>27.582</v>
      </c>
      <c r="H828" s="11" t="str">
        <f t="shared" si="73"/>
        <v>3.703E-2</v>
      </c>
      <c r="I828" s="2">
        <f t="shared" si="74"/>
        <v>45.8</v>
      </c>
      <c r="J828" s="4">
        <f t="shared" si="75"/>
        <v>27.582</v>
      </c>
      <c r="K828" s="9">
        <f t="shared" si="76"/>
        <v>-0.0999999999999612</v>
      </c>
      <c r="L828" s="1">
        <f t="shared" si="77"/>
        <v>-3.49999999999996</v>
      </c>
    </row>
    <row r="829" s="1" customFormat="1" spans="1:12">
      <c r="A829" s="2">
        <v>27.649</v>
      </c>
      <c r="B829" s="10" t="s">
        <v>323</v>
      </c>
      <c r="C829" s="4">
        <v>27.649</v>
      </c>
      <c r="D829" s="4">
        <v>45.9</v>
      </c>
      <c r="G829" s="2">
        <f t="shared" si="72"/>
        <v>27.616</v>
      </c>
      <c r="H829" s="11" t="str">
        <f t="shared" si="73"/>
        <v>3.705E-2</v>
      </c>
      <c r="I829" s="2">
        <f t="shared" si="74"/>
        <v>45.9</v>
      </c>
      <c r="J829" s="4">
        <f t="shared" si="75"/>
        <v>27.616</v>
      </c>
      <c r="K829" s="9">
        <f t="shared" si="76"/>
        <v>0.100000000000031</v>
      </c>
      <c r="L829" s="1">
        <f t="shared" si="77"/>
        <v>-3.49999999999996</v>
      </c>
    </row>
    <row r="830" s="1" customFormat="1" spans="1:12">
      <c r="A830" s="2">
        <v>27.683</v>
      </c>
      <c r="B830" s="10" t="s">
        <v>333</v>
      </c>
      <c r="C830" s="4">
        <v>27.683</v>
      </c>
      <c r="D830" s="4">
        <v>45.9</v>
      </c>
      <c r="G830" s="2">
        <f t="shared" si="72"/>
        <v>27.649</v>
      </c>
      <c r="H830" s="11" t="str">
        <f t="shared" si="73"/>
        <v>3.706E-2</v>
      </c>
      <c r="I830" s="2">
        <f t="shared" si="74"/>
        <v>45.9</v>
      </c>
      <c r="J830" s="4">
        <f t="shared" si="75"/>
        <v>27.649</v>
      </c>
      <c r="K830" s="9">
        <f t="shared" si="76"/>
        <v>0.200000000000061</v>
      </c>
      <c r="L830" s="1">
        <f t="shared" si="77"/>
        <v>-3.49999999999996</v>
      </c>
    </row>
    <row r="831" s="1" customFormat="1" spans="1:12">
      <c r="A831" s="2">
        <v>27.716</v>
      </c>
      <c r="B831" s="10" t="s">
        <v>478</v>
      </c>
      <c r="C831" s="4">
        <v>27.716</v>
      </c>
      <c r="D831" s="4">
        <v>46.5</v>
      </c>
      <c r="G831" s="2">
        <f t="shared" si="72"/>
        <v>27.683</v>
      </c>
      <c r="H831" s="11" t="str">
        <f t="shared" si="73"/>
        <v>3.708E-2</v>
      </c>
      <c r="I831" s="2">
        <f t="shared" si="74"/>
        <v>45.9</v>
      </c>
      <c r="J831" s="4">
        <f t="shared" si="75"/>
        <v>27.683</v>
      </c>
      <c r="K831" s="9">
        <f t="shared" si="76"/>
        <v>0.400000000000053</v>
      </c>
      <c r="L831" s="1">
        <f t="shared" si="77"/>
        <v>-3.49999999999996</v>
      </c>
    </row>
    <row r="832" s="1" customFormat="1" spans="1:12">
      <c r="A832" s="2">
        <v>27.75</v>
      </c>
      <c r="B832" s="10" t="s">
        <v>479</v>
      </c>
      <c r="C832" s="4">
        <v>27.75</v>
      </c>
      <c r="D832" s="4">
        <v>46.7</v>
      </c>
      <c r="G832" s="2">
        <f t="shared" si="72"/>
        <v>27.716</v>
      </c>
      <c r="H832" s="11" t="str">
        <f t="shared" si="73"/>
        <v>3.710E-2</v>
      </c>
      <c r="I832" s="2">
        <f t="shared" si="74"/>
        <v>46.5</v>
      </c>
      <c r="J832" s="4">
        <f t="shared" si="75"/>
        <v>27.716</v>
      </c>
      <c r="K832" s="9">
        <f t="shared" si="76"/>
        <v>0.600000000000045</v>
      </c>
      <c r="L832" s="1">
        <f t="shared" si="77"/>
        <v>-3.49999999999996</v>
      </c>
    </row>
    <row r="833" s="1" customFormat="1" spans="1:12">
      <c r="A833" s="2">
        <v>27.783</v>
      </c>
      <c r="B833" s="10" t="s">
        <v>359</v>
      </c>
      <c r="C833" s="4">
        <v>27.783</v>
      </c>
      <c r="D833" s="4">
        <v>45.9</v>
      </c>
      <c r="G833" s="2">
        <f t="shared" si="72"/>
        <v>27.75</v>
      </c>
      <c r="H833" s="11" t="str">
        <f t="shared" si="73"/>
        <v>3.712E-2</v>
      </c>
      <c r="I833" s="2">
        <f t="shared" si="74"/>
        <v>46.7</v>
      </c>
      <c r="J833" s="4">
        <f t="shared" si="75"/>
        <v>27.75</v>
      </c>
      <c r="K833" s="9">
        <f t="shared" si="76"/>
        <v>0.800000000000037</v>
      </c>
      <c r="L833" s="1">
        <f t="shared" si="77"/>
        <v>-3.49999999999996</v>
      </c>
    </row>
    <row r="834" s="1" customFormat="1" spans="1:12">
      <c r="A834" s="2">
        <v>27.816</v>
      </c>
      <c r="B834" s="10" t="s">
        <v>480</v>
      </c>
      <c r="C834" s="4">
        <v>27.816</v>
      </c>
      <c r="D834" s="4">
        <v>46</v>
      </c>
      <c r="G834" s="2">
        <f t="shared" si="72"/>
        <v>27.783</v>
      </c>
      <c r="H834" s="11" t="str">
        <f t="shared" si="73"/>
        <v>3.714E-2</v>
      </c>
      <c r="I834" s="2">
        <f t="shared" si="74"/>
        <v>45.9</v>
      </c>
      <c r="J834" s="4">
        <f t="shared" si="75"/>
        <v>27.783</v>
      </c>
      <c r="K834" s="9">
        <f t="shared" si="76"/>
        <v>1.00000000000003</v>
      </c>
      <c r="L834" s="1">
        <f t="shared" si="77"/>
        <v>-3.49999999999996</v>
      </c>
    </row>
    <row r="835" s="1" customFormat="1" spans="1:12">
      <c r="A835" s="2">
        <v>27.85</v>
      </c>
      <c r="B835" s="10" t="s">
        <v>360</v>
      </c>
      <c r="C835" s="4">
        <v>27.85</v>
      </c>
      <c r="D835" s="4">
        <v>46.2</v>
      </c>
      <c r="G835" s="2">
        <f t="shared" si="72"/>
        <v>27.816</v>
      </c>
      <c r="H835" s="11" t="str">
        <f t="shared" si="73"/>
        <v>3.715E-2</v>
      </c>
      <c r="I835" s="2">
        <f t="shared" si="74"/>
        <v>46</v>
      </c>
      <c r="J835" s="4">
        <f t="shared" si="75"/>
        <v>27.816</v>
      </c>
      <c r="K835" s="9">
        <f t="shared" si="76"/>
        <v>1.10000000000006</v>
      </c>
      <c r="L835" s="1">
        <f t="shared" si="77"/>
        <v>-3.49999999999996</v>
      </c>
    </row>
    <row r="836" s="1" customFormat="1" spans="1:12">
      <c r="A836" s="2">
        <v>27.883</v>
      </c>
      <c r="B836" s="10" t="s">
        <v>360</v>
      </c>
      <c r="C836" s="4">
        <v>27.883</v>
      </c>
      <c r="D836" s="4">
        <v>46.5</v>
      </c>
      <c r="G836" s="2">
        <f t="shared" ref="G836:G899" si="78">A835</f>
        <v>27.85</v>
      </c>
      <c r="H836" s="11" t="str">
        <f t="shared" ref="H836:H899" si="79">B835</f>
        <v>3.718E-2</v>
      </c>
      <c r="I836" s="2">
        <f t="shared" ref="I836:I899" si="80">D835</f>
        <v>46.2</v>
      </c>
      <c r="J836" s="4">
        <f t="shared" ref="J836:J899" si="81">G836</f>
        <v>27.85</v>
      </c>
      <c r="K836" s="9">
        <f t="shared" ref="K836:K899" si="82">(H836-$H$4)*10000</f>
        <v>1.40000000000001</v>
      </c>
      <c r="L836" s="1">
        <f t="shared" ref="L836:L899" si="83">IF(I836&lt;230,MIN(K:K),MAX(K:K))</f>
        <v>-3.49999999999996</v>
      </c>
    </row>
    <row r="837" s="1" customFormat="1" spans="1:12">
      <c r="A837" s="2">
        <v>27.917</v>
      </c>
      <c r="B837" s="10" t="s">
        <v>339</v>
      </c>
      <c r="C837" s="4">
        <v>27.917</v>
      </c>
      <c r="D837" s="4">
        <v>45.9</v>
      </c>
      <c r="G837" s="2">
        <f t="shared" si="78"/>
        <v>27.883</v>
      </c>
      <c r="H837" s="11" t="str">
        <f t="shared" si="79"/>
        <v>3.718E-2</v>
      </c>
      <c r="I837" s="2">
        <f t="shared" si="80"/>
        <v>46.5</v>
      </c>
      <c r="J837" s="4">
        <f t="shared" si="81"/>
        <v>27.883</v>
      </c>
      <c r="K837" s="9">
        <f t="shared" si="82"/>
        <v>1.40000000000001</v>
      </c>
      <c r="L837" s="1">
        <f t="shared" si="83"/>
        <v>-3.49999999999996</v>
      </c>
    </row>
    <row r="838" s="1" customFormat="1" spans="1:12">
      <c r="A838" s="2">
        <v>27.95</v>
      </c>
      <c r="B838" s="10" t="s">
        <v>338</v>
      </c>
      <c r="C838" s="4">
        <v>27.95</v>
      </c>
      <c r="D838" s="4">
        <v>46</v>
      </c>
      <c r="G838" s="2">
        <f t="shared" si="78"/>
        <v>27.917</v>
      </c>
      <c r="H838" s="11" t="str">
        <f t="shared" si="79"/>
        <v>3.719E-2</v>
      </c>
      <c r="I838" s="2">
        <f t="shared" si="80"/>
        <v>45.9</v>
      </c>
      <c r="J838" s="4">
        <f t="shared" si="81"/>
        <v>27.917</v>
      </c>
      <c r="K838" s="9">
        <f t="shared" si="82"/>
        <v>1.50000000000004</v>
      </c>
      <c r="L838" s="1">
        <f t="shared" si="83"/>
        <v>-3.49999999999996</v>
      </c>
    </row>
    <row r="839" s="1" customFormat="1" spans="1:12">
      <c r="A839" s="2">
        <v>27.984</v>
      </c>
      <c r="B839" s="10" t="s">
        <v>360</v>
      </c>
      <c r="C839" s="4">
        <v>27.984</v>
      </c>
      <c r="D839" s="4">
        <v>46.8</v>
      </c>
      <c r="G839" s="2">
        <f t="shared" si="78"/>
        <v>27.95</v>
      </c>
      <c r="H839" s="11" t="str">
        <f t="shared" si="79"/>
        <v>3.717E-2</v>
      </c>
      <c r="I839" s="2">
        <f t="shared" si="80"/>
        <v>46</v>
      </c>
      <c r="J839" s="4">
        <f t="shared" si="81"/>
        <v>27.95</v>
      </c>
      <c r="K839" s="9">
        <f t="shared" si="82"/>
        <v>1.30000000000005</v>
      </c>
      <c r="L839" s="1">
        <f t="shared" si="83"/>
        <v>-3.49999999999996</v>
      </c>
    </row>
    <row r="840" s="1" customFormat="1" spans="1:12">
      <c r="A840" s="2">
        <v>28.017</v>
      </c>
      <c r="B840" s="10" t="s">
        <v>338</v>
      </c>
      <c r="C840" s="4">
        <v>28.017</v>
      </c>
      <c r="D840" s="4">
        <v>46</v>
      </c>
      <c r="G840" s="2">
        <f t="shared" si="78"/>
        <v>27.984</v>
      </c>
      <c r="H840" s="11" t="str">
        <f t="shared" si="79"/>
        <v>3.718E-2</v>
      </c>
      <c r="I840" s="2">
        <f t="shared" si="80"/>
        <v>46.8</v>
      </c>
      <c r="J840" s="4">
        <f t="shared" si="81"/>
        <v>27.984</v>
      </c>
      <c r="K840" s="9">
        <f t="shared" si="82"/>
        <v>1.40000000000001</v>
      </c>
      <c r="L840" s="1">
        <f t="shared" si="83"/>
        <v>-3.49999999999996</v>
      </c>
    </row>
    <row r="841" s="1" customFormat="1" spans="1:12">
      <c r="A841" s="2">
        <v>28.05</v>
      </c>
      <c r="B841" s="10" t="s">
        <v>337</v>
      </c>
      <c r="C841" s="4">
        <v>28.05</v>
      </c>
      <c r="D841" s="4">
        <v>45.8</v>
      </c>
      <c r="G841" s="2">
        <f t="shared" si="78"/>
        <v>28.017</v>
      </c>
      <c r="H841" s="11" t="str">
        <f t="shared" si="79"/>
        <v>3.717E-2</v>
      </c>
      <c r="I841" s="2">
        <f t="shared" si="80"/>
        <v>46</v>
      </c>
      <c r="J841" s="4">
        <f t="shared" si="81"/>
        <v>28.017</v>
      </c>
      <c r="K841" s="9">
        <f t="shared" si="82"/>
        <v>1.30000000000005</v>
      </c>
      <c r="L841" s="1">
        <f t="shared" si="83"/>
        <v>-3.49999999999996</v>
      </c>
    </row>
    <row r="842" s="1" customFormat="1" spans="1:12">
      <c r="A842" s="2">
        <v>28.084</v>
      </c>
      <c r="B842" s="10" t="s">
        <v>337</v>
      </c>
      <c r="C842" s="4">
        <v>28.084</v>
      </c>
      <c r="D842" s="4">
        <v>46.3</v>
      </c>
      <c r="G842" s="2">
        <f t="shared" si="78"/>
        <v>28.05</v>
      </c>
      <c r="H842" s="11" t="str">
        <f t="shared" si="79"/>
        <v>3.716E-2</v>
      </c>
      <c r="I842" s="2">
        <f t="shared" si="80"/>
        <v>45.8</v>
      </c>
      <c r="J842" s="4">
        <f t="shared" si="81"/>
        <v>28.05</v>
      </c>
      <c r="K842" s="9">
        <f t="shared" si="82"/>
        <v>1.20000000000002</v>
      </c>
      <c r="L842" s="1">
        <f t="shared" si="83"/>
        <v>-3.49999999999996</v>
      </c>
    </row>
    <row r="843" s="1" customFormat="1" spans="1:12">
      <c r="A843" s="2">
        <v>28.117</v>
      </c>
      <c r="B843" s="10" t="s">
        <v>359</v>
      </c>
      <c r="C843" s="4">
        <v>28.117</v>
      </c>
      <c r="D843" s="4">
        <v>46.2</v>
      </c>
      <c r="G843" s="2">
        <f t="shared" si="78"/>
        <v>28.084</v>
      </c>
      <c r="H843" s="11" t="str">
        <f t="shared" si="79"/>
        <v>3.716E-2</v>
      </c>
      <c r="I843" s="2">
        <f t="shared" si="80"/>
        <v>46.3</v>
      </c>
      <c r="J843" s="4">
        <f t="shared" si="81"/>
        <v>28.084</v>
      </c>
      <c r="K843" s="9">
        <f t="shared" si="82"/>
        <v>1.20000000000002</v>
      </c>
      <c r="L843" s="1">
        <f t="shared" si="83"/>
        <v>-3.49999999999996</v>
      </c>
    </row>
    <row r="844" s="1" customFormat="1" spans="1:12">
      <c r="A844" s="2">
        <v>28.151</v>
      </c>
      <c r="B844" s="10" t="s">
        <v>336</v>
      </c>
      <c r="C844" s="4">
        <v>28.151</v>
      </c>
      <c r="D844" s="4">
        <v>45.8</v>
      </c>
      <c r="G844" s="2">
        <f t="shared" si="78"/>
        <v>28.117</v>
      </c>
      <c r="H844" s="11" t="str">
        <f t="shared" si="79"/>
        <v>3.714E-2</v>
      </c>
      <c r="I844" s="2">
        <f t="shared" si="80"/>
        <v>46.2</v>
      </c>
      <c r="J844" s="4">
        <f t="shared" si="81"/>
        <v>28.117</v>
      </c>
      <c r="K844" s="9">
        <f t="shared" si="82"/>
        <v>1.00000000000003</v>
      </c>
      <c r="L844" s="1">
        <f t="shared" si="83"/>
        <v>-3.49999999999996</v>
      </c>
    </row>
    <row r="845" s="1" customFormat="1" spans="1:12">
      <c r="A845" s="2">
        <v>28.184</v>
      </c>
      <c r="B845" s="10" t="s">
        <v>479</v>
      </c>
      <c r="C845" s="4">
        <v>28.184</v>
      </c>
      <c r="D845" s="4">
        <v>45.8</v>
      </c>
      <c r="G845" s="2">
        <f t="shared" si="78"/>
        <v>28.151</v>
      </c>
      <c r="H845" s="11" t="str">
        <f t="shared" si="79"/>
        <v>3.713E-2</v>
      </c>
      <c r="I845" s="2">
        <f t="shared" si="80"/>
        <v>45.8</v>
      </c>
      <c r="J845" s="4">
        <f t="shared" si="81"/>
        <v>28.151</v>
      </c>
      <c r="K845" s="9">
        <f t="shared" si="82"/>
        <v>0.900000000000067</v>
      </c>
      <c r="L845" s="1">
        <f t="shared" si="83"/>
        <v>-3.49999999999996</v>
      </c>
    </row>
    <row r="846" s="1" customFormat="1" spans="1:12">
      <c r="A846" s="2">
        <v>28.218</v>
      </c>
      <c r="B846" s="10" t="s">
        <v>335</v>
      </c>
      <c r="C846" s="4">
        <v>28.218</v>
      </c>
      <c r="D846" s="4">
        <v>46.3</v>
      </c>
      <c r="G846" s="2">
        <f t="shared" si="78"/>
        <v>28.184</v>
      </c>
      <c r="H846" s="11" t="str">
        <f t="shared" si="79"/>
        <v>3.712E-2</v>
      </c>
      <c r="I846" s="2">
        <f t="shared" si="80"/>
        <v>45.8</v>
      </c>
      <c r="J846" s="4">
        <f t="shared" si="81"/>
        <v>28.184</v>
      </c>
      <c r="K846" s="9">
        <f t="shared" si="82"/>
        <v>0.800000000000037</v>
      </c>
      <c r="L846" s="1">
        <f t="shared" si="83"/>
        <v>-3.49999999999996</v>
      </c>
    </row>
    <row r="847" s="1" customFormat="1" spans="1:12">
      <c r="A847" s="2">
        <v>28.251</v>
      </c>
      <c r="B847" s="10" t="s">
        <v>333</v>
      </c>
      <c r="C847" s="4">
        <v>28.251</v>
      </c>
      <c r="D847" s="4">
        <v>46.5</v>
      </c>
      <c r="G847" s="2">
        <f t="shared" si="78"/>
        <v>28.218</v>
      </c>
      <c r="H847" s="11" t="str">
        <f t="shared" si="79"/>
        <v>3.711E-2</v>
      </c>
      <c r="I847" s="2">
        <f t="shared" si="80"/>
        <v>46.3</v>
      </c>
      <c r="J847" s="4">
        <f t="shared" si="81"/>
        <v>28.218</v>
      </c>
      <c r="K847" s="9">
        <f t="shared" si="82"/>
        <v>0.700000000000006</v>
      </c>
      <c r="L847" s="1">
        <f t="shared" si="83"/>
        <v>-3.49999999999996</v>
      </c>
    </row>
    <row r="848" s="1" customFormat="1" spans="1:12">
      <c r="A848" s="2">
        <v>28.284</v>
      </c>
      <c r="B848" s="10" t="s">
        <v>332</v>
      </c>
      <c r="C848" s="4">
        <v>28.284</v>
      </c>
      <c r="D848" s="4">
        <v>46</v>
      </c>
      <c r="G848" s="2">
        <f t="shared" si="78"/>
        <v>28.251</v>
      </c>
      <c r="H848" s="11" t="str">
        <f t="shared" si="79"/>
        <v>3.708E-2</v>
      </c>
      <c r="I848" s="2">
        <f t="shared" si="80"/>
        <v>46.5</v>
      </c>
      <c r="J848" s="4">
        <f t="shared" si="81"/>
        <v>28.251</v>
      </c>
      <c r="K848" s="9">
        <f t="shared" si="82"/>
        <v>0.400000000000053</v>
      </c>
      <c r="L848" s="1">
        <f t="shared" si="83"/>
        <v>-3.49999999999996</v>
      </c>
    </row>
    <row r="849" s="1" customFormat="1" spans="1:12">
      <c r="A849" s="2">
        <v>28.318</v>
      </c>
      <c r="B849" s="10" t="s">
        <v>324</v>
      </c>
      <c r="C849" s="4">
        <v>28.318</v>
      </c>
      <c r="D849" s="4">
        <v>46.6</v>
      </c>
      <c r="G849" s="2">
        <f t="shared" si="78"/>
        <v>28.284</v>
      </c>
      <c r="H849" s="11" t="str">
        <f t="shared" si="79"/>
        <v>3.707E-2</v>
      </c>
      <c r="I849" s="2">
        <f t="shared" si="80"/>
        <v>46</v>
      </c>
      <c r="J849" s="4">
        <f t="shared" si="81"/>
        <v>28.284</v>
      </c>
      <c r="K849" s="9">
        <f t="shared" si="82"/>
        <v>0.300000000000022</v>
      </c>
      <c r="L849" s="1">
        <f t="shared" si="83"/>
        <v>-3.49999999999996</v>
      </c>
    </row>
    <row r="850" s="1" customFormat="1" spans="1:12">
      <c r="A850" s="2">
        <v>28.351</v>
      </c>
      <c r="B850" s="10" t="s">
        <v>325</v>
      </c>
      <c r="C850" s="4">
        <v>28.351</v>
      </c>
      <c r="D850" s="4">
        <v>45.8</v>
      </c>
      <c r="G850" s="2">
        <f t="shared" si="78"/>
        <v>28.318</v>
      </c>
      <c r="H850" s="11" t="str">
        <f t="shared" si="79"/>
        <v>3.705E-2</v>
      </c>
      <c r="I850" s="2">
        <f t="shared" si="80"/>
        <v>46.6</v>
      </c>
      <c r="J850" s="4">
        <f t="shared" si="81"/>
        <v>28.318</v>
      </c>
      <c r="K850" s="9">
        <f t="shared" si="82"/>
        <v>0.100000000000031</v>
      </c>
      <c r="L850" s="1">
        <f t="shared" si="83"/>
        <v>-3.49999999999996</v>
      </c>
    </row>
    <row r="851" s="1" customFormat="1" spans="1:12">
      <c r="A851" s="2">
        <v>28.385</v>
      </c>
      <c r="B851" s="10" t="s">
        <v>331</v>
      </c>
      <c r="C851" s="4">
        <v>28.385</v>
      </c>
      <c r="D851" s="4">
        <v>46</v>
      </c>
      <c r="G851" s="2">
        <f t="shared" si="78"/>
        <v>28.351</v>
      </c>
      <c r="H851" s="11" t="str">
        <f t="shared" si="79"/>
        <v>3.703E-2</v>
      </c>
      <c r="I851" s="2">
        <f t="shared" si="80"/>
        <v>45.8</v>
      </c>
      <c r="J851" s="4">
        <f t="shared" si="81"/>
        <v>28.351</v>
      </c>
      <c r="K851" s="9">
        <f t="shared" si="82"/>
        <v>-0.0999999999999612</v>
      </c>
      <c r="L851" s="1">
        <f t="shared" si="83"/>
        <v>-3.49999999999996</v>
      </c>
    </row>
    <row r="852" s="1" customFormat="1" spans="1:12">
      <c r="A852" s="2">
        <v>28.418</v>
      </c>
      <c r="B852" s="10" t="s">
        <v>327</v>
      </c>
      <c r="C852" s="4">
        <v>28.418</v>
      </c>
      <c r="D852" s="4">
        <v>46.7</v>
      </c>
      <c r="G852" s="2">
        <f t="shared" si="78"/>
        <v>28.385</v>
      </c>
      <c r="H852" s="11" t="str">
        <f t="shared" si="79"/>
        <v>3.702E-2</v>
      </c>
      <c r="I852" s="2">
        <f t="shared" si="80"/>
        <v>46</v>
      </c>
      <c r="J852" s="4">
        <f t="shared" si="81"/>
        <v>28.385</v>
      </c>
      <c r="K852" s="9">
        <f t="shared" si="82"/>
        <v>-0.199999999999992</v>
      </c>
      <c r="L852" s="1">
        <f t="shared" si="83"/>
        <v>-3.49999999999996</v>
      </c>
    </row>
    <row r="853" s="1" customFormat="1" spans="1:12">
      <c r="A853" s="2">
        <v>28.452</v>
      </c>
      <c r="B853" s="10" t="s">
        <v>328</v>
      </c>
      <c r="C853" s="4">
        <v>28.452</v>
      </c>
      <c r="D853" s="4">
        <v>46.4</v>
      </c>
      <c r="G853" s="2">
        <f t="shared" si="78"/>
        <v>28.418</v>
      </c>
      <c r="H853" s="11" t="str">
        <f t="shared" si="79"/>
        <v>3.700E-2</v>
      </c>
      <c r="I853" s="2">
        <f t="shared" si="80"/>
        <v>46.7</v>
      </c>
      <c r="J853" s="4">
        <f t="shared" si="81"/>
        <v>28.418</v>
      </c>
      <c r="K853" s="9">
        <f t="shared" si="82"/>
        <v>-0.399999999999984</v>
      </c>
      <c r="L853" s="1">
        <f t="shared" si="83"/>
        <v>-3.49999999999996</v>
      </c>
    </row>
    <row r="854" s="1" customFormat="1" spans="1:12">
      <c r="A854" s="2">
        <v>28.485</v>
      </c>
      <c r="B854" s="10" t="s">
        <v>329</v>
      </c>
      <c r="C854" s="4">
        <v>28.485</v>
      </c>
      <c r="D854" s="4">
        <v>46.2</v>
      </c>
      <c r="G854" s="2">
        <f t="shared" si="78"/>
        <v>28.452</v>
      </c>
      <c r="H854" s="11" t="str">
        <f t="shared" si="79"/>
        <v>3.699E-2</v>
      </c>
      <c r="I854" s="2">
        <f t="shared" si="80"/>
        <v>46.4</v>
      </c>
      <c r="J854" s="4">
        <f t="shared" si="81"/>
        <v>28.452</v>
      </c>
      <c r="K854" s="9">
        <f t="shared" si="82"/>
        <v>-0.499999999999945</v>
      </c>
      <c r="L854" s="1">
        <f t="shared" si="83"/>
        <v>-3.49999999999996</v>
      </c>
    </row>
    <row r="855" s="1" customFormat="1" spans="1:12">
      <c r="A855" s="2">
        <v>28.519</v>
      </c>
      <c r="B855" s="10" t="s">
        <v>481</v>
      </c>
      <c r="C855" s="4">
        <v>28.519</v>
      </c>
      <c r="D855" s="4">
        <v>46.6</v>
      </c>
      <c r="G855" s="2">
        <f t="shared" si="78"/>
        <v>28.485</v>
      </c>
      <c r="H855" s="11" t="str">
        <f t="shared" si="79"/>
        <v>3.698E-2</v>
      </c>
      <c r="I855" s="2">
        <f t="shared" si="80"/>
        <v>46.2</v>
      </c>
      <c r="J855" s="4">
        <f t="shared" si="81"/>
        <v>28.485</v>
      </c>
      <c r="K855" s="9">
        <f t="shared" si="82"/>
        <v>-0.599999999999976</v>
      </c>
      <c r="L855" s="1">
        <f t="shared" si="83"/>
        <v>-3.49999999999996</v>
      </c>
    </row>
    <row r="856" s="1" customFormat="1" spans="1:12">
      <c r="A856" s="2">
        <v>28.552</v>
      </c>
      <c r="B856" s="10" t="s">
        <v>481</v>
      </c>
      <c r="C856" s="4">
        <v>28.552</v>
      </c>
      <c r="D856" s="4">
        <v>45.6</v>
      </c>
      <c r="G856" s="2">
        <f t="shared" si="78"/>
        <v>28.519</v>
      </c>
      <c r="H856" s="11" t="str">
        <f t="shared" si="79"/>
        <v>3.696E-2</v>
      </c>
      <c r="I856" s="2">
        <f t="shared" si="80"/>
        <v>46.6</v>
      </c>
      <c r="J856" s="4">
        <f t="shared" si="81"/>
        <v>28.519</v>
      </c>
      <c r="K856" s="9">
        <f t="shared" si="82"/>
        <v>-0.799999999999967</v>
      </c>
      <c r="L856" s="1">
        <f t="shared" si="83"/>
        <v>-3.49999999999996</v>
      </c>
    </row>
    <row r="857" s="1" customFormat="1" spans="1:12">
      <c r="A857" s="2">
        <v>28.585</v>
      </c>
      <c r="B857" s="10" t="s">
        <v>354</v>
      </c>
      <c r="C857" s="4">
        <v>28.585</v>
      </c>
      <c r="D857" s="4">
        <v>45.7</v>
      </c>
      <c r="G857" s="2">
        <f t="shared" si="78"/>
        <v>28.552</v>
      </c>
      <c r="H857" s="11" t="str">
        <f t="shared" si="79"/>
        <v>3.696E-2</v>
      </c>
      <c r="I857" s="2">
        <f t="shared" si="80"/>
        <v>45.6</v>
      </c>
      <c r="J857" s="4">
        <f t="shared" si="81"/>
        <v>28.552</v>
      </c>
      <c r="K857" s="9">
        <f t="shared" si="82"/>
        <v>-0.799999999999967</v>
      </c>
      <c r="L857" s="1">
        <f t="shared" si="83"/>
        <v>-3.49999999999996</v>
      </c>
    </row>
    <row r="858" s="1" customFormat="1" spans="1:12">
      <c r="A858" s="2">
        <v>28.619</v>
      </c>
      <c r="B858" s="10" t="s">
        <v>482</v>
      </c>
      <c r="C858" s="4">
        <v>28.619</v>
      </c>
      <c r="D858" s="4">
        <v>45.5</v>
      </c>
      <c r="G858" s="2">
        <f t="shared" si="78"/>
        <v>28.585</v>
      </c>
      <c r="H858" s="11" t="str">
        <f t="shared" si="79"/>
        <v>3.694E-2</v>
      </c>
      <c r="I858" s="2">
        <f t="shared" si="80"/>
        <v>45.7</v>
      </c>
      <c r="J858" s="4">
        <f t="shared" si="81"/>
        <v>28.585</v>
      </c>
      <c r="K858" s="9">
        <f t="shared" si="82"/>
        <v>-0.999999999999959</v>
      </c>
      <c r="L858" s="1">
        <f t="shared" si="83"/>
        <v>-3.49999999999996</v>
      </c>
    </row>
    <row r="859" s="1" customFormat="1" spans="1:12">
      <c r="A859" s="2">
        <v>28.652</v>
      </c>
      <c r="B859" s="10" t="s">
        <v>482</v>
      </c>
      <c r="C859" s="4">
        <v>28.652</v>
      </c>
      <c r="D859" s="4">
        <v>46.1</v>
      </c>
      <c r="G859" s="2">
        <f t="shared" si="78"/>
        <v>28.619</v>
      </c>
      <c r="H859" s="11" t="str">
        <f t="shared" si="79"/>
        <v>3.695E-2</v>
      </c>
      <c r="I859" s="2">
        <f t="shared" si="80"/>
        <v>45.5</v>
      </c>
      <c r="J859" s="4">
        <f t="shared" si="81"/>
        <v>28.619</v>
      </c>
      <c r="K859" s="9">
        <f t="shared" si="82"/>
        <v>-0.899999999999998</v>
      </c>
      <c r="L859" s="1">
        <f t="shared" si="83"/>
        <v>-3.49999999999996</v>
      </c>
    </row>
    <row r="860" s="1" customFormat="1" spans="1:12">
      <c r="A860" s="2">
        <v>28.686</v>
      </c>
      <c r="B860" s="10" t="s">
        <v>481</v>
      </c>
      <c r="C860" s="4">
        <v>28.686</v>
      </c>
      <c r="D860" s="4">
        <v>46.1</v>
      </c>
      <c r="G860" s="2">
        <f t="shared" si="78"/>
        <v>28.652</v>
      </c>
      <c r="H860" s="11" t="str">
        <f t="shared" si="79"/>
        <v>3.695E-2</v>
      </c>
      <c r="I860" s="2">
        <f t="shared" si="80"/>
        <v>46.1</v>
      </c>
      <c r="J860" s="4">
        <f t="shared" si="81"/>
        <v>28.652</v>
      </c>
      <c r="K860" s="9">
        <f t="shared" si="82"/>
        <v>-0.899999999999998</v>
      </c>
      <c r="L860" s="1">
        <f t="shared" si="83"/>
        <v>-3.49999999999996</v>
      </c>
    </row>
    <row r="861" s="1" customFormat="1" spans="1:12">
      <c r="A861" s="2">
        <v>28.719</v>
      </c>
      <c r="B861" s="10" t="s">
        <v>481</v>
      </c>
      <c r="C861" s="4">
        <v>28.719</v>
      </c>
      <c r="D861" s="4">
        <v>45.4</v>
      </c>
      <c r="G861" s="2">
        <f t="shared" si="78"/>
        <v>28.686</v>
      </c>
      <c r="H861" s="11" t="str">
        <f t="shared" si="79"/>
        <v>3.696E-2</v>
      </c>
      <c r="I861" s="2">
        <f t="shared" si="80"/>
        <v>46.1</v>
      </c>
      <c r="J861" s="4">
        <f t="shared" si="81"/>
        <v>28.686</v>
      </c>
      <c r="K861" s="9">
        <f t="shared" si="82"/>
        <v>-0.799999999999967</v>
      </c>
      <c r="L861" s="1">
        <f t="shared" si="83"/>
        <v>-3.49999999999996</v>
      </c>
    </row>
    <row r="862" s="1" customFormat="1" spans="1:12">
      <c r="A862" s="2">
        <v>28.753</v>
      </c>
      <c r="B862" s="10" t="s">
        <v>330</v>
      </c>
      <c r="C862" s="4">
        <v>28.753</v>
      </c>
      <c r="D862" s="4">
        <v>45.7</v>
      </c>
      <c r="G862" s="2">
        <f t="shared" si="78"/>
        <v>28.719</v>
      </c>
      <c r="H862" s="11" t="str">
        <f t="shared" si="79"/>
        <v>3.696E-2</v>
      </c>
      <c r="I862" s="2">
        <f t="shared" si="80"/>
        <v>45.4</v>
      </c>
      <c r="J862" s="4">
        <f t="shared" si="81"/>
        <v>28.719</v>
      </c>
      <c r="K862" s="9">
        <f t="shared" si="82"/>
        <v>-0.799999999999967</v>
      </c>
      <c r="L862" s="1">
        <f t="shared" si="83"/>
        <v>-3.49999999999996</v>
      </c>
    </row>
    <row r="863" s="1" customFormat="1" spans="1:12">
      <c r="A863" s="2">
        <v>28.786</v>
      </c>
      <c r="B863" s="10" t="s">
        <v>329</v>
      </c>
      <c r="C863" s="4">
        <v>28.786</v>
      </c>
      <c r="D863" s="4">
        <v>46.2</v>
      </c>
      <c r="G863" s="2">
        <f t="shared" si="78"/>
        <v>28.753</v>
      </c>
      <c r="H863" s="11" t="str">
        <f t="shared" si="79"/>
        <v>3.697E-2</v>
      </c>
      <c r="I863" s="2">
        <f t="shared" si="80"/>
        <v>45.7</v>
      </c>
      <c r="J863" s="4">
        <f t="shared" si="81"/>
        <v>28.753</v>
      </c>
      <c r="K863" s="9">
        <f t="shared" si="82"/>
        <v>-0.699999999999937</v>
      </c>
      <c r="L863" s="1">
        <f t="shared" si="83"/>
        <v>-3.49999999999996</v>
      </c>
    </row>
    <row r="864" s="1" customFormat="1" spans="1:12">
      <c r="A864" s="2">
        <v>28.819</v>
      </c>
      <c r="B864" s="10" t="s">
        <v>328</v>
      </c>
      <c r="C864" s="4">
        <v>28.819</v>
      </c>
      <c r="D864" s="4">
        <v>46</v>
      </c>
      <c r="G864" s="2">
        <f t="shared" si="78"/>
        <v>28.786</v>
      </c>
      <c r="H864" s="11" t="str">
        <f t="shared" si="79"/>
        <v>3.698E-2</v>
      </c>
      <c r="I864" s="2">
        <f t="shared" si="80"/>
        <v>46.2</v>
      </c>
      <c r="J864" s="4">
        <f t="shared" si="81"/>
        <v>28.786</v>
      </c>
      <c r="K864" s="9">
        <f t="shared" si="82"/>
        <v>-0.599999999999976</v>
      </c>
      <c r="L864" s="1">
        <f t="shared" si="83"/>
        <v>-3.49999999999996</v>
      </c>
    </row>
    <row r="865" s="1" customFormat="1" spans="1:12">
      <c r="A865" s="2">
        <v>28.853</v>
      </c>
      <c r="B865" s="10" t="s">
        <v>326</v>
      </c>
      <c r="C865" s="4">
        <v>28.853</v>
      </c>
      <c r="D865" s="4">
        <v>46.3</v>
      </c>
      <c r="G865" s="2">
        <f t="shared" si="78"/>
        <v>28.819</v>
      </c>
      <c r="H865" s="11" t="str">
        <f t="shared" si="79"/>
        <v>3.699E-2</v>
      </c>
      <c r="I865" s="2">
        <f t="shared" si="80"/>
        <v>46</v>
      </c>
      <c r="J865" s="4">
        <f t="shared" si="81"/>
        <v>28.819</v>
      </c>
      <c r="K865" s="9">
        <f t="shared" si="82"/>
        <v>-0.499999999999945</v>
      </c>
      <c r="L865" s="1">
        <f t="shared" si="83"/>
        <v>-3.49999999999996</v>
      </c>
    </row>
    <row r="866" s="1" customFormat="1" spans="1:12">
      <c r="A866" s="2">
        <v>28.886</v>
      </c>
      <c r="B866" s="10" t="s">
        <v>331</v>
      </c>
      <c r="C866" s="4">
        <v>28.886</v>
      </c>
      <c r="D866" s="4">
        <v>46.2</v>
      </c>
      <c r="G866" s="2">
        <f t="shared" si="78"/>
        <v>28.853</v>
      </c>
      <c r="H866" s="11" t="str">
        <f t="shared" si="79"/>
        <v>3.701E-2</v>
      </c>
      <c r="I866" s="2">
        <f t="shared" si="80"/>
        <v>46.3</v>
      </c>
      <c r="J866" s="4">
        <f t="shared" si="81"/>
        <v>28.853</v>
      </c>
      <c r="K866" s="9">
        <f t="shared" si="82"/>
        <v>-0.299999999999953</v>
      </c>
      <c r="L866" s="1">
        <f t="shared" si="83"/>
        <v>-3.49999999999996</v>
      </c>
    </row>
    <row r="867" s="1" customFormat="1" spans="1:12">
      <c r="A867" s="2">
        <v>28.92</v>
      </c>
      <c r="B867" s="10" t="s">
        <v>322</v>
      </c>
      <c r="C867" s="4">
        <v>28.92</v>
      </c>
      <c r="D867" s="4">
        <v>46</v>
      </c>
      <c r="G867" s="2">
        <f t="shared" si="78"/>
        <v>28.886</v>
      </c>
      <c r="H867" s="11" t="str">
        <f t="shared" si="79"/>
        <v>3.702E-2</v>
      </c>
      <c r="I867" s="2">
        <f t="shared" si="80"/>
        <v>46.2</v>
      </c>
      <c r="J867" s="4">
        <f t="shared" si="81"/>
        <v>28.886</v>
      </c>
      <c r="K867" s="9">
        <f t="shared" si="82"/>
        <v>-0.199999999999992</v>
      </c>
      <c r="L867" s="1">
        <f t="shared" si="83"/>
        <v>-3.49999999999996</v>
      </c>
    </row>
    <row r="868" s="1" customFormat="1" spans="1:12">
      <c r="A868" s="2">
        <v>28.953</v>
      </c>
      <c r="B868" s="10" t="s">
        <v>324</v>
      </c>
      <c r="C868" s="4">
        <v>28.953</v>
      </c>
      <c r="D868" s="4">
        <v>46.8</v>
      </c>
      <c r="G868" s="2">
        <f t="shared" si="78"/>
        <v>28.92</v>
      </c>
      <c r="H868" s="11" t="str">
        <f t="shared" si="79"/>
        <v>3.704E-2</v>
      </c>
      <c r="I868" s="2">
        <f t="shared" si="80"/>
        <v>46</v>
      </c>
      <c r="J868" s="4">
        <f t="shared" si="81"/>
        <v>28.92</v>
      </c>
      <c r="K868" s="9">
        <f t="shared" si="82"/>
        <v>0</v>
      </c>
      <c r="L868" s="1">
        <f t="shared" si="83"/>
        <v>-3.49999999999996</v>
      </c>
    </row>
    <row r="869" s="1" customFormat="1" spans="1:12">
      <c r="A869" s="2">
        <v>28.987</v>
      </c>
      <c r="B869" s="10" t="s">
        <v>332</v>
      </c>
      <c r="C869" s="4">
        <v>28.987</v>
      </c>
      <c r="D869" s="4">
        <v>45.8</v>
      </c>
      <c r="G869" s="2">
        <f t="shared" si="78"/>
        <v>28.953</v>
      </c>
      <c r="H869" s="11" t="str">
        <f t="shared" si="79"/>
        <v>3.705E-2</v>
      </c>
      <c r="I869" s="2">
        <f t="shared" si="80"/>
        <v>46.8</v>
      </c>
      <c r="J869" s="4">
        <f t="shared" si="81"/>
        <v>28.953</v>
      </c>
      <c r="K869" s="9">
        <f t="shared" si="82"/>
        <v>0.100000000000031</v>
      </c>
      <c r="L869" s="1">
        <f t="shared" si="83"/>
        <v>-3.49999999999996</v>
      </c>
    </row>
    <row r="870" s="1" customFormat="1" spans="1:12">
      <c r="A870" s="2">
        <v>29.02</v>
      </c>
      <c r="B870" s="10" t="s">
        <v>478</v>
      </c>
      <c r="C870" s="4">
        <v>29.02</v>
      </c>
      <c r="D870" s="4">
        <v>45.7</v>
      </c>
      <c r="G870" s="2">
        <f t="shared" si="78"/>
        <v>28.987</v>
      </c>
      <c r="H870" s="11" t="str">
        <f t="shared" si="79"/>
        <v>3.707E-2</v>
      </c>
      <c r="I870" s="2">
        <f t="shared" si="80"/>
        <v>45.8</v>
      </c>
      <c r="J870" s="4">
        <f t="shared" si="81"/>
        <v>28.987</v>
      </c>
      <c r="K870" s="9">
        <f t="shared" si="82"/>
        <v>0.300000000000022</v>
      </c>
      <c r="L870" s="1">
        <f t="shared" si="83"/>
        <v>-3.49999999999996</v>
      </c>
    </row>
    <row r="871" s="1" customFormat="1" spans="1:12">
      <c r="A871" s="2">
        <v>29.053</v>
      </c>
      <c r="B871" s="10" t="s">
        <v>479</v>
      </c>
      <c r="C871" s="4">
        <v>29.053</v>
      </c>
      <c r="D871" s="4">
        <v>45.9</v>
      </c>
      <c r="G871" s="2">
        <f t="shared" si="78"/>
        <v>29.02</v>
      </c>
      <c r="H871" s="11" t="str">
        <f t="shared" si="79"/>
        <v>3.710E-2</v>
      </c>
      <c r="I871" s="2">
        <f t="shared" si="80"/>
        <v>45.7</v>
      </c>
      <c r="J871" s="4">
        <f t="shared" si="81"/>
        <v>29.02</v>
      </c>
      <c r="K871" s="9">
        <f t="shared" si="82"/>
        <v>0.600000000000045</v>
      </c>
      <c r="L871" s="1">
        <f t="shared" si="83"/>
        <v>-3.49999999999996</v>
      </c>
    </row>
    <row r="872" s="1" customFormat="1" spans="1:12">
      <c r="A872" s="2">
        <v>29.087</v>
      </c>
      <c r="B872" s="10" t="s">
        <v>336</v>
      </c>
      <c r="C872" s="4">
        <v>29.087</v>
      </c>
      <c r="D872" s="4">
        <v>45.4</v>
      </c>
      <c r="G872" s="2">
        <f t="shared" si="78"/>
        <v>29.053</v>
      </c>
      <c r="H872" s="11" t="str">
        <f t="shared" si="79"/>
        <v>3.712E-2</v>
      </c>
      <c r="I872" s="2">
        <f t="shared" si="80"/>
        <v>45.9</v>
      </c>
      <c r="J872" s="4">
        <f t="shared" si="81"/>
        <v>29.053</v>
      </c>
      <c r="K872" s="9">
        <f t="shared" si="82"/>
        <v>0.800000000000037</v>
      </c>
      <c r="L872" s="1">
        <f t="shared" si="83"/>
        <v>-3.49999999999996</v>
      </c>
    </row>
    <row r="873" s="1" customFormat="1" spans="1:12">
      <c r="A873" s="2">
        <v>29.12</v>
      </c>
      <c r="B873" s="10" t="s">
        <v>336</v>
      </c>
      <c r="C873" s="4">
        <v>29.12</v>
      </c>
      <c r="D873" s="4">
        <v>45.7</v>
      </c>
      <c r="G873" s="2">
        <f t="shared" si="78"/>
        <v>29.087</v>
      </c>
      <c r="H873" s="11" t="str">
        <f t="shared" si="79"/>
        <v>3.713E-2</v>
      </c>
      <c r="I873" s="2">
        <f t="shared" si="80"/>
        <v>45.4</v>
      </c>
      <c r="J873" s="4">
        <f t="shared" si="81"/>
        <v>29.087</v>
      </c>
      <c r="K873" s="9">
        <f t="shared" si="82"/>
        <v>0.900000000000067</v>
      </c>
      <c r="L873" s="1">
        <f t="shared" si="83"/>
        <v>-3.49999999999996</v>
      </c>
    </row>
    <row r="874" s="1" customFormat="1" spans="1:12">
      <c r="A874" s="2">
        <v>29.154</v>
      </c>
      <c r="B874" s="10" t="s">
        <v>480</v>
      </c>
      <c r="C874" s="4">
        <v>29.154</v>
      </c>
      <c r="D874" s="4">
        <v>46.4</v>
      </c>
      <c r="G874" s="2">
        <f t="shared" si="78"/>
        <v>29.12</v>
      </c>
      <c r="H874" s="11" t="str">
        <f t="shared" si="79"/>
        <v>3.713E-2</v>
      </c>
      <c r="I874" s="2">
        <f t="shared" si="80"/>
        <v>45.7</v>
      </c>
      <c r="J874" s="4">
        <f t="shared" si="81"/>
        <v>29.12</v>
      </c>
      <c r="K874" s="9">
        <f t="shared" si="82"/>
        <v>0.900000000000067</v>
      </c>
      <c r="L874" s="1">
        <f t="shared" si="83"/>
        <v>-3.49999999999996</v>
      </c>
    </row>
    <row r="875" s="1" customFormat="1" spans="1:12">
      <c r="A875" s="2">
        <v>29.187</v>
      </c>
      <c r="B875" s="10" t="s">
        <v>338</v>
      </c>
      <c r="C875" s="4">
        <v>29.187</v>
      </c>
      <c r="D875" s="4">
        <v>46.1</v>
      </c>
      <c r="G875" s="2">
        <f t="shared" si="78"/>
        <v>29.154</v>
      </c>
      <c r="H875" s="11" t="str">
        <f t="shared" si="79"/>
        <v>3.715E-2</v>
      </c>
      <c r="I875" s="2">
        <f t="shared" si="80"/>
        <v>46.4</v>
      </c>
      <c r="J875" s="4">
        <f t="shared" si="81"/>
        <v>29.154</v>
      </c>
      <c r="K875" s="9">
        <f t="shared" si="82"/>
        <v>1.10000000000006</v>
      </c>
      <c r="L875" s="1">
        <f t="shared" si="83"/>
        <v>-3.49999999999996</v>
      </c>
    </row>
    <row r="876" s="1" customFormat="1" spans="1:12">
      <c r="A876" s="2">
        <v>29.221</v>
      </c>
      <c r="B876" s="10" t="s">
        <v>338</v>
      </c>
      <c r="C876" s="4">
        <v>29.221</v>
      </c>
      <c r="D876" s="4">
        <v>46.5</v>
      </c>
      <c r="G876" s="2">
        <f t="shared" si="78"/>
        <v>29.187</v>
      </c>
      <c r="H876" s="11" t="str">
        <f t="shared" si="79"/>
        <v>3.717E-2</v>
      </c>
      <c r="I876" s="2">
        <f t="shared" si="80"/>
        <v>46.1</v>
      </c>
      <c r="J876" s="4">
        <f t="shared" si="81"/>
        <v>29.187</v>
      </c>
      <c r="K876" s="9">
        <f t="shared" si="82"/>
        <v>1.30000000000005</v>
      </c>
      <c r="L876" s="1">
        <f t="shared" si="83"/>
        <v>-3.49999999999996</v>
      </c>
    </row>
    <row r="877" s="1" customFormat="1" spans="1:12">
      <c r="A877" s="2">
        <v>29.254</v>
      </c>
      <c r="B877" s="10" t="s">
        <v>339</v>
      </c>
      <c r="C877" s="4">
        <v>29.254</v>
      </c>
      <c r="D877" s="4">
        <v>46.1</v>
      </c>
      <c r="G877" s="2">
        <f t="shared" si="78"/>
        <v>29.221</v>
      </c>
      <c r="H877" s="11" t="str">
        <f t="shared" si="79"/>
        <v>3.717E-2</v>
      </c>
      <c r="I877" s="2">
        <f t="shared" si="80"/>
        <v>46.5</v>
      </c>
      <c r="J877" s="4">
        <f t="shared" si="81"/>
        <v>29.221</v>
      </c>
      <c r="K877" s="9">
        <f t="shared" si="82"/>
        <v>1.30000000000005</v>
      </c>
      <c r="L877" s="1">
        <f t="shared" si="83"/>
        <v>-3.49999999999996</v>
      </c>
    </row>
    <row r="878" s="1" customFormat="1" spans="1:12">
      <c r="A878" s="2">
        <v>29.287</v>
      </c>
      <c r="B878" s="10" t="s">
        <v>360</v>
      </c>
      <c r="C878" s="4">
        <v>29.287</v>
      </c>
      <c r="D878" s="4">
        <v>46.4</v>
      </c>
      <c r="G878" s="2">
        <f t="shared" si="78"/>
        <v>29.254</v>
      </c>
      <c r="H878" s="11" t="str">
        <f t="shared" si="79"/>
        <v>3.719E-2</v>
      </c>
      <c r="I878" s="2">
        <f t="shared" si="80"/>
        <v>46.1</v>
      </c>
      <c r="J878" s="4">
        <f t="shared" si="81"/>
        <v>29.254</v>
      </c>
      <c r="K878" s="9">
        <f t="shared" si="82"/>
        <v>1.50000000000004</v>
      </c>
      <c r="L878" s="1">
        <f t="shared" si="83"/>
        <v>-3.49999999999996</v>
      </c>
    </row>
    <row r="879" s="1" customFormat="1" spans="1:12">
      <c r="A879" s="2">
        <v>29.321</v>
      </c>
      <c r="B879" s="10" t="s">
        <v>360</v>
      </c>
      <c r="C879" s="4">
        <v>29.321</v>
      </c>
      <c r="D879" s="4">
        <v>46.2</v>
      </c>
      <c r="G879" s="2">
        <f t="shared" si="78"/>
        <v>29.287</v>
      </c>
      <c r="H879" s="11" t="str">
        <f t="shared" si="79"/>
        <v>3.718E-2</v>
      </c>
      <c r="I879" s="2">
        <f t="shared" si="80"/>
        <v>46.4</v>
      </c>
      <c r="J879" s="4">
        <f t="shared" si="81"/>
        <v>29.287</v>
      </c>
      <c r="K879" s="9">
        <f t="shared" si="82"/>
        <v>1.40000000000001</v>
      </c>
      <c r="L879" s="1">
        <f t="shared" si="83"/>
        <v>-3.49999999999996</v>
      </c>
    </row>
    <row r="880" s="1" customFormat="1" spans="1:12">
      <c r="A880" s="2">
        <v>29.354</v>
      </c>
      <c r="B880" s="10" t="s">
        <v>337</v>
      </c>
      <c r="C880" s="4">
        <v>29.354</v>
      </c>
      <c r="D880" s="4">
        <v>46.2</v>
      </c>
      <c r="G880" s="2">
        <f t="shared" si="78"/>
        <v>29.321</v>
      </c>
      <c r="H880" s="11" t="str">
        <f t="shared" si="79"/>
        <v>3.718E-2</v>
      </c>
      <c r="I880" s="2">
        <f t="shared" si="80"/>
        <v>46.2</v>
      </c>
      <c r="J880" s="4">
        <f t="shared" si="81"/>
        <v>29.321</v>
      </c>
      <c r="K880" s="9">
        <f t="shared" si="82"/>
        <v>1.40000000000001</v>
      </c>
      <c r="L880" s="1">
        <f t="shared" si="83"/>
        <v>-3.49999999999996</v>
      </c>
    </row>
    <row r="881" s="1" customFormat="1" spans="1:12">
      <c r="A881" s="2">
        <v>29.388</v>
      </c>
      <c r="B881" s="10" t="s">
        <v>338</v>
      </c>
      <c r="C881" s="4">
        <v>29.388</v>
      </c>
      <c r="D881" s="4">
        <v>46.6</v>
      </c>
      <c r="G881" s="2">
        <f t="shared" si="78"/>
        <v>29.354</v>
      </c>
      <c r="H881" s="11" t="str">
        <f t="shared" si="79"/>
        <v>3.716E-2</v>
      </c>
      <c r="I881" s="2">
        <f t="shared" si="80"/>
        <v>46.2</v>
      </c>
      <c r="J881" s="4">
        <f t="shared" si="81"/>
        <v>29.354</v>
      </c>
      <c r="K881" s="9">
        <f t="shared" si="82"/>
        <v>1.20000000000002</v>
      </c>
      <c r="L881" s="1">
        <f t="shared" si="83"/>
        <v>-3.49999999999996</v>
      </c>
    </row>
    <row r="882" s="1" customFormat="1" spans="1:12">
      <c r="A882" s="2">
        <v>29.421</v>
      </c>
      <c r="B882" s="10" t="s">
        <v>480</v>
      </c>
      <c r="C882" s="4">
        <v>29.421</v>
      </c>
      <c r="D882" s="4">
        <v>46.2</v>
      </c>
      <c r="G882" s="2">
        <f t="shared" si="78"/>
        <v>29.388</v>
      </c>
      <c r="H882" s="11" t="str">
        <f t="shared" si="79"/>
        <v>3.717E-2</v>
      </c>
      <c r="I882" s="2">
        <f t="shared" si="80"/>
        <v>46.6</v>
      </c>
      <c r="J882" s="4">
        <f t="shared" si="81"/>
        <v>29.388</v>
      </c>
      <c r="K882" s="9">
        <f t="shared" si="82"/>
        <v>1.30000000000005</v>
      </c>
      <c r="L882" s="1">
        <f t="shared" si="83"/>
        <v>-3.49999999999996</v>
      </c>
    </row>
    <row r="883" s="1" customFormat="1" spans="1:12">
      <c r="A883" s="2">
        <v>29.455</v>
      </c>
      <c r="B883" s="10" t="s">
        <v>480</v>
      </c>
      <c r="C883" s="4">
        <v>29.455</v>
      </c>
      <c r="D883" s="4">
        <v>46.4</v>
      </c>
      <c r="G883" s="2">
        <f t="shared" si="78"/>
        <v>29.421</v>
      </c>
      <c r="H883" s="11" t="str">
        <f t="shared" si="79"/>
        <v>3.715E-2</v>
      </c>
      <c r="I883" s="2">
        <f t="shared" si="80"/>
        <v>46.2</v>
      </c>
      <c r="J883" s="4">
        <f t="shared" si="81"/>
        <v>29.421</v>
      </c>
      <c r="K883" s="9">
        <f t="shared" si="82"/>
        <v>1.10000000000006</v>
      </c>
      <c r="L883" s="1">
        <f t="shared" si="83"/>
        <v>-3.49999999999996</v>
      </c>
    </row>
    <row r="884" s="1" customFormat="1" spans="1:12">
      <c r="A884" s="2">
        <v>29.488</v>
      </c>
      <c r="B884" s="10" t="s">
        <v>336</v>
      </c>
      <c r="C884" s="4">
        <v>29.488</v>
      </c>
      <c r="D884" s="4">
        <v>46.2</v>
      </c>
      <c r="G884" s="2">
        <f t="shared" si="78"/>
        <v>29.455</v>
      </c>
      <c r="H884" s="11" t="str">
        <f t="shared" si="79"/>
        <v>3.715E-2</v>
      </c>
      <c r="I884" s="2">
        <f t="shared" si="80"/>
        <v>46.4</v>
      </c>
      <c r="J884" s="4">
        <f t="shared" si="81"/>
        <v>29.455</v>
      </c>
      <c r="K884" s="9">
        <f t="shared" si="82"/>
        <v>1.10000000000006</v>
      </c>
      <c r="L884" s="1">
        <f t="shared" si="83"/>
        <v>-3.49999999999996</v>
      </c>
    </row>
    <row r="885" s="1" customFormat="1" spans="1:12">
      <c r="A885" s="2"/>
      <c r="B885" s="3"/>
      <c r="C885" s="4"/>
      <c r="D885" s="4"/>
      <c r="G885" s="2">
        <f t="shared" si="78"/>
        <v>29.488</v>
      </c>
      <c r="H885" s="11" t="str">
        <f t="shared" si="79"/>
        <v>3.713E-2</v>
      </c>
      <c r="I885" s="2">
        <f t="shared" si="80"/>
        <v>46.2</v>
      </c>
      <c r="J885" s="4">
        <f t="shared" si="81"/>
        <v>29.488</v>
      </c>
      <c r="K885" s="9">
        <f t="shared" si="82"/>
        <v>0.900000000000067</v>
      </c>
      <c r="L885" s="1">
        <f t="shared" si="83"/>
        <v>-3.49999999999996</v>
      </c>
    </row>
  </sheetData>
  <mergeCells count="2">
    <mergeCell ref="G1:I1"/>
    <mergeCell ref="J1:L1"/>
  </mergeCells>
  <conditionalFormatting sqref="C$1:C$1048576">
    <cfRule type="cellIs" dxfId="0" priority="4" operator="greaterThan">
      <formula>230</formula>
    </cfRule>
    <cfRule type="cellIs" dxfId="0" priority="5" operator="greaterThan">
      <formula>248</formula>
    </cfRule>
    <cfRule type="cellIs" dxfId="0" priority="7" operator="greaterThan">
      <formula>250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885">
    <cfRule type="cellIs" dxfId="0" priority="1" operator="greaterThan">
      <formula>230</formula>
    </cfRule>
    <cfRule type="cellIs" dxfId="0" priority="2" operator="greaterThan">
      <formula>248</formula>
    </cfRule>
    <cfRule type="cellIs" dxfId="0" priority="3" operator="greaterThan">
      <formula>250</formula>
    </cfRule>
  </conditionalFormatting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4"/>
  <sheetViews>
    <sheetView topLeftCell="G1" workbookViewId="0">
      <selection activeCell="W7" sqref="W7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4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0.033</v>
      </c>
      <c r="B3" s="10" t="s">
        <v>117</v>
      </c>
      <c r="C3" s="4">
        <v>0.033</v>
      </c>
      <c r="D3" s="5">
        <v>47.6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0.067</v>
      </c>
      <c r="B4" s="10" t="s">
        <v>117</v>
      </c>
      <c r="C4" s="4">
        <v>0.067</v>
      </c>
      <c r="D4" s="5">
        <v>47.5</v>
      </c>
      <c r="E4" s="4"/>
      <c r="F4" s="4"/>
      <c r="G4" s="2">
        <f t="shared" ref="G4:G67" si="0">A3</f>
        <v>0.033</v>
      </c>
      <c r="H4" s="11" t="str">
        <f t="shared" ref="H4:H67" si="1">B3</f>
        <v>3.412E-2</v>
      </c>
      <c r="I4" s="2" t="e">
        <f>#REF!</f>
        <v>#REF!</v>
      </c>
      <c r="J4" s="4">
        <f t="shared" ref="J4:J67" si="2">G4</f>
        <v>0.033</v>
      </c>
      <c r="K4" s="9">
        <f t="shared" ref="K4:K67" si="3">(H4-$H$4)*10000</f>
        <v>0</v>
      </c>
      <c r="L4" s="1" t="e">
        <f t="shared" ref="L4:L67" si="4">IF(I4&lt;230,MIN(K:K),MAX(K:K))</f>
        <v>#REF!</v>
      </c>
    </row>
    <row r="5" s="1" customFormat="1" spans="1:12">
      <c r="A5" s="2">
        <v>0.1</v>
      </c>
      <c r="B5" s="10" t="s">
        <v>57</v>
      </c>
      <c r="C5" s="4">
        <v>0.1</v>
      </c>
      <c r="D5" s="5">
        <v>47.7</v>
      </c>
      <c r="E5" s="4"/>
      <c r="F5" s="4"/>
      <c r="G5" s="2">
        <f t="shared" si="0"/>
        <v>0.067</v>
      </c>
      <c r="H5" s="11" t="str">
        <f t="shared" si="1"/>
        <v>3.412E-2</v>
      </c>
      <c r="I5" s="2">
        <f t="shared" ref="I4:I67" si="5">D3</f>
        <v>47.6</v>
      </c>
      <c r="J5" s="4">
        <f t="shared" si="2"/>
        <v>0.067</v>
      </c>
      <c r="K5" s="9">
        <f t="shared" si="3"/>
        <v>0</v>
      </c>
      <c r="L5" s="1">
        <f t="shared" si="4"/>
        <v>-0.999999999999959</v>
      </c>
    </row>
    <row r="6" s="1" customFormat="1" spans="1:12">
      <c r="A6" s="2">
        <v>0.134</v>
      </c>
      <c r="B6" s="10" t="s">
        <v>57</v>
      </c>
      <c r="C6" s="4">
        <v>0.134</v>
      </c>
      <c r="D6" s="5">
        <v>47.4</v>
      </c>
      <c r="E6" s="4"/>
      <c r="F6" s="4"/>
      <c r="G6" s="2">
        <f t="shared" si="0"/>
        <v>0.1</v>
      </c>
      <c r="H6" s="11" t="str">
        <f t="shared" si="1"/>
        <v>3.413E-2</v>
      </c>
      <c r="I6" s="2">
        <f t="shared" si="5"/>
        <v>47.5</v>
      </c>
      <c r="J6" s="4">
        <f t="shared" si="2"/>
        <v>0.1</v>
      </c>
      <c r="K6" s="9">
        <f t="shared" si="3"/>
        <v>0.100000000000031</v>
      </c>
      <c r="L6" s="1">
        <f t="shared" si="4"/>
        <v>-0.999999999999959</v>
      </c>
    </row>
    <row r="7" s="1" customFormat="1" spans="1:12">
      <c r="A7" s="2">
        <v>0.167</v>
      </c>
      <c r="B7" s="10" t="s">
        <v>57</v>
      </c>
      <c r="C7" s="4">
        <v>0.167</v>
      </c>
      <c r="D7" s="5">
        <v>47.2</v>
      </c>
      <c r="E7" s="4"/>
      <c r="F7" s="4"/>
      <c r="G7" s="2">
        <f t="shared" si="0"/>
        <v>0.134</v>
      </c>
      <c r="H7" s="11" t="str">
        <f t="shared" si="1"/>
        <v>3.413E-2</v>
      </c>
      <c r="I7" s="2">
        <f t="shared" si="5"/>
        <v>47.7</v>
      </c>
      <c r="J7" s="4">
        <f t="shared" si="2"/>
        <v>0.134</v>
      </c>
      <c r="K7" s="9">
        <f t="shared" si="3"/>
        <v>0.100000000000031</v>
      </c>
      <c r="L7" s="1">
        <f t="shared" si="4"/>
        <v>-0.999999999999959</v>
      </c>
    </row>
    <row r="8" s="1" customFormat="1" spans="1:12">
      <c r="A8" s="2">
        <v>0.201</v>
      </c>
      <c r="B8" s="10" t="s">
        <v>117</v>
      </c>
      <c r="C8" s="4">
        <v>0.201</v>
      </c>
      <c r="D8" s="5">
        <v>47.4</v>
      </c>
      <c r="E8" s="4"/>
      <c r="F8" s="4"/>
      <c r="G8" s="2">
        <f t="shared" si="0"/>
        <v>0.167</v>
      </c>
      <c r="H8" s="11" t="str">
        <f t="shared" si="1"/>
        <v>3.413E-2</v>
      </c>
      <c r="I8" s="2">
        <f t="shared" si="5"/>
        <v>47.4</v>
      </c>
      <c r="J8" s="4">
        <f t="shared" si="2"/>
        <v>0.167</v>
      </c>
      <c r="K8" s="9">
        <f t="shared" si="3"/>
        <v>0.100000000000031</v>
      </c>
      <c r="L8" s="1">
        <f t="shared" si="4"/>
        <v>-0.999999999999959</v>
      </c>
    </row>
    <row r="9" s="1" customFormat="1" spans="1:12">
      <c r="A9" s="2">
        <v>0.234</v>
      </c>
      <c r="B9" s="10" t="s">
        <v>117</v>
      </c>
      <c r="C9" s="4">
        <v>0.234</v>
      </c>
      <c r="D9" s="5">
        <v>47.5</v>
      </c>
      <c r="E9" s="4"/>
      <c r="F9" s="4"/>
      <c r="G9" s="2">
        <f t="shared" si="0"/>
        <v>0.201</v>
      </c>
      <c r="H9" s="11" t="str">
        <f t="shared" si="1"/>
        <v>3.412E-2</v>
      </c>
      <c r="I9" s="2">
        <f t="shared" si="5"/>
        <v>47.2</v>
      </c>
      <c r="J9" s="4">
        <f t="shared" si="2"/>
        <v>0.201</v>
      </c>
      <c r="K9" s="9">
        <f t="shared" si="3"/>
        <v>0</v>
      </c>
      <c r="L9" s="1">
        <f t="shared" si="4"/>
        <v>-0.999999999999959</v>
      </c>
    </row>
    <row r="10" s="1" customFormat="1" spans="1:12">
      <c r="A10" s="2">
        <v>0.268</v>
      </c>
      <c r="B10" s="10" t="s">
        <v>117</v>
      </c>
      <c r="C10" s="4">
        <v>0.268</v>
      </c>
      <c r="D10" s="5">
        <v>47.5</v>
      </c>
      <c r="E10" s="4"/>
      <c r="F10" s="4"/>
      <c r="G10" s="2">
        <f t="shared" si="0"/>
        <v>0.234</v>
      </c>
      <c r="H10" s="11" t="str">
        <f t="shared" si="1"/>
        <v>3.412E-2</v>
      </c>
      <c r="I10" s="2">
        <f t="shared" si="5"/>
        <v>47.4</v>
      </c>
      <c r="J10" s="4">
        <f t="shared" si="2"/>
        <v>0.234</v>
      </c>
      <c r="K10" s="9">
        <f t="shared" si="3"/>
        <v>0</v>
      </c>
      <c r="L10" s="1">
        <f t="shared" si="4"/>
        <v>-0.999999999999959</v>
      </c>
    </row>
    <row r="11" s="1" customFormat="1" spans="1:12">
      <c r="A11" s="2">
        <v>0.301</v>
      </c>
      <c r="B11" s="10" t="s">
        <v>57</v>
      </c>
      <c r="C11" s="4">
        <v>0.301</v>
      </c>
      <c r="D11" s="5">
        <v>47.4</v>
      </c>
      <c r="E11" s="4"/>
      <c r="F11" s="4"/>
      <c r="G11" s="2">
        <f t="shared" si="0"/>
        <v>0.268</v>
      </c>
      <c r="H11" s="11" t="str">
        <f t="shared" si="1"/>
        <v>3.412E-2</v>
      </c>
      <c r="I11" s="2">
        <f t="shared" si="5"/>
        <v>47.5</v>
      </c>
      <c r="J11" s="4">
        <f t="shared" si="2"/>
        <v>0.268</v>
      </c>
      <c r="K11" s="9">
        <f t="shared" si="3"/>
        <v>0</v>
      </c>
      <c r="L11" s="1">
        <f t="shared" si="4"/>
        <v>-0.999999999999959</v>
      </c>
    </row>
    <row r="12" s="1" customFormat="1" spans="1:12">
      <c r="A12" s="2">
        <v>0.335</v>
      </c>
      <c r="B12" s="10" t="s">
        <v>117</v>
      </c>
      <c r="C12" s="4">
        <v>0.335</v>
      </c>
      <c r="D12" s="5">
        <v>47.7</v>
      </c>
      <c r="E12" s="4"/>
      <c r="F12" s="4"/>
      <c r="G12" s="2">
        <f t="shared" si="0"/>
        <v>0.301</v>
      </c>
      <c r="H12" s="11" t="str">
        <f t="shared" si="1"/>
        <v>3.413E-2</v>
      </c>
      <c r="I12" s="2">
        <f t="shared" si="5"/>
        <v>47.5</v>
      </c>
      <c r="J12" s="4">
        <f t="shared" si="2"/>
        <v>0.301</v>
      </c>
      <c r="K12" s="9">
        <f t="shared" si="3"/>
        <v>0.100000000000031</v>
      </c>
      <c r="L12" s="1">
        <f t="shared" si="4"/>
        <v>-0.999999999999959</v>
      </c>
    </row>
    <row r="13" s="1" customFormat="1" spans="1:12">
      <c r="A13" s="2">
        <v>0.368</v>
      </c>
      <c r="B13" s="10" t="s">
        <v>117</v>
      </c>
      <c r="C13" s="4">
        <v>0.368</v>
      </c>
      <c r="D13" s="5">
        <v>47.6</v>
      </c>
      <c r="E13" s="4"/>
      <c r="F13" s="4"/>
      <c r="G13" s="2">
        <f t="shared" si="0"/>
        <v>0.335</v>
      </c>
      <c r="H13" s="11" t="str">
        <f t="shared" si="1"/>
        <v>3.412E-2</v>
      </c>
      <c r="I13" s="2">
        <f t="shared" si="5"/>
        <v>47.4</v>
      </c>
      <c r="J13" s="4">
        <f t="shared" si="2"/>
        <v>0.335</v>
      </c>
      <c r="K13" s="9">
        <f t="shared" si="3"/>
        <v>0</v>
      </c>
      <c r="L13" s="1">
        <f t="shared" si="4"/>
        <v>-0.999999999999959</v>
      </c>
    </row>
    <row r="14" s="1" customFormat="1" spans="1:12">
      <c r="A14" s="2">
        <v>0.401</v>
      </c>
      <c r="B14" s="10" t="s">
        <v>117</v>
      </c>
      <c r="C14" s="4">
        <v>0.401</v>
      </c>
      <c r="D14" s="5">
        <v>48.1</v>
      </c>
      <c r="E14" s="4"/>
      <c r="F14" s="4"/>
      <c r="G14" s="2">
        <f t="shared" si="0"/>
        <v>0.368</v>
      </c>
      <c r="H14" s="11" t="str">
        <f t="shared" si="1"/>
        <v>3.412E-2</v>
      </c>
      <c r="I14" s="2">
        <f t="shared" si="5"/>
        <v>47.7</v>
      </c>
      <c r="J14" s="4">
        <f t="shared" si="2"/>
        <v>0.368</v>
      </c>
      <c r="K14" s="9">
        <f t="shared" si="3"/>
        <v>0</v>
      </c>
      <c r="L14" s="1">
        <f t="shared" si="4"/>
        <v>-0.999999999999959</v>
      </c>
    </row>
    <row r="15" s="1" customFormat="1" spans="1:12">
      <c r="A15" s="2">
        <v>0.435</v>
      </c>
      <c r="B15" s="10" t="s">
        <v>117</v>
      </c>
      <c r="C15" s="4">
        <v>0.435</v>
      </c>
      <c r="D15" s="5">
        <v>47.3</v>
      </c>
      <c r="E15" s="4"/>
      <c r="F15" s="4"/>
      <c r="G15" s="2">
        <f t="shared" si="0"/>
        <v>0.401</v>
      </c>
      <c r="H15" s="11" t="str">
        <f t="shared" si="1"/>
        <v>3.412E-2</v>
      </c>
      <c r="I15" s="2">
        <f t="shared" si="5"/>
        <v>47.6</v>
      </c>
      <c r="J15" s="4">
        <f t="shared" si="2"/>
        <v>0.401</v>
      </c>
      <c r="K15" s="9">
        <f t="shared" si="3"/>
        <v>0</v>
      </c>
      <c r="L15" s="1">
        <f t="shared" si="4"/>
        <v>-0.999999999999959</v>
      </c>
    </row>
    <row r="16" s="1" customFormat="1" spans="1:12">
      <c r="A16" s="2">
        <v>0.468</v>
      </c>
      <c r="B16" s="10" t="s">
        <v>117</v>
      </c>
      <c r="C16" s="4">
        <v>0.468</v>
      </c>
      <c r="D16" s="5">
        <v>47.3</v>
      </c>
      <c r="E16" s="4"/>
      <c r="F16" s="4"/>
      <c r="G16" s="2">
        <f t="shared" si="0"/>
        <v>0.435</v>
      </c>
      <c r="H16" s="11" t="str">
        <f t="shared" si="1"/>
        <v>3.412E-2</v>
      </c>
      <c r="I16" s="2">
        <f t="shared" si="5"/>
        <v>48.1</v>
      </c>
      <c r="J16" s="4">
        <f t="shared" si="2"/>
        <v>0.435</v>
      </c>
      <c r="K16" s="9">
        <f t="shared" si="3"/>
        <v>0</v>
      </c>
      <c r="L16" s="1">
        <f t="shared" si="4"/>
        <v>-0.999999999999959</v>
      </c>
    </row>
    <row r="17" s="1" customFormat="1" spans="1:12">
      <c r="A17" s="2">
        <v>0.502</v>
      </c>
      <c r="B17" s="10" t="s">
        <v>117</v>
      </c>
      <c r="C17" s="4">
        <v>0.502</v>
      </c>
      <c r="D17" s="5">
        <v>48</v>
      </c>
      <c r="E17" s="4"/>
      <c r="F17" s="4"/>
      <c r="G17" s="2">
        <f t="shared" si="0"/>
        <v>0.468</v>
      </c>
      <c r="H17" s="11" t="str">
        <f t="shared" si="1"/>
        <v>3.412E-2</v>
      </c>
      <c r="I17" s="2">
        <f t="shared" si="5"/>
        <v>47.3</v>
      </c>
      <c r="J17" s="4">
        <f t="shared" si="2"/>
        <v>0.468</v>
      </c>
      <c r="K17" s="9">
        <f t="shared" si="3"/>
        <v>0</v>
      </c>
      <c r="L17" s="1">
        <f t="shared" si="4"/>
        <v>-0.999999999999959</v>
      </c>
    </row>
    <row r="18" s="1" customFormat="1" spans="1:12">
      <c r="A18" s="2">
        <v>0.535</v>
      </c>
      <c r="B18" s="10" t="s">
        <v>244</v>
      </c>
      <c r="C18" s="4">
        <v>0.535</v>
      </c>
      <c r="D18" s="5">
        <v>47.1</v>
      </c>
      <c r="E18" s="4"/>
      <c r="F18" s="4"/>
      <c r="G18" s="2">
        <f t="shared" si="0"/>
        <v>0.502</v>
      </c>
      <c r="H18" s="11" t="str">
        <f t="shared" si="1"/>
        <v>3.412E-2</v>
      </c>
      <c r="I18" s="2">
        <f t="shared" si="5"/>
        <v>47.3</v>
      </c>
      <c r="J18" s="4">
        <f t="shared" si="2"/>
        <v>0.502</v>
      </c>
      <c r="K18" s="9">
        <f t="shared" si="3"/>
        <v>0</v>
      </c>
      <c r="L18" s="1">
        <f t="shared" si="4"/>
        <v>-0.999999999999959</v>
      </c>
    </row>
    <row r="19" s="1" customFormat="1" spans="1:12">
      <c r="A19" s="2">
        <v>0.569</v>
      </c>
      <c r="B19" s="10" t="s">
        <v>117</v>
      </c>
      <c r="C19" s="4">
        <v>0.569</v>
      </c>
      <c r="D19" s="5">
        <v>47.4</v>
      </c>
      <c r="E19" s="4"/>
      <c r="F19" s="4"/>
      <c r="G19" s="2">
        <f t="shared" si="0"/>
        <v>0.535</v>
      </c>
      <c r="H19" s="11" t="str">
        <f t="shared" si="1"/>
        <v>3.411E-2</v>
      </c>
      <c r="I19" s="2">
        <f t="shared" si="5"/>
        <v>48</v>
      </c>
      <c r="J19" s="4">
        <f t="shared" si="2"/>
        <v>0.535</v>
      </c>
      <c r="K19" s="9">
        <f t="shared" si="3"/>
        <v>-0.0999999999999612</v>
      </c>
      <c r="L19" s="1">
        <f t="shared" si="4"/>
        <v>-0.999999999999959</v>
      </c>
    </row>
    <row r="20" s="1" customFormat="1" spans="1:12">
      <c r="A20" s="2">
        <v>0.602</v>
      </c>
      <c r="B20" s="10" t="s">
        <v>244</v>
      </c>
      <c r="C20" s="4">
        <v>0.602</v>
      </c>
      <c r="D20" s="5">
        <v>47.5</v>
      </c>
      <c r="E20" s="4"/>
      <c r="F20" s="4"/>
      <c r="G20" s="2">
        <f t="shared" si="0"/>
        <v>0.569</v>
      </c>
      <c r="H20" s="11" t="str">
        <f t="shared" si="1"/>
        <v>3.412E-2</v>
      </c>
      <c r="I20" s="2">
        <f t="shared" si="5"/>
        <v>47.1</v>
      </c>
      <c r="J20" s="4">
        <f t="shared" si="2"/>
        <v>0.569</v>
      </c>
      <c r="K20" s="9">
        <f t="shared" si="3"/>
        <v>0</v>
      </c>
      <c r="L20" s="1">
        <f t="shared" si="4"/>
        <v>-0.999999999999959</v>
      </c>
    </row>
    <row r="21" s="1" customFormat="1" spans="1:12">
      <c r="A21" s="2">
        <v>0.636</v>
      </c>
      <c r="B21" s="10" t="s">
        <v>244</v>
      </c>
      <c r="C21" s="4">
        <v>0.636</v>
      </c>
      <c r="D21" s="5">
        <v>47.1</v>
      </c>
      <c r="E21" s="4"/>
      <c r="F21" s="4"/>
      <c r="G21" s="2">
        <f t="shared" si="0"/>
        <v>0.602</v>
      </c>
      <c r="H21" s="11" t="str">
        <f t="shared" si="1"/>
        <v>3.411E-2</v>
      </c>
      <c r="I21" s="2">
        <f t="shared" si="5"/>
        <v>47.4</v>
      </c>
      <c r="J21" s="4">
        <f t="shared" si="2"/>
        <v>0.602</v>
      </c>
      <c r="K21" s="9">
        <f t="shared" si="3"/>
        <v>-0.0999999999999612</v>
      </c>
      <c r="L21" s="1">
        <f t="shared" si="4"/>
        <v>-0.999999999999959</v>
      </c>
    </row>
    <row r="22" s="1" customFormat="1" spans="1:12">
      <c r="A22" s="2">
        <v>0.669</v>
      </c>
      <c r="B22" s="10" t="s">
        <v>244</v>
      </c>
      <c r="C22" s="4">
        <v>0.669</v>
      </c>
      <c r="D22" s="5">
        <v>47.6</v>
      </c>
      <c r="E22" s="4"/>
      <c r="F22" s="4"/>
      <c r="G22" s="2">
        <f t="shared" si="0"/>
        <v>0.636</v>
      </c>
      <c r="H22" s="11" t="str">
        <f t="shared" si="1"/>
        <v>3.411E-2</v>
      </c>
      <c r="I22" s="2">
        <f t="shared" si="5"/>
        <v>47.5</v>
      </c>
      <c r="J22" s="4">
        <f t="shared" si="2"/>
        <v>0.636</v>
      </c>
      <c r="K22" s="9">
        <f t="shared" si="3"/>
        <v>-0.0999999999999612</v>
      </c>
      <c r="L22" s="1">
        <f t="shared" si="4"/>
        <v>-0.999999999999959</v>
      </c>
    </row>
    <row r="23" s="1" customFormat="1" spans="1:12">
      <c r="A23" s="2">
        <v>0.702</v>
      </c>
      <c r="B23" s="10" t="s">
        <v>117</v>
      </c>
      <c r="C23" s="4">
        <v>0.702</v>
      </c>
      <c r="D23" s="5">
        <v>47.3</v>
      </c>
      <c r="E23" s="4"/>
      <c r="F23" s="4"/>
      <c r="G23" s="2">
        <f t="shared" si="0"/>
        <v>0.669</v>
      </c>
      <c r="H23" s="11" t="str">
        <f t="shared" si="1"/>
        <v>3.411E-2</v>
      </c>
      <c r="I23" s="2">
        <f t="shared" si="5"/>
        <v>47.1</v>
      </c>
      <c r="J23" s="4">
        <f t="shared" si="2"/>
        <v>0.669</v>
      </c>
      <c r="K23" s="9">
        <f t="shared" si="3"/>
        <v>-0.0999999999999612</v>
      </c>
      <c r="L23" s="1">
        <f t="shared" si="4"/>
        <v>-0.999999999999959</v>
      </c>
    </row>
    <row r="24" s="1" customFormat="1" spans="1:12">
      <c r="A24" s="2">
        <v>0.736</v>
      </c>
      <c r="B24" s="10" t="s">
        <v>117</v>
      </c>
      <c r="C24" s="4">
        <v>0.736</v>
      </c>
      <c r="D24" s="5">
        <v>47.2</v>
      </c>
      <c r="E24" s="4"/>
      <c r="F24" s="4"/>
      <c r="G24" s="2">
        <f t="shared" si="0"/>
        <v>0.702</v>
      </c>
      <c r="H24" s="11" t="str">
        <f t="shared" si="1"/>
        <v>3.412E-2</v>
      </c>
      <c r="I24" s="2">
        <f t="shared" si="5"/>
        <v>47.6</v>
      </c>
      <c r="J24" s="4">
        <f t="shared" si="2"/>
        <v>0.702</v>
      </c>
      <c r="K24" s="9">
        <f t="shared" si="3"/>
        <v>0</v>
      </c>
      <c r="L24" s="1">
        <f t="shared" si="4"/>
        <v>-0.999999999999959</v>
      </c>
    </row>
    <row r="25" s="1" customFormat="1" spans="1:12">
      <c r="A25" s="2">
        <v>0.769</v>
      </c>
      <c r="B25" s="10" t="s">
        <v>244</v>
      </c>
      <c r="C25" s="4">
        <v>0.769</v>
      </c>
      <c r="D25" s="5">
        <v>47.4</v>
      </c>
      <c r="E25" s="4"/>
      <c r="F25" s="4"/>
      <c r="G25" s="2">
        <f t="shared" si="0"/>
        <v>0.736</v>
      </c>
      <c r="H25" s="11" t="str">
        <f t="shared" si="1"/>
        <v>3.412E-2</v>
      </c>
      <c r="I25" s="2">
        <f t="shared" si="5"/>
        <v>47.3</v>
      </c>
      <c r="J25" s="4">
        <f t="shared" si="2"/>
        <v>0.736</v>
      </c>
      <c r="K25" s="9">
        <f t="shared" si="3"/>
        <v>0</v>
      </c>
      <c r="L25" s="1">
        <f t="shared" si="4"/>
        <v>-0.999999999999959</v>
      </c>
    </row>
    <row r="26" s="1" customFormat="1" spans="1:12">
      <c r="A26" s="2">
        <v>0.803</v>
      </c>
      <c r="B26" s="10" t="s">
        <v>244</v>
      </c>
      <c r="C26" s="4">
        <v>0.803</v>
      </c>
      <c r="D26" s="5">
        <v>47.7</v>
      </c>
      <c r="E26" s="4"/>
      <c r="F26" s="4"/>
      <c r="G26" s="2">
        <f t="shared" si="0"/>
        <v>0.769</v>
      </c>
      <c r="H26" s="11" t="str">
        <f t="shared" si="1"/>
        <v>3.411E-2</v>
      </c>
      <c r="I26" s="2">
        <f t="shared" si="5"/>
        <v>47.2</v>
      </c>
      <c r="J26" s="4">
        <f t="shared" si="2"/>
        <v>0.769</v>
      </c>
      <c r="K26" s="9">
        <f t="shared" si="3"/>
        <v>-0.0999999999999612</v>
      </c>
      <c r="L26" s="1">
        <f t="shared" si="4"/>
        <v>-0.999999999999959</v>
      </c>
    </row>
    <row r="27" s="1" customFormat="1" spans="1:12">
      <c r="A27" s="2">
        <v>0.836</v>
      </c>
      <c r="B27" s="10" t="s">
        <v>244</v>
      </c>
      <c r="C27" s="4">
        <v>0.836</v>
      </c>
      <c r="D27" s="5">
        <v>47.7</v>
      </c>
      <c r="E27" s="4"/>
      <c r="F27" s="4"/>
      <c r="G27" s="2">
        <f t="shared" si="0"/>
        <v>0.803</v>
      </c>
      <c r="H27" s="11" t="str">
        <f t="shared" si="1"/>
        <v>3.411E-2</v>
      </c>
      <c r="I27" s="2">
        <f t="shared" si="5"/>
        <v>47.4</v>
      </c>
      <c r="J27" s="4">
        <f t="shared" si="2"/>
        <v>0.803</v>
      </c>
      <c r="K27" s="9">
        <f t="shared" si="3"/>
        <v>-0.0999999999999612</v>
      </c>
      <c r="L27" s="1">
        <f t="shared" si="4"/>
        <v>-0.999999999999959</v>
      </c>
    </row>
    <row r="28" s="1" customFormat="1" spans="1:12">
      <c r="A28" s="2">
        <v>0.87</v>
      </c>
      <c r="B28" s="10" t="s">
        <v>244</v>
      </c>
      <c r="C28" s="4">
        <v>0.87</v>
      </c>
      <c r="D28" s="5">
        <v>47.6</v>
      </c>
      <c r="E28" s="4"/>
      <c r="F28" s="4"/>
      <c r="G28" s="2">
        <f t="shared" si="0"/>
        <v>0.836</v>
      </c>
      <c r="H28" s="11" t="str">
        <f t="shared" si="1"/>
        <v>3.411E-2</v>
      </c>
      <c r="I28" s="2">
        <f t="shared" si="5"/>
        <v>47.7</v>
      </c>
      <c r="J28" s="4">
        <f t="shared" si="2"/>
        <v>0.836</v>
      </c>
      <c r="K28" s="9">
        <f t="shared" si="3"/>
        <v>-0.0999999999999612</v>
      </c>
      <c r="L28" s="1">
        <f t="shared" si="4"/>
        <v>-0.999999999999959</v>
      </c>
    </row>
    <row r="29" s="1" customFormat="1" spans="1:12">
      <c r="A29" s="2">
        <v>0.903</v>
      </c>
      <c r="B29" s="10" t="s">
        <v>244</v>
      </c>
      <c r="C29" s="4">
        <v>0.903</v>
      </c>
      <c r="D29" s="5">
        <v>47.9</v>
      </c>
      <c r="E29" s="4"/>
      <c r="F29" s="4"/>
      <c r="G29" s="2">
        <f t="shared" si="0"/>
        <v>0.87</v>
      </c>
      <c r="H29" s="11" t="str">
        <f t="shared" si="1"/>
        <v>3.411E-2</v>
      </c>
      <c r="I29" s="2">
        <f t="shared" si="5"/>
        <v>47.7</v>
      </c>
      <c r="J29" s="4">
        <f t="shared" si="2"/>
        <v>0.87</v>
      </c>
      <c r="K29" s="9">
        <f t="shared" si="3"/>
        <v>-0.0999999999999612</v>
      </c>
      <c r="L29" s="1">
        <f t="shared" si="4"/>
        <v>-0.999999999999959</v>
      </c>
    </row>
    <row r="30" s="1" customFormat="1" spans="1:12">
      <c r="A30" s="2">
        <v>0.937</v>
      </c>
      <c r="B30" s="10" t="s">
        <v>117</v>
      </c>
      <c r="C30" s="4">
        <v>0.937</v>
      </c>
      <c r="D30" s="5">
        <v>47.9</v>
      </c>
      <c r="E30" s="4"/>
      <c r="F30" s="4"/>
      <c r="G30" s="2">
        <f t="shared" si="0"/>
        <v>0.903</v>
      </c>
      <c r="H30" s="11" t="str">
        <f t="shared" si="1"/>
        <v>3.411E-2</v>
      </c>
      <c r="I30" s="2">
        <f t="shared" si="5"/>
        <v>47.6</v>
      </c>
      <c r="J30" s="4">
        <f t="shared" si="2"/>
        <v>0.903</v>
      </c>
      <c r="K30" s="9">
        <f t="shared" si="3"/>
        <v>-0.0999999999999612</v>
      </c>
      <c r="L30" s="1">
        <f t="shared" si="4"/>
        <v>-0.999999999999959</v>
      </c>
    </row>
    <row r="31" s="1" customFormat="1" spans="1:12">
      <c r="A31" s="2">
        <v>0.97</v>
      </c>
      <c r="B31" s="10" t="s">
        <v>244</v>
      </c>
      <c r="C31" s="4">
        <v>0.97</v>
      </c>
      <c r="D31" s="5">
        <v>47.1</v>
      </c>
      <c r="E31" s="4"/>
      <c r="F31" s="4"/>
      <c r="G31" s="2">
        <f t="shared" si="0"/>
        <v>0.937</v>
      </c>
      <c r="H31" s="11" t="str">
        <f t="shared" si="1"/>
        <v>3.412E-2</v>
      </c>
      <c r="I31" s="2">
        <f t="shared" si="5"/>
        <v>47.9</v>
      </c>
      <c r="J31" s="4">
        <f t="shared" si="2"/>
        <v>0.937</v>
      </c>
      <c r="K31" s="9">
        <f t="shared" si="3"/>
        <v>0</v>
      </c>
      <c r="L31" s="1">
        <f t="shared" si="4"/>
        <v>-0.999999999999959</v>
      </c>
    </row>
    <row r="32" s="1" customFormat="1" spans="1:12">
      <c r="A32" s="2">
        <v>1.004</v>
      </c>
      <c r="B32" s="10" t="s">
        <v>117</v>
      </c>
      <c r="C32" s="4">
        <v>1.004</v>
      </c>
      <c r="D32" s="5">
        <v>47.5</v>
      </c>
      <c r="E32" s="4"/>
      <c r="F32" s="4"/>
      <c r="G32" s="2">
        <f t="shared" si="0"/>
        <v>0.97</v>
      </c>
      <c r="H32" s="11" t="str">
        <f t="shared" si="1"/>
        <v>3.411E-2</v>
      </c>
      <c r="I32" s="2">
        <f t="shared" si="5"/>
        <v>47.9</v>
      </c>
      <c r="J32" s="4">
        <f t="shared" si="2"/>
        <v>0.97</v>
      </c>
      <c r="K32" s="9">
        <f t="shared" si="3"/>
        <v>-0.0999999999999612</v>
      </c>
      <c r="L32" s="1">
        <f t="shared" si="4"/>
        <v>-0.999999999999959</v>
      </c>
    </row>
    <row r="33" s="1" customFormat="1" spans="1:12">
      <c r="A33" s="2">
        <v>1.037</v>
      </c>
      <c r="B33" s="10" t="s">
        <v>244</v>
      </c>
      <c r="C33" s="4">
        <v>1.037</v>
      </c>
      <c r="D33" s="5">
        <v>48</v>
      </c>
      <c r="E33" s="4"/>
      <c r="F33" s="4"/>
      <c r="G33" s="2">
        <f t="shared" si="0"/>
        <v>1.004</v>
      </c>
      <c r="H33" s="11" t="str">
        <f t="shared" si="1"/>
        <v>3.412E-2</v>
      </c>
      <c r="I33" s="2">
        <f t="shared" si="5"/>
        <v>47.1</v>
      </c>
      <c r="J33" s="4">
        <f t="shared" si="2"/>
        <v>1.004</v>
      </c>
      <c r="K33" s="9">
        <f t="shared" si="3"/>
        <v>0</v>
      </c>
      <c r="L33" s="1">
        <f t="shared" si="4"/>
        <v>-0.999999999999959</v>
      </c>
    </row>
    <row r="34" s="1" customFormat="1" spans="1:12">
      <c r="A34" s="2">
        <v>1.07</v>
      </c>
      <c r="B34" s="10" t="s">
        <v>117</v>
      </c>
      <c r="C34" s="4">
        <v>1.07</v>
      </c>
      <c r="D34" s="5">
        <v>47.3</v>
      </c>
      <c r="E34" s="4"/>
      <c r="F34" s="4"/>
      <c r="G34" s="2">
        <f t="shared" si="0"/>
        <v>1.037</v>
      </c>
      <c r="H34" s="11" t="str">
        <f t="shared" si="1"/>
        <v>3.411E-2</v>
      </c>
      <c r="I34" s="2">
        <f t="shared" si="5"/>
        <v>47.5</v>
      </c>
      <c r="J34" s="4">
        <f t="shared" si="2"/>
        <v>1.037</v>
      </c>
      <c r="K34" s="9">
        <f t="shared" si="3"/>
        <v>-0.0999999999999612</v>
      </c>
      <c r="L34" s="1">
        <f t="shared" si="4"/>
        <v>-0.999999999999959</v>
      </c>
    </row>
    <row r="35" s="1" customFormat="1" spans="1:12">
      <c r="A35" s="2">
        <v>1.104</v>
      </c>
      <c r="B35" s="10" t="s">
        <v>117</v>
      </c>
      <c r="C35" s="4">
        <v>1.104</v>
      </c>
      <c r="D35" s="5">
        <v>48.1</v>
      </c>
      <c r="E35" s="4"/>
      <c r="F35" s="4"/>
      <c r="G35" s="2">
        <f t="shared" si="0"/>
        <v>1.07</v>
      </c>
      <c r="H35" s="11" t="str">
        <f t="shared" si="1"/>
        <v>3.412E-2</v>
      </c>
      <c r="I35" s="2">
        <f t="shared" si="5"/>
        <v>48</v>
      </c>
      <c r="J35" s="4">
        <f t="shared" si="2"/>
        <v>1.07</v>
      </c>
      <c r="K35" s="9">
        <f t="shared" si="3"/>
        <v>0</v>
      </c>
      <c r="L35" s="1">
        <f t="shared" si="4"/>
        <v>-0.999999999999959</v>
      </c>
    </row>
    <row r="36" s="1" customFormat="1" spans="1:12">
      <c r="A36" s="2">
        <v>1.137</v>
      </c>
      <c r="B36" s="10" t="s">
        <v>57</v>
      </c>
      <c r="C36" s="4">
        <v>1.137</v>
      </c>
      <c r="D36" s="5">
        <v>47.5</v>
      </c>
      <c r="E36" s="4"/>
      <c r="F36" s="4"/>
      <c r="G36" s="2">
        <f t="shared" si="0"/>
        <v>1.104</v>
      </c>
      <c r="H36" s="11" t="str">
        <f t="shared" si="1"/>
        <v>3.412E-2</v>
      </c>
      <c r="I36" s="2">
        <f t="shared" si="5"/>
        <v>47.3</v>
      </c>
      <c r="J36" s="4">
        <f t="shared" si="2"/>
        <v>1.104</v>
      </c>
      <c r="K36" s="9">
        <f t="shared" si="3"/>
        <v>0</v>
      </c>
      <c r="L36" s="1">
        <f t="shared" si="4"/>
        <v>-0.999999999999959</v>
      </c>
    </row>
    <row r="37" s="1" customFormat="1" spans="1:12">
      <c r="A37" s="2">
        <v>1.171</v>
      </c>
      <c r="B37" s="10" t="s">
        <v>117</v>
      </c>
      <c r="C37" s="4">
        <v>1.171</v>
      </c>
      <c r="D37" s="5">
        <v>47.2</v>
      </c>
      <c r="E37" s="4"/>
      <c r="F37" s="4"/>
      <c r="G37" s="2">
        <f t="shared" si="0"/>
        <v>1.137</v>
      </c>
      <c r="H37" s="11" t="str">
        <f t="shared" si="1"/>
        <v>3.413E-2</v>
      </c>
      <c r="I37" s="2">
        <f t="shared" si="5"/>
        <v>48.1</v>
      </c>
      <c r="J37" s="4">
        <f t="shared" si="2"/>
        <v>1.137</v>
      </c>
      <c r="K37" s="9">
        <f t="shared" si="3"/>
        <v>0.100000000000031</v>
      </c>
      <c r="L37" s="1">
        <f t="shared" si="4"/>
        <v>-0.999999999999959</v>
      </c>
    </row>
    <row r="38" s="1" customFormat="1" spans="1:12">
      <c r="A38" s="2">
        <v>1.204</v>
      </c>
      <c r="B38" s="10" t="s">
        <v>82</v>
      </c>
      <c r="C38" s="4">
        <v>1.204</v>
      </c>
      <c r="D38" s="5">
        <v>47.3</v>
      </c>
      <c r="E38" s="4"/>
      <c r="F38" s="4"/>
      <c r="G38" s="2">
        <f t="shared" si="0"/>
        <v>1.171</v>
      </c>
      <c r="H38" s="11" t="str">
        <f t="shared" si="1"/>
        <v>3.412E-2</v>
      </c>
      <c r="I38" s="2">
        <f t="shared" si="5"/>
        <v>47.5</v>
      </c>
      <c r="J38" s="4">
        <f t="shared" si="2"/>
        <v>1.171</v>
      </c>
      <c r="K38" s="9">
        <f t="shared" si="3"/>
        <v>0</v>
      </c>
      <c r="L38" s="1">
        <f t="shared" si="4"/>
        <v>-0.999999999999959</v>
      </c>
    </row>
    <row r="39" s="1" customFormat="1" spans="1:12">
      <c r="A39" s="2">
        <v>1.238</v>
      </c>
      <c r="B39" s="10" t="s">
        <v>57</v>
      </c>
      <c r="C39" s="4">
        <v>1.238</v>
      </c>
      <c r="D39" s="5">
        <v>47.4</v>
      </c>
      <c r="E39" s="4"/>
      <c r="F39" s="4"/>
      <c r="G39" s="2">
        <f t="shared" si="0"/>
        <v>1.204</v>
      </c>
      <c r="H39" s="11" t="str">
        <f t="shared" si="1"/>
        <v>3.414E-2</v>
      </c>
      <c r="I39" s="2">
        <f t="shared" si="5"/>
        <v>47.2</v>
      </c>
      <c r="J39" s="4">
        <f t="shared" si="2"/>
        <v>1.204</v>
      </c>
      <c r="K39" s="9">
        <f t="shared" si="3"/>
        <v>0.199999999999992</v>
      </c>
      <c r="L39" s="1">
        <f t="shared" si="4"/>
        <v>-0.999999999999959</v>
      </c>
    </row>
    <row r="40" s="1" customFormat="1" spans="1:12">
      <c r="A40" s="2">
        <v>1.271</v>
      </c>
      <c r="B40" s="10" t="s">
        <v>117</v>
      </c>
      <c r="C40" s="4">
        <v>1.271</v>
      </c>
      <c r="D40" s="5">
        <v>47.6</v>
      </c>
      <c r="E40" s="4"/>
      <c r="F40" s="4"/>
      <c r="G40" s="2">
        <f t="shared" si="0"/>
        <v>1.238</v>
      </c>
      <c r="H40" s="11" t="str">
        <f t="shared" si="1"/>
        <v>3.413E-2</v>
      </c>
      <c r="I40" s="2">
        <f t="shared" si="5"/>
        <v>47.3</v>
      </c>
      <c r="J40" s="4">
        <f t="shared" si="2"/>
        <v>1.238</v>
      </c>
      <c r="K40" s="9">
        <f t="shared" si="3"/>
        <v>0.100000000000031</v>
      </c>
      <c r="L40" s="1">
        <f t="shared" si="4"/>
        <v>-0.999999999999959</v>
      </c>
    </row>
    <row r="41" s="1" customFormat="1" spans="1:12">
      <c r="A41" s="2">
        <v>1.305</v>
      </c>
      <c r="B41" s="10" t="s">
        <v>57</v>
      </c>
      <c r="C41" s="4">
        <v>1.305</v>
      </c>
      <c r="D41" s="5">
        <v>47.6</v>
      </c>
      <c r="E41" s="4"/>
      <c r="F41" s="4"/>
      <c r="G41" s="2">
        <f t="shared" si="0"/>
        <v>1.271</v>
      </c>
      <c r="H41" s="11" t="str">
        <f t="shared" si="1"/>
        <v>3.412E-2</v>
      </c>
      <c r="I41" s="2">
        <f t="shared" si="5"/>
        <v>47.4</v>
      </c>
      <c r="J41" s="4">
        <f t="shared" si="2"/>
        <v>1.271</v>
      </c>
      <c r="K41" s="9">
        <f t="shared" si="3"/>
        <v>0</v>
      </c>
      <c r="L41" s="1">
        <f t="shared" si="4"/>
        <v>-0.999999999999959</v>
      </c>
    </row>
    <row r="42" s="1" customFormat="1" spans="1:12">
      <c r="A42" s="2">
        <v>1.338</v>
      </c>
      <c r="B42" s="10" t="s">
        <v>57</v>
      </c>
      <c r="C42" s="4">
        <v>1.338</v>
      </c>
      <c r="D42" s="5">
        <v>47.4</v>
      </c>
      <c r="E42" s="4"/>
      <c r="F42" s="4"/>
      <c r="G42" s="2">
        <f t="shared" si="0"/>
        <v>1.305</v>
      </c>
      <c r="H42" s="11" t="str">
        <f t="shared" si="1"/>
        <v>3.413E-2</v>
      </c>
      <c r="I42" s="2">
        <f t="shared" si="5"/>
        <v>47.6</v>
      </c>
      <c r="J42" s="4">
        <f t="shared" si="2"/>
        <v>1.305</v>
      </c>
      <c r="K42" s="9">
        <f t="shared" si="3"/>
        <v>0.100000000000031</v>
      </c>
      <c r="L42" s="1">
        <f t="shared" si="4"/>
        <v>-0.999999999999959</v>
      </c>
    </row>
    <row r="43" s="1" customFormat="1" spans="1:12">
      <c r="A43" s="2">
        <v>1.371</v>
      </c>
      <c r="B43" s="10" t="s">
        <v>57</v>
      </c>
      <c r="C43" s="4">
        <v>1.371</v>
      </c>
      <c r="D43" s="5">
        <v>47.4</v>
      </c>
      <c r="E43" s="4"/>
      <c r="F43" s="4"/>
      <c r="G43" s="2">
        <f t="shared" si="0"/>
        <v>1.338</v>
      </c>
      <c r="H43" s="11" t="str">
        <f t="shared" si="1"/>
        <v>3.413E-2</v>
      </c>
      <c r="I43" s="2">
        <f t="shared" si="5"/>
        <v>47.6</v>
      </c>
      <c r="J43" s="4">
        <f t="shared" si="2"/>
        <v>1.338</v>
      </c>
      <c r="K43" s="9">
        <f t="shared" si="3"/>
        <v>0.100000000000031</v>
      </c>
      <c r="L43" s="1">
        <f t="shared" si="4"/>
        <v>-0.999999999999959</v>
      </c>
    </row>
    <row r="44" s="1" customFormat="1" spans="1:12">
      <c r="A44" s="2">
        <v>1.405</v>
      </c>
      <c r="B44" s="10" t="s">
        <v>57</v>
      </c>
      <c r="C44" s="4">
        <v>1.405</v>
      </c>
      <c r="D44" s="5">
        <v>47.5</v>
      </c>
      <c r="E44" s="4"/>
      <c r="F44" s="4"/>
      <c r="G44" s="2">
        <f t="shared" si="0"/>
        <v>1.371</v>
      </c>
      <c r="H44" s="11" t="str">
        <f t="shared" si="1"/>
        <v>3.413E-2</v>
      </c>
      <c r="I44" s="2">
        <f t="shared" si="5"/>
        <v>47.4</v>
      </c>
      <c r="J44" s="4">
        <f t="shared" si="2"/>
        <v>1.371</v>
      </c>
      <c r="K44" s="9">
        <f t="shared" si="3"/>
        <v>0.100000000000031</v>
      </c>
      <c r="L44" s="1">
        <f t="shared" si="4"/>
        <v>-0.999999999999959</v>
      </c>
    </row>
    <row r="45" s="1" customFormat="1" spans="1:12">
      <c r="A45" s="2">
        <v>1.438</v>
      </c>
      <c r="B45" s="10" t="s">
        <v>57</v>
      </c>
      <c r="C45" s="4">
        <v>1.438</v>
      </c>
      <c r="D45" s="5">
        <v>47.4</v>
      </c>
      <c r="E45" s="4"/>
      <c r="F45" s="4"/>
      <c r="G45" s="2">
        <f t="shared" si="0"/>
        <v>1.405</v>
      </c>
      <c r="H45" s="11" t="str">
        <f t="shared" si="1"/>
        <v>3.413E-2</v>
      </c>
      <c r="I45" s="2">
        <f t="shared" si="5"/>
        <v>47.4</v>
      </c>
      <c r="J45" s="4">
        <f t="shared" si="2"/>
        <v>1.405</v>
      </c>
      <c r="K45" s="9">
        <f t="shared" si="3"/>
        <v>0.100000000000031</v>
      </c>
      <c r="L45" s="1">
        <f t="shared" si="4"/>
        <v>-0.999999999999959</v>
      </c>
    </row>
    <row r="46" s="1" customFormat="1" spans="1:12">
      <c r="A46" s="2">
        <v>1.472</v>
      </c>
      <c r="B46" s="10" t="s">
        <v>117</v>
      </c>
      <c r="C46" s="4">
        <v>1.472</v>
      </c>
      <c r="D46" s="5">
        <v>47.7</v>
      </c>
      <c r="E46" s="4"/>
      <c r="F46" s="4"/>
      <c r="G46" s="2">
        <f t="shared" si="0"/>
        <v>1.438</v>
      </c>
      <c r="H46" s="11" t="str">
        <f t="shared" si="1"/>
        <v>3.413E-2</v>
      </c>
      <c r="I46" s="2">
        <f t="shared" si="5"/>
        <v>47.5</v>
      </c>
      <c r="J46" s="4">
        <f t="shared" si="2"/>
        <v>1.438</v>
      </c>
      <c r="K46" s="9">
        <f t="shared" si="3"/>
        <v>0.100000000000031</v>
      </c>
      <c r="L46" s="1">
        <f t="shared" si="4"/>
        <v>-0.999999999999959</v>
      </c>
    </row>
    <row r="47" s="1" customFormat="1" spans="1:12">
      <c r="A47" s="2">
        <v>1.505</v>
      </c>
      <c r="B47" s="10" t="s">
        <v>57</v>
      </c>
      <c r="C47" s="4">
        <v>1.505</v>
      </c>
      <c r="D47" s="5">
        <v>46.9</v>
      </c>
      <c r="E47" s="4"/>
      <c r="F47" s="4"/>
      <c r="G47" s="2">
        <f t="shared" si="0"/>
        <v>1.472</v>
      </c>
      <c r="H47" s="11" t="str">
        <f t="shared" si="1"/>
        <v>3.412E-2</v>
      </c>
      <c r="I47" s="2">
        <f t="shared" si="5"/>
        <v>47.4</v>
      </c>
      <c r="J47" s="4">
        <f t="shared" si="2"/>
        <v>1.472</v>
      </c>
      <c r="K47" s="9">
        <f t="shared" si="3"/>
        <v>0</v>
      </c>
      <c r="L47" s="1">
        <f t="shared" si="4"/>
        <v>-0.999999999999959</v>
      </c>
    </row>
    <row r="48" s="1" customFormat="1" spans="1:12">
      <c r="A48" s="2">
        <v>1.539</v>
      </c>
      <c r="B48" s="10" t="s">
        <v>57</v>
      </c>
      <c r="C48" s="4">
        <v>1.539</v>
      </c>
      <c r="D48" s="5">
        <v>47.9</v>
      </c>
      <c r="E48" s="4"/>
      <c r="F48" s="4"/>
      <c r="G48" s="2">
        <f t="shared" si="0"/>
        <v>1.505</v>
      </c>
      <c r="H48" s="11" t="str">
        <f t="shared" si="1"/>
        <v>3.413E-2</v>
      </c>
      <c r="I48" s="2">
        <f t="shared" si="5"/>
        <v>47.7</v>
      </c>
      <c r="J48" s="4">
        <f t="shared" si="2"/>
        <v>1.505</v>
      </c>
      <c r="K48" s="9">
        <f t="shared" si="3"/>
        <v>0.100000000000031</v>
      </c>
      <c r="L48" s="1">
        <f t="shared" si="4"/>
        <v>-0.999999999999959</v>
      </c>
    </row>
    <row r="49" s="1" customFormat="1" spans="1:12">
      <c r="A49" s="2">
        <v>1.572</v>
      </c>
      <c r="B49" s="10" t="s">
        <v>57</v>
      </c>
      <c r="C49" s="4">
        <v>1.572</v>
      </c>
      <c r="D49" s="5">
        <v>47.4</v>
      </c>
      <c r="E49" s="4"/>
      <c r="F49" s="4"/>
      <c r="G49" s="2">
        <f t="shared" si="0"/>
        <v>1.539</v>
      </c>
      <c r="H49" s="11" t="str">
        <f t="shared" si="1"/>
        <v>3.413E-2</v>
      </c>
      <c r="I49" s="2">
        <f t="shared" si="5"/>
        <v>46.9</v>
      </c>
      <c r="J49" s="4">
        <f t="shared" si="2"/>
        <v>1.539</v>
      </c>
      <c r="K49" s="9">
        <f t="shared" si="3"/>
        <v>0.100000000000031</v>
      </c>
      <c r="L49" s="1">
        <f t="shared" si="4"/>
        <v>-0.999999999999959</v>
      </c>
    </row>
    <row r="50" s="1" customFormat="1" spans="1:12">
      <c r="A50" s="2">
        <v>1.606</v>
      </c>
      <c r="B50" s="10" t="s">
        <v>57</v>
      </c>
      <c r="C50" s="4">
        <v>1.606</v>
      </c>
      <c r="D50" s="5">
        <v>47.5</v>
      </c>
      <c r="E50" s="4"/>
      <c r="F50" s="4"/>
      <c r="G50" s="2">
        <f t="shared" si="0"/>
        <v>1.572</v>
      </c>
      <c r="H50" s="11" t="str">
        <f t="shared" si="1"/>
        <v>3.413E-2</v>
      </c>
      <c r="I50" s="2">
        <f t="shared" si="5"/>
        <v>47.9</v>
      </c>
      <c r="J50" s="4">
        <f t="shared" si="2"/>
        <v>1.572</v>
      </c>
      <c r="K50" s="9">
        <f t="shared" si="3"/>
        <v>0.100000000000031</v>
      </c>
      <c r="L50" s="1">
        <f t="shared" si="4"/>
        <v>-0.999999999999959</v>
      </c>
    </row>
    <row r="51" s="1" customFormat="1" spans="1:12">
      <c r="A51" s="2">
        <v>1.639</v>
      </c>
      <c r="B51" s="10" t="s">
        <v>117</v>
      </c>
      <c r="C51" s="4">
        <v>1.639</v>
      </c>
      <c r="D51" s="5">
        <v>47.4</v>
      </c>
      <c r="E51" s="4"/>
      <c r="F51" s="4"/>
      <c r="G51" s="2">
        <f t="shared" si="0"/>
        <v>1.606</v>
      </c>
      <c r="H51" s="11" t="str">
        <f t="shared" si="1"/>
        <v>3.413E-2</v>
      </c>
      <c r="I51" s="2">
        <f t="shared" si="5"/>
        <v>47.4</v>
      </c>
      <c r="J51" s="4">
        <f t="shared" si="2"/>
        <v>1.606</v>
      </c>
      <c r="K51" s="9">
        <f t="shared" si="3"/>
        <v>0.100000000000031</v>
      </c>
      <c r="L51" s="1">
        <f t="shared" si="4"/>
        <v>-0.999999999999959</v>
      </c>
    </row>
    <row r="52" s="1" customFormat="1" spans="1:12">
      <c r="A52" s="2">
        <v>1.673</v>
      </c>
      <c r="B52" s="10" t="s">
        <v>244</v>
      </c>
      <c r="C52" s="4">
        <v>1.673</v>
      </c>
      <c r="D52" s="5">
        <v>47.8</v>
      </c>
      <c r="E52" s="4"/>
      <c r="F52" s="4"/>
      <c r="G52" s="2">
        <f t="shared" si="0"/>
        <v>1.639</v>
      </c>
      <c r="H52" s="11" t="str">
        <f t="shared" si="1"/>
        <v>3.412E-2</v>
      </c>
      <c r="I52" s="2">
        <f t="shared" si="5"/>
        <v>47.5</v>
      </c>
      <c r="J52" s="4">
        <f t="shared" si="2"/>
        <v>1.639</v>
      </c>
      <c r="K52" s="9">
        <f t="shared" si="3"/>
        <v>0</v>
      </c>
      <c r="L52" s="1">
        <f t="shared" si="4"/>
        <v>-0.999999999999959</v>
      </c>
    </row>
    <row r="53" s="1" customFormat="1" spans="1:12">
      <c r="A53" s="2">
        <v>1.706</v>
      </c>
      <c r="B53" s="10" t="s">
        <v>57</v>
      </c>
      <c r="C53" s="4">
        <v>1.706</v>
      </c>
      <c r="D53" s="5">
        <v>47.6</v>
      </c>
      <c r="E53" s="4"/>
      <c r="F53" s="4"/>
      <c r="G53" s="2">
        <f t="shared" si="0"/>
        <v>1.673</v>
      </c>
      <c r="H53" s="11" t="str">
        <f t="shared" si="1"/>
        <v>3.411E-2</v>
      </c>
      <c r="I53" s="2">
        <f t="shared" si="5"/>
        <v>47.4</v>
      </c>
      <c r="J53" s="4">
        <f t="shared" si="2"/>
        <v>1.673</v>
      </c>
      <c r="K53" s="9">
        <f t="shared" si="3"/>
        <v>-0.0999999999999612</v>
      </c>
      <c r="L53" s="1">
        <f t="shared" si="4"/>
        <v>-0.999999999999959</v>
      </c>
    </row>
    <row r="54" s="1" customFormat="1" spans="1:12">
      <c r="A54" s="2">
        <v>1.739</v>
      </c>
      <c r="B54" s="10" t="s">
        <v>57</v>
      </c>
      <c r="C54" s="4">
        <v>1.739</v>
      </c>
      <c r="D54" s="5">
        <v>47.5</v>
      </c>
      <c r="E54" s="4"/>
      <c r="F54" s="4"/>
      <c r="G54" s="2">
        <f t="shared" si="0"/>
        <v>1.706</v>
      </c>
      <c r="H54" s="11" t="str">
        <f t="shared" si="1"/>
        <v>3.413E-2</v>
      </c>
      <c r="I54" s="2">
        <f t="shared" si="5"/>
        <v>47.8</v>
      </c>
      <c r="J54" s="4">
        <f t="shared" si="2"/>
        <v>1.706</v>
      </c>
      <c r="K54" s="9">
        <f t="shared" si="3"/>
        <v>0.100000000000031</v>
      </c>
      <c r="L54" s="1">
        <f t="shared" si="4"/>
        <v>-0.999999999999959</v>
      </c>
    </row>
    <row r="55" s="1" customFormat="1" spans="1:12">
      <c r="A55" s="2">
        <v>1.773</v>
      </c>
      <c r="B55" s="10" t="s">
        <v>117</v>
      </c>
      <c r="C55" s="4">
        <v>1.773</v>
      </c>
      <c r="D55" s="5">
        <v>47.8</v>
      </c>
      <c r="E55" s="4"/>
      <c r="F55" s="4"/>
      <c r="G55" s="2">
        <f t="shared" si="0"/>
        <v>1.739</v>
      </c>
      <c r="H55" s="11" t="str">
        <f t="shared" si="1"/>
        <v>3.413E-2</v>
      </c>
      <c r="I55" s="2">
        <f t="shared" si="5"/>
        <v>47.6</v>
      </c>
      <c r="J55" s="4">
        <f t="shared" si="2"/>
        <v>1.739</v>
      </c>
      <c r="K55" s="9">
        <f t="shared" si="3"/>
        <v>0.100000000000031</v>
      </c>
      <c r="L55" s="1">
        <f t="shared" si="4"/>
        <v>-0.999999999999959</v>
      </c>
    </row>
    <row r="56" s="1" customFormat="1" spans="1:12">
      <c r="A56" s="2">
        <v>1.806</v>
      </c>
      <c r="B56" s="10" t="s">
        <v>117</v>
      </c>
      <c r="C56" s="4">
        <v>1.806</v>
      </c>
      <c r="D56" s="5">
        <v>47.5</v>
      </c>
      <c r="E56" s="4"/>
      <c r="F56" s="4"/>
      <c r="G56" s="2">
        <f t="shared" si="0"/>
        <v>1.773</v>
      </c>
      <c r="H56" s="11" t="str">
        <f t="shared" si="1"/>
        <v>3.412E-2</v>
      </c>
      <c r="I56" s="2">
        <f t="shared" si="5"/>
        <v>47.5</v>
      </c>
      <c r="J56" s="4">
        <f t="shared" si="2"/>
        <v>1.773</v>
      </c>
      <c r="K56" s="9">
        <f t="shared" si="3"/>
        <v>0</v>
      </c>
      <c r="L56" s="1">
        <f t="shared" si="4"/>
        <v>-0.999999999999959</v>
      </c>
    </row>
    <row r="57" s="1" customFormat="1" spans="1:12">
      <c r="A57" s="2">
        <v>1.84</v>
      </c>
      <c r="B57" s="10" t="s">
        <v>117</v>
      </c>
      <c r="C57" s="4">
        <v>1.84</v>
      </c>
      <c r="D57" s="5">
        <v>47.2</v>
      </c>
      <c r="E57" s="4"/>
      <c r="F57" s="4"/>
      <c r="G57" s="2">
        <f t="shared" si="0"/>
        <v>1.806</v>
      </c>
      <c r="H57" s="11" t="str">
        <f t="shared" si="1"/>
        <v>3.412E-2</v>
      </c>
      <c r="I57" s="2">
        <f t="shared" si="5"/>
        <v>47.8</v>
      </c>
      <c r="J57" s="4">
        <f t="shared" si="2"/>
        <v>1.806</v>
      </c>
      <c r="K57" s="9">
        <f t="shared" si="3"/>
        <v>0</v>
      </c>
      <c r="L57" s="1">
        <f t="shared" si="4"/>
        <v>-0.999999999999959</v>
      </c>
    </row>
    <row r="58" s="1" customFormat="1" spans="1:12">
      <c r="A58" s="2">
        <v>1.873</v>
      </c>
      <c r="B58" s="10" t="s">
        <v>244</v>
      </c>
      <c r="C58" s="4">
        <v>1.873</v>
      </c>
      <c r="D58" s="5">
        <v>47.1</v>
      </c>
      <c r="E58" s="4"/>
      <c r="F58" s="4"/>
      <c r="G58" s="2">
        <f t="shared" si="0"/>
        <v>1.84</v>
      </c>
      <c r="H58" s="11" t="str">
        <f t="shared" si="1"/>
        <v>3.412E-2</v>
      </c>
      <c r="I58" s="2">
        <f t="shared" si="5"/>
        <v>47.5</v>
      </c>
      <c r="J58" s="4">
        <f t="shared" si="2"/>
        <v>1.84</v>
      </c>
      <c r="K58" s="9">
        <f t="shared" si="3"/>
        <v>0</v>
      </c>
      <c r="L58" s="1">
        <f t="shared" si="4"/>
        <v>-0.999999999999959</v>
      </c>
    </row>
    <row r="59" s="1" customFormat="1" spans="1:12">
      <c r="A59" s="2">
        <v>1.907</v>
      </c>
      <c r="B59" s="10" t="s">
        <v>244</v>
      </c>
      <c r="C59" s="4">
        <v>1.907</v>
      </c>
      <c r="D59" s="5">
        <v>48.2</v>
      </c>
      <c r="E59" s="4"/>
      <c r="F59" s="4"/>
      <c r="G59" s="2">
        <f t="shared" si="0"/>
        <v>1.873</v>
      </c>
      <c r="H59" s="11" t="str">
        <f t="shared" si="1"/>
        <v>3.411E-2</v>
      </c>
      <c r="I59" s="2">
        <f t="shared" si="5"/>
        <v>47.2</v>
      </c>
      <c r="J59" s="4">
        <f t="shared" si="2"/>
        <v>1.873</v>
      </c>
      <c r="K59" s="9">
        <f t="shared" si="3"/>
        <v>-0.0999999999999612</v>
      </c>
      <c r="L59" s="1">
        <f t="shared" si="4"/>
        <v>-0.999999999999959</v>
      </c>
    </row>
    <row r="60" s="1" customFormat="1" spans="1:12">
      <c r="A60" s="2">
        <v>1.94</v>
      </c>
      <c r="B60" s="10" t="s">
        <v>244</v>
      </c>
      <c r="C60" s="4">
        <v>1.94</v>
      </c>
      <c r="D60" s="5">
        <v>47.2</v>
      </c>
      <c r="E60" s="4"/>
      <c r="F60" s="4"/>
      <c r="G60" s="2">
        <f t="shared" si="0"/>
        <v>1.907</v>
      </c>
      <c r="H60" s="11" t="str">
        <f t="shared" si="1"/>
        <v>3.411E-2</v>
      </c>
      <c r="I60" s="2">
        <f t="shared" si="5"/>
        <v>47.1</v>
      </c>
      <c r="J60" s="4">
        <f t="shared" si="2"/>
        <v>1.907</v>
      </c>
      <c r="K60" s="9">
        <f t="shared" si="3"/>
        <v>-0.0999999999999612</v>
      </c>
      <c r="L60" s="1">
        <f t="shared" si="4"/>
        <v>-0.999999999999959</v>
      </c>
    </row>
    <row r="61" s="1" customFormat="1" spans="1:12">
      <c r="A61" s="2">
        <v>1.974</v>
      </c>
      <c r="B61" s="10" t="s">
        <v>244</v>
      </c>
      <c r="C61" s="4">
        <v>1.974</v>
      </c>
      <c r="D61" s="5">
        <v>47.3</v>
      </c>
      <c r="E61" s="4"/>
      <c r="F61" s="4"/>
      <c r="G61" s="2">
        <f t="shared" si="0"/>
        <v>1.94</v>
      </c>
      <c r="H61" s="11" t="str">
        <f t="shared" si="1"/>
        <v>3.411E-2</v>
      </c>
      <c r="I61" s="2">
        <f t="shared" si="5"/>
        <v>48.2</v>
      </c>
      <c r="J61" s="4">
        <f t="shared" si="2"/>
        <v>1.94</v>
      </c>
      <c r="K61" s="9">
        <f t="shared" si="3"/>
        <v>-0.0999999999999612</v>
      </c>
      <c r="L61" s="1">
        <f t="shared" si="4"/>
        <v>-0.999999999999959</v>
      </c>
    </row>
    <row r="62" s="1" customFormat="1" spans="1:12">
      <c r="A62" s="2">
        <v>2.007</v>
      </c>
      <c r="B62" s="10" t="s">
        <v>244</v>
      </c>
      <c r="C62" s="4">
        <v>2.007</v>
      </c>
      <c r="D62" s="5">
        <v>48</v>
      </c>
      <c r="E62" s="4"/>
      <c r="F62" s="4"/>
      <c r="G62" s="2">
        <f t="shared" si="0"/>
        <v>1.974</v>
      </c>
      <c r="H62" s="11" t="str">
        <f t="shared" si="1"/>
        <v>3.411E-2</v>
      </c>
      <c r="I62" s="2">
        <f t="shared" si="5"/>
        <v>47.2</v>
      </c>
      <c r="J62" s="4">
        <f t="shared" si="2"/>
        <v>1.974</v>
      </c>
      <c r="K62" s="9">
        <f t="shared" si="3"/>
        <v>-0.0999999999999612</v>
      </c>
      <c r="L62" s="1">
        <f t="shared" si="4"/>
        <v>-0.999999999999959</v>
      </c>
    </row>
    <row r="63" s="1" customFormat="1" spans="1:12">
      <c r="A63" s="2">
        <v>2.04</v>
      </c>
      <c r="B63" s="10" t="s">
        <v>244</v>
      </c>
      <c r="C63" s="4">
        <v>2.04</v>
      </c>
      <c r="D63" s="5">
        <v>47.7</v>
      </c>
      <c r="E63" s="4"/>
      <c r="F63" s="4"/>
      <c r="G63" s="2">
        <f t="shared" si="0"/>
        <v>2.007</v>
      </c>
      <c r="H63" s="11" t="str">
        <f t="shared" si="1"/>
        <v>3.411E-2</v>
      </c>
      <c r="I63" s="2">
        <f t="shared" si="5"/>
        <v>47.3</v>
      </c>
      <c r="J63" s="4">
        <f t="shared" si="2"/>
        <v>2.007</v>
      </c>
      <c r="K63" s="9">
        <f t="shared" si="3"/>
        <v>-0.0999999999999612</v>
      </c>
      <c r="L63" s="1">
        <f t="shared" si="4"/>
        <v>-0.999999999999959</v>
      </c>
    </row>
    <row r="64" s="1" customFormat="1" spans="1:12">
      <c r="A64" s="2">
        <v>2.074</v>
      </c>
      <c r="B64" s="10" t="s">
        <v>117</v>
      </c>
      <c r="C64" s="4">
        <v>2.074</v>
      </c>
      <c r="D64" s="5">
        <v>47.5</v>
      </c>
      <c r="E64" s="4"/>
      <c r="F64" s="4"/>
      <c r="G64" s="2">
        <f t="shared" si="0"/>
        <v>2.04</v>
      </c>
      <c r="H64" s="11" t="str">
        <f t="shared" si="1"/>
        <v>3.411E-2</v>
      </c>
      <c r="I64" s="2">
        <f t="shared" si="5"/>
        <v>48</v>
      </c>
      <c r="J64" s="4">
        <f t="shared" si="2"/>
        <v>2.04</v>
      </c>
      <c r="K64" s="9">
        <f t="shared" si="3"/>
        <v>-0.0999999999999612</v>
      </c>
      <c r="L64" s="1">
        <f t="shared" si="4"/>
        <v>-0.999999999999959</v>
      </c>
    </row>
    <row r="65" s="1" customFormat="1" spans="1:12">
      <c r="A65" s="2">
        <v>2.107</v>
      </c>
      <c r="B65" s="10" t="s">
        <v>244</v>
      </c>
      <c r="C65" s="4">
        <v>2.107</v>
      </c>
      <c r="D65" s="5">
        <v>47.7</v>
      </c>
      <c r="E65" s="4"/>
      <c r="F65" s="4"/>
      <c r="G65" s="2">
        <f t="shared" si="0"/>
        <v>2.074</v>
      </c>
      <c r="H65" s="11" t="str">
        <f t="shared" si="1"/>
        <v>3.412E-2</v>
      </c>
      <c r="I65" s="2">
        <f t="shared" si="5"/>
        <v>47.7</v>
      </c>
      <c r="J65" s="4">
        <f t="shared" si="2"/>
        <v>2.074</v>
      </c>
      <c r="K65" s="9">
        <f t="shared" si="3"/>
        <v>0</v>
      </c>
      <c r="L65" s="1">
        <f t="shared" si="4"/>
        <v>-0.999999999999959</v>
      </c>
    </row>
    <row r="66" s="1" customFormat="1" spans="1:12">
      <c r="A66" s="2">
        <v>2.141</v>
      </c>
      <c r="B66" s="10" t="s">
        <v>117</v>
      </c>
      <c r="C66" s="4">
        <v>2.141</v>
      </c>
      <c r="D66" s="5">
        <v>47.4</v>
      </c>
      <c r="E66" s="4"/>
      <c r="F66" s="4"/>
      <c r="G66" s="2">
        <f t="shared" si="0"/>
        <v>2.107</v>
      </c>
      <c r="H66" s="11" t="str">
        <f t="shared" si="1"/>
        <v>3.411E-2</v>
      </c>
      <c r="I66" s="2">
        <f t="shared" si="5"/>
        <v>47.5</v>
      </c>
      <c r="J66" s="4">
        <f t="shared" si="2"/>
        <v>2.107</v>
      </c>
      <c r="K66" s="9">
        <f t="shared" si="3"/>
        <v>-0.0999999999999612</v>
      </c>
      <c r="L66" s="1">
        <f t="shared" si="4"/>
        <v>-0.999999999999959</v>
      </c>
    </row>
    <row r="67" s="1" customFormat="1" spans="1:12">
      <c r="A67" s="2">
        <v>2.174</v>
      </c>
      <c r="B67" s="10" t="s">
        <v>244</v>
      </c>
      <c r="C67" s="4">
        <v>2.174</v>
      </c>
      <c r="D67" s="5">
        <v>47.1</v>
      </c>
      <c r="E67" s="4"/>
      <c r="F67" s="4"/>
      <c r="G67" s="2">
        <f t="shared" si="0"/>
        <v>2.141</v>
      </c>
      <c r="H67" s="11" t="str">
        <f t="shared" si="1"/>
        <v>3.412E-2</v>
      </c>
      <c r="I67" s="2">
        <f t="shared" si="5"/>
        <v>47.7</v>
      </c>
      <c r="J67" s="4">
        <f t="shared" si="2"/>
        <v>2.141</v>
      </c>
      <c r="K67" s="9">
        <f t="shared" si="3"/>
        <v>0</v>
      </c>
      <c r="L67" s="1">
        <f t="shared" si="4"/>
        <v>-0.999999999999959</v>
      </c>
    </row>
    <row r="68" s="1" customFormat="1" spans="1:12">
      <c r="A68" s="2">
        <v>2.208</v>
      </c>
      <c r="B68" s="10" t="s">
        <v>117</v>
      </c>
      <c r="C68" s="4">
        <v>2.208</v>
      </c>
      <c r="D68" s="5">
        <v>47.4</v>
      </c>
      <c r="E68" s="4"/>
      <c r="F68" s="4"/>
      <c r="G68" s="2">
        <f t="shared" ref="G68:G131" si="6">A67</f>
        <v>2.174</v>
      </c>
      <c r="H68" s="11" t="str">
        <f t="shared" ref="H68:H131" si="7">B67</f>
        <v>3.411E-2</v>
      </c>
      <c r="I68" s="2">
        <f t="shared" ref="I68:I131" si="8">D66</f>
        <v>47.4</v>
      </c>
      <c r="J68" s="4">
        <f t="shared" ref="J68:J131" si="9">G68</f>
        <v>2.174</v>
      </c>
      <c r="K68" s="9">
        <f t="shared" ref="K68:K131" si="10">(H68-$H$4)*10000</f>
        <v>-0.0999999999999612</v>
      </c>
      <c r="L68" s="1">
        <f t="shared" ref="L68:L131" si="11">IF(I68&lt;230,MIN(K:K),MAX(K:K))</f>
        <v>-0.999999999999959</v>
      </c>
    </row>
    <row r="69" s="1" customFormat="1" spans="1:12">
      <c r="A69" s="2">
        <v>2.241</v>
      </c>
      <c r="B69" s="10" t="s">
        <v>117</v>
      </c>
      <c r="C69" s="4">
        <v>2.241</v>
      </c>
      <c r="D69" s="5">
        <v>47.3</v>
      </c>
      <c r="E69" s="4"/>
      <c r="F69" s="4"/>
      <c r="G69" s="2">
        <f t="shared" si="6"/>
        <v>2.208</v>
      </c>
      <c r="H69" s="11" t="str">
        <f t="shared" si="7"/>
        <v>3.412E-2</v>
      </c>
      <c r="I69" s="2">
        <f t="shared" si="8"/>
        <v>47.1</v>
      </c>
      <c r="J69" s="4">
        <f t="shared" si="9"/>
        <v>2.208</v>
      </c>
      <c r="K69" s="9">
        <f t="shared" si="10"/>
        <v>0</v>
      </c>
      <c r="L69" s="1">
        <f t="shared" si="11"/>
        <v>-0.999999999999959</v>
      </c>
    </row>
    <row r="70" s="1" customFormat="1" spans="1:12">
      <c r="A70" s="2">
        <v>2.275</v>
      </c>
      <c r="B70" s="10" t="s">
        <v>57</v>
      </c>
      <c r="C70" s="4">
        <v>2.275</v>
      </c>
      <c r="D70" s="5">
        <v>47.6</v>
      </c>
      <c r="E70" s="4"/>
      <c r="F70" s="4"/>
      <c r="G70" s="2">
        <f t="shared" si="6"/>
        <v>2.241</v>
      </c>
      <c r="H70" s="11" t="str">
        <f t="shared" si="7"/>
        <v>3.412E-2</v>
      </c>
      <c r="I70" s="2">
        <f t="shared" si="8"/>
        <v>47.4</v>
      </c>
      <c r="J70" s="4">
        <f t="shared" si="9"/>
        <v>2.241</v>
      </c>
      <c r="K70" s="9">
        <f t="shared" si="10"/>
        <v>0</v>
      </c>
      <c r="L70" s="1">
        <f t="shared" si="11"/>
        <v>-0.999999999999959</v>
      </c>
    </row>
    <row r="71" s="1" customFormat="1" spans="1:12">
      <c r="A71" s="2">
        <v>2.308</v>
      </c>
      <c r="B71" s="10" t="s">
        <v>244</v>
      </c>
      <c r="C71" s="4">
        <v>2.308</v>
      </c>
      <c r="D71" s="5">
        <v>47.4</v>
      </c>
      <c r="E71" s="4"/>
      <c r="F71" s="4"/>
      <c r="G71" s="2">
        <f t="shared" si="6"/>
        <v>2.275</v>
      </c>
      <c r="H71" s="11" t="str">
        <f t="shared" si="7"/>
        <v>3.413E-2</v>
      </c>
      <c r="I71" s="2">
        <f t="shared" si="8"/>
        <v>47.3</v>
      </c>
      <c r="J71" s="4">
        <f t="shared" si="9"/>
        <v>2.275</v>
      </c>
      <c r="K71" s="9">
        <f t="shared" si="10"/>
        <v>0.100000000000031</v>
      </c>
      <c r="L71" s="1">
        <f t="shared" si="11"/>
        <v>-0.999999999999959</v>
      </c>
    </row>
    <row r="72" s="1" customFormat="1" spans="1:12">
      <c r="A72" s="2">
        <v>2.342</v>
      </c>
      <c r="B72" s="10" t="s">
        <v>117</v>
      </c>
      <c r="C72" s="4">
        <v>2.342</v>
      </c>
      <c r="D72" s="5">
        <v>47.5</v>
      </c>
      <c r="E72" s="4"/>
      <c r="F72" s="4"/>
      <c r="G72" s="2">
        <f t="shared" si="6"/>
        <v>2.308</v>
      </c>
      <c r="H72" s="11" t="str">
        <f t="shared" si="7"/>
        <v>3.411E-2</v>
      </c>
      <c r="I72" s="2">
        <f t="shared" si="8"/>
        <v>47.6</v>
      </c>
      <c r="J72" s="4">
        <f t="shared" si="9"/>
        <v>2.308</v>
      </c>
      <c r="K72" s="9">
        <f t="shared" si="10"/>
        <v>-0.0999999999999612</v>
      </c>
      <c r="L72" s="1">
        <f t="shared" si="11"/>
        <v>-0.999999999999959</v>
      </c>
    </row>
    <row r="73" s="1" customFormat="1" spans="1:12">
      <c r="A73" s="2">
        <v>2.375</v>
      </c>
      <c r="B73" s="10" t="s">
        <v>244</v>
      </c>
      <c r="C73" s="4">
        <v>2.375</v>
      </c>
      <c r="D73" s="5">
        <v>47.6</v>
      </c>
      <c r="E73" s="4"/>
      <c r="F73" s="4"/>
      <c r="G73" s="2">
        <f t="shared" si="6"/>
        <v>2.342</v>
      </c>
      <c r="H73" s="11" t="str">
        <f t="shared" si="7"/>
        <v>3.412E-2</v>
      </c>
      <c r="I73" s="2">
        <f t="shared" si="8"/>
        <v>47.4</v>
      </c>
      <c r="J73" s="4">
        <f t="shared" si="9"/>
        <v>2.342</v>
      </c>
      <c r="K73" s="9">
        <f t="shared" si="10"/>
        <v>0</v>
      </c>
      <c r="L73" s="1">
        <f t="shared" si="11"/>
        <v>-0.999999999999959</v>
      </c>
    </row>
    <row r="74" s="1" customFormat="1" spans="1:12">
      <c r="A74" s="2">
        <v>2.408</v>
      </c>
      <c r="B74" s="10" t="s">
        <v>117</v>
      </c>
      <c r="C74" s="4">
        <v>2.408</v>
      </c>
      <c r="D74" s="5">
        <v>47.1</v>
      </c>
      <c r="E74" s="4"/>
      <c r="F74" s="4"/>
      <c r="G74" s="2">
        <f t="shared" si="6"/>
        <v>2.375</v>
      </c>
      <c r="H74" s="11" t="str">
        <f t="shared" si="7"/>
        <v>3.411E-2</v>
      </c>
      <c r="I74" s="2">
        <f t="shared" si="8"/>
        <v>47.5</v>
      </c>
      <c r="J74" s="4">
        <f t="shared" si="9"/>
        <v>2.375</v>
      </c>
      <c r="K74" s="9">
        <f t="shared" si="10"/>
        <v>-0.0999999999999612</v>
      </c>
      <c r="L74" s="1">
        <f t="shared" si="11"/>
        <v>-0.999999999999959</v>
      </c>
    </row>
    <row r="75" s="1" customFormat="1" spans="1:12">
      <c r="A75" s="2">
        <v>2.442</v>
      </c>
      <c r="B75" s="10" t="s">
        <v>57</v>
      </c>
      <c r="C75" s="4">
        <v>2.442</v>
      </c>
      <c r="D75" s="5">
        <v>47.5</v>
      </c>
      <c r="E75" s="4"/>
      <c r="F75" s="4"/>
      <c r="G75" s="2">
        <f t="shared" si="6"/>
        <v>2.408</v>
      </c>
      <c r="H75" s="11" t="str">
        <f t="shared" si="7"/>
        <v>3.412E-2</v>
      </c>
      <c r="I75" s="2">
        <f t="shared" si="8"/>
        <v>47.6</v>
      </c>
      <c r="J75" s="4">
        <f t="shared" si="9"/>
        <v>2.408</v>
      </c>
      <c r="K75" s="9">
        <f t="shared" si="10"/>
        <v>0</v>
      </c>
      <c r="L75" s="1">
        <f t="shared" si="11"/>
        <v>-0.999999999999959</v>
      </c>
    </row>
    <row r="76" s="1" customFormat="1" spans="1:12">
      <c r="A76" s="2">
        <v>2.475</v>
      </c>
      <c r="B76" s="10" t="s">
        <v>57</v>
      </c>
      <c r="C76" s="4">
        <v>2.475</v>
      </c>
      <c r="D76" s="5">
        <v>47.7</v>
      </c>
      <c r="E76" s="4"/>
      <c r="F76" s="4"/>
      <c r="G76" s="2">
        <f t="shared" si="6"/>
        <v>2.442</v>
      </c>
      <c r="H76" s="11" t="str">
        <f t="shared" si="7"/>
        <v>3.413E-2</v>
      </c>
      <c r="I76" s="2">
        <f t="shared" si="8"/>
        <v>47.1</v>
      </c>
      <c r="J76" s="4">
        <f t="shared" si="9"/>
        <v>2.442</v>
      </c>
      <c r="K76" s="9">
        <f t="shared" si="10"/>
        <v>0.100000000000031</v>
      </c>
      <c r="L76" s="1">
        <f t="shared" si="11"/>
        <v>-0.999999999999959</v>
      </c>
    </row>
    <row r="77" s="1" customFormat="1" spans="1:12">
      <c r="A77" s="2">
        <v>2.509</v>
      </c>
      <c r="B77" s="10" t="s">
        <v>57</v>
      </c>
      <c r="C77" s="4">
        <v>2.509</v>
      </c>
      <c r="D77" s="5">
        <v>47.7</v>
      </c>
      <c r="E77" s="4"/>
      <c r="F77" s="4"/>
      <c r="G77" s="2">
        <f t="shared" si="6"/>
        <v>2.475</v>
      </c>
      <c r="H77" s="11" t="str">
        <f t="shared" si="7"/>
        <v>3.413E-2</v>
      </c>
      <c r="I77" s="2">
        <f t="shared" si="8"/>
        <v>47.5</v>
      </c>
      <c r="J77" s="4">
        <f t="shared" si="9"/>
        <v>2.475</v>
      </c>
      <c r="K77" s="9">
        <f t="shared" si="10"/>
        <v>0.100000000000031</v>
      </c>
      <c r="L77" s="1">
        <f t="shared" si="11"/>
        <v>-0.999999999999959</v>
      </c>
    </row>
    <row r="78" s="1" customFormat="1" spans="1:12">
      <c r="A78" s="2">
        <v>2.542</v>
      </c>
      <c r="B78" s="10" t="s">
        <v>57</v>
      </c>
      <c r="C78" s="4">
        <v>2.542</v>
      </c>
      <c r="D78" s="5">
        <v>47.9</v>
      </c>
      <c r="E78" s="4"/>
      <c r="F78" s="4"/>
      <c r="G78" s="2">
        <f t="shared" si="6"/>
        <v>2.509</v>
      </c>
      <c r="H78" s="11" t="str">
        <f t="shared" si="7"/>
        <v>3.413E-2</v>
      </c>
      <c r="I78" s="2">
        <f t="shared" si="8"/>
        <v>47.7</v>
      </c>
      <c r="J78" s="4">
        <f t="shared" si="9"/>
        <v>2.509</v>
      </c>
      <c r="K78" s="9">
        <f t="shared" si="10"/>
        <v>0.100000000000031</v>
      </c>
      <c r="L78" s="1">
        <f t="shared" si="11"/>
        <v>-0.999999999999959</v>
      </c>
    </row>
    <row r="79" s="1" customFormat="1" spans="1:12">
      <c r="A79" s="2">
        <v>2.576</v>
      </c>
      <c r="B79" s="10" t="s">
        <v>82</v>
      </c>
      <c r="C79" s="4">
        <v>2.576</v>
      </c>
      <c r="D79" s="5">
        <v>46.9</v>
      </c>
      <c r="E79" s="4"/>
      <c r="F79" s="4"/>
      <c r="G79" s="2">
        <f t="shared" si="6"/>
        <v>2.542</v>
      </c>
      <c r="H79" s="11" t="str">
        <f t="shared" si="7"/>
        <v>3.413E-2</v>
      </c>
      <c r="I79" s="2">
        <f t="shared" si="8"/>
        <v>47.7</v>
      </c>
      <c r="J79" s="4">
        <f t="shared" si="9"/>
        <v>2.542</v>
      </c>
      <c r="K79" s="9">
        <f t="shared" si="10"/>
        <v>0.100000000000031</v>
      </c>
      <c r="L79" s="1">
        <f t="shared" si="11"/>
        <v>-0.999999999999959</v>
      </c>
    </row>
    <row r="80" s="1" customFormat="1" spans="1:12">
      <c r="A80" s="2">
        <v>2.609</v>
      </c>
      <c r="B80" s="10" t="s">
        <v>57</v>
      </c>
      <c r="C80" s="4">
        <v>2.609</v>
      </c>
      <c r="D80" s="5">
        <v>47.6</v>
      </c>
      <c r="E80" s="4"/>
      <c r="F80" s="4"/>
      <c r="G80" s="2">
        <f t="shared" si="6"/>
        <v>2.576</v>
      </c>
      <c r="H80" s="11" t="str">
        <f t="shared" si="7"/>
        <v>3.414E-2</v>
      </c>
      <c r="I80" s="2">
        <f t="shared" si="8"/>
        <v>47.9</v>
      </c>
      <c r="J80" s="4">
        <f t="shared" si="9"/>
        <v>2.576</v>
      </c>
      <c r="K80" s="9">
        <f t="shared" si="10"/>
        <v>0.199999999999992</v>
      </c>
      <c r="L80" s="1">
        <f t="shared" si="11"/>
        <v>-0.999999999999959</v>
      </c>
    </row>
    <row r="81" s="1" customFormat="1" spans="1:12">
      <c r="A81" s="2">
        <v>2.643</v>
      </c>
      <c r="B81" s="10" t="s">
        <v>117</v>
      </c>
      <c r="C81" s="4">
        <v>2.643</v>
      </c>
      <c r="D81" s="5">
        <v>47</v>
      </c>
      <c r="E81" s="4"/>
      <c r="F81" s="4"/>
      <c r="G81" s="2">
        <f t="shared" si="6"/>
        <v>2.609</v>
      </c>
      <c r="H81" s="11" t="str">
        <f t="shared" si="7"/>
        <v>3.413E-2</v>
      </c>
      <c r="I81" s="2">
        <f t="shared" si="8"/>
        <v>46.9</v>
      </c>
      <c r="J81" s="4">
        <f t="shared" si="9"/>
        <v>2.609</v>
      </c>
      <c r="K81" s="9">
        <f t="shared" si="10"/>
        <v>0.100000000000031</v>
      </c>
      <c r="L81" s="1">
        <f t="shared" si="11"/>
        <v>-0.999999999999959</v>
      </c>
    </row>
    <row r="82" s="1" customFormat="1" spans="1:12">
      <c r="A82" s="2">
        <v>2.676</v>
      </c>
      <c r="B82" s="10" t="s">
        <v>82</v>
      </c>
      <c r="C82" s="4">
        <v>2.676</v>
      </c>
      <c r="D82" s="5">
        <v>47.7</v>
      </c>
      <c r="E82" s="4"/>
      <c r="F82" s="4"/>
      <c r="G82" s="2">
        <f t="shared" si="6"/>
        <v>2.643</v>
      </c>
      <c r="H82" s="11" t="str">
        <f t="shared" si="7"/>
        <v>3.412E-2</v>
      </c>
      <c r="I82" s="2">
        <f t="shared" si="8"/>
        <v>47.6</v>
      </c>
      <c r="J82" s="4">
        <f t="shared" si="9"/>
        <v>2.643</v>
      </c>
      <c r="K82" s="9">
        <f t="shared" si="10"/>
        <v>0</v>
      </c>
      <c r="L82" s="1">
        <f t="shared" si="11"/>
        <v>-0.999999999999959</v>
      </c>
    </row>
    <row r="83" s="1" customFormat="1" spans="1:12">
      <c r="A83" s="2">
        <v>2.709</v>
      </c>
      <c r="B83" s="10" t="s">
        <v>117</v>
      </c>
      <c r="C83" s="4">
        <v>2.709</v>
      </c>
      <c r="D83" s="5">
        <v>47.4</v>
      </c>
      <c r="E83" s="4"/>
      <c r="F83" s="4"/>
      <c r="G83" s="2">
        <f t="shared" si="6"/>
        <v>2.676</v>
      </c>
      <c r="H83" s="11" t="str">
        <f t="shared" si="7"/>
        <v>3.414E-2</v>
      </c>
      <c r="I83" s="2">
        <f t="shared" si="8"/>
        <v>47</v>
      </c>
      <c r="J83" s="4">
        <f t="shared" si="9"/>
        <v>2.676</v>
      </c>
      <c r="K83" s="9">
        <f t="shared" si="10"/>
        <v>0.199999999999992</v>
      </c>
      <c r="L83" s="1">
        <f t="shared" si="11"/>
        <v>-0.999999999999959</v>
      </c>
    </row>
    <row r="84" s="1" customFormat="1" spans="1:12">
      <c r="A84" s="2">
        <v>2.743</v>
      </c>
      <c r="B84" s="10" t="s">
        <v>57</v>
      </c>
      <c r="C84" s="4">
        <v>2.743</v>
      </c>
      <c r="D84" s="5">
        <v>47.3</v>
      </c>
      <c r="E84" s="4"/>
      <c r="F84" s="4"/>
      <c r="G84" s="2">
        <f t="shared" si="6"/>
        <v>2.709</v>
      </c>
      <c r="H84" s="11" t="str">
        <f t="shared" si="7"/>
        <v>3.412E-2</v>
      </c>
      <c r="I84" s="2">
        <f t="shared" si="8"/>
        <v>47.7</v>
      </c>
      <c r="J84" s="4">
        <f t="shared" si="9"/>
        <v>2.709</v>
      </c>
      <c r="K84" s="9">
        <f t="shared" si="10"/>
        <v>0</v>
      </c>
      <c r="L84" s="1">
        <f t="shared" si="11"/>
        <v>-0.999999999999959</v>
      </c>
    </row>
    <row r="85" s="1" customFormat="1" spans="1:12">
      <c r="A85" s="2">
        <v>2.776</v>
      </c>
      <c r="B85" s="10" t="s">
        <v>57</v>
      </c>
      <c r="C85" s="4">
        <v>2.776</v>
      </c>
      <c r="D85" s="5">
        <v>47.7</v>
      </c>
      <c r="E85" s="4"/>
      <c r="F85" s="4"/>
      <c r="G85" s="2">
        <f t="shared" si="6"/>
        <v>2.743</v>
      </c>
      <c r="H85" s="11" t="str">
        <f t="shared" si="7"/>
        <v>3.413E-2</v>
      </c>
      <c r="I85" s="2">
        <f t="shared" si="8"/>
        <v>47.4</v>
      </c>
      <c r="J85" s="4">
        <f t="shared" si="9"/>
        <v>2.743</v>
      </c>
      <c r="K85" s="9">
        <f t="shared" si="10"/>
        <v>0.100000000000031</v>
      </c>
      <c r="L85" s="1">
        <f t="shared" si="11"/>
        <v>-0.999999999999959</v>
      </c>
    </row>
    <row r="86" s="1" customFormat="1" spans="1:12">
      <c r="A86" s="2">
        <v>2.81</v>
      </c>
      <c r="B86" s="10" t="s">
        <v>57</v>
      </c>
      <c r="C86" s="4">
        <v>2.81</v>
      </c>
      <c r="D86" s="5">
        <v>47.5</v>
      </c>
      <c r="E86" s="4"/>
      <c r="F86" s="4"/>
      <c r="G86" s="2">
        <f t="shared" si="6"/>
        <v>2.776</v>
      </c>
      <c r="H86" s="11" t="str">
        <f t="shared" si="7"/>
        <v>3.413E-2</v>
      </c>
      <c r="I86" s="2">
        <f t="shared" si="8"/>
        <v>47.3</v>
      </c>
      <c r="J86" s="4">
        <f t="shared" si="9"/>
        <v>2.776</v>
      </c>
      <c r="K86" s="9">
        <f t="shared" si="10"/>
        <v>0.100000000000031</v>
      </c>
      <c r="L86" s="1">
        <f t="shared" si="11"/>
        <v>-0.999999999999959</v>
      </c>
    </row>
    <row r="87" s="1" customFormat="1" spans="1:12">
      <c r="A87" s="2">
        <v>2.843</v>
      </c>
      <c r="B87" s="10" t="s">
        <v>117</v>
      </c>
      <c r="C87" s="4">
        <v>2.843</v>
      </c>
      <c r="D87" s="5">
        <v>47.6</v>
      </c>
      <c r="E87" s="4"/>
      <c r="F87" s="4"/>
      <c r="G87" s="2">
        <f t="shared" si="6"/>
        <v>2.81</v>
      </c>
      <c r="H87" s="11" t="str">
        <f t="shared" si="7"/>
        <v>3.413E-2</v>
      </c>
      <c r="I87" s="2">
        <f t="shared" si="8"/>
        <v>47.7</v>
      </c>
      <c r="J87" s="4">
        <f t="shared" si="9"/>
        <v>2.81</v>
      </c>
      <c r="K87" s="9">
        <f t="shared" si="10"/>
        <v>0.100000000000031</v>
      </c>
      <c r="L87" s="1">
        <f t="shared" si="11"/>
        <v>-0.999999999999959</v>
      </c>
    </row>
    <row r="88" s="1" customFormat="1" spans="1:12">
      <c r="A88" s="2">
        <v>2.877</v>
      </c>
      <c r="B88" s="10" t="s">
        <v>57</v>
      </c>
      <c r="C88" s="4">
        <v>2.877</v>
      </c>
      <c r="D88" s="5">
        <v>47.5</v>
      </c>
      <c r="E88" s="4"/>
      <c r="F88" s="4"/>
      <c r="G88" s="2">
        <f t="shared" si="6"/>
        <v>2.843</v>
      </c>
      <c r="H88" s="11" t="str">
        <f t="shared" si="7"/>
        <v>3.412E-2</v>
      </c>
      <c r="I88" s="2">
        <f t="shared" si="8"/>
        <v>47.5</v>
      </c>
      <c r="J88" s="4">
        <f t="shared" si="9"/>
        <v>2.843</v>
      </c>
      <c r="K88" s="9">
        <f t="shared" si="10"/>
        <v>0</v>
      </c>
      <c r="L88" s="1">
        <f t="shared" si="11"/>
        <v>-0.999999999999959</v>
      </c>
    </row>
    <row r="89" s="1" customFormat="1" spans="1:12">
      <c r="A89" s="2">
        <v>2.91</v>
      </c>
      <c r="B89" s="10" t="s">
        <v>117</v>
      </c>
      <c r="C89" s="4">
        <v>2.91</v>
      </c>
      <c r="D89" s="5">
        <v>47.7</v>
      </c>
      <c r="E89" s="4"/>
      <c r="F89" s="4"/>
      <c r="G89" s="2">
        <f t="shared" si="6"/>
        <v>2.877</v>
      </c>
      <c r="H89" s="11" t="str">
        <f t="shared" si="7"/>
        <v>3.413E-2</v>
      </c>
      <c r="I89" s="2">
        <f t="shared" si="8"/>
        <v>47.6</v>
      </c>
      <c r="J89" s="4">
        <f t="shared" si="9"/>
        <v>2.877</v>
      </c>
      <c r="K89" s="9">
        <f t="shared" si="10"/>
        <v>0.100000000000031</v>
      </c>
      <c r="L89" s="1">
        <f t="shared" si="11"/>
        <v>-0.999999999999959</v>
      </c>
    </row>
    <row r="90" s="1" customFormat="1" spans="1:12">
      <c r="A90" s="2">
        <v>2.944</v>
      </c>
      <c r="B90" s="10" t="s">
        <v>117</v>
      </c>
      <c r="C90" s="4">
        <v>2.944</v>
      </c>
      <c r="D90" s="5">
        <v>47.4</v>
      </c>
      <c r="E90" s="4"/>
      <c r="F90" s="4"/>
      <c r="G90" s="2">
        <f t="shared" si="6"/>
        <v>2.91</v>
      </c>
      <c r="H90" s="11" t="str">
        <f t="shared" si="7"/>
        <v>3.412E-2</v>
      </c>
      <c r="I90" s="2">
        <f t="shared" si="8"/>
        <v>47.5</v>
      </c>
      <c r="J90" s="4">
        <f t="shared" si="9"/>
        <v>2.91</v>
      </c>
      <c r="K90" s="9">
        <f t="shared" si="10"/>
        <v>0</v>
      </c>
      <c r="L90" s="1">
        <f t="shared" si="11"/>
        <v>-0.999999999999959</v>
      </c>
    </row>
    <row r="91" s="1" customFormat="1" spans="1:12">
      <c r="A91" s="2">
        <v>2.977</v>
      </c>
      <c r="B91" s="10" t="s">
        <v>117</v>
      </c>
      <c r="C91" s="4">
        <v>2.977</v>
      </c>
      <c r="D91" s="5">
        <v>48</v>
      </c>
      <c r="E91" s="4"/>
      <c r="F91" s="4"/>
      <c r="G91" s="2">
        <f t="shared" si="6"/>
        <v>2.944</v>
      </c>
      <c r="H91" s="11" t="str">
        <f t="shared" si="7"/>
        <v>3.412E-2</v>
      </c>
      <c r="I91" s="2">
        <f t="shared" si="8"/>
        <v>47.7</v>
      </c>
      <c r="J91" s="4">
        <f t="shared" si="9"/>
        <v>2.944</v>
      </c>
      <c r="K91" s="9">
        <f t="shared" si="10"/>
        <v>0</v>
      </c>
      <c r="L91" s="1">
        <f t="shared" si="11"/>
        <v>-0.999999999999959</v>
      </c>
    </row>
    <row r="92" s="1" customFormat="1" spans="1:12">
      <c r="A92" s="2">
        <v>3.011</v>
      </c>
      <c r="B92" s="10" t="s">
        <v>244</v>
      </c>
      <c r="C92" s="4">
        <v>3.011</v>
      </c>
      <c r="D92" s="5">
        <v>47.5</v>
      </c>
      <c r="E92" s="4"/>
      <c r="F92" s="4"/>
      <c r="G92" s="2">
        <f t="shared" si="6"/>
        <v>2.977</v>
      </c>
      <c r="H92" s="11" t="str">
        <f t="shared" si="7"/>
        <v>3.412E-2</v>
      </c>
      <c r="I92" s="2">
        <f t="shared" si="8"/>
        <v>47.4</v>
      </c>
      <c r="J92" s="4">
        <f t="shared" si="9"/>
        <v>2.977</v>
      </c>
      <c r="K92" s="9">
        <f t="shared" si="10"/>
        <v>0</v>
      </c>
      <c r="L92" s="1">
        <f t="shared" si="11"/>
        <v>-0.999999999999959</v>
      </c>
    </row>
    <row r="93" s="1" customFormat="1" spans="1:12">
      <c r="A93" s="2">
        <v>3.044</v>
      </c>
      <c r="B93" s="10" t="s">
        <v>117</v>
      </c>
      <c r="C93" s="4">
        <v>3.044</v>
      </c>
      <c r="D93" s="5">
        <v>47.6</v>
      </c>
      <c r="E93" s="4"/>
      <c r="F93" s="4"/>
      <c r="G93" s="2">
        <f t="shared" si="6"/>
        <v>3.011</v>
      </c>
      <c r="H93" s="11" t="str">
        <f t="shared" si="7"/>
        <v>3.411E-2</v>
      </c>
      <c r="I93" s="2">
        <f t="shared" si="8"/>
        <v>48</v>
      </c>
      <c r="J93" s="4">
        <f t="shared" si="9"/>
        <v>3.011</v>
      </c>
      <c r="K93" s="9">
        <f t="shared" si="10"/>
        <v>-0.0999999999999612</v>
      </c>
      <c r="L93" s="1">
        <f t="shared" si="11"/>
        <v>-0.999999999999959</v>
      </c>
    </row>
    <row r="94" s="1" customFormat="1" spans="1:12">
      <c r="A94" s="2">
        <v>3.077</v>
      </c>
      <c r="B94" s="10" t="s">
        <v>117</v>
      </c>
      <c r="C94" s="4">
        <v>3.077</v>
      </c>
      <c r="D94" s="5">
        <v>247</v>
      </c>
      <c r="E94" s="4"/>
      <c r="F94" s="4"/>
      <c r="G94" s="2">
        <f t="shared" si="6"/>
        <v>3.044</v>
      </c>
      <c r="H94" s="11" t="str">
        <f t="shared" si="7"/>
        <v>3.412E-2</v>
      </c>
      <c r="I94" s="2">
        <f t="shared" si="8"/>
        <v>47.5</v>
      </c>
      <c r="J94" s="4">
        <f t="shared" si="9"/>
        <v>3.044</v>
      </c>
      <c r="K94" s="9">
        <f t="shared" si="10"/>
        <v>0</v>
      </c>
      <c r="L94" s="1">
        <f t="shared" si="11"/>
        <v>-0.999999999999959</v>
      </c>
    </row>
    <row r="95" s="1" customFormat="1" spans="1:12">
      <c r="A95" s="2">
        <v>3.111</v>
      </c>
      <c r="B95" s="10" t="s">
        <v>117</v>
      </c>
      <c r="C95" s="4">
        <v>3.111</v>
      </c>
      <c r="D95" s="5">
        <v>253.8</v>
      </c>
      <c r="E95" s="4"/>
      <c r="F95" s="4"/>
      <c r="G95" s="2">
        <f t="shared" si="6"/>
        <v>3.077</v>
      </c>
      <c r="H95" s="11" t="str">
        <f t="shared" si="7"/>
        <v>3.412E-2</v>
      </c>
      <c r="I95" s="2">
        <f t="shared" si="8"/>
        <v>47.6</v>
      </c>
      <c r="J95" s="4">
        <f t="shared" si="9"/>
        <v>3.077</v>
      </c>
      <c r="K95" s="9">
        <f t="shared" si="10"/>
        <v>0</v>
      </c>
      <c r="L95" s="1">
        <f t="shared" si="11"/>
        <v>-0.999999999999959</v>
      </c>
    </row>
    <row r="96" s="1" customFormat="1" spans="1:12">
      <c r="A96" s="2">
        <v>3.144</v>
      </c>
      <c r="B96" s="10" t="s">
        <v>269</v>
      </c>
      <c r="C96" s="4">
        <v>3.144</v>
      </c>
      <c r="D96" s="5">
        <v>253.8</v>
      </c>
      <c r="E96" s="4"/>
      <c r="F96" s="4"/>
      <c r="G96" s="2">
        <f t="shared" si="6"/>
        <v>3.111</v>
      </c>
      <c r="H96" s="11" t="str">
        <f t="shared" si="7"/>
        <v>3.412E-2</v>
      </c>
      <c r="I96" s="2">
        <f t="shared" si="8"/>
        <v>247</v>
      </c>
      <c r="J96" s="4">
        <f t="shared" si="9"/>
        <v>3.111</v>
      </c>
      <c r="K96" s="9">
        <f t="shared" si="10"/>
        <v>0</v>
      </c>
      <c r="L96" s="1">
        <f t="shared" si="11"/>
        <v>7.10000000000002</v>
      </c>
    </row>
    <row r="97" s="1" customFormat="1" spans="1:12">
      <c r="A97" s="2">
        <v>3.178</v>
      </c>
      <c r="B97" s="10" t="s">
        <v>230</v>
      </c>
      <c r="C97" s="4">
        <v>3.178</v>
      </c>
      <c r="D97" s="5">
        <v>253.8</v>
      </c>
      <c r="E97" s="4"/>
      <c r="F97" s="4"/>
      <c r="G97" s="2">
        <f t="shared" si="6"/>
        <v>3.144</v>
      </c>
      <c r="H97" s="11" t="str">
        <f t="shared" si="7"/>
        <v>3.410E-2</v>
      </c>
      <c r="I97" s="2">
        <f t="shared" si="8"/>
        <v>253.8</v>
      </c>
      <c r="J97" s="4">
        <f t="shared" si="9"/>
        <v>3.144</v>
      </c>
      <c r="K97" s="9">
        <f t="shared" si="10"/>
        <v>-0.199999999999992</v>
      </c>
      <c r="L97" s="1">
        <f t="shared" si="11"/>
        <v>7.10000000000002</v>
      </c>
    </row>
    <row r="98" s="1" customFormat="1" spans="1:12">
      <c r="A98" s="2">
        <v>3.211</v>
      </c>
      <c r="B98" s="10" t="s">
        <v>228</v>
      </c>
      <c r="C98" s="4">
        <v>3.211</v>
      </c>
      <c r="D98" s="5">
        <v>253.8</v>
      </c>
      <c r="E98" s="4"/>
      <c r="F98" s="4"/>
      <c r="G98" s="2">
        <f t="shared" si="6"/>
        <v>3.178</v>
      </c>
      <c r="H98" s="11" t="str">
        <f t="shared" si="7"/>
        <v>3.409E-2</v>
      </c>
      <c r="I98" s="2">
        <f t="shared" si="8"/>
        <v>253.8</v>
      </c>
      <c r="J98" s="4">
        <f t="shared" si="9"/>
        <v>3.178</v>
      </c>
      <c r="K98" s="9">
        <f t="shared" si="10"/>
        <v>-0.299999999999953</v>
      </c>
      <c r="L98" s="1">
        <f t="shared" si="11"/>
        <v>7.10000000000002</v>
      </c>
    </row>
    <row r="99" s="1" customFormat="1" spans="1:12">
      <c r="A99" s="2">
        <v>3.245</v>
      </c>
      <c r="B99" s="10" t="s">
        <v>228</v>
      </c>
      <c r="C99" s="4">
        <v>3.245</v>
      </c>
      <c r="D99" s="5">
        <v>253.8</v>
      </c>
      <c r="E99" s="4"/>
      <c r="F99" s="4"/>
      <c r="G99" s="2">
        <f t="shared" si="6"/>
        <v>3.211</v>
      </c>
      <c r="H99" s="11" t="str">
        <f t="shared" si="7"/>
        <v>3.407E-2</v>
      </c>
      <c r="I99" s="2">
        <f t="shared" si="8"/>
        <v>253.8</v>
      </c>
      <c r="J99" s="4">
        <f t="shared" si="9"/>
        <v>3.211</v>
      </c>
      <c r="K99" s="9">
        <f t="shared" si="10"/>
        <v>-0.499999999999945</v>
      </c>
      <c r="L99" s="1">
        <f t="shared" si="11"/>
        <v>7.10000000000002</v>
      </c>
    </row>
    <row r="100" s="1" customFormat="1" spans="1:12">
      <c r="A100" s="2">
        <v>3.278</v>
      </c>
      <c r="B100" s="10" t="s">
        <v>234</v>
      </c>
      <c r="C100" s="4">
        <v>3.278</v>
      </c>
      <c r="D100" s="5">
        <v>253.8</v>
      </c>
      <c r="E100" s="4"/>
      <c r="F100" s="4"/>
      <c r="G100" s="2">
        <f t="shared" si="6"/>
        <v>3.245</v>
      </c>
      <c r="H100" s="11" t="str">
        <f t="shared" si="7"/>
        <v>3.407E-2</v>
      </c>
      <c r="I100" s="2">
        <f t="shared" si="8"/>
        <v>253.8</v>
      </c>
      <c r="J100" s="4">
        <f t="shared" si="9"/>
        <v>3.245</v>
      </c>
      <c r="K100" s="9">
        <f t="shared" si="10"/>
        <v>-0.499999999999945</v>
      </c>
      <c r="L100" s="1">
        <f t="shared" si="11"/>
        <v>7.10000000000002</v>
      </c>
    </row>
    <row r="101" s="1" customFormat="1" spans="1:12">
      <c r="A101" s="2">
        <v>3.312</v>
      </c>
      <c r="B101" s="10" t="s">
        <v>234</v>
      </c>
      <c r="C101" s="4">
        <v>3.312</v>
      </c>
      <c r="D101" s="5">
        <v>253.8</v>
      </c>
      <c r="E101" s="4"/>
      <c r="F101" s="4"/>
      <c r="G101" s="2">
        <f t="shared" si="6"/>
        <v>3.278</v>
      </c>
      <c r="H101" s="11" t="str">
        <f t="shared" si="7"/>
        <v>3.404E-2</v>
      </c>
      <c r="I101" s="2">
        <f t="shared" si="8"/>
        <v>253.8</v>
      </c>
      <c r="J101" s="4">
        <f t="shared" si="9"/>
        <v>3.278</v>
      </c>
      <c r="K101" s="9">
        <f t="shared" si="10"/>
        <v>-0.799999999999967</v>
      </c>
      <c r="L101" s="1">
        <f t="shared" si="11"/>
        <v>7.10000000000002</v>
      </c>
    </row>
    <row r="102" s="1" customFormat="1" spans="1:12">
      <c r="A102" s="2">
        <v>3.345</v>
      </c>
      <c r="B102" s="10" t="s">
        <v>88</v>
      </c>
      <c r="C102" s="4">
        <v>3.345</v>
      </c>
      <c r="D102" s="5">
        <v>253.8</v>
      </c>
      <c r="E102" s="4"/>
      <c r="F102" s="4"/>
      <c r="G102" s="2">
        <f t="shared" si="6"/>
        <v>3.312</v>
      </c>
      <c r="H102" s="11" t="str">
        <f t="shared" si="7"/>
        <v>3.404E-2</v>
      </c>
      <c r="I102" s="2">
        <f t="shared" si="8"/>
        <v>253.8</v>
      </c>
      <c r="J102" s="4">
        <f t="shared" si="9"/>
        <v>3.312</v>
      </c>
      <c r="K102" s="9">
        <f t="shared" si="10"/>
        <v>-0.799999999999967</v>
      </c>
      <c r="L102" s="1">
        <f t="shared" si="11"/>
        <v>7.10000000000002</v>
      </c>
    </row>
    <row r="103" s="1" customFormat="1" spans="1:12">
      <c r="A103" s="2">
        <v>3.378</v>
      </c>
      <c r="B103" s="10" t="s">
        <v>88</v>
      </c>
      <c r="C103" s="4">
        <v>3.378</v>
      </c>
      <c r="D103" s="5">
        <v>253.8</v>
      </c>
      <c r="E103" s="4"/>
      <c r="F103" s="4"/>
      <c r="G103" s="2">
        <f t="shared" si="6"/>
        <v>3.345</v>
      </c>
      <c r="H103" s="11" t="str">
        <f t="shared" si="7"/>
        <v>3.403E-2</v>
      </c>
      <c r="I103" s="2">
        <f t="shared" si="8"/>
        <v>253.8</v>
      </c>
      <c r="J103" s="4">
        <f t="shared" si="9"/>
        <v>3.345</v>
      </c>
      <c r="K103" s="9">
        <f t="shared" si="10"/>
        <v>-0.899999999999998</v>
      </c>
      <c r="L103" s="1">
        <f t="shared" si="11"/>
        <v>7.10000000000002</v>
      </c>
    </row>
    <row r="104" s="1" customFormat="1" spans="1:12">
      <c r="A104" s="2">
        <v>3.412</v>
      </c>
      <c r="B104" s="10" t="s">
        <v>56</v>
      </c>
      <c r="C104" s="4">
        <v>3.412</v>
      </c>
      <c r="D104" s="5">
        <v>253.8</v>
      </c>
      <c r="E104" s="4"/>
      <c r="F104" s="4"/>
      <c r="G104" s="2">
        <f t="shared" si="6"/>
        <v>3.378</v>
      </c>
      <c r="H104" s="11" t="str">
        <f t="shared" si="7"/>
        <v>3.403E-2</v>
      </c>
      <c r="I104" s="2">
        <f t="shared" si="8"/>
        <v>253.8</v>
      </c>
      <c r="J104" s="4">
        <f t="shared" si="9"/>
        <v>3.378</v>
      </c>
      <c r="K104" s="9">
        <f t="shared" si="10"/>
        <v>-0.899999999999998</v>
      </c>
      <c r="L104" s="1">
        <f t="shared" si="11"/>
        <v>7.10000000000002</v>
      </c>
    </row>
    <row r="105" s="1" customFormat="1" spans="1:12">
      <c r="A105" s="2">
        <v>3.445</v>
      </c>
      <c r="B105" s="10" t="s">
        <v>234</v>
      </c>
      <c r="C105" s="4">
        <v>3.445</v>
      </c>
      <c r="D105" s="5">
        <v>253.8</v>
      </c>
      <c r="E105" s="4"/>
      <c r="F105" s="4"/>
      <c r="G105" s="2">
        <f t="shared" si="6"/>
        <v>3.412</v>
      </c>
      <c r="H105" s="11" t="str">
        <f t="shared" si="7"/>
        <v>3.402E-2</v>
      </c>
      <c r="I105" s="2">
        <f t="shared" si="8"/>
        <v>253.8</v>
      </c>
      <c r="J105" s="4">
        <f t="shared" si="9"/>
        <v>3.412</v>
      </c>
      <c r="K105" s="9">
        <f t="shared" si="10"/>
        <v>-0.999999999999959</v>
      </c>
      <c r="L105" s="1">
        <f t="shared" si="11"/>
        <v>7.10000000000002</v>
      </c>
    </row>
    <row r="106" s="1" customFormat="1" spans="1:12">
      <c r="A106" s="2">
        <v>3.479</v>
      </c>
      <c r="B106" s="10" t="s">
        <v>234</v>
      </c>
      <c r="C106" s="4">
        <v>3.479</v>
      </c>
      <c r="D106" s="5">
        <v>250.4</v>
      </c>
      <c r="E106" s="4"/>
      <c r="F106" s="4"/>
      <c r="G106" s="2">
        <f t="shared" si="6"/>
        <v>3.445</v>
      </c>
      <c r="H106" s="11" t="str">
        <f t="shared" si="7"/>
        <v>3.404E-2</v>
      </c>
      <c r="I106" s="2">
        <f t="shared" si="8"/>
        <v>253.8</v>
      </c>
      <c r="J106" s="4">
        <f t="shared" si="9"/>
        <v>3.445</v>
      </c>
      <c r="K106" s="9">
        <f t="shared" si="10"/>
        <v>-0.799999999999967</v>
      </c>
      <c r="L106" s="1">
        <f t="shared" si="11"/>
        <v>7.10000000000002</v>
      </c>
    </row>
    <row r="107" s="1" customFormat="1" spans="1:12">
      <c r="A107" s="2">
        <v>3.512</v>
      </c>
      <c r="B107" s="10" t="s">
        <v>116</v>
      </c>
      <c r="C107" s="4">
        <v>3.512</v>
      </c>
      <c r="D107" s="5">
        <v>47.4</v>
      </c>
      <c r="E107" s="4"/>
      <c r="F107" s="4"/>
      <c r="G107" s="2">
        <f t="shared" si="6"/>
        <v>3.479</v>
      </c>
      <c r="H107" s="11" t="str">
        <f t="shared" si="7"/>
        <v>3.404E-2</v>
      </c>
      <c r="I107" s="2">
        <f t="shared" si="8"/>
        <v>253.8</v>
      </c>
      <c r="J107" s="4">
        <f t="shared" si="9"/>
        <v>3.479</v>
      </c>
      <c r="K107" s="9">
        <f t="shared" si="10"/>
        <v>-0.799999999999967</v>
      </c>
      <c r="L107" s="1">
        <f t="shared" si="11"/>
        <v>7.10000000000002</v>
      </c>
    </row>
    <row r="108" s="1" customFormat="1" spans="1:12">
      <c r="A108" s="2">
        <v>3.546</v>
      </c>
      <c r="B108" s="10" t="s">
        <v>230</v>
      </c>
      <c r="C108" s="4">
        <v>3.546</v>
      </c>
      <c r="D108" s="5">
        <v>47.5</v>
      </c>
      <c r="E108" s="4"/>
      <c r="F108" s="4"/>
      <c r="G108" s="2">
        <f t="shared" si="6"/>
        <v>3.512</v>
      </c>
      <c r="H108" s="11" t="str">
        <f t="shared" si="7"/>
        <v>3.406E-2</v>
      </c>
      <c r="I108" s="2">
        <f t="shared" si="8"/>
        <v>250.4</v>
      </c>
      <c r="J108" s="4">
        <f t="shared" si="9"/>
        <v>3.512</v>
      </c>
      <c r="K108" s="9">
        <f t="shared" si="10"/>
        <v>-0.599999999999976</v>
      </c>
      <c r="L108" s="1">
        <f t="shared" si="11"/>
        <v>7.10000000000002</v>
      </c>
    </row>
    <row r="109" s="1" customFormat="1" spans="1:12">
      <c r="A109" s="2">
        <v>3.579</v>
      </c>
      <c r="B109" s="10" t="s">
        <v>117</v>
      </c>
      <c r="C109" s="4">
        <v>3.579</v>
      </c>
      <c r="D109" s="5">
        <v>47.4</v>
      </c>
      <c r="E109" s="4"/>
      <c r="F109" s="4"/>
      <c r="G109" s="2">
        <f t="shared" si="6"/>
        <v>3.546</v>
      </c>
      <c r="H109" s="11" t="str">
        <f t="shared" si="7"/>
        <v>3.409E-2</v>
      </c>
      <c r="I109" s="2">
        <f t="shared" si="8"/>
        <v>47.4</v>
      </c>
      <c r="J109" s="4">
        <f t="shared" si="9"/>
        <v>3.546</v>
      </c>
      <c r="K109" s="9">
        <f t="shared" si="10"/>
        <v>-0.299999999999953</v>
      </c>
      <c r="L109" s="1">
        <f t="shared" si="11"/>
        <v>-0.999999999999959</v>
      </c>
    </row>
    <row r="110" s="1" customFormat="1" spans="1:12">
      <c r="A110" s="2">
        <v>3.613</v>
      </c>
      <c r="B110" s="10" t="s">
        <v>82</v>
      </c>
      <c r="C110" s="4">
        <v>3.613</v>
      </c>
      <c r="D110" s="5">
        <v>47.5</v>
      </c>
      <c r="E110" s="4"/>
      <c r="F110" s="4"/>
      <c r="G110" s="2">
        <f t="shared" si="6"/>
        <v>3.579</v>
      </c>
      <c r="H110" s="11" t="str">
        <f t="shared" si="7"/>
        <v>3.412E-2</v>
      </c>
      <c r="I110" s="2">
        <f t="shared" si="8"/>
        <v>47.5</v>
      </c>
      <c r="J110" s="4">
        <f t="shared" si="9"/>
        <v>3.579</v>
      </c>
      <c r="K110" s="9">
        <f t="shared" si="10"/>
        <v>0</v>
      </c>
      <c r="L110" s="1">
        <f t="shared" si="11"/>
        <v>-0.999999999999959</v>
      </c>
    </row>
    <row r="111" s="1" customFormat="1" spans="1:12">
      <c r="A111" s="2">
        <v>3.646</v>
      </c>
      <c r="B111" s="10" t="s">
        <v>118</v>
      </c>
      <c r="C111" s="4">
        <v>3.646</v>
      </c>
      <c r="D111" s="5">
        <v>47.6</v>
      </c>
      <c r="E111" s="4"/>
      <c r="F111" s="4"/>
      <c r="G111" s="2">
        <f t="shared" si="6"/>
        <v>3.613</v>
      </c>
      <c r="H111" s="11" t="str">
        <f t="shared" si="7"/>
        <v>3.414E-2</v>
      </c>
      <c r="I111" s="2">
        <f t="shared" si="8"/>
        <v>47.4</v>
      </c>
      <c r="J111" s="4">
        <f t="shared" si="9"/>
        <v>3.613</v>
      </c>
      <c r="K111" s="9">
        <f t="shared" si="10"/>
        <v>0.199999999999992</v>
      </c>
      <c r="L111" s="1">
        <f t="shared" si="11"/>
        <v>-0.999999999999959</v>
      </c>
    </row>
    <row r="112" s="1" customFormat="1" spans="1:12">
      <c r="A112" s="2">
        <v>3.68</v>
      </c>
      <c r="B112" s="10" t="s">
        <v>18</v>
      </c>
      <c r="C112" s="4">
        <v>3.68</v>
      </c>
      <c r="D112" s="5">
        <v>47.4</v>
      </c>
      <c r="E112" s="4"/>
      <c r="F112" s="4"/>
      <c r="G112" s="2">
        <f t="shared" si="6"/>
        <v>3.646</v>
      </c>
      <c r="H112" s="11" t="str">
        <f t="shared" si="7"/>
        <v>3.419E-2</v>
      </c>
      <c r="I112" s="2">
        <f t="shared" si="8"/>
        <v>47.5</v>
      </c>
      <c r="J112" s="4">
        <f t="shared" si="9"/>
        <v>3.646</v>
      </c>
      <c r="K112" s="9">
        <f t="shared" si="10"/>
        <v>0.700000000000006</v>
      </c>
      <c r="L112" s="1">
        <f t="shared" si="11"/>
        <v>-0.999999999999959</v>
      </c>
    </row>
    <row r="113" s="1" customFormat="1" spans="1:12">
      <c r="A113" s="2">
        <v>3.713</v>
      </c>
      <c r="B113" s="10" t="s">
        <v>19</v>
      </c>
      <c r="C113" s="4">
        <v>3.713</v>
      </c>
      <c r="D113" s="5">
        <v>47.6</v>
      </c>
      <c r="E113" s="4"/>
      <c r="F113" s="4"/>
      <c r="G113" s="2">
        <f t="shared" si="6"/>
        <v>3.68</v>
      </c>
      <c r="H113" s="11" t="str">
        <f t="shared" si="7"/>
        <v>3.424E-2</v>
      </c>
      <c r="I113" s="2">
        <f t="shared" si="8"/>
        <v>47.6</v>
      </c>
      <c r="J113" s="4">
        <f t="shared" si="9"/>
        <v>3.68</v>
      </c>
      <c r="K113" s="9">
        <f t="shared" si="10"/>
        <v>1.20000000000002</v>
      </c>
      <c r="L113" s="1">
        <f t="shared" si="11"/>
        <v>-0.999999999999959</v>
      </c>
    </row>
    <row r="114" s="1" customFormat="1" spans="1:12">
      <c r="A114" s="2">
        <v>3.746</v>
      </c>
      <c r="B114" s="10" t="s">
        <v>43</v>
      </c>
      <c r="C114" s="4">
        <v>3.746</v>
      </c>
      <c r="D114" s="5">
        <v>47.3</v>
      </c>
      <c r="E114" s="4"/>
      <c r="F114" s="4"/>
      <c r="G114" s="2">
        <f t="shared" si="6"/>
        <v>3.713</v>
      </c>
      <c r="H114" s="11" t="str">
        <f t="shared" si="7"/>
        <v>3.428E-2</v>
      </c>
      <c r="I114" s="2">
        <f t="shared" si="8"/>
        <v>47.4</v>
      </c>
      <c r="J114" s="4">
        <f t="shared" si="9"/>
        <v>3.713</v>
      </c>
      <c r="K114" s="9">
        <f t="shared" si="10"/>
        <v>1.6</v>
      </c>
      <c r="L114" s="1">
        <f t="shared" si="11"/>
        <v>-0.999999999999959</v>
      </c>
    </row>
    <row r="115" s="1" customFormat="1" spans="1:12">
      <c r="A115" s="2">
        <v>3.78</v>
      </c>
      <c r="B115" s="10" t="s">
        <v>42</v>
      </c>
      <c r="C115" s="4">
        <v>3.78</v>
      </c>
      <c r="D115" s="5">
        <v>47.3</v>
      </c>
      <c r="E115" s="4"/>
      <c r="F115" s="4"/>
      <c r="G115" s="2">
        <f t="shared" si="6"/>
        <v>3.746</v>
      </c>
      <c r="H115" s="11" t="str">
        <f t="shared" si="7"/>
        <v>3.441E-2</v>
      </c>
      <c r="I115" s="2">
        <f t="shared" si="8"/>
        <v>47.6</v>
      </c>
      <c r="J115" s="4">
        <f t="shared" si="9"/>
        <v>3.746</v>
      </c>
      <c r="K115" s="9">
        <f t="shared" si="10"/>
        <v>2.90000000000006</v>
      </c>
      <c r="L115" s="1">
        <f t="shared" si="11"/>
        <v>-0.999999999999959</v>
      </c>
    </row>
    <row r="116" s="1" customFormat="1" spans="1:12">
      <c r="A116" s="2">
        <v>3.813</v>
      </c>
      <c r="B116" s="10" t="s">
        <v>220</v>
      </c>
      <c r="C116" s="4">
        <v>3.813</v>
      </c>
      <c r="D116" s="5">
        <v>47.1</v>
      </c>
      <c r="E116" s="4"/>
      <c r="F116" s="4"/>
      <c r="G116" s="2">
        <f t="shared" si="6"/>
        <v>3.78</v>
      </c>
      <c r="H116" s="11" t="str">
        <f t="shared" si="7"/>
        <v>3.450E-2</v>
      </c>
      <c r="I116" s="2">
        <f t="shared" si="8"/>
        <v>47.3</v>
      </c>
      <c r="J116" s="4">
        <f t="shared" si="9"/>
        <v>3.78</v>
      </c>
      <c r="K116" s="9">
        <f t="shared" si="10"/>
        <v>3.80000000000005</v>
      </c>
      <c r="L116" s="1">
        <f t="shared" si="11"/>
        <v>-0.999999999999959</v>
      </c>
    </row>
    <row r="117" s="1" customFormat="1" spans="1:12">
      <c r="A117" s="2">
        <v>3.847</v>
      </c>
      <c r="B117" s="10" t="s">
        <v>170</v>
      </c>
      <c r="C117" s="4">
        <v>3.847</v>
      </c>
      <c r="D117" s="5">
        <v>48</v>
      </c>
      <c r="E117" s="4"/>
      <c r="F117" s="4"/>
      <c r="G117" s="2">
        <f t="shared" si="6"/>
        <v>3.813</v>
      </c>
      <c r="H117" s="11" t="str">
        <f t="shared" si="7"/>
        <v>3.458E-2</v>
      </c>
      <c r="I117" s="2">
        <f t="shared" si="8"/>
        <v>47.3</v>
      </c>
      <c r="J117" s="4">
        <f t="shared" si="9"/>
        <v>3.813</v>
      </c>
      <c r="K117" s="9">
        <f t="shared" si="10"/>
        <v>4.60000000000002</v>
      </c>
      <c r="L117" s="1">
        <f t="shared" si="11"/>
        <v>-0.999999999999959</v>
      </c>
    </row>
    <row r="118" s="1" customFormat="1" spans="1:12">
      <c r="A118" s="2">
        <v>3.88</v>
      </c>
      <c r="B118" s="10" t="s">
        <v>109</v>
      </c>
      <c r="C118" s="4">
        <v>3.88</v>
      </c>
      <c r="D118" s="5">
        <v>242.4</v>
      </c>
      <c r="E118" s="4"/>
      <c r="F118" s="4"/>
      <c r="G118" s="2">
        <f t="shared" si="6"/>
        <v>3.847</v>
      </c>
      <c r="H118" s="11" t="str">
        <f t="shared" si="7"/>
        <v>3.469E-2</v>
      </c>
      <c r="I118" s="2">
        <f t="shared" si="8"/>
        <v>47.1</v>
      </c>
      <c r="J118" s="4">
        <f t="shared" si="9"/>
        <v>3.847</v>
      </c>
      <c r="K118" s="9">
        <f t="shared" si="10"/>
        <v>5.70000000000001</v>
      </c>
      <c r="L118" s="1">
        <f t="shared" si="11"/>
        <v>-0.999999999999959</v>
      </c>
    </row>
    <row r="119" s="1" customFormat="1" spans="1:12">
      <c r="A119" s="2">
        <v>3.914</v>
      </c>
      <c r="B119" s="10" t="s">
        <v>205</v>
      </c>
      <c r="C119" s="4">
        <v>3.914</v>
      </c>
      <c r="D119" s="5">
        <v>253.8</v>
      </c>
      <c r="E119" s="4"/>
      <c r="F119" s="4"/>
      <c r="G119" s="2">
        <f t="shared" si="6"/>
        <v>3.88</v>
      </c>
      <c r="H119" s="11" t="str">
        <f t="shared" si="7"/>
        <v>3.476E-2</v>
      </c>
      <c r="I119" s="2">
        <f t="shared" si="8"/>
        <v>48</v>
      </c>
      <c r="J119" s="4">
        <f t="shared" si="9"/>
        <v>3.88</v>
      </c>
      <c r="K119" s="9">
        <f t="shared" si="10"/>
        <v>6.40000000000002</v>
      </c>
      <c r="L119" s="1">
        <f t="shared" si="11"/>
        <v>-0.999999999999959</v>
      </c>
    </row>
    <row r="120" s="1" customFormat="1" spans="1:12">
      <c r="A120" s="2">
        <v>3.947</v>
      </c>
      <c r="B120" s="10" t="s">
        <v>305</v>
      </c>
      <c r="C120" s="4">
        <v>3.947</v>
      </c>
      <c r="D120" s="5">
        <v>253.8</v>
      </c>
      <c r="E120" s="4"/>
      <c r="F120" s="4"/>
      <c r="G120" s="2">
        <f t="shared" si="6"/>
        <v>3.914</v>
      </c>
      <c r="H120" s="11" t="str">
        <f t="shared" si="7"/>
        <v>3.481E-2</v>
      </c>
      <c r="I120" s="2">
        <f t="shared" si="8"/>
        <v>242.4</v>
      </c>
      <c r="J120" s="4">
        <f t="shared" si="9"/>
        <v>3.914</v>
      </c>
      <c r="K120" s="9">
        <f t="shared" si="10"/>
        <v>6.90000000000003</v>
      </c>
      <c r="L120" s="1">
        <f t="shared" si="11"/>
        <v>7.10000000000002</v>
      </c>
    </row>
    <row r="121" s="1" customFormat="1" spans="1:12">
      <c r="A121" s="2">
        <v>3.981</v>
      </c>
      <c r="B121" s="10" t="s">
        <v>205</v>
      </c>
      <c r="C121" s="4">
        <v>3.981</v>
      </c>
      <c r="D121" s="5">
        <v>253.8</v>
      </c>
      <c r="E121" s="4"/>
      <c r="F121" s="4"/>
      <c r="G121" s="2">
        <f t="shared" si="6"/>
        <v>3.947</v>
      </c>
      <c r="H121" s="11" t="str">
        <f t="shared" si="7"/>
        <v>3.482E-2</v>
      </c>
      <c r="I121" s="2">
        <f t="shared" si="8"/>
        <v>253.8</v>
      </c>
      <c r="J121" s="4">
        <f t="shared" si="9"/>
        <v>3.947</v>
      </c>
      <c r="K121" s="9">
        <f t="shared" si="10"/>
        <v>6.99999999999999</v>
      </c>
      <c r="L121" s="1">
        <f t="shared" si="11"/>
        <v>7.10000000000002</v>
      </c>
    </row>
    <row r="122" s="1" customFormat="1" spans="1:12">
      <c r="A122" s="2">
        <v>4.014</v>
      </c>
      <c r="B122" s="10" t="s">
        <v>205</v>
      </c>
      <c r="C122" s="4">
        <v>4.014</v>
      </c>
      <c r="D122" s="5">
        <v>253.5</v>
      </c>
      <c r="E122" s="4"/>
      <c r="F122" s="4"/>
      <c r="G122" s="2">
        <f t="shared" si="6"/>
        <v>3.981</v>
      </c>
      <c r="H122" s="11" t="str">
        <f t="shared" si="7"/>
        <v>3.481E-2</v>
      </c>
      <c r="I122" s="2">
        <f t="shared" si="8"/>
        <v>253.8</v>
      </c>
      <c r="J122" s="4">
        <f t="shared" si="9"/>
        <v>3.981</v>
      </c>
      <c r="K122" s="9">
        <f t="shared" si="10"/>
        <v>6.90000000000003</v>
      </c>
      <c r="L122" s="1">
        <f t="shared" si="11"/>
        <v>7.10000000000002</v>
      </c>
    </row>
    <row r="123" s="1" customFormat="1" spans="1:12">
      <c r="A123" s="2">
        <v>4.047</v>
      </c>
      <c r="B123" s="10" t="s">
        <v>145</v>
      </c>
      <c r="C123" s="4">
        <v>4.047</v>
      </c>
      <c r="D123" s="5">
        <v>253.4</v>
      </c>
      <c r="E123" s="4"/>
      <c r="F123" s="4"/>
      <c r="G123" s="2">
        <f t="shared" si="6"/>
        <v>4.014</v>
      </c>
      <c r="H123" s="11" t="str">
        <f t="shared" si="7"/>
        <v>3.481E-2</v>
      </c>
      <c r="I123" s="2">
        <f t="shared" si="8"/>
        <v>253.8</v>
      </c>
      <c r="J123" s="4">
        <f t="shared" si="9"/>
        <v>4.014</v>
      </c>
      <c r="K123" s="9">
        <f t="shared" si="10"/>
        <v>6.90000000000003</v>
      </c>
      <c r="L123" s="1">
        <f t="shared" si="11"/>
        <v>7.10000000000002</v>
      </c>
    </row>
    <row r="124" s="1" customFormat="1" spans="1:12">
      <c r="A124" s="2">
        <v>4.081</v>
      </c>
      <c r="B124" s="10" t="s">
        <v>109</v>
      </c>
      <c r="C124" s="4">
        <v>4.081</v>
      </c>
      <c r="D124" s="5">
        <v>253.5</v>
      </c>
      <c r="E124" s="4"/>
      <c r="F124" s="4"/>
      <c r="G124" s="2">
        <f t="shared" si="6"/>
        <v>4.047</v>
      </c>
      <c r="H124" s="11" t="str">
        <f t="shared" si="7"/>
        <v>3.479E-2</v>
      </c>
      <c r="I124" s="2">
        <f t="shared" si="8"/>
        <v>253.5</v>
      </c>
      <c r="J124" s="4">
        <f t="shared" si="9"/>
        <v>4.047</v>
      </c>
      <c r="K124" s="9">
        <f t="shared" si="10"/>
        <v>6.70000000000004</v>
      </c>
      <c r="L124" s="1">
        <f t="shared" si="11"/>
        <v>7.10000000000002</v>
      </c>
    </row>
    <row r="125" s="1" customFormat="1" spans="1:12">
      <c r="A125" s="2">
        <v>4.114</v>
      </c>
      <c r="B125" s="10" t="s">
        <v>250</v>
      </c>
      <c r="C125" s="4">
        <v>4.114</v>
      </c>
      <c r="D125" s="5">
        <v>253.5</v>
      </c>
      <c r="E125" s="4"/>
      <c r="F125" s="4"/>
      <c r="G125" s="2">
        <f t="shared" si="6"/>
        <v>4.081</v>
      </c>
      <c r="H125" s="11" t="str">
        <f t="shared" si="7"/>
        <v>3.476E-2</v>
      </c>
      <c r="I125" s="2">
        <f t="shared" si="8"/>
        <v>253.4</v>
      </c>
      <c r="J125" s="4">
        <f t="shared" si="9"/>
        <v>4.081</v>
      </c>
      <c r="K125" s="9">
        <f t="shared" si="10"/>
        <v>6.40000000000002</v>
      </c>
      <c r="L125" s="1">
        <f t="shared" si="11"/>
        <v>7.10000000000002</v>
      </c>
    </row>
    <row r="126" s="1" customFormat="1" spans="1:12">
      <c r="A126" s="2">
        <v>4.148</v>
      </c>
      <c r="B126" s="10" t="s">
        <v>119</v>
      </c>
      <c r="C126" s="4">
        <v>4.148</v>
      </c>
      <c r="D126" s="5">
        <v>253.5</v>
      </c>
      <c r="E126" s="4"/>
      <c r="F126" s="4"/>
      <c r="G126" s="2">
        <f t="shared" si="6"/>
        <v>4.114</v>
      </c>
      <c r="H126" s="11" t="str">
        <f t="shared" si="7"/>
        <v>3.473E-2</v>
      </c>
      <c r="I126" s="2">
        <f t="shared" si="8"/>
        <v>253.5</v>
      </c>
      <c r="J126" s="4">
        <f t="shared" si="9"/>
        <v>4.114</v>
      </c>
      <c r="K126" s="9">
        <f t="shared" si="10"/>
        <v>6.09999999999999</v>
      </c>
      <c r="L126" s="1">
        <f t="shared" si="11"/>
        <v>7.10000000000002</v>
      </c>
    </row>
    <row r="127" s="1" customFormat="1" spans="1:12">
      <c r="A127" s="2">
        <v>4.181</v>
      </c>
      <c r="B127" s="10" t="s">
        <v>217</v>
      </c>
      <c r="C127" s="4">
        <v>4.181</v>
      </c>
      <c r="D127" s="5">
        <v>253.5</v>
      </c>
      <c r="E127" s="4"/>
      <c r="F127" s="4"/>
      <c r="G127" s="2">
        <f t="shared" si="6"/>
        <v>4.148</v>
      </c>
      <c r="H127" s="11" t="str">
        <f t="shared" si="7"/>
        <v>3.471E-2</v>
      </c>
      <c r="I127" s="2">
        <f t="shared" si="8"/>
        <v>253.5</v>
      </c>
      <c r="J127" s="4">
        <f t="shared" si="9"/>
        <v>4.148</v>
      </c>
      <c r="K127" s="9">
        <f t="shared" si="10"/>
        <v>5.9</v>
      </c>
      <c r="L127" s="1">
        <f t="shared" si="11"/>
        <v>7.10000000000002</v>
      </c>
    </row>
    <row r="128" s="1" customFormat="1" spans="1:12">
      <c r="A128" s="2">
        <v>4.215</v>
      </c>
      <c r="B128" s="10" t="s">
        <v>89</v>
      </c>
      <c r="C128" s="4">
        <v>4.215</v>
      </c>
      <c r="D128" s="5">
        <v>253.5</v>
      </c>
      <c r="E128" s="4"/>
      <c r="F128" s="4"/>
      <c r="G128" s="2">
        <f t="shared" si="6"/>
        <v>4.181</v>
      </c>
      <c r="H128" s="11" t="str">
        <f t="shared" si="7"/>
        <v>3.467E-2</v>
      </c>
      <c r="I128" s="2">
        <f t="shared" si="8"/>
        <v>253.5</v>
      </c>
      <c r="J128" s="4">
        <f t="shared" si="9"/>
        <v>4.181</v>
      </c>
      <c r="K128" s="9">
        <f t="shared" si="10"/>
        <v>5.50000000000002</v>
      </c>
      <c r="L128" s="1">
        <f t="shared" si="11"/>
        <v>7.10000000000002</v>
      </c>
    </row>
    <row r="129" s="1" customFormat="1" spans="1:12">
      <c r="A129" s="2">
        <v>4.248</v>
      </c>
      <c r="B129" s="10" t="s">
        <v>220</v>
      </c>
      <c r="C129" s="4">
        <v>4.248</v>
      </c>
      <c r="D129" s="5">
        <v>253.5</v>
      </c>
      <c r="E129" s="4"/>
      <c r="F129" s="4"/>
      <c r="G129" s="2">
        <f t="shared" si="6"/>
        <v>4.215</v>
      </c>
      <c r="H129" s="11" t="str">
        <f t="shared" si="7"/>
        <v>3.462E-2</v>
      </c>
      <c r="I129" s="2">
        <f t="shared" si="8"/>
        <v>253.5</v>
      </c>
      <c r="J129" s="4">
        <f t="shared" si="9"/>
        <v>4.215</v>
      </c>
      <c r="K129" s="9">
        <f t="shared" si="10"/>
        <v>5</v>
      </c>
      <c r="L129" s="1">
        <f t="shared" si="11"/>
        <v>7.10000000000002</v>
      </c>
    </row>
    <row r="130" s="1" customFormat="1" spans="1:12">
      <c r="A130" s="2">
        <v>4.282</v>
      </c>
      <c r="B130" s="10" t="s">
        <v>59</v>
      </c>
      <c r="C130" s="4">
        <v>4.282</v>
      </c>
      <c r="D130" s="5">
        <v>253.5</v>
      </c>
      <c r="E130" s="4"/>
      <c r="F130" s="4"/>
      <c r="G130" s="2">
        <f t="shared" si="6"/>
        <v>4.248</v>
      </c>
      <c r="H130" s="11" t="str">
        <f t="shared" si="7"/>
        <v>3.458E-2</v>
      </c>
      <c r="I130" s="2">
        <f t="shared" si="8"/>
        <v>253.5</v>
      </c>
      <c r="J130" s="4">
        <f t="shared" si="9"/>
        <v>4.248</v>
      </c>
      <c r="K130" s="9">
        <f t="shared" si="10"/>
        <v>4.60000000000002</v>
      </c>
      <c r="L130" s="1">
        <f t="shared" si="11"/>
        <v>7.10000000000002</v>
      </c>
    </row>
    <row r="131" s="1" customFormat="1" spans="1:12">
      <c r="A131" s="2">
        <v>4.315</v>
      </c>
      <c r="B131" s="10" t="s">
        <v>22</v>
      </c>
      <c r="C131" s="4">
        <v>4.315</v>
      </c>
      <c r="D131" s="5">
        <v>47.7</v>
      </c>
      <c r="E131" s="4"/>
      <c r="F131" s="4"/>
      <c r="G131" s="2">
        <f t="shared" si="6"/>
        <v>4.282</v>
      </c>
      <c r="H131" s="11" t="str">
        <f t="shared" si="7"/>
        <v>3.452E-2</v>
      </c>
      <c r="I131" s="2">
        <f t="shared" si="8"/>
        <v>253.5</v>
      </c>
      <c r="J131" s="4">
        <f t="shared" si="9"/>
        <v>4.282</v>
      </c>
      <c r="K131" s="9">
        <f t="shared" si="10"/>
        <v>4.00000000000005</v>
      </c>
      <c r="L131" s="1">
        <f t="shared" si="11"/>
        <v>7.10000000000002</v>
      </c>
    </row>
    <row r="132" s="1" customFormat="1" spans="1:12">
      <c r="A132" s="2">
        <v>4.349</v>
      </c>
      <c r="B132" s="10" t="s">
        <v>11</v>
      </c>
      <c r="C132" s="4">
        <v>4.349</v>
      </c>
      <c r="D132" s="5">
        <v>48</v>
      </c>
      <c r="E132" s="4"/>
      <c r="F132" s="4"/>
      <c r="G132" s="2">
        <f t="shared" ref="G132:G195" si="12">A131</f>
        <v>4.315</v>
      </c>
      <c r="H132" s="11" t="str">
        <f t="shared" ref="H132:H195" si="13">B131</f>
        <v>3.439E-2</v>
      </c>
      <c r="I132" s="2">
        <f t="shared" ref="I132:I195" si="14">D130</f>
        <v>253.5</v>
      </c>
      <c r="J132" s="4">
        <f t="shared" ref="J132:J195" si="15">G132</f>
        <v>4.315</v>
      </c>
      <c r="K132" s="9">
        <f t="shared" ref="K132:K195" si="16">(H132-$H$4)*10000</f>
        <v>2.69999999999999</v>
      </c>
      <c r="L132" s="1">
        <f t="shared" ref="L132:L195" si="17">IF(I132&lt;230,MIN(K:K),MAX(K:K))</f>
        <v>7.10000000000002</v>
      </c>
    </row>
    <row r="133" s="1" customFormat="1" spans="1:12">
      <c r="A133" s="2">
        <v>4.382</v>
      </c>
      <c r="B133" s="10" t="s">
        <v>81</v>
      </c>
      <c r="C133" s="4">
        <v>4.382</v>
      </c>
      <c r="D133" s="5">
        <v>47.7</v>
      </c>
      <c r="E133" s="4"/>
      <c r="F133" s="4"/>
      <c r="G133" s="2">
        <f t="shared" si="12"/>
        <v>4.349</v>
      </c>
      <c r="H133" s="11" t="str">
        <f t="shared" si="13"/>
        <v>3.432E-2</v>
      </c>
      <c r="I133" s="2">
        <f t="shared" si="14"/>
        <v>47.7</v>
      </c>
      <c r="J133" s="4">
        <f t="shared" si="15"/>
        <v>4.349</v>
      </c>
      <c r="K133" s="9">
        <f t="shared" si="16"/>
        <v>2.00000000000006</v>
      </c>
      <c r="L133" s="1">
        <f t="shared" si="17"/>
        <v>-0.999999999999959</v>
      </c>
    </row>
    <row r="134" s="1" customFormat="1" spans="1:12">
      <c r="A134" s="2">
        <v>4.415</v>
      </c>
      <c r="B134" s="10" t="s">
        <v>45</v>
      </c>
      <c r="C134" s="4">
        <v>4.415</v>
      </c>
      <c r="D134" s="5">
        <v>48.2</v>
      </c>
      <c r="E134" s="4"/>
      <c r="F134" s="4"/>
      <c r="G134" s="2">
        <f t="shared" si="12"/>
        <v>4.382</v>
      </c>
      <c r="H134" s="11" t="str">
        <f t="shared" si="13"/>
        <v>3.425E-2</v>
      </c>
      <c r="I134" s="2">
        <f t="shared" si="14"/>
        <v>48</v>
      </c>
      <c r="J134" s="4">
        <f t="shared" si="15"/>
        <v>4.382</v>
      </c>
      <c r="K134" s="9">
        <f t="shared" si="16"/>
        <v>1.30000000000005</v>
      </c>
      <c r="L134" s="1">
        <f t="shared" si="17"/>
        <v>-0.999999999999959</v>
      </c>
    </row>
    <row r="135" s="1" customFormat="1" spans="1:12">
      <c r="A135" s="2">
        <v>4.449</v>
      </c>
      <c r="B135" s="10" t="s">
        <v>269</v>
      </c>
      <c r="C135" s="4">
        <v>4.449</v>
      </c>
      <c r="D135" s="5">
        <v>47.5</v>
      </c>
      <c r="E135" s="4"/>
      <c r="F135" s="4"/>
      <c r="G135" s="2">
        <f t="shared" si="12"/>
        <v>4.415</v>
      </c>
      <c r="H135" s="11" t="str">
        <f t="shared" si="13"/>
        <v>3.415E-2</v>
      </c>
      <c r="I135" s="2">
        <f t="shared" si="14"/>
        <v>47.7</v>
      </c>
      <c r="J135" s="4">
        <f t="shared" si="15"/>
        <v>4.415</v>
      </c>
      <c r="K135" s="9">
        <f t="shared" si="16"/>
        <v>0.300000000000022</v>
      </c>
      <c r="L135" s="1">
        <f t="shared" si="17"/>
        <v>-0.999999999999959</v>
      </c>
    </row>
    <row r="136" s="1" customFormat="1" spans="1:12">
      <c r="A136" s="2">
        <v>4.482</v>
      </c>
      <c r="B136" s="10" t="s">
        <v>116</v>
      </c>
      <c r="C136" s="4">
        <v>4.482</v>
      </c>
      <c r="D136" s="5">
        <v>47.5</v>
      </c>
      <c r="E136" s="4"/>
      <c r="F136" s="4"/>
      <c r="G136" s="2">
        <f t="shared" si="12"/>
        <v>4.449</v>
      </c>
      <c r="H136" s="11" t="str">
        <f t="shared" si="13"/>
        <v>3.410E-2</v>
      </c>
      <c r="I136" s="2">
        <f t="shared" si="14"/>
        <v>48.2</v>
      </c>
      <c r="J136" s="4">
        <f t="shared" si="15"/>
        <v>4.449</v>
      </c>
      <c r="K136" s="9">
        <f t="shared" si="16"/>
        <v>-0.199999999999992</v>
      </c>
      <c r="L136" s="1">
        <f t="shared" si="17"/>
        <v>-0.999999999999959</v>
      </c>
    </row>
    <row r="137" s="1" customFormat="1" spans="1:12">
      <c r="A137" s="2">
        <v>4.516</v>
      </c>
      <c r="B137" s="10" t="s">
        <v>229</v>
      </c>
      <c r="C137" s="4">
        <v>4.516</v>
      </c>
      <c r="D137" s="5">
        <v>47.1</v>
      </c>
      <c r="E137" s="4"/>
      <c r="F137" s="4"/>
      <c r="G137" s="2">
        <f t="shared" si="12"/>
        <v>4.482</v>
      </c>
      <c r="H137" s="11" t="str">
        <f t="shared" si="13"/>
        <v>3.406E-2</v>
      </c>
      <c r="I137" s="2">
        <f t="shared" si="14"/>
        <v>47.5</v>
      </c>
      <c r="J137" s="4">
        <f t="shared" si="15"/>
        <v>4.482</v>
      </c>
      <c r="K137" s="9">
        <f t="shared" si="16"/>
        <v>-0.599999999999976</v>
      </c>
      <c r="L137" s="1">
        <f t="shared" si="17"/>
        <v>-0.999999999999959</v>
      </c>
    </row>
    <row r="138" s="1" customFormat="1" spans="1:12">
      <c r="A138" s="2">
        <v>4.549</v>
      </c>
      <c r="B138" s="10" t="s">
        <v>88</v>
      </c>
      <c r="C138" s="4">
        <v>4.549</v>
      </c>
      <c r="D138" s="5">
        <v>47.4</v>
      </c>
      <c r="E138" s="4"/>
      <c r="F138" s="4"/>
      <c r="G138" s="2">
        <f t="shared" si="12"/>
        <v>4.516</v>
      </c>
      <c r="H138" s="11" t="str">
        <f t="shared" si="13"/>
        <v>3.405E-2</v>
      </c>
      <c r="I138" s="2">
        <f t="shared" si="14"/>
        <v>47.5</v>
      </c>
      <c r="J138" s="4">
        <f t="shared" si="15"/>
        <v>4.516</v>
      </c>
      <c r="K138" s="9">
        <f t="shared" si="16"/>
        <v>-0.700000000000006</v>
      </c>
      <c r="L138" s="1">
        <f t="shared" si="17"/>
        <v>-0.999999999999959</v>
      </c>
    </row>
    <row r="139" s="1" customFormat="1" spans="1:12">
      <c r="A139" s="2">
        <v>4.583</v>
      </c>
      <c r="B139" s="10" t="s">
        <v>116</v>
      </c>
      <c r="C139" s="4">
        <v>4.583</v>
      </c>
      <c r="D139" s="5">
        <v>48</v>
      </c>
      <c r="E139" s="4"/>
      <c r="F139" s="4"/>
      <c r="G139" s="2">
        <f t="shared" si="12"/>
        <v>4.549</v>
      </c>
      <c r="H139" s="11" t="str">
        <f t="shared" si="13"/>
        <v>3.403E-2</v>
      </c>
      <c r="I139" s="2">
        <f t="shared" si="14"/>
        <v>47.1</v>
      </c>
      <c r="J139" s="4">
        <f t="shared" si="15"/>
        <v>4.549</v>
      </c>
      <c r="K139" s="9">
        <f t="shared" si="16"/>
        <v>-0.899999999999998</v>
      </c>
      <c r="L139" s="1">
        <f t="shared" si="17"/>
        <v>-0.999999999999959</v>
      </c>
    </row>
    <row r="140" s="1" customFormat="1" spans="1:12">
      <c r="A140" s="2">
        <v>4.616</v>
      </c>
      <c r="B140" s="10" t="s">
        <v>228</v>
      </c>
      <c r="C140" s="4">
        <v>4.616</v>
      </c>
      <c r="D140" s="5">
        <v>47.8</v>
      </c>
      <c r="E140" s="4"/>
      <c r="F140" s="4"/>
      <c r="G140" s="2">
        <f t="shared" si="12"/>
        <v>4.583</v>
      </c>
      <c r="H140" s="11" t="str">
        <f t="shared" si="13"/>
        <v>3.406E-2</v>
      </c>
      <c r="I140" s="2">
        <f t="shared" si="14"/>
        <v>47.4</v>
      </c>
      <c r="J140" s="4">
        <f t="shared" si="15"/>
        <v>4.583</v>
      </c>
      <c r="K140" s="9">
        <f t="shared" si="16"/>
        <v>-0.599999999999976</v>
      </c>
      <c r="L140" s="1">
        <f t="shared" si="17"/>
        <v>-0.999999999999959</v>
      </c>
    </row>
    <row r="141" s="1" customFormat="1" spans="1:12">
      <c r="A141" s="2">
        <v>4.65</v>
      </c>
      <c r="B141" s="10" t="s">
        <v>230</v>
      </c>
      <c r="C141" s="4">
        <v>4.65</v>
      </c>
      <c r="D141" s="5">
        <v>47.6</v>
      </c>
      <c r="E141" s="4"/>
      <c r="F141" s="4"/>
      <c r="G141" s="2">
        <f t="shared" si="12"/>
        <v>4.616</v>
      </c>
      <c r="H141" s="11" t="str">
        <f t="shared" si="13"/>
        <v>3.407E-2</v>
      </c>
      <c r="I141" s="2">
        <f t="shared" si="14"/>
        <v>48</v>
      </c>
      <c r="J141" s="4">
        <f t="shared" si="15"/>
        <v>4.616</v>
      </c>
      <c r="K141" s="9">
        <f t="shared" si="16"/>
        <v>-0.499999999999945</v>
      </c>
      <c r="L141" s="1">
        <f t="shared" si="17"/>
        <v>-0.999999999999959</v>
      </c>
    </row>
    <row r="142" s="1" customFormat="1" spans="1:12">
      <c r="A142" s="2">
        <v>4.683</v>
      </c>
      <c r="B142" s="10" t="s">
        <v>244</v>
      </c>
      <c r="C142" s="4">
        <v>4.683</v>
      </c>
      <c r="D142" s="5">
        <v>205.1</v>
      </c>
      <c r="E142" s="4"/>
      <c r="F142" s="4"/>
      <c r="G142" s="2">
        <f t="shared" si="12"/>
        <v>4.65</v>
      </c>
      <c r="H142" s="11" t="str">
        <f t="shared" si="13"/>
        <v>3.409E-2</v>
      </c>
      <c r="I142" s="2">
        <f t="shared" si="14"/>
        <v>47.8</v>
      </c>
      <c r="J142" s="4">
        <f t="shared" si="15"/>
        <v>4.65</v>
      </c>
      <c r="K142" s="9">
        <f t="shared" si="16"/>
        <v>-0.299999999999953</v>
      </c>
      <c r="L142" s="1">
        <f t="shared" si="17"/>
        <v>-0.999999999999959</v>
      </c>
    </row>
    <row r="143" s="1" customFormat="1" spans="1:12">
      <c r="A143" s="2">
        <v>4.716</v>
      </c>
      <c r="B143" s="10" t="s">
        <v>82</v>
      </c>
      <c r="C143" s="4">
        <v>4.716</v>
      </c>
      <c r="D143" s="5">
        <v>253.8</v>
      </c>
      <c r="E143" s="4"/>
      <c r="F143" s="4"/>
      <c r="G143" s="2">
        <f t="shared" si="12"/>
        <v>4.683</v>
      </c>
      <c r="H143" s="11" t="str">
        <f t="shared" si="13"/>
        <v>3.411E-2</v>
      </c>
      <c r="I143" s="2">
        <f t="shared" si="14"/>
        <v>47.6</v>
      </c>
      <c r="J143" s="4">
        <f t="shared" si="15"/>
        <v>4.683</v>
      </c>
      <c r="K143" s="9">
        <f t="shared" si="16"/>
        <v>-0.0999999999999612</v>
      </c>
      <c r="L143" s="1">
        <f t="shared" si="17"/>
        <v>-0.999999999999959</v>
      </c>
    </row>
    <row r="144" s="1" customFormat="1" spans="1:12">
      <c r="A144" s="2">
        <v>4.75</v>
      </c>
      <c r="B144" s="10" t="s">
        <v>238</v>
      </c>
      <c r="C144" s="4">
        <v>4.75</v>
      </c>
      <c r="D144" s="5">
        <v>253.7</v>
      </c>
      <c r="E144" s="4"/>
      <c r="F144" s="4"/>
      <c r="G144" s="2">
        <f t="shared" si="12"/>
        <v>4.716</v>
      </c>
      <c r="H144" s="11" t="str">
        <f t="shared" si="13"/>
        <v>3.414E-2</v>
      </c>
      <c r="I144" s="2">
        <f t="shared" si="14"/>
        <v>205.1</v>
      </c>
      <c r="J144" s="4">
        <f t="shared" si="15"/>
        <v>4.716</v>
      </c>
      <c r="K144" s="9">
        <f t="shared" si="16"/>
        <v>0.199999999999992</v>
      </c>
      <c r="L144" s="1">
        <f t="shared" si="17"/>
        <v>-0.999999999999959</v>
      </c>
    </row>
    <row r="145" s="1" customFormat="1" spans="1:12">
      <c r="A145" s="2">
        <v>4.783</v>
      </c>
      <c r="B145" s="10" t="s">
        <v>249</v>
      </c>
      <c r="C145" s="4">
        <v>4.783</v>
      </c>
      <c r="D145" s="5">
        <v>253.7</v>
      </c>
      <c r="E145" s="4"/>
      <c r="F145" s="4"/>
      <c r="G145" s="2">
        <f t="shared" si="12"/>
        <v>4.75</v>
      </c>
      <c r="H145" s="11" t="str">
        <f t="shared" si="13"/>
        <v>3.416E-2</v>
      </c>
      <c r="I145" s="2">
        <f t="shared" si="14"/>
        <v>253.8</v>
      </c>
      <c r="J145" s="4">
        <f t="shared" si="15"/>
        <v>4.75</v>
      </c>
      <c r="K145" s="9">
        <f t="shared" si="16"/>
        <v>0.400000000000053</v>
      </c>
      <c r="L145" s="1">
        <f t="shared" si="17"/>
        <v>7.10000000000002</v>
      </c>
    </row>
    <row r="146" s="1" customFormat="1" spans="1:12">
      <c r="A146" s="2">
        <v>4.817</v>
      </c>
      <c r="B146" s="10" t="s">
        <v>235</v>
      </c>
      <c r="C146" s="4">
        <v>4.817</v>
      </c>
      <c r="D146" s="5">
        <v>253.7</v>
      </c>
      <c r="E146" s="4"/>
      <c r="F146" s="4"/>
      <c r="G146" s="2">
        <f t="shared" si="12"/>
        <v>4.783</v>
      </c>
      <c r="H146" s="11" t="str">
        <f t="shared" si="13"/>
        <v>3.417E-2</v>
      </c>
      <c r="I146" s="2">
        <f t="shared" si="14"/>
        <v>253.7</v>
      </c>
      <c r="J146" s="4">
        <f t="shared" si="15"/>
        <v>4.783</v>
      </c>
      <c r="K146" s="9">
        <f t="shared" si="16"/>
        <v>0.500000000000014</v>
      </c>
      <c r="L146" s="1">
        <f t="shared" si="17"/>
        <v>7.10000000000002</v>
      </c>
    </row>
    <row r="147" s="1" customFormat="1" spans="1:12">
      <c r="A147" s="2">
        <v>4.85</v>
      </c>
      <c r="B147" s="10" t="s">
        <v>44</v>
      </c>
      <c r="C147" s="4">
        <v>4.85</v>
      </c>
      <c r="D147" s="5">
        <v>253.7</v>
      </c>
      <c r="E147" s="4"/>
      <c r="F147" s="4"/>
      <c r="G147" s="2">
        <f t="shared" si="12"/>
        <v>4.817</v>
      </c>
      <c r="H147" s="11" t="str">
        <f t="shared" si="13"/>
        <v>3.420E-2</v>
      </c>
      <c r="I147" s="2">
        <f t="shared" si="14"/>
        <v>253.7</v>
      </c>
      <c r="J147" s="4">
        <f t="shared" si="15"/>
        <v>4.817</v>
      </c>
      <c r="K147" s="9">
        <f t="shared" si="16"/>
        <v>0.800000000000037</v>
      </c>
      <c r="L147" s="1">
        <f t="shared" si="17"/>
        <v>7.10000000000002</v>
      </c>
    </row>
    <row r="148" s="1" customFormat="1" spans="1:12">
      <c r="A148" s="2">
        <v>4.884</v>
      </c>
      <c r="B148" s="10" t="s">
        <v>17</v>
      </c>
      <c r="C148" s="4">
        <v>4.884</v>
      </c>
      <c r="D148" s="5">
        <v>253.7</v>
      </c>
      <c r="E148" s="4"/>
      <c r="F148" s="4"/>
      <c r="G148" s="2">
        <f t="shared" si="12"/>
        <v>4.85</v>
      </c>
      <c r="H148" s="11" t="str">
        <f t="shared" si="13"/>
        <v>3.422E-2</v>
      </c>
      <c r="I148" s="2">
        <f t="shared" si="14"/>
        <v>253.7</v>
      </c>
      <c r="J148" s="4">
        <f t="shared" si="15"/>
        <v>4.85</v>
      </c>
      <c r="K148" s="9">
        <f t="shared" si="16"/>
        <v>1.00000000000003</v>
      </c>
      <c r="L148" s="1">
        <f t="shared" si="17"/>
        <v>7.10000000000002</v>
      </c>
    </row>
    <row r="149" s="1" customFormat="1" spans="1:12">
      <c r="A149" s="2">
        <v>4.917</v>
      </c>
      <c r="B149" s="10" t="s">
        <v>16</v>
      </c>
      <c r="C149" s="4">
        <v>4.917</v>
      </c>
      <c r="D149" s="5">
        <v>253.7</v>
      </c>
      <c r="E149" s="4"/>
      <c r="F149" s="4"/>
      <c r="G149" s="2">
        <f t="shared" si="12"/>
        <v>4.884</v>
      </c>
      <c r="H149" s="11" t="str">
        <f t="shared" si="13"/>
        <v>3.423E-2</v>
      </c>
      <c r="I149" s="2">
        <f t="shared" si="14"/>
        <v>253.7</v>
      </c>
      <c r="J149" s="4">
        <f t="shared" si="15"/>
        <v>4.884</v>
      </c>
      <c r="K149" s="9">
        <f t="shared" si="16"/>
        <v>1.09999999999999</v>
      </c>
      <c r="L149" s="1">
        <f t="shared" si="17"/>
        <v>7.10000000000002</v>
      </c>
    </row>
    <row r="150" s="1" customFormat="1" spans="1:12">
      <c r="A150" s="2">
        <v>4.951</v>
      </c>
      <c r="B150" s="10" t="s">
        <v>15</v>
      </c>
      <c r="C150" s="4">
        <v>4.951</v>
      </c>
      <c r="D150" s="5">
        <v>253.8</v>
      </c>
      <c r="E150" s="4"/>
      <c r="F150" s="4"/>
      <c r="G150" s="2">
        <f t="shared" si="12"/>
        <v>4.917</v>
      </c>
      <c r="H150" s="11" t="str">
        <f t="shared" si="13"/>
        <v>3.426E-2</v>
      </c>
      <c r="I150" s="2">
        <f t="shared" si="14"/>
        <v>253.7</v>
      </c>
      <c r="J150" s="4">
        <f t="shared" si="15"/>
        <v>4.917</v>
      </c>
      <c r="K150" s="9">
        <f t="shared" si="16"/>
        <v>1.40000000000001</v>
      </c>
      <c r="L150" s="1">
        <f t="shared" si="17"/>
        <v>7.10000000000002</v>
      </c>
    </row>
    <row r="151" s="1" customFormat="1" spans="1:12">
      <c r="A151" s="2">
        <v>4.984</v>
      </c>
      <c r="B151" s="10" t="s">
        <v>20</v>
      </c>
      <c r="C151" s="4">
        <v>4.984</v>
      </c>
      <c r="D151" s="5">
        <v>253.7</v>
      </c>
      <c r="E151" s="4"/>
      <c r="F151" s="4"/>
      <c r="G151" s="2">
        <f t="shared" si="12"/>
        <v>4.951</v>
      </c>
      <c r="H151" s="11" t="str">
        <f t="shared" si="13"/>
        <v>3.427E-2</v>
      </c>
      <c r="I151" s="2">
        <f t="shared" si="14"/>
        <v>253.7</v>
      </c>
      <c r="J151" s="4">
        <f t="shared" si="15"/>
        <v>4.951</v>
      </c>
      <c r="K151" s="9">
        <f t="shared" si="16"/>
        <v>1.50000000000004</v>
      </c>
      <c r="L151" s="1">
        <f t="shared" si="17"/>
        <v>7.10000000000002</v>
      </c>
    </row>
    <row r="152" s="1" customFormat="1" spans="1:12">
      <c r="A152" s="2">
        <v>5.018</v>
      </c>
      <c r="B152" s="10" t="s">
        <v>58</v>
      </c>
      <c r="C152" s="4">
        <v>5.018</v>
      </c>
      <c r="D152" s="5">
        <v>253.8</v>
      </c>
      <c r="E152" s="4"/>
      <c r="F152" s="4"/>
      <c r="G152" s="2">
        <f t="shared" si="12"/>
        <v>4.984</v>
      </c>
      <c r="H152" s="11" t="str">
        <f t="shared" si="13"/>
        <v>3.430E-2</v>
      </c>
      <c r="I152" s="2">
        <f t="shared" si="14"/>
        <v>253.8</v>
      </c>
      <c r="J152" s="4">
        <f t="shared" si="15"/>
        <v>4.984</v>
      </c>
      <c r="K152" s="9">
        <f t="shared" si="16"/>
        <v>1.8</v>
      </c>
      <c r="L152" s="1">
        <f t="shared" si="17"/>
        <v>7.10000000000002</v>
      </c>
    </row>
    <row r="153" s="1" customFormat="1" spans="1:12">
      <c r="A153" s="2">
        <v>5.051</v>
      </c>
      <c r="B153" s="10" t="s">
        <v>24</v>
      </c>
      <c r="C153" s="4">
        <v>5.051</v>
      </c>
      <c r="D153" s="5">
        <v>253.8</v>
      </c>
      <c r="E153" s="4"/>
      <c r="F153" s="4"/>
      <c r="G153" s="2">
        <f t="shared" si="12"/>
        <v>5.018</v>
      </c>
      <c r="H153" s="11" t="str">
        <f t="shared" si="13"/>
        <v>3.440E-2</v>
      </c>
      <c r="I153" s="2">
        <f t="shared" si="14"/>
        <v>253.7</v>
      </c>
      <c r="J153" s="4">
        <f t="shared" si="15"/>
        <v>5.018</v>
      </c>
      <c r="K153" s="9">
        <f t="shared" si="16"/>
        <v>2.80000000000002</v>
      </c>
      <c r="L153" s="1">
        <f t="shared" si="17"/>
        <v>7.10000000000002</v>
      </c>
    </row>
    <row r="154" s="1" customFormat="1" spans="1:12">
      <c r="A154" s="2">
        <v>5.084</v>
      </c>
      <c r="B154" s="10" t="s">
        <v>221</v>
      </c>
      <c r="C154" s="4">
        <v>5.084</v>
      </c>
      <c r="D154" s="5">
        <v>253.8</v>
      </c>
      <c r="E154" s="4"/>
      <c r="F154" s="4"/>
      <c r="G154" s="2">
        <f t="shared" si="12"/>
        <v>5.051</v>
      </c>
      <c r="H154" s="11" t="str">
        <f t="shared" si="13"/>
        <v>3.445E-2</v>
      </c>
      <c r="I154" s="2">
        <f t="shared" si="14"/>
        <v>253.8</v>
      </c>
      <c r="J154" s="4">
        <f t="shared" si="15"/>
        <v>5.051</v>
      </c>
      <c r="K154" s="9">
        <f t="shared" si="16"/>
        <v>3.30000000000004</v>
      </c>
      <c r="L154" s="1">
        <f t="shared" si="17"/>
        <v>7.10000000000002</v>
      </c>
    </row>
    <row r="155" s="1" customFormat="1" spans="1:12">
      <c r="A155" s="2">
        <v>5.118</v>
      </c>
      <c r="B155" s="10" t="s">
        <v>26</v>
      </c>
      <c r="C155" s="4">
        <v>5.118</v>
      </c>
      <c r="D155" s="5">
        <v>67.6</v>
      </c>
      <c r="E155" s="4"/>
      <c r="F155" s="4"/>
      <c r="G155" s="2">
        <f t="shared" si="12"/>
        <v>5.084</v>
      </c>
      <c r="H155" s="11" t="str">
        <f t="shared" si="13"/>
        <v>3.448E-2</v>
      </c>
      <c r="I155" s="2">
        <f t="shared" si="14"/>
        <v>253.8</v>
      </c>
      <c r="J155" s="4">
        <f t="shared" si="15"/>
        <v>5.084</v>
      </c>
      <c r="K155" s="9">
        <f t="shared" si="16"/>
        <v>3.59999999999999</v>
      </c>
      <c r="L155" s="1">
        <f t="shared" si="17"/>
        <v>7.10000000000002</v>
      </c>
    </row>
    <row r="156" s="1" customFormat="1" spans="1:12">
      <c r="A156" s="2">
        <v>5.151</v>
      </c>
      <c r="B156" s="10" t="s">
        <v>140</v>
      </c>
      <c r="C156" s="4">
        <v>5.151</v>
      </c>
      <c r="D156" s="5">
        <v>67</v>
      </c>
      <c r="E156" s="4"/>
      <c r="F156" s="4"/>
      <c r="G156" s="2">
        <f t="shared" si="12"/>
        <v>5.118</v>
      </c>
      <c r="H156" s="11" t="str">
        <f t="shared" si="13"/>
        <v>3.451E-2</v>
      </c>
      <c r="I156" s="2">
        <f t="shared" si="14"/>
        <v>253.8</v>
      </c>
      <c r="J156" s="4">
        <f t="shared" si="15"/>
        <v>5.118</v>
      </c>
      <c r="K156" s="9">
        <f t="shared" si="16"/>
        <v>3.90000000000001</v>
      </c>
      <c r="L156" s="1">
        <f t="shared" si="17"/>
        <v>7.10000000000002</v>
      </c>
    </row>
    <row r="157" s="1" customFormat="1" spans="1:12">
      <c r="A157" s="2">
        <v>5.185</v>
      </c>
      <c r="B157" s="10" t="s">
        <v>223</v>
      </c>
      <c r="C157" s="4">
        <v>5.185</v>
      </c>
      <c r="D157" s="5">
        <v>66.6</v>
      </c>
      <c r="E157" s="4"/>
      <c r="F157" s="4"/>
      <c r="G157" s="2">
        <f t="shared" si="12"/>
        <v>5.151</v>
      </c>
      <c r="H157" s="11" t="str">
        <f t="shared" si="13"/>
        <v>3.454E-2</v>
      </c>
      <c r="I157" s="2">
        <f t="shared" si="14"/>
        <v>67.6</v>
      </c>
      <c r="J157" s="4">
        <f t="shared" si="15"/>
        <v>5.151</v>
      </c>
      <c r="K157" s="9">
        <f t="shared" si="16"/>
        <v>4.20000000000004</v>
      </c>
      <c r="L157" s="1">
        <f t="shared" si="17"/>
        <v>-0.999999999999959</v>
      </c>
    </row>
    <row r="158" s="1" customFormat="1" spans="1:12">
      <c r="A158" s="2">
        <v>5.218</v>
      </c>
      <c r="B158" s="10" t="s">
        <v>110</v>
      </c>
      <c r="C158" s="4">
        <v>5.218</v>
      </c>
      <c r="D158" s="5">
        <v>66.3</v>
      </c>
      <c r="E158" s="4"/>
      <c r="F158" s="4"/>
      <c r="G158" s="2">
        <f t="shared" si="12"/>
        <v>5.185</v>
      </c>
      <c r="H158" s="11" t="str">
        <f t="shared" si="13"/>
        <v>3.455E-2</v>
      </c>
      <c r="I158" s="2">
        <f t="shared" si="14"/>
        <v>67</v>
      </c>
      <c r="J158" s="4">
        <f t="shared" si="15"/>
        <v>5.185</v>
      </c>
      <c r="K158" s="9">
        <f t="shared" si="16"/>
        <v>4.3</v>
      </c>
      <c r="L158" s="1">
        <f t="shared" si="17"/>
        <v>-0.999999999999959</v>
      </c>
    </row>
    <row r="159" s="1" customFormat="1" spans="1:12">
      <c r="A159" s="2">
        <v>5.252</v>
      </c>
      <c r="B159" s="10" t="s">
        <v>168</v>
      </c>
      <c r="C159" s="4">
        <v>5.252</v>
      </c>
      <c r="D159" s="5">
        <v>65.6</v>
      </c>
      <c r="E159" s="4"/>
      <c r="F159" s="4"/>
      <c r="G159" s="2">
        <f t="shared" si="12"/>
        <v>5.218</v>
      </c>
      <c r="H159" s="11" t="str">
        <f t="shared" si="13"/>
        <v>3.457E-2</v>
      </c>
      <c r="I159" s="2">
        <f t="shared" si="14"/>
        <v>66.6</v>
      </c>
      <c r="J159" s="4">
        <f t="shared" si="15"/>
        <v>5.218</v>
      </c>
      <c r="K159" s="9">
        <f t="shared" si="16"/>
        <v>4.49999999999999</v>
      </c>
      <c r="L159" s="1">
        <f t="shared" si="17"/>
        <v>-0.999999999999959</v>
      </c>
    </row>
    <row r="160" s="1" customFormat="1" spans="1:12">
      <c r="A160" s="2">
        <v>5.285</v>
      </c>
      <c r="B160" s="10" t="s">
        <v>170</v>
      </c>
      <c r="C160" s="4">
        <v>5.285</v>
      </c>
      <c r="D160" s="5">
        <v>64.9</v>
      </c>
      <c r="E160" s="4"/>
      <c r="F160" s="4"/>
      <c r="G160" s="2">
        <f t="shared" si="12"/>
        <v>5.252</v>
      </c>
      <c r="H160" s="11" t="str">
        <f t="shared" si="13"/>
        <v>3.459E-2</v>
      </c>
      <c r="I160" s="2">
        <f t="shared" si="14"/>
        <v>66.3</v>
      </c>
      <c r="J160" s="4">
        <f t="shared" si="15"/>
        <v>5.252</v>
      </c>
      <c r="K160" s="9">
        <f t="shared" si="16"/>
        <v>4.70000000000005</v>
      </c>
      <c r="L160" s="1">
        <f t="shared" si="17"/>
        <v>-0.999999999999959</v>
      </c>
    </row>
    <row r="161" s="1" customFormat="1" spans="1:12">
      <c r="A161" s="2">
        <v>5.319</v>
      </c>
      <c r="B161" s="10" t="s">
        <v>171</v>
      </c>
      <c r="C161" s="4">
        <v>5.319</v>
      </c>
      <c r="D161" s="5">
        <v>63.9</v>
      </c>
      <c r="E161" s="4"/>
      <c r="F161" s="4"/>
      <c r="G161" s="2">
        <f t="shared" si="12"/>
        <v>5.285</v>
      </c>
      <c r="H161" s="11" t="str">
        <f t="shared" si="13"/>
        <v>3.469E-2</v>
      </c>
      <c r="I161" s="2">
        <f t="shared" si="14"/>
        <v>65.6</v>
      </c>
      <c r="J161" s="4">
        <f t="shared" si="15"/>
        <v>5.285</v>
      </c>
      <c r="K161" s="9">
        <f t="shared" si="16"/>
        <v>5.70000000000001</v>
      </c>
      <c r="L161" s="1">
        <f t="shared" si="17"/>
        <v>-0.999999999999959</v>
      </c>
    </row>
    <row r="162" s="1" customFormat="1" spans="1:12">
      <c r="A162" s="2">
        <v>5.352</v>
      </c>
      <c r="B162" s="10" t="s">
        <v>243</v>
      </c>
      <c r="C162" s="4">
        <v>5.352</v>
      </c>
      <c r="D162" s="5">
        <v>63.4</v>
      </c>
      <c r="E162" s="4"/>
      <c r="F162" s="4"/>
      <c r="G162" s="2">
        <f t="shared" si="12"/>
        <v>5.319</v>
      </c>
      <c r="H162" s="11" t="str">
        <f t="shared" si="13"/>
        <v>3.474E-2</v>
      </c>
      <c r="I162" s="2">
        <f t="shared" si="14"/>
        <v>64.9</v>
      </c>
      <c r="J162" s="4">
        <f t="shared" si="15"/>
        <v>5.319</v>
      </c>
      <c r="K162" s="9">
        <f t="shared" si="16"/>
        <v>6.20000000000003</v>
      </c>
      <c r="L162" s="1">
        <f t="shared" si="17"/>
        <v>-0.999999999999959</v>
      </c>
    </row>
    <row r="163" s="1" customFormat="1" spans="1:12">
      <c r="A163" s="2">
        <v>5.385</v>
      </c>
      <c r="B163" s="10" t="s">
        <v>305</v>
      </c>
      <c r="C163" s="4">
        <v>5.385</v>
      </c>
      <c r="D163" s="5">
        <v>62.4</v>
      </c>
      <c r="E163" s="4"/>
      <c r="F163" s="4"/>
      <c r="G163" s="2">
        <f t="shared" si="12"/>
        <v>5.352</v>
      </c>
      <c r="H163" s="11" t="str">
        <f t="shared" si="13"/>
        <v>3.480E-2</v>
      </c>
      <c r="I163" s="2">
        <f t="shared" si="14"/>
        <v>63.9</v>
      </c>
      <c r="J163" s="4">
        <f t="shared" si="15"/>
        <v>5.352</v>
      </c>
      <c r="K163" s="9">
        <f t="shared" si="16"/>
        <v>6.8</v>
      </c>
      <c r="L163" s="1">
        <f t="shared" si="17"/>
        <v>-0.999999999999959</v>
      </c>
    </row>
    <row r="164" s="1" customFormat="1" spans="1:12">
      <c r="A164" s="2">
        <v>5.419</v>
      </c>
      <c r="B164" s="10" t="s">
        <v>60</v>
      </c>
      <c r="C164" s="4">
        <v>5.419</v>
      </c>
      <c r="D164" s="5">
        <v>61.5</v>
      </c>
      <c r="E164" s="4"/>
      <c r="F164" s="4"/>
      <c r="G164" s="2">
        <f t="shared" si="12"/>
        <v>5.385</v>
      </c>
      <c r="H164" s="11" t="str">
        <f t="shared" si="13"/>
        <v>3.482E-2</v>
      </c>
      <c r="I164" s="2">
        <f t="shared" si="14"/>
        <v>63.4</v>
      </c>
      <c r="J164" s="4">
        <f t="shared" si="15"/>
        <v>5.385</v>
      </c>
      <c r="K164" s="9">
        <f t="shared" si="16"/>
        <v>6.99999999999999</v>
      </c>
      <c r="L164" s="1">
        <f t="shared" si="17"/>
        <v>-0.999999999999959</v>
      </c>
    </row>
    <row r="165" s="1" customFormat="1" spans="1:12">
      <c r="A165" s="2">
        <v>5.452</v>
      </c>
      <c r="B165" s="10" t="s">
        <v>60</v>
      </c>
      <c r="C165" s="4">
        <v>5.452</v>
      </c>
      <c r="D165" s="5">
        <v>60.5</v>
      </c>
      <c r="E165" s="4"/>
      <c r="F165" s="4"/>
      <c r="G165" s="2">
        <f t="shared" si="12"/>
        <v>5.419</v>
      </c>
      <c r="H165" s="11" t="str">
        <f t="shared" si="13"/>
        <v>3.483E-2</v>
      </c>
      <c r="I165" s="2">
        <f t="shared" si="14"/>
        <v>62.4</v>
      </c>
      <c r="J165" s="4">
        <f t="shared" si="15"/>
        <v>5.419</v>
      </c>
      <c r="K165" s="9">
        <f t="shared" si="16"/>
        <v>7.10000000000002</v>
      </c>
      <c r="L165" s="1">
        <f t="shared" si="17"/>
        <v>-0.999999999999959</v>
      </c>
    </row>
    <row r="166" s="1" customFormat="1" spans="1:12">
      <c r="A166" s="2">
        <v>5.486</v>
      </c>
      <c r="B166" s="10" t="s">
        <v>205</v>
      </c>
      <c r="C166" s="4">
        <v>5.486</v>
      </c>
      <c r="D166" s="5">
        <v>60.3</v>
      </c>
      <c r="E166" s="4"/>
      <c r="F166" s="4"/>
      <c r="G166" s="2">
        <f t="shared" si="12"/>
        <v>5.452</v>
      </c>
      <c r="H166" s="11" t="str">
        <f t="shared" si="13"/>
        <v>3.483E-2</v>
      </c>
      <c r="I166" s="2">
        <f t="shared" si="14"/>
        <v>61.5</v>
      </c>
      <c r="J166" s="4">
        <f t="shared" si="15"/>
        <v>5.452</v>
      </c>
      <c r="K166" s="9">
        <f t="shared" si="16"/>
        <v>7.10000000000002</v>
      </c>
      <c r="L166" s="1">
        <f t="shared" si="17"/>
        <v>-0.999999999999959</v>
      </c>
    </row>
    <row r="167" s="1" customFormat="1" spans="1:12">
      <c r="A167" s="2">
        <v>5.519</v>
      </c>
      <c r="B167" s="10" t="s">
        <v>243</v>
      </c>
      <c r="C167" s="4">
        <v>5.519</v>
      </c>
      <c r="D167" s="5">
        <v>59.7</v>
      </c>
      <c r="E167" s="4"/>
      <c r="F167" s="4"/>
      <c r="G167" s="2">
        <f t="shared" si="12"/>
        <v>5.486</v>
      </c>
      <c r="H167" s="11" t="str">
        <f t="shared" si="13"/>
        <v>3.481E-2</v>
      </c>
      <c r="I167" s="2">
        <f t="shared" si="14"/>
        <v>60.5</v>
      </c>
      <c r="J167" s="4">
        <f t="shared" si="15"/>
        <v>5.486</v>
      </c>
      <c r="K167" s="9">
        <f t="shared" si="16"/>
        <v>6.90000000000003</v>
      </c>
      <c r="L167" s="1">
        <f t="shared" si="17"/>
        <v>-0.999999999999959</v>
      </c>
    </row>
    <row r="168" s="1" customFormat="1" spans="1:12">
      <c r="A168" s="2">
        <v>5.553</v>
      </c>
      <c r="B168" s="10" t="s">
        <v>145</v>
      </c>
      <c r="C168" s="4">
        <v>5.553</v>
      </c>
      <c r="D168" s="5">
        <v>58.8</v>
      </c>
      <c r="E168" s="4"/>
      <c r="F168" s="4"/>
      <c r="G168" s="2">
        <f t="shared" si="12"/>
        <v>5.519</v>
      </c>
      <c r="H168" s="11" t="str">
        <f t="shared" si="13"/>
        <v>3.480E-2</v>
      </c>
      <c r="I168" s="2">
        <f t="shared" si="14"/>
        <v>60.3</v>
      </c>
      <c r="J168" s="4">
        <f t="shared" si="15"/>
        <v>5.519</v>
      </c>
      <c r="K168" s="9">
        <f t="shared" si="16"/>
        <v>6.8</v>
      </c>
      <c r="L168" s="1">
        <f t="shared" si="17"/>
        <v>-0.999999999999959</v>
      </c>
    </row>
    <row r="169" s="1" customFormat="1" spans="1:12">
      <c r="A169" s="2">
        <v>5.586</v>
      </c>
      <c r="B169" s="10" t="s">
        <v>172</v>
      </c>
      <c r="C169" s="4">
        <v>5.586</v>
      </c>
      <c r="D169" s="5">
        <v>58.2</v>
      </c>
      <c r="E169" s="4"/>
      <c r="F169" s="4"/>
      <c r="G169" s="2">
        <f t="shared" si="12"/>
        <v>5.553</v>
      </c>
      <c r="H169" s="11" t="str">
        <f t="shared" si="13"/>
        <v>3.479E-2</v>
      </c>
      <c r="I169" s="2">
        <f t="shared" si="14"/>
        <v>59.7</v>
      </c>
      <c r="J169" s="4">
        <f t="shared" si="15"/>
        <v>5.553</v>
      </c>
      <c r="K169" s="9">
        <f t="shared" si="16"/>
        <v>6.70000000000004</v>
      </c>
      <c r="L169" s="1">
        <f t="shared" si="17"/>
        <v>-0.999999999999959</v>
      </c>
    </row>
    <row r="170" s="1" customFormat="1" spans="1:12">
      <c r="A170" s="2">
        <v>5.62</v>
      </c>
      <c r="B170" s="10" t="s">
        <v>202</v>
      </c>
      <c r="C170" s="4">
        <v>5.62</v>
      </c>
      <c r="D170" s="5">
        <v>57.3</v>
      </c>
      <c r="E170" s="4"/>
      <c r="F170" s="4"/>
      <c r="G170" s="2">
        <f t="shared" si="12"/>
        <v>5.586</v>
      </c>
      <c r="H170" s="11" t="str">
        <f t="shared" si="13"/>
        <v>3.477E-2</v>
      </c>
      <c r="I170" s="2">
        <f t="shared" si="14"/>
        <v>58.8</v>
      </c>
      <c r="J170" s="4">
        <f t="shared" si="15"/>
        <v>5.586</v>
      </c>
      <c r="K170" s="9">
        <f t="shared" si="16"/>
        <v>6.50000000000005</v>
      </c>
      <c r="L170" s="1">
        <f t="shared" si="17"/>
        <v>-0.999999999999959</v>
      </c>
    </row>
    <row r="171" s="1" customFormat="1" spans="1:12">
      <c r="A171" s="2">
        <v>5.653</v>
      </c>
      <c r="B171" s="10" t="s">
        <v>80</v>
      </c>
      <c r="C171" s="4">
        <v>5.653</v>
      </c>
      <c r="D171" s="5">
        <v>57</v>
      </c>
      <c r="E171" s="4"/>
      <c r="F171" s="4"/>
      <c r="G171" s="2">
        <f t="shared" si="12"/>
        <v>5.62</v>
      </c>
      <c r="H171" s="11" t="str">
        <f t="shared" si="13"/>
        <v>3.475E-2</v>
      </c>
      <c r="I171" s="2">
        <f t="shared" si="14"/>
        <v>58.2</v>
      </c>
      <c r="J171" s="4">
        <f t="shared" si="15"/>
        <v>5.62</v>
      </c>
      <c r="K171" s="9">
        <f t="shared" si="16"/>
        <v>6.30000000000006</v>
      </c>
      <c r="L171" s="1">
        <f t="shared" si="17"/>
        <v>-0.999999999999959</v>
      </c>
    </row>
    <row r="172" s="1" customFormat="1" spans="1:12">
      <c r="A172" s="2">
        <v>5.687</v>
      </c>
      <c r="B172" s="10" t="s">
        <v>28</v>
      </c>
      <c r="C172" s="4">
        <v>5.687</v>
      </c>
      <c r="D172" s="5">
        <v>56.2</v>
      </c>
      <c r="E172" s="4"/>
      <c r="F172" s="4"/>
      <c r="G172" s="2">
        <f t="shared" si="12"/>
        <v>5.653</v>
      </c>
      <c r="H172" s="11" t="str">
        <f t="shared" si="13"/>
        <v>3.472E-2</v>
      </c>
      <c r="I172" s="2">
        <f t="shared" si="14"/>
        <v>57.3</v>
      </c>
      <c r="J172" s="4">
        <f t="shared" si="15"/>
        <v>5.653</v>
      </c>
      <c r="K172" s="9">
        <f t="shared" si="16"/>
        <v>6.00000000000003</v>
      </c>
      <c r="L172" s="1">
        <f t="shared" si="17"/>
        <v>-0.999999999999959</v>
      </c>
    </row>
    <row r="173" s="1" customFormat="1" spans="1:12">
      <c r="A173" s="2">
        <v>5.72</v>
      </c>
      <c r="B173" s="10" t="s">
        <v>217</v>
      </c>
      <c r="C173" s="4">
        <v>5.72</v>
      </c>
      <c r="D173" s="5">
        <v>55.6</v>
      </c>
      <c r="E173" s="4"/>
      <c r="F173" s="4"/>
      <c r="G173" s="2">
        <f t="shared" si="12"/>
        <v>5.687</v>
      </c>
      <c r="H173" s="11" t="str">
        <f t="shared" si="13"/>
        <v>3.470E-2</v>
      </c>
      <c r="I173" s="2">
        <f t="shared" si="14"/>
        <v>57</v>
      </c>
      <c r="J173" s="4">
        <f t="shared" si="15"/>
        <v>5.687</v>
      </c>
      <c r="K173" s="9">
        <f t="shared" si="16"/>
        <v>5.80000000000004</v>
      </c>
      <c r="L173" s="1">
        <f t="shared" si="17"/>
        <v>-0.999999999999959</v>
      </c>
    </row>
    <row r="174" s="1" customFormat="1" spans="1:12">
      <c r="A174" s="2">
        <v>5.753</v>
      </c>
      <c r="B174" s="10" t="s">
        <v>166</v>
      </c>
      <c r="C174" s="4">
        <v>5.753</v>
      </c>
      <c r="D174" s="5">
        <v>55.3</v>
      </c>
      <c r="E174" s="4"/>
      <c r="F174" s="4"/>
      <c r="G174" s="2">
        <f t="shared" si="12"/>
        <v>5.72</v>
      </c>
      <c r="H174" s="11" t="str">
        <f t="shared" si="13"/>
        <v>3.467E-2</v>
      </c>
      <c r="I174" s="2">
        <f t="shared" si="14"/>
        <v>56.2</v>
      </c>
      <c r="J174" s="4">
        <f t="shared" si="15"/>
        <v>5.72</v>
      </c>
      <c r="K174" s="9">
        <f t="shared" si="16"/>
        <v>5.50000000000002</v>
      </c>
      <c r="L174" s="1">
        <f t="shared" si="17"/>
        <v>-0.999999999999959</v>
      </c>
    </row>
    <row r="175" s="1" customFormat="1" spans="1:12">
      <c r="A175" s="2">
        <v>5.787</v>
      </c>
      <c r="B175" s="10" t="s">
        <v>27</v>
      </c>
      <c r="C175" s="4">
        <v>5.787</v>
      </c>
      <c r="D175" s="5">
        <v>53.9</v>
      </c>
      <c r="E175" s="4"/>
      <c r="F175" s="4"/>
      <c r="G175" s="2">
        <f t="shared" si="12"/>
        <v>5.753</v>
      </c>
      <c r="H175" s="11" t="str">
        <f t="shared" si="13"/>
        <v>3.465E-2</v>
      </c>
      <c r="I175" s="2">
        <f t="shared" si="14"/>
        <v>55.6</v>
      </c>
      <c r="J175" s="4">
        <f t="shared" si="15"/>
        <v>5.753</v>
      </c>
      <c r="K175" s="9">
        <f t="shared" si="16"/>
        <v>5.30000000000003</v>
      </c>
      <c r="L175" s="1">
        <f t="shared" si="17"/>
        <v>-0.999999999999959</v>
      </c>
    </row>
    <row r="176" s="1" customFormat="1" spans="1:12">
      <c r="A176" s="2">
        <v>5.82</v>
      </c>
      <c r="B176" s="10" t="s">
        <v>169</v>
      </c>
      <c r="C176" s="4">
        <v>5.82</v>
      </c>
      <c r="D176" s="5">
        <v>53.4</v>
      </c>
      <c r="E176" s="4"/>
      <c r="F176" s="4"/>
      <c r="G176" s="2">
        <f t="shared" si="12"/>
        <v>5.787</v>
      </c>
      <c r="H176" s="11" t="str">
        <f t="shared" si="13"/>
        <v>3.463E-2</v>
      </c>
      <c r="I176" s="2">
        <f t="shared" si="14"/>
        <v>55.3</v>
      </c>
      <c r="J176" s="4">
        <f t="shared" si="15"/>
        <v>5.787</v>
      </c>
      <c r="K176" s="9">
        <f t="shared" si="16"/>
        <v>5.10000000000004</v>
      </c>
      <c r="L176" s="1">
        <f t="shared" si="17"/>
        <v>-0.999999999999959</v>
      </c>
    </row>
    <row r="177" s="1" customFormat="1" spans="1:12">
      <c r="A177" s="2">
        <v>5.854</v>
      </c>
      <c r="B177" s="10" t="s">
        <v>168</v>
      </c>
      <c r="C177" s="4">
        <v>5.854</v>
      </c>
      <c r="D177" s="5">
        <v>53.2</v>
      </c>
      <c r="E177" s="4"/>
      <c r="F177" s="4"/>
      <c r="G177" s="2">
        <f t="shared" si="12"/>
        <v>5.82</v>
      </c>
      <c r="H177" s="11" t="str">
        <f t="shared" si="13"/>
        <v>3.461E-2</v>
      </c>
      <c r="I177" s="2">
        <f t="shared" si="14"/>
        <v>53.9</v>
      </c>
      <c r="J177" s="4">
        <f t="shared" si="15"/>
        <v>5.82</v>
      </c>
      <c r="K177" s="9">
        <f t="shared" si="16"/>
        <v>4.90000000000004</v>
      </c>
      <c r="L177" s="1">
        <f t="shared" si="17"/>
        <v>-0.999999999999959</v>
      </c>
    </row>
    <row r="178" s="1" customFormat="1" spans="1:12">
      <c r="A178" s="2">
        <v>5.887</v>
      </c>
      <c r="B178" s="10" t="s">
        <v>220</v>
      </c>
      <c r="C178" s="4">
        <v>5.887</v>
      </c>
      <c r="D178" s="5">
        <v>52.6</v>
      </c>
      <c r="E178" s="4"/>
      <c r="F178" s="4"/>
      <c r="G178" s="2">
        <f t="shared" si="12"/>
        <v>5.854</v>
      </c>
      <c r="H178" s="11" t="str">
        <f t="shared" si="13"/>
        <v>3.459E-2</v>
      </c>
      <c r="I178" s="2">
        <f t="shared" si="14"/>
        <v>53.4</v>
      </c>
      <c r="J178" s="4">
        <f t="shared" si="15"/>
        <v>5.854</v>
      </c>
      <c r="K178" s="9">
        <f t="shared" si="16"/>
        <v>4.70000000000005</v>
      </c>
      <c r="L178" s="1">
        <f t="shared" si="17"/>
        <v>-0.999999999999959</v>
      </c>
    </row>
    <row r="179" s="1" customFormat="1" spans="1:12">
      <c r="A179" s="2">
        <v>5.921</v>
      </c>
      <c r="B179" s="10" t="s">
        <v>140</v>
      </c>
      <c r="C179" s="4">
        <v>5.921</v>
      </c>
      <c r="D179" s="5">
        <v>52.7</v>
      </c>
      <c r="E179" s="4"/>
      <c r="F179" s="4"/>
      <c r="G179" s="2">
        <f t="shared" si="12"/>
        <v>5.887</v>
      </c>
      <c r="H179" s="11" t="str">
        <f t="shared" si="13"/>
        <v>3.458E-2</v>
      </c>
      <c r="I179" s="2">
        <f t="shared" si="14"/>
        <v>53.2</v>
      </c>
      <c r="J179" s="4">
        <f t="shared" si="15"/>
        <v>5.887</v>
      </c>
      <c r="K179" s="9">
        <f t="shared" si="16"/>
        <v>4.60000000000002</v>
      </c>
      <c r="L179" s="1">
        <f t="shared" si="17"/>
        <v>-0.999999999999959</v>
      </c>
    </row>
    <row r="180" s="1" customFormat="1" spans="1:12">
      <c r="A180" s="2">
        <v>5.954</v>
      </c>
      <c r="B180" s="10" t="s">
        <v>24</v>
      </c>
      <c r="C180" s="4">
        <v>5.954</v>
      </c>
      <c r="D180" s="5">
        <v>51.1</v>
      </c>
      <c r="E180" s="4"/>
      <c r="F180" s="4"/>
      <c r="G180" s="2">
        <f t="shared" si="12"/>
        <v>5.921</v>
      </c>
      <c r="H180" s="11" t="str">
        <f t="shared" si="13"/>
        <v>3.454E-2</v>
      </c>
      <c r="I180" s="2">
        <f t="shared" si="14"/>
        <v>52.6</v>
      </c>
      <c r="J180" s="4">
        <f t="shared" si="15"/>
        <v>5.921</v>
      </c>
      <c r="K180" s="9">
        <f t="shared" si="16"/>
        <v>4.20000000000004</v>
      </c>
      <c r="L180" s="1">
        <f t="shared" si="17"/>
        <v>-0.999999999999959</v>
      </c>
    </row>
    <row r="181" s="1" customFormat="1" spans="1:12">
      <c r="A181" s="2">
        <v>5.988</v>
      </c>
      <c r="B181" s="10" t="s">
        <v>236</v>
      </c>
      <c r="C181" s="4">
        <v>5.988</v>
      </c>
      <c r="D181" s="5">
        <v>50.9</v>
      </c>
      <c r="E181" s="4"/>
      <c r="F181" s="4"/>
      <c r="G181" s="2">
        <f t="shared" si="12"/>
        <v>5.954</v>
      </c>
      <c r="H181" s="11" t="str">
        <f t="shared" si="13"/>
        <v>3.445E-2</v>
      </c>
      <c r="I181" s="2">
        <f t="shared" si="14"/>
        <v>52.7</v>
      </c>
      <c r="J181" s="4">
        <f t="shared" si="15"/>
        <v>5.954</v>
      </c>
      <c r="K181" s="9">
        <f t="shared" si="16"/>
        <v>3.30000000000004</v>
      </c>
      <c r="L181" s="1">
        <f t="shared" si="17"/>
        <v>-0.999999999999959</v>
      </c>
    </row>
    <row r="182" s="1" customFormat="1" spans="1:12">
      <c r="A182" s="2">
        <v>6.021</v>
      </c>
      <c r="B182" s="10" t="s">
        <v>10</v>
      </c>
      <c r="C182" s="4">
        <v>6.021</v>
      </c>
      <c r="D182" s="5">
        <v>50.7</v>
      </c>
      <c r="E182" s="4"/>
      <c r="F182" s="4"/>
      <c r="G182" s="2">
        <f t="shared" si="12"/>
        <v>5.988</v>
      </c>
      <c r="H182" s="11" t="str">
        <f t="shared" si="13"/>
        <v>3.438E-2</v>
      </c>
      <c r="I182" s="2">
        <f t="shared" si="14"/>
        <v>51.1</v>
      </c>
      <c r="J182" s="4">
        <f t="shared" si="15"/>
        <v>5.988</v>
      </c>
      <c r="K182" s="9">
        <f t="shared" si="16"/>
        <v>2.60000000000003</v>
      </c>
      <c r="L182" s="1">
        <f t="shared" si="17"/>
        <v>-0.999999999999959</v>
      </c>
    </row>
    <row r="183" s="1" customFormat="1" spans="1:12">
      <c r="A183" s="2">
        <v>6.054</v>
      </c>
      <c r="B183" s="10" t="s">
        <v>13</v>
      </c>
      <c r="C183" s="4">
        <v>6.054</v>
      </c>
      <c r="D183" s="5">
        <v>51</v>
      </c>
      <c r="E183" s="4"/>
      <c r="F183" s="4"/>
      <c r="G183" s="2">
        <f t="shared" si="12"/>
        <v>6.021</v>
      </c>
      <c r="H183" s="11" t="str">
        <f t="shared" si="13"/>
        <v>3.434E-2</v>
      </c>
      <c r="I183" s="2">
        <f t="shared" si="14"/>
        <v>50.9</v>
      </c>
      <c r="J183" s="4">
        <f t="shared" si="15"/>
        <v>6.021</v>
      </c>
      <c r="K183" s="9">
        <f t="shared" si="16"/>
        <v>2.20000000000005</v>
      </c>
      <c r="L183" s="1">
        <f t="shared" si="17"/>
        <v>-0.999999999999959</v>
      </c>
    </row>
    <row r="184" s="1" customFormat="1" spans="1:12">
      <c r="A184" s="2">
        <v>6.088</v>
      </c>
      <c r="B184" s="10" t="s">
        <v>20</v>
      </c>
      <c r="C184" s="4">
        <v>6.088</v>
      </c>
      <c r="D184" s="5">
        <v>50.2</v>
      </c>
      <c r="E184" s="4"/>
      <c r="F184" s="4"/>
      <c r="G184" s="2">
        <f t="shared" si="12"/>
        <v>6.054</v>
      </c>
      <c r="H184" s="11" t="str">
        <f t="shared" si="13"/>
        <v>3.431E-2</v>
      </c>
      <c r="I184" s="2">
        <f t="shared" si="14"/>
        <v>50.7</v>
      </c>
      <c r="J184" s="4">
        <f t="shared" si="15"/>
        <v>6.054</v>
      </c>
      <c r="K184" s="9">
        <f t="shared" si="16"/>
        <v>1.90000000000003</v>
      </c>
      <c r="L184" s="1">
        <f t="shared" si="17"/>
        <v>-0.999999999999959</v>
      </c>
    </row>
    <row r="185" s="1" customFormat="1" spans="1:12">
      <c r="A185" s="2">
        <v>6.121</v>
      </c>
      <c r="B185" s="10" t="s">
        <v>13</v>
      </c>
      <c r="C185" s="4">
        <v>6.121</v>
      </c>
      <c r="D185" s="5">
        <v>50.3</v>
      </c>
      <c r="E185" s="4"/>
      <c r="F185" s="4"/>
      <c r="G185" s="2">
        <f t="shared" si="12"/>
        <v>6.088</v>
      </c>
      <c r="H185" s="11" t="str">
        <f t="shared" si="13"/>
        <v>3.430E-2</v>
      </c>
      <c r="I185" s="2">
        <f t="shared" si="14"/>
        <v>51</v>
      </c>
      <c r="J185" s="4">
        <f t="shared" si="15"/>
        <v>6.088</v>
      </c>
      <c r="K185" s="9">
        <f t="shared" si="16"/>
        <v>1.8</v>
      </c>
      <c r="L185" s="1">
        <f t="shared" si="17"/>
        <v>-0.999999999999959</v>
      </c>
    </row>
    <row r="186" s="1" customFormat="1" spans="1:12">
      <c r="A186" s="2">
        <v>6.155</v>
      </c>
      <c r="B186" s="10" t="s">
        <v>11</v>
      </c>
      <c r="C186" s="4">
        <v>6.155</v>
      </c>
      <c r="D186" s="5">
        <v>49.6</v>
      </c>
      <c r="E186" s="4"/>
      <c r="F186" s="4"/>
      <c r="G186" s="2">
        <f t="shared" si="12"/>
        <v>6.121</v>
      </c>
      <c r="H186" s="11" t="str">
        <f t="shared" si="13"/>
        <v>3.431E-2</v>
      </c>
      <c r="I186" s="2">
        <f t="shared" si="14"/>
        <v>50.2</v>
      </c>
      <c r="J186" s="4">
        <f t="shared" si="15"/>
        <v>6.121</v>
      </c>
      <c r="K186" s="9">
        <f t="shared" si="16"/>
        <v>1.90000000000003</v>
      </c>
      <c r="L186" s="1">
        <f t="shared" si="17"/>
        <v>-0.999999999999959</v>
      </c>
    </row>
    <row r="187" s="1" customFormat="1" spans="1:12">
      <c r="A187" s="2">
        <v>6.188</v>
      </c>
      <c r="B187" s="10" t="s">
        <v>10</v>
      </c>
      <c r="C187" s="4">
        <v>6.188</v>
      </c>
      <c r="D187" s="5">
        <v>49.6</v>
      </c>
      <c r="E187" s="4"/>
      <c r="F187" s="4"/>
      <c r="G187" s="2">
        <f t="shared" si="12"/>
        <v>6.155</v>
      </c>
      <c r="H187" s="11" t="str">
        <f t="shared" si="13"/>
        <v>3.432E-2</v>
      </c>
      <c r="I187" s="2">
        <f t="shared" si="14"/>
        <v>50.3</v>
      </c>
      <c r="J187" s="4">
        <f t="shared" si="15"/>
        <v>6.155</v>
      </c>
      <c r="K187" s="9">
        <f t="shared" si="16"/>
        <v>2.00000000000006</v>
      </c>
      <c r="L187" s="1">
        <f t="shared" si="17"/>
        <v>-0.999999999999959</v>
      </c>
    </row>
    <row r="188" s="1" customFormat="1" spans="1:12">
      <c r="A188" s="2">
        <v>6.222</v>
      </c>
      <c r="B188" s="10" t="s">
        <v>12</v>
      </c>
      <c r="C188" s="4">
        <v>6.222</v>
      </c>
      <c r="D188" s="5">
        <v>49.2</v>
      </c>
      <c r="E188" s="4"/>
      <c r="F188" s="4"/>
      <c r="G188" s="2">
        <f t="shared" si="12"/>
        <v>6.188</v>
      </c>
      <c r="H188" s="11" t="str">
        <f t="shared" si="13"/>
        <v>3.434E-2</v>
      </c>
      <c r="I188" s="2">
        <f t="shared" si="14"/>
        <v>49.6</v>
      </c>
      <c r="J188" s="4">
        <f t="shared" si="15"/>
        <v>6.188</v>
      </c>
      <c r="K188" s="9">
        <f t="shared" si="16"/>
        <v>2.20000000000005</v>
      </c>
      <c r="L188" s="1">
        <f t="shared" si="17"/>
        <v>-0.999999999999959</v>
      </c>
    </row>
    <row r="189" s="1" customFormat="1" spans="1:12">
      <c r="A189" s="2">
        <v>6.255</v>
      </c>
      <c r="B189" s="10" t="s">
        <v>236</v>
      </c>
      <c r="C189" s="4">
        <v>6.255</v>
      </c>
      <c r="D189" s="5">
        <v>49.1</v>
      </c>
      <c r="E189" s="4"/>
      <c r="F189" s="4"/>
      <c r="G189" s="2">
        <f t="shared" si="12"/>
        <v>6.222</v>
      </c>
      <c r="H189" s="11" t="str">
        <f t="shared" si="13"/>
        <v>3.435E-2</v>
      </c>
      <c r="I189" s="2">
        <f t="shared" si="14"/>
        <v>49.6</v>
      </c>
      <c r="J189" s="4">
        <f t="shared" si="15"/>
        <v>6.222</v>
      </c>
      <c r="K189" s="9">
        <f t="shared" si="16"/>
        <v>2.30000000000001</v>
      </c>
      <c r="L189" s="1">
        <f t="shared" si="17"/>
        <v>-0.999999999999959</v>
      </c>
    </row>
    <row r="190" s="1" customFormat="1" spans="1:12">
      <c r="A190" s="2">
        <v>6.289</v>
      </c>
      <c r="B190" s="10" t="s">
        <v>58</v>
      </c>
      <c r="C190" s="4">
        <v>6.289</v>
      </c>
      <c r="D190" s="5">
        <v>48.8</v>
      </c>
      <c r="E190" s="4"/>
      <c r="F190" s="4"/>
      <c r="G190" s="2">
        <f t="shared" si="12"/>
        <v>6.255</v>
      </c>
      <c r="H190" s="11" t="str">
        <f t="shared" si="13"/>
        <v>3.438E-2</v>
      </c>
      <c r="I190" s="2">
        <f t="shared" si="14"/>
        <v>49.2</v>
      </c>
      <c r="J190" s="4">
        <f t="shared" si="15"/>
        <v>6.255</v>
      </c>
      <c r="K190" s="9">
        <f t="shared" si="16"/>
        <v>2.60000000000003</v>
      </c>
      <c r="L190" s="1">
        <f t="shared" si="17"/>
        <v>-0.999999999999959</v>
      </c>
    </row>
    <row r="191" s="1" customFormat="1" spans="1:12">
      <c r="A191" s="2">
        <v>6.322</v>
      </c>
      <c r="B191" s="10" t="s">
        <v>43</v>
      </c>
      <c r="C191" s="4">
        <v>6.322</v>
      </c>
      <c r="D191" s="5">
        <v>48.7</v>
      </c>
      <c r="E191" s="4"/>
      <c r="F191" s="4"/>
      <c r="G191" s="2">
        <f t="shared" si="12"/>
        <v>6.289</v>
      </c>
      <c r="H191" s="11" t="str">
        <f t="shared" si="13"/>
        <v>3.440E-2</v>
      </c>
      <c r="I191" s="2">
        <f t="shared" si="14"/>
        <v>49.1</v>
      </c>
      <c r="J191" s="4">
        <f t="shared" si="15"/>
        <v>6.289</v>
      </c>
      <c r="K191" s="9">
        <f t="shared" si="16"/>
        <v>2.80000000000002</v>
      </c>
      <c r="L191" s="1">
        <f t="shared" si="17"/>
        <v>-0.999999999999959</v>
      </c>
    </row>
    <row r="192" s="1" customFormat="1" spans="1:12">
      <c r="A192" s="2">
        <v>6.356</v>
      </c>
      <c r="B192" s="10" t="s">
        <v>141</v>
      </c>
      <c r="C192" s="4">
        <v>6.356</v>
      </c>
      <c r="D192" s="5">
        <v>49.1</v>
      </c>
      <c r="E192" s="4"/>
      <c r="F192" s="4"/>
      <c r="G192" s="2">
        <f t="shared" si="12"/>
        <v>6.322</v>
      </c>
      <c r="H192" s="11" t="str">
        <f t="shared" si="13"/>
        <v>3.441E-2</v>
      </c>
      <c r="I192" s="2">
        <f t="shared" si="14"/>
        <v>48.8</v>
      </c>
      <c r="J192" s="4">
        <f t="shared" si="15"/>
        <v>6.322</v>
      </c>
      <c r="K192" s="9">
        <f t="shared" si="16"/>
        <v>2.90000000000006</v>
      </c>
      <c r="L192" s="1">
        <f t="shared" si="17"/>
        <v>-0.999999999999959</v>
      </c>
    </row>
    <row r="193" s="1" customFormat="1" spans="1:12">
      <c r="A193" s="2">
        <v>6.389</v>
      </c>
      <c r="B193" s="10" t="s">
        <v>25</v>
      </c>
      <c r="C193" s="4">
        <v>6.389</v>
      </c>
      <c r="D193" s="5">
        <v>48.1</v>
      </c>
      <c r="E193" s="4"/>
      <c r="F193" s="4"/>
      <c r="G193" s="2">
        <f t="shared" si="12"/>
        <v>6.356</v>
      </c>
      <c r="H193" s="11" t="str">
        <f t="shared" si="13"/>
        <v>3.444E-2</v>
      </c>
      <c r="I193" s="2">
        <f t="shared" si="14"/>
        <v>48.7</v>
      </c>
      <c r="J193" s="4">
        <f t="shared" si="15"/>
        <v>6.356</v>
      </c>
      <c r="K193" s="9">
        <f t="shared" si="16"/>
        <v>3.20000000000001</v>
      </c>
      <c r="L193" s="1">
        <f t="shared" si="17"/>
        <v>-0.999999999999959</v>
      </c>
    </row>
    <row r="194" s="1" customFormat="1" spans="1:12">
      <c r="A194" s="2">
        <v>6.422</v>
      </c>
      <c r="B194" s="10" t="s">
        <v>42</v>
      </c>
      <c r="C194" s="4">
        <v>6.422</v>
      </c>
      <c r="D194" s="5">
        <v>48.1</v>
      </c>
      <c r="E194" s="4"/>
      <c r="F194" s="4"/>
      <c r="G194" s="2">
        <f t="shared" si="12"/>
        <v>6.389</v>
      </c>
      <c r="H194" s="11" t="str">
        <f t="shared" si="13"/>
        <v>3.447E-2</v>
      </c>
      <c r="I194" s="2">
        <f t="shared" si="14"/>
        <v>49.1</v>
      </c>
      <c r="J194" s="4">
        <f t="shared" si="15"/>
        <v>6.389</v>
      </c>
      <c r="K194" s="9">
        <f t="shared" si="16"/>
        <v>3.50000000000003</v>
      </c>
      <c r="L194" s="1">
        <f t="shared" si="17"/>
        <v>-0.999999999999959</v>
      </c>
    </row>
    <row r="195" s="1" customFormat="1" spans="1:12">
      <c r="A195" s="2">
        <v>6.456</v>
      </c>
      <c r="B195" s="10" t="s">
        <v>167</v>
      </c>
      <c r="C195" s="4">
        <v>6.456</v>
      </c>
      <c r="D195" s="5">
        <v>48.1</v>
      </c>
      <c r="E195" s="4"/>
      <c r="F195" s="4"/>
      <c r="G195" s="2">
        <f t="shared" si="12"/>
        <v>6.422</v>
      </c>
      <c r="H195" s="11" t="str">
        <f t="shared" si="13"/>
        <v>3.450E-2</v>
      </c>
      <c r="I195" s="2">
        <f t="shared" si="14"/>
        <v>48.1</v>
      </c>
      <c r="J195" s="4">
        <f t="shared" si="15"/>
        <v>6.422</v>
      </c>
      <c r="K195" s="9">
        <f t="shared" si="16"/>
        <v>3.80000000000005</v>
      </c>
      <c r="L195" s="1">
        <f t="shared" si="17"/>
        <v>-0.999999999999959</v>
      </c>
    </row>
    <row r="196" s="1" customFormat="1" spans="1:12">
      <c r="A196" s="2">
        <v>6.489</v>
      </c>
      <c r="B196" s="10" t="s">
        <v>223</v>
      </c>
      <c r="C196" s="4">
        <v>6.489</v>
      </c>
      <c r="D196" s="5">
        <v>48</v>
      </c>
      <c r="E196" s="4"/>
      <c r="F196" s="4"/>
      <c r="G196" s="2">
        <f t="shared" ref="G196:G259" si="18">A195</f>
        <v>6.456</v>
      </c>
      <c r="H196" s="11" t="str">
        <f t="shared" ref="H196:H259" si="19">B195</f>
        <v>3.453E-2</v>
      </c>
      <c r="I196" s="2">
        <f t="shared" ref="I196:I259" si="20">D194</f>
        <v>48.1</v>
      </c>
      <c r="J196" s="4">
        <f t="shared" ref="J196:J259" si="21">G196</f>
        <v>6.456</v>
      </c>
      <c r="K196" s="9">
        <f t="shared" ref="K196:K259" si="22">(H196-$H$4)*10000</f>
        <v>4.10000000000001</v>
      </c>
      <c r="L196" s="1">
        <f t="shared" ref="L196:L259" si="23">IF(I196&lt;230,MIN(K:K),MAX(K:K))</f>
        <v>-0.999999999999959</v>
      </c>
    </row>
    <row r="197" s="1" customFormat="1" spans="1:12">
      <c r="A197" s="2">
        <v>6.523</v>
      </c>
      <c r="B197" s="10" t="s">
        <v>41</v>
      </c>
      <c r="C197" s="4">
        <v>6.523</v>
      </c>
      <c r="D197" s="5">
        <v>47.6</v>
      </c>
      <c r="E197" s="4"/>
      <c r="F197" s="4"/>
      <c r="G197" s="2">
        <f t="shared" si="18"/>
        <v>6.489</v>
      </c>
      <c r="H197" s="11" t="str">
        <f t="shared" si="19"/>
        <v>3.455E-2</v>
      </c>
      <c r="I197" s="2">
        <f t="shared" si="20"/>
        <v>48.1</v>
      </c>
      <c r="J197" s="4">
        <f t="shared" si="21"/>
        <v>6.489</v>
      </c>
      <c r="K197" s="9">
        <f t="shared" si="22"/>
        <v>4.3</v>
      </c>
      <c r="L197" s="1">
        <f t="shared" si="23"/>
        <v>-0.999999999999959</v>
      </c>
    </row>
    <row r="198" s="1" customFormat="1" spans="1:12">
      <c r="A198" s="2">
        <v>6.556</v>
      </c>
      <c r="B198" s="10" t="s">
        <v>168</v>
      </c>
      <c r="C198" s="4">
        <v>6.556</v>
      </c>
      <c r="D198" s="5">
        <v>47.8</v>
      </c>
      <c r="E198" s="4"/>
      <c r="F198" s="4"/>
      <c r="G198" s="2">
        <f t="shared" si="18"/>
        <v>6.523</v>
      </c>
      <c r="H198" s="11" t="str">
        <f t="shared" si="19"/>
        <v>3.456E-2</v>
      </c>
      <c r="I198" s="2">
        <f t="shared" si="20"/>
        <v>48</v>
      </c>
      <c r="J198" s="4">
        <f t="shared" si="21"/>
        <v>6.523</v>
      </c>
      <c r="K198" s="9">
        <f t="shared" si="22"/>
        <v>4.40000000000003</v>
      </c>
      <c r="L198" s="1">
        <f t="shared" si="23"/>
        <v>-0.999999999999959</v>
      </c>
    </row>
    <row r="199" s="1" customFormat="1" spans="1:12">
      <c r="A199" s="2">
        <v>6.59</v>
      </c>
      <c r="B199" s="10" t="s">
        <v>170</v>
      </c>
      <c r="C199" s="4">
        <v>6.59</v>
      </c>
      <c r="D199" s="5">
        <v>48.1</v>
      </c>
      <c r="E199" s="4"/>
      <c r="F199" s="4"/>
      <c r="G199" s="2">
        <f t="shared" si="18"/>
        <v>6.556</v>
      </c>
      <c r="H199" s="11" t="str">
        <f t="shared" si="19"/>
        <v>3.459E-2</v>
      </c>
      <c r="I199" s="2">
        <f t="shared" si="20"/>
        <v>47.6</v>
      </c>
      <c r="J199" s="4">
        <f t="shared" si="21"/>
        <v>6.556</v>
      </c>
      <c r="K199" s="9">
        <f t="shared" si="22"/>
        <v>4.70000000000005</v>
      </c>
      <c r="L199" s="1">
        <f t="shared" si="23"/>
        <v>-0.999999999999959</v>
      </c>
    </row>
    <row r="200" s="1" customFormat="1" spans="1:12">
      <c r="A200" s="2">
        <v>6.623</v>
      </c>
      <c r="B200" s="10" t="s">
        <v>202</v>
      </c>
      <c r="C200" s="4">
        <v>6.623</v>
      </c>
      <c r="D200" s="5">
        <v>47.4</v>
      </c>
      <c r="E200" s="4"/>
      <c r="F200" s="4"/>
      <c r="G200" s="2">
        <f t="shared" si="18"/>
        <v>6.59</v>
      </c>
      <c r="H200" s="11" t="str">
        <f t="shared" si="19"/>
        <v>3.469E-2</v>
      </c>
      <c r="I200" s="2">
        <f t="shared" si="20"/>
        <v>47.8</v>
      </c>
      <c r="J200" s="4">
        <f t="shared" si="21"/>
        <v>6.59</v>
      </c>
      <c r="K200" s="9">
        <f t="shared" si="22"/>
        <v>5.70000000000001</v>
      </c>
      <c r="L200" s="1">
        <f t="shared" si="23"/>
        <v>-0.999999999999959</v>
      </c>
    </row>
    <row r="201" s="1" customFormat="1" spans="1:12">
      <c r="A201" s="2">
        <v>6.657</v>
      </c>
      <c r="B201" s="10" t="s">
        <v>172</v>
      </c>
      <c r="C201" s="4">
        <v>6.657</v>
      </c>
      <c r="D201" s="5">
        <v>48</v>
      </c>
      <c r="E201" s="4"/>
      <c r="F201" s="4"/>
      <c r="G201" s="2">
        <f t="shared" si="18"/>
        <v>6.623</v>
      </c>
      <c r="H201" s="11" t="str">
        <f t="shared" si="19"/>
        <v>3.475E-2</v>
      </c>
      <c r="I201" s="2">
        <f t="shared" si="20"/>
        <v>48.1</v>
      </c>
      <c r="J201" s="4">
        <f t="shared" si="21"/>
        <v>6.623</v>
      </c>
      <c r="K201" s="9">
        <f t="shared" si="22"/>
        <v>6.30000000000006</v>
      </c>
      <c r="L201" s="1">
        <f t="shared" si="23"/>
        <v>-0.999999999999959</v>
      </c>
    </row>
    <row r="202" s="1" customFormat="1" spans="1:12">
      <c r="A202" s="2">
        <v>6.69</v>
      </c>
      <c r="B202" s="10" t="s">
        <v>205</v>
      </c>
      <c r="C202" s="4">
        <v>6.69</v>
      </c>
      <c r="D202" s="5">
        <v>47.7</v>
      </c>
      <c r="E202" s="4"/>
      <c r="F202" s="4"/>
      <c r="G202" s="2">
        <f t="shared" si="18"/>
        <v>6.657</v>
      </c>
      <c r="H202" s="11" t="str">
        <f t="shared" si="19"/>
        <v>3.477E-2</v>
      </c>
      <c r="I202" s="2">
        <f t="shared" si="20"/>
        <v>47.4</v>
      </c>
      <c r="J202" s="4">
        <f t="shared" si="21"/>
        <v>6.657</v>
      </c>
      <c r="K202" s="9">
        <f t="shared" si="22"/>
        <v>6.50000000000005</v>
      </c>
      <c r="L202" s="1">
        <f t="shared" si="23"/>
        <v>-0.999999999999959</v>
      </c>
    </row>
    <row r="203" s="1" customFormat="1" spans="1:12">
      <c r="A203" s="2">
        <v>6.724</v>
      </c>
      <c r="B203" s="10" t="s">
        <v>305</v>
      </c>
      <c r="C203" s="4">
        <v>6.724</v>
      </c>
      <c r="D203" s="5">
        <v>48.1</v>
      </c>
      <c r="E203" s="4"/>
      <c r="F203" s="4"/>
      <c r="G203" s="2">
        <f t="shared" si="18"/>
        <v>6.69</v>
      </c>
      <c r="H203" s="11" t="str">
        <f t="shared" si="19"/>
        <v>3.481E-2</v>
      </c>
      <c r="I203" s="2">
        <f t="shared" si="20"/>
        <v>48</v>
      </c>
      <c r="J203" s="4">
        <f t="shared" si="21"/>
        <v>6.69</v>
      </c>
      <c r="K203" s="9">
        <f t="shared" si="22"/>
        <v>6.90000000000003</v>
      </c>
      <c r="L203" s="1">
        <f t="shared" si="23"/>
        <v>-0.999999999999959</v>
      </c>
    </row>
    <row r="204" s="1" customFormat="1" spans="1:12">
      <c r="A204" s="2">
        <v>6.757</v>
      </c>
      <c r="B204" s="10" t="s">
        <v>305</v>
      </c>
      <c r="C204" s="4">
        <v>6.757</v>
      </c>
      <c r="D204" s="5">
        <v>47.6</v>
      </c>
      <c r="E204" s="4"/>
      <c r="F204" s="4"/>
      <c r="G204" s="2">
        <f t="shared" si="18"/>
        <v>6.724</v>
      </c>
      <c r="H204" s="11" t="str">
        <f t="shared" si="19"/>
        <v>3.482E-2</v>
      </c>
      <c r="I204" s="2">
        <f t="shared" si="20"/>
        <v>47.7</v>
      </c>
      <c r="J204" s="4">
        <f t="shared" si="21"/>
        <v>6.724</v>
      </c>
      <c r="K204" s="9">
        <f t="shared" si="22"/>
        <v>6.99999999999999</v>
      </c>
      <c r="L204" s="1">
        <f t="shared" si="23"/>
        <v>-0.999999999999959</v>
      </c>
    </row>
    <row r="205" s="1" customFormat="1" spans="1:12">
      <c r="A205" s="2">
        <v>6.79</v>
      </c>
      <c r="B205" s="10" t="s">
        <v>205</v>
      </c>
      <c r="C205" s="4">
        <v>6.79</v>
      </c>
      <c r="D205" s="5">
        <v>47.9</v>
      </c>
      <c r="E205" s="4"/>
      <c r="F205" s="4"/>
      <c r="G205" s="2">
        <f t="shared" si="18"/>
        <v>6.757</v>
      </c>
      <c r="H205" s="11" t="str">
        <f t="shared" si="19"/>
        <v>3.482E-2</v>
      </c>
      <c r="I205" s="2">
        <f t="shared" si="20"/>
        <v>48.1</v>
      </c>
      <c r="J205" s="4">
        <f t="shared" si="21"/>
        <v>6.757</v>
      </c>
      <c r="K205" s="9">
        <f t="shared" si="22"/>
        <v>6.99999999999999</v>
      </c>
      <c r="L205" s="1">
        <f t="shared" si="23"/>
        <v>-0.999999999999959</v>
      </c>
    </row>
    <row r="206" s="1" customFormat="1" spans="1:12">
      <c r="A206" s="2">
        <v>6.824</v>
      </c>
      <c r="B206" s="10" t="s">
        <v>305</v>
      </c>
      <c r="C206" s="4">
        <v>6.824</v>
      </c>
      <c r="D206" s="5">
        <v>47.4</v>
      </c>
      <c r="E206" s="4"/>
      <c r="F206" s="4"/>
      <c r="G206" s="2">
        <f t="shared" si="18"/>
        <v>6.79</v>
      </c>
      <c r="H206" s="11" t="str">
        <f t="shared" si="19"/>
        <v>3.481E-2</v>
      </c>
      <c r="I206" s="2">
        <f t="shared" si="20"/>
        <v>47.6</v>
      </c>
      <c r="J206" s="4">
        <f t="shared" si="21"/>
        <v>6.79</v>
      </c>
      <c r="K206" s="9">
        <f t="shared" si="22"/>
        <v>6.90000000000003</v>
      </c>
      <c r="L206" s="1">
        <f t="shared" si="23"/>
        <v>-0.999999999999959</v>
      </c>
    </row>
    <row r="207" s="1" customFormat="1" spans="1:12">
      <c r="A207" s="2">
        <v>6.857</v>
      </c>
      <c r="B207" s="10" t="s">
        <v>243</v>
      </c>
      <c r="C207" s="4">
        <v>6.857</v>
      </c>
      <c r="D207" s="5">
        <v>47.6</v>
      </c>
      <c r="E207" s="4"/>
      <c r="F207" s="4"/>
      <c r="G207" s="2">
        <f t="shared" si="18"/>
        <v>6.824</v>
      </c>
      <c r="H207" s="11" t="str">
        <f t="shared" si="19"/>
        <v>3.482E-2</v>
      </c>
      <c r="I207" s="2">
        <f t="shared" si="20"/>
        <v>47.9</v>
      </c>
      <c r="J207" s="4">
        <f t="shared" si="21"/>
        <v>6.824</v>
      </c>
      <c r="K207" s="9">
        <f t="shared" si="22"/>
        <v>6.99999999999999</v>
      </c>
      <c r="L207" s="1">
        <f t="shared" si="23"/>
        <v>-0.999999999999959</v>
      </c>
    </row>
    <row r="208" s="1" customFormat="1" spans="1:12">
      <c r="A208" s="2">
        <v>6.891</v>
      </c>
      <c r="B208" s="10" t="s">
        <v>172</v>
      </c>
      <c r="C208" s="4">
        <v>6.891</v>
      </c>
      <c r="D208" s="5">
        <v>47.8</v>
      </c>
      <c r="E208" s="4"/>
      <c r="F208" s="4"/>
      <c r="G208" s="2">
        <f t="shared" si="18"/>
        <v>6.857</v>
      </c>
      <c r="H208" s="11" t="str">
        <f t="shared" si="19"/>
        <v>3.480E-2</v>
      </c>
      <c r="I208" s="2">
        <f t="shared" si="20"/>
        <v>47.4</v>
      </c>
      <c r="J208" s="4">
        <f t="shared" si="21"/>
        <v>6.857</v>
      </c>
      <c r="K208" s="9">
        <f t="shared" si="22"/>
        <v>6.8</v>
      </c>
      <c r="L208" s="1">
        <f t="shared" si="23"/>
        <v>-0.999999999999959</v>
      </c>
    </row>
    <row r="209" s="1" customFormat="1" spans="1:12">
      <c r="A209" s="2">
        <v>6.924</v>
      </c>
      <c r="B209" s="10" t="s">
        <v>109</v>
      </c>
      <c r="C209" s="4">
        <v>6.924</v>
      </c>
      <c r="D209" s="5">
        <v>47.6</v>
      </c>
      <c r="E209" s="4"/>
      <c r="F209" s="4"/>
      <c r="G209" s="2">
        <f t="shared" si="18"/>
        <v>6.891</v>
      </c>
      <c r="H209" s="11" t="str">
        <f t="shared" si="19"/>
        <v>3.477E-2</v>
      </c>
      <c r="I209" s="2">
        <f t="shared" si="20"/>
        <v>47.6</v>
      </c>
      <c r="J209" s="4">
        <f t="shared" si="21"/>
        <v>6.891</v>
      </c>
      <c r="K209" s="9">
        <f t="shared" si="22"/>
        <v>6.50000000000005</v>
      </c>
      <c r="L209" s="1">
        <f t="shared" si="23"/>
        <v>-0.999999999999959</v>
      </c>
    </row>
    <row r="210" s="1" customFormat="1" spans="1:12">
      <c r="A210" s="2">
        <v>6.958</v>
      </c>
      <c r="B210" s="10" t="s">
        <v>171</v>
      </c>
      <c r="C210" s="4">
        <v>6.958</v>
      </c>
      <c r="D210" s="5">
        <v>47.2</v>
      </c>
      <c r="E210" s="4"/>
      <c r="F210" s="4"/>
      <c r="G210" s="2">
        <f t="shared" si="18"/>
        <v>6.924</v>
      </c>
      <c r="H210" s="11" t="str">
        <f t="shared" si="19"/>
        <v>3.476E-2</v>
      </c>
      <c r="I210" s="2">
        <f t="shared" si="20"/>
        <v>47.8</v>
      </c>
      <c r="J210" s="4">
        <f t="shared" si="21"/>
        <v>6.924</v>
      </c>
      <c r="K210" s="9">
        <f t="shared" si="22"/>
        <v>6.40000000000002</v>
      </c>
      <c r="L210" s="1">
        <f t="shared" si="23"/>
        <v>-0.999999999999959</v>
      </c>
    </row>
    <row r="211" s="1" customFormat="1" spans="1:12">
      <c r="A211" s="2">
        <v>6.991</v>
      </c>
      <c r="B211" s="10" t="s">
        <v>119</v>
      </c>
      <c r="C211" s="4">
        <v>6.991</v>
      </c>
      <c r="D211" s="5">
        <v>47.2</v>
      </c>
      <c r="E211" s="4"/>
      <c r="F211" s="4"/>
      <c r="G211" s="2">
        <f t="shared" si="18"/>
        <v>6.958</v>
      </c>
      <c r="H211" s="11" t="str">
        <f t="shared" si="19"/>
        <v>3.474E-2</v>
      </c>
      <c r="I211" s="2">
        <f t="shared" si="20"/>
        <v>47.6</v>
      </c>
      <c r="J211" s="4">
        <f t="shared" si="21"/>
        <v>6.958</v>
      </c>
      <c r="K211" s="9">
        <f t="shared" si="22"/>
        <v>6.20000000000003</v>
      </c>
      <c r="L211" s="1">
        <f t="shared" si="23"/>
        <v>-0.999999999999959</v>
      </c>
    </row>
    <row r="212" s="1" customFormat="1" spans="1:12">
      <c r="A212" s="2">
        <v>7.025</v>
      </c>
      <c r="B212" s="10" t="s">
        <v>170</v>
      </c>
      <c r="C212" s="4">
        <v>7.025</v>
      </c>
      <c r="D212" s="5">
        <v>47.3</v>
      </c>
      <c r="E212" s="4"/>
      <c r="F212" s="4"/>
      <c r="G212" s="2">
        <f t="shared" si="18"/>
        <v>6.991</v>
      </c>
      <c r="H212" s="11" t="str">
        <f t="shared" si="19"/>
        <v>3.471E-2</v>
      </c>
      <c r="I212" s="2">
        <f t="shared" si="20"/>
        <v>47.2</v>
      </c>
      <c r="J212" s="4">
        <f t="shared" si="21"/>
        <v>6.991</v>
      </c>
      <c r="K212" s="9">
        <f t="shared" si="22"/>
        <v>5.9</v>
      </c>
      <c r="L212" s="1">
        <f t="shared" si="23"/>
        <v>-0.999999999999959</v>
      </c>
    </row>
    <row r="213" s="1" customFormat="1" spans="1:12">
      <c r="A213" s="2">
        <v>7.058</v>
      </c>
      <c r="B213" s="10" t="s">
        <v>166</v>
      </c>
      <c r="C213" s="4">
        <v>7.058</v>
      </c>
      <c r="D213" s="5">
        <v>48</v>
      </c>
      <c r="E213" s="4"/>
      <c r="F213" s="4"/>
      <c r="G213" s="2">
        <f t="shared" si="18"/>
        <v>7.025</v>
      </c>
      <c r="H213" s="11" t="str">
        <f t="shared" si="19"/>
        <v>3.469E-2</v>
      </c>
      <c r="I213" s="2">
        <f t="shared" si="20"/>
        <v>47.2</v>
      </c>
      <c r="J213" s="4">
        <f t="shared" si="21"/>
        <v>7.025</v>
      </c>
      <c r="K213" s="9">
        <f t="shared" si="22"/>
        <v>5.70000000000001</v>
      </c>
      <c r="L213" s="1">
        <f t="shared" si="23"/>
        <v>-0.999999999999959</v>
      </c>
    </row>
    <row r="214" s="1" customFormat="1" spans="1:12">
      <c r="A214" s="2">
        <v>7.091</v>
      </c>
      <c r="B214" s="10" t="s">
        <v>166</v>
      </c>
      <c r="C214" s="4">
        <v>7.091</v>
      </c>
      <c r="D214" s="5">
        <v>47.3</v>
      </c>
      <c r="E214" s="4"/>
      <c r="F214" s="4"/>
      <c r="G214" s="2">
        <f t="shared" si="18"/>
        <v>7.058</v>
      </c>
      <c r="H214" s="11" t="str">
        <f t="shared" si="19"/>
        <v>3.465E-2</v>
      </c>
      <c r="I214" s="2">
        <f t="shared" si="20"/>
        <v>47.3</v>
      </c>
      <c r="J214" s="4">
        <f t="shared" si="21"/>
        <v>7.058</v>
      </c>
      <c r="K214" s="9">
        <f t="shared" si="22"/>
        <v>5.30000000000003</v>
      </c>
      <c r="L214" s="1">
        <f t="shared" si="23"/>
        <v>-0.999999999999959</v>
      </c>
    </row>
    <row r="215" s="1" customFormat="1" spans="1:12">
      <c r="A215" s="2">
        <v>7.125</v>
      </c>
      <c r="B215" s="10" t="s">
        <v>89</v>
      </c>
      <c r="C215" s="4">
        <v>7.125</v>
      </c>
      <c r="D215" s="5">
        <v>47.5</v>
      </c>
      <c r="E215" s="4"/>
      <c r="F215" s="4"/>
      <c r="G215" s="2">
        <f t="shared" si="18"/>
        <v>7.091</v>
      </c>
      <c r="H215" s="11" t="str">
        <f t="shared" si="19"/>
        <v>3.465E-2</v>
      </c>
      <c r="I215" s="2">
        <f t="shared" si="20"/>
        <v>48</v>
      </c>
      <c r="J215" s="4">
        <f t="shared" si="21"/>
        <v>7.091</v>
      </c>
      <c r="K215" s="9">
        <f t="shared" si="22"/>
        <v>5.30000000000003</v>
      </c>
      <c r="L215" s="1">
        <f t="shared" si="23"/>
        <v>-0.999999999999959</v>
      </c>
    </row>
    <row r="216" s="1" customFormat="1" spans="1:12">
      <c r="A216" s="2">
        <v>7.158</v>
      </c>
      <c r="B216" s="10" t="s">
        <v>220</v>
      </c>
      <c r="C216" s="4">
        <v>7.158</v>
      </c>
      <c r="D216" s="5">
        <v>47.5</v>
      </c>
      <c r="E216" s="4"/>
      <c r="F216" s="4"/>
      <c r="G216" s="2">
        <f t="shared" si="18"/>
        <v>7.125</v>
      </c>
      <c r="H216" s="11" t="str">
        <f t="shared" si="19"/>
        <v>3.462E-2</v>
      </c>
      <c r="I216" s="2">
        <f t="shared" si="20"/>
        <v>47.3</v>
      </c>
      <c r="J216" s="4">
        <f t="shared" si="21"/>
        <v>7.125</v>
      </c>
      <c r="K216" s="9">
        <f t="shared" si="22"/>
        <v>5</v>
      </c>
      <c r="L216" s="1">
        <f t="shared" si="23"/>
        <v>-0.999999999999959</v>
      </c>
    </row>
    <row r="217" s="1" customFormat="1" spans="1:12">
      <c r="A217" s="2">
        <v>7.192</v>
      </c>
      <c r="B217" s="10" t="s">
        <v>41</v>
      </c>
      <c r="C217" s="4">
        <v>7.192</v>
      </c>
      <c r="D217" s="5">
        <v>47.5</v>
      </c>
      <c r="E217" s="4"/>
      <c r="F217" s="4"/>
      <c r="G217" s="2">
        <f t="shared" si="18"/>
        <v>7.158</v>
      </c>
      <c r="H217" s="11" t="str">
        <f t="shared" si="19"/>
        <v>3.458E-2</v>
      </c>
      <c r="I217" s="2">
        <f t="shared" si="20"/>
        <v>47.5</v>
      </c>
      <c r="J217" s="4">
        <f t="shared" si="21"/>
        <v>7.158</v>
      </c>
      <c r="K217" s="9">
        <f t="shared" si="22"/>
        <v>4.60000000000002</v>
      </c>
      <c r="L217" s="1">
        <f t="shared" si="23"/>
        <v>-0.999999999999959</v>
      </c>
    </row>
    <row r="218" s="1" customFormat="1" spans="1:12">
      <c r="A218" s="2">
        <v>7.225</v>
      </c>
      <c r="B218" s="10" t="s">
        <v>24</v>
      </c>
      <c r="C218" s="4">
        <v>7.225</v>
      </c>
      <c r="D218" s="5">
        <v>48</v>
      </c>
      <c r="E218" s="4"/>
      <c r="F218" s="4"/>
      <c r="G218" s="2">
        <f t="shared" si="18"/>
        <v>7.192</v>
      </c>
      <c r="H218" s="11" t="str">
        <f t="shared" si="19"/>
        <v>3.456E-2</v>
      </c>
      <c r="I218" s="2">
        <f t="shared" si="20"/>
        <v>47.5</v>
      </c>
      <c r="J218" s="4">
        <f t="shared" si="21"/>
        <v>7.192</v>
      </c>
      <c r="K218" s="9">
        <f t="shared" si="22"/>
        <v>4.40000000000003</v>
      </c>
      <c r="L218" s="1">
        <f t="shared" si="23"/>
        <v>-0.999999999999959</v>
      </c>
    </row>
    <row r="219" s="1" customFormat="1" spans="1:12">
      <c r="A219" s="2">
        <v>7.259</v>
      </c>
      <c r="B219" s="10" t="s">
        <v>236</v>
      </c>
      <c r="C219" s="4">
        <v>7.259</v>
      </c>
      <c r="D219" s="5">
        <v>47.9</v>
      </c>
      <c r="E219" s="4"/>
      <c r="F219" s="4"/>
      <c r="G219" s="2">
        <f t="shared" si="18"/>
        <v>7.225</v>
      </c>
      <c r="H219" s="11" t="str">
        <f t="shared" si="19"/>
        <v>3.445E-2</v>
      </c>
      <c r="I219" s="2">
        <f t="shared" si="20"/>
        <v>47.5</v>
      </c>
      <c r="J219" s="4">
        <f t="shared" si="21"/>
        <v>7.225</v>
      </c>
      <c r="K219" s="9">
        <f t="shared" si="22"/>
        <v>3.30000000000004</v>
      </c>
      <c r="L219" s="1">
        <f t="shared" si="23"/>
        <v>-0.999999999999959</v>
      </c>
    </row>
    <row r="220" s="1" customFormat="1" spans="1:12">
      <c r="A220" s="2">
        <v>7.292</v>
      </c>
      <c r="B220" s="10" t="s">
        <v>12</v>
      </c>
      <c r="C220" s="4">
        <v>7.292</v>
      </c>
      <c r="D220" s="5">
        <v>47.2</v>
      </c>
      <c r="E220" s="4"/>
      <c r="F220" s="4"/>
      <c r="G220" s="2">
        <f t="shared" si="18"/>
        <v>7.259</v>
      </c>
      <c r="H220" s="11" t="str">
        <f t="shared" si="19"/>
        <v>3.438E-2</v>
      </c>
      <c r="I220" s="2">
        <f t="shared" si="20"/>
        <v>48</v>
      </c>
      <c r="J220" s="4">
        <f t="shared" si="21"/>
        <v>7.259</v>
      </c>
      <c r="K220" s="9">
        <f t="shared" si="22"/>
        <v>2.60000000000003</v>
      </c>
      <c r="L220" s="1">
        <f t="shared" si="23"/>
        <v>-0.999999999999959</v>
      </c>
    </row>
    <row r="221" s="1" customFormat="1" spans="1:12">
      <c r="A221" s="2">
        <v>7.326</v>
      </c>
      <c r="B221" s="10" t="s">
        <v>14</v>
      </c>
      <c r="C221" s="4">
        <v>7.326</v>
      </c>
      <c r="D221" s="5">
        <v>47.4</v>
      </c>
      <c r="E221" s="4"/>
      <c r="F221" s="4"/>
      <c r="G221" s="2">
        <f t="shared" si="18"/>
        <v>7.292</v>
      </c>
      <c r="H221" s="11" t="str">
        <f t="shared" si="19"/>
        <v>3.435E-2</v>
      </c>
      <c r="I221" s="2">
        <f t="shared" si="20"/>
        <v>47.9</v>
      </c>
      <c r="J221" s="4">
        <f t="shared" si="21"/>
        <v>7.292</v>
      </c>
      <c r="K221" s="9">
        <f t="shared" si="22"/>
        <v>2.30000000000001</v>
      </c>
      <c r="L221" s="1">
        <f t="shared" si="23"/>
        <v>-0.999999999999959</v>
      </c>
    </row>
    <row r="222" s="1" customFormat="1" spans="1:12">
      <c r="A222" s="2">
        <v>7.359</v>
      </c>
      <c r="B222" s="10" t="s">
        <v>16</v>
      </c>
      <c r="C222" s="4">
        <v>7.359</v>
      </c>
      <c r="D222" s="5">
        <v>47.4</v>
      </c>
      <c r="E222" s="4"/>
      <c r="F222" s="4"/>
      <c r="G222" s="2">
        <f t="shared" si="18"/>
        <v>7.326</v>
      </c>
      <c r="H222" s="11" t="str">
        <f t="shared" si="19"/>
        <v>3.429E-2</v>
      </c>
      <c r="I222" s="2">
        <f t="shared" si="20"/>
        <v>47.2</v>
      </c>
      <c r="J222" s="4">
        <f t="shared" si="21"/>
        <v>7.326</v>
      </c>
      <c r="K222" s="9">
        <f t="shared" si="22"/>
        <v>1.70000000000003</v>
      </c>
      <c r="L222" s="1">
        <f t="shared" si="23"/>
        <v>-0.999999999999959</v>
      </c>
    </row>
    <row r="223" s="1" customFormat="1" spans="1:12">
      <c r="A223" s="2">
        <v>7.393</v>
      </c>
      <c r="B223" s="10" t="s">
        <v>142</v>
      </c>
      <c r="C223" s="4">
        <v>7.393</v>
      </c>
      <c r="D223" s="5">
        <v>47.9</v>
      </c>
      <c r="E223" s="4"/>
      <c r="F223" s="4"/>
      <c r="G223" s="2">
        <f t="shared" si="18"/>
        <v>7.359</v>
      </c>
      <c r="H223" s="11" t="str">
        <f t="shared" si="19"/>
        <v>3.426E-2</v>
      </c>
      <c r="I223" s="2">
        <f t="shared" si="20"/>
        <v>47.4</v>
      </c>
      <c r="J223" s="4">
        <f t="shared" si="21"/>
        <v>7.359</v>
      </c>
      <c r="K223" s="9">
        <f t="shared" si="22"/>
        <v>1.40000000000001</v>
      </c>
      <c r="L223" s="1">
        <f t="shared" si="23"/>
        <v>-0.999999999999959</v>
      </c>
    </row>
    <row r="224" s="1" customFormat="1" spans="1:12">
      <c r="A224" s="2">
        <v>7.426</v>
      </c>
      <c r="B224" s="10" t="s">
        <v>82</v>
      </c>
      <c r="C224" s="4">
        <v>7.426</v>
      </c>
      <c r="D224" s="5">
        <v>47.6</v>
      </c>
      <c r="E224" s="4"/>
      <c r="F224" s="4"/>
      <c r="G224" s="2">
        <f t="shared" si="18"/>
        <v>7.393</v>
      </c>
      <c r="H224" s="11" t="str">
        <f t="shared" si="19"/>
        <v>3.418E-2</v>
      </c>
      <c r="I224" s="2">
        <f t="shared" si="20"/>
        <v>47.4</v>
      </c>
      <c r="J224" s="4">
        <f t="shared" si="21"/>
        <v>7.393</v>
      </c>
      <c r="K224" s="9">
        <f t="shared" si="22"/>
        <v>0.600000000000045</v>
      </c>
      <c r="L224" s="1">
        <f t="shared" si="23"/>
        <v>-0.999999999999959</v>
      </c>
    </row>
    <row r="225" s="1" customFormat="1" spans="1:12">
      <c r="A225" s="2">
        <v>7.459</v>
      </c>
      <c r="B225" s="10" t="s">
        <v>117</v>
      </c>
      <c r="C225" s="4">
        <v>7.459</v>
      </c>
      <c r="D225" s="5">
        <v>47.5</v>
      </c>
      <c r="E225" s="4"/>
      <c r="F225" s="4"/>
      <c r="G225" s="2">
        <f t="shared" si="18"/>
        <v>7.426</v>
      </c>
      <c r="H225" s="11" t="str">
        <f t="shared" si="19"/>
        <v>3.414E-2</v>
      </c>
      <c r="I225" s="2">
        <f t="shared" si="20"/>
        <v>47.9</v>
      </c>
      <c r="J225" s="4">
        <f t="shared" si="21"/>
        <v>7.426</v>
      </c>
      <c r="K225" s="9">
        <f t="shared" si="22"/>
        <v>0.199999999999992</v>
      </c>
      <c r="L225" s="1">
        <f t="shared" si="23"/>
        <v>-0.999999999999959</v>
      </c>
    </row>
    <row r="226" s="1" customFormat="1" spans="1:12">
      <c r="A226" s="2">
        <v>7.493</v>
      </c>
      <c r="B226" s="10" t="s">
        <v>117</v>
      </c>
      <c r="C226" s="4">
        <v>7.493</v>
      </c>
      <c r="D226" s="5">
        <v>47.5</v>
      </c>
      <c r="E226" s="4"/>
      <c r="F226" s="4"/>
      <c r="G226" s="2">
        <f t="shared" si="18"/>
        <v>7.459</v>
      </c>
      <c r="H226" s="11" t="str">
        <f t="shared" si="19"/>
        <v>3.412E-2</v>
      </c>
      <c r="I226" s="2">
        <f t="shared" si="20"/>
        <v>47.6</v>
      </c>
      <c r="J226" s="4">
        <f t="shared" si="21"/>
        <v>7.459</v>
      </c>
      <c r="K226" s="9">
        <f t="shared" si="22"/>
        <v>0</v>
      </c>
      <c r="L226" s="1">
        <f t="shared" si="23"/>
        <v>-0.999999999999959</v>
      </c>
    </row>
    <row r="227" s="1" customFormat="1" spans="1:12">
      <c r="A227" s="2">
        <v>7.526</v>
      </c>
      <c r="B227" s="10" t="s">
        <v>244</v>
      </c>
      <c r="C227" s="4">
        <v>7.526</v>
      </c>
      <c r="D227" s="5">
        <v>47.5</v>
      </c>
      <c r="E227" s="4"/>
      <c r="F227" s="4"/>
      <c r="G227" s="2">
        <f t="shared" si="18"/>
        <v>7.493</v>
      </c>
      <c r="H227" s="11" t="str">
        <f t="shared" si="19"/>
        <v>3.412E-2</v>
      </c>
      <c r="I227" s="2">
        <f t="shared" si="20"/>
        <v>47.5</v>
      </c>
      <c r="J227" s="4">
        <f t="shared" si="21"/>
        <v>7.493</v>
      </c>
      <c r="K227" s="9">
        <f t="shared" si="22"/>
        <v>0</v>
      </c>
      <c r="L227" s="1">
        <f t="shared" si="23"/>
        <v>-0.999999999999959</v>
      </c>
    </row>
    <row r="228" s="1" customFormat="1" spans="1:12">
      <c r="A228" s="2">
        <v>7.56</v>
      </c>
      <c r="B228" s="10" t="s">
        <v>117</v>
      </c>
      <c r="C228" s="4">
        <v>7.56</v>
      </c>
      <c r="D228" s="5">
        <v>47.6</v>
      </c>
      <c r="E228" s="4"/>
      <c r="F228" s="4"/>
      <c r="G228" s="2">
        <f t="shared" si="18"/>
        <v>7.526</v>
      </c>
      <c r="H228" s="11" t="str">
        <f t="shared" si="19"/>
        <v>3.411E-2</v>
      </c>
      <c r="I228" s="2">
        <f t="shared" si="20"/>
        <v>47.5</v>
      </c>
      <c r="J228" s="4">
        <f t="shared" si="21"/>
        <v>7.526</v>
      </c>
      <c r="K228" s="9">
        <f t="shared" si="22"/>
        <v>-0.0999999999999612</v>
      </c>
      <c r="L228" s="1">
        <f t="shared" si="23"/>
        <v>-0.999999999999959</v>
      </c>
    </row>
    <row r="229" s="1" customFormat="1" spans="1:12">
      <c r="A229" s="2">
        <v>7.593</v>
      </c>
      <c r="B229" s="10" t="s">
        <v>57</v>
      </c>
      <c r="C229" s="4">
        <v>7.593</v>
      </c>
      <c r="D229" s="5">
        <v>47.8</v>
      </c>
      <c r="E229" s="4"/>
      <c r="F229" s="4"/>
      <c r="G229" s="2">
        <f t="shared" si="18"/>
        <v>7.56</v>
      </c>
      <c r="H229" s="11" t="str">
        <f t="shared" si="19"/>
        <v>3.412E-2</v>
      </c>
      <c r="I229" s="2">
        <f t="shared" si="20"/>
        <v>47.5</v>
      </c>
      <c r="J229" s="4">
        <f t="shared" si="21"/>
        <v>7.56</v>
      </c>
      <c r="K229" s="9">
        <f t="shared" si="22"/>
        <v>0</v>
      </c>
      <c r="L229" s="1">
        <f t="shared" si="23"/>
        <v>-0.999999999999959</v>
      </c>
    </row>
    <row r="230" s="1" customFormat="1" spans="1:12">
      <c r="A230" s="2">
        <v>7.627</v>
      </c>
      <c r="B230" s="10" t="s">
        <v>82</v>
      </c>
      <c r="C230" s="4">
        <v>7.627</v>
      </c>
      <c r="D230" s="5">
        <v>47.4</v>
      </c>
      <c r="E230" s="4"/>
      <c r="F230" s="4"/>
      <c r="G230" s="2">
        <f t="shared" si="18"/>
        <v>7.593</v>
      </c>
      <c r="H230" s="11" t="str">
        <f t="shared" si="19"/>
        <v>3.413E-2</v>
      </c>
      <c r="I230" s="2">
        <f t="shared" si="20"/>
        <v>47.6</v>
      </c>
      <c r="J230" s="4">
        <f t="shared" si="21"/>
        <v>7.593</v>
      </c>
      <c r="K230" s="9">
        <f t="shared" si="22"/>
        <v>0.100000000000031</v>
      </c>
      <c r="L230" s="1">
        <f t="shared" si="23"/>
        <v>-0.999999999999959</v>
      </c>
    </row>
    <row r="231" s="1" customFormat="1" spans="1:12">
      <c r="A231" s="2">
        <v>7.66</v>
      </c>
      <c r="B231" s="10" t="s">
        <v>249</v>
      </c>
      <c r="C231" s="4">
        <v>7.66</v>
      </c>
      <c r="D231" s="5">
        <v>47.9</v>
      </c>
      <c r="E231" s="4"/>
      <c r="F231" s="4"/>
      <c r="G231" s="2">
        <f t="shared" si="18"/>
        <v>7.627</v>
      </c>
      <c r="H231" s="11" t="str">
        <f t="shared" si="19"/>
        <v>3.414E-2</v>
      </c>
      <c r="I231" s="2">
        <f t="shared" si="20"/>
        <v>47.8</v>
      </c>
      <c r="J231" s="4">
        <f t="shared" si="21"/>
        <v>7.627</v>
      </c>
      <c r="K231" s="9">
        <f t="shared" si="22"/>
        <v>0.199999999999992</v>
      </c>
      <c r="L231" s="1">
        <f t="shared" si="23"/>
        <v>-0.999999999999959</v>
      </c>
    </row>
    <row r="232" s="1" customFormat="1" spans="1:12">
      <c r="A232" s="2">
        <v>7.694</v>
      </c>
      <c r="B232" s="10" t="s">
        <v>235</v>
      </c>
      <c r="C232" s="4">
        <v>7.694</v>
      </c>
      <c r="D232" s="5">
        <v>47.9</v>
      </c>
      <c r="E232" s="4"/>
      <c r="F232" s="4"/>
      <c r="G232" s="2">
        <f t="shared" si="18"/>
        <v>7.66</v>
      </c>
      <c r="H232" s="11" t="str">
        <f t="shared" si="19"/>
        <v>3.417E-2</v>
      </c>
      <c r="I232" s="2">
        <f t="shared" si="20"/>
        <v>47.4</v>
      </c>
      <c r="J232" s="4">
        <f t="shared" si="21"/>
        <v>7.66</v>
      </c>
      <c r="K232" s="9">
        <f t="shared" si="22"/>
        <v>0.500000000000014</v>
      </c>
      <c r="L232" s="1">
        <f t="shared" si="23"/>
        <v>-0.999999999999959</v>
      </c>
    </row>
    <row r="233" s="1" customFormat="1" spans="1:12">
      <c r="A233" s="2">
        <v>7.727</v>
      </c>
      <c r="B233" s="10" t="s">
        <v>17</v>
      </c>
      <c r="C233" s="4">
        <v>7.727</v>
      </c>
      <c r="D233" s="5">
        <v>47.1</v>
      </c>
      <c r="E233" s="4"/>
      <c r="F233" s="4"/>
      <c r="G233" s="2">
        <f t="shared" si="18"/>
        <v>7.694</v>
      </c>
      <c r="H233" s="11" t="str">
        <f t="shared" si="19"/>
        <v>3.420E-2</v>
      </c>
      <c r="I233" s="2">
        <f t="shared" si="20"/>
        <v>47.9</v>
      </c>
      <c r="J233" s="4">
        <f t="shared" si="21"/>
        <v>7.694</v>
      </c>
      <c r="K233" s="9">
        <f t="shared" si="22"/>
        <v>0.800000000000037</v>
      </c>
      <c r="L233" s="1">
        <f t="shared" si="23"/>
        <v>-0.999999999999959</v>
      </c>
    </row>
    <row r="234" s="1" customFormat="1" spans="1:12">
      <c r="A234" s="2">
        <v>7.76</v>
      </c>
      <c r="B234" s="10" t="s">
        <v>81</v>
      </c>
      <c r="C234" s="4">
        <v>7.76</v>
      </c>
      <c r="D234" s="5">
        <v>47.2</v>
      </c>
      <c r="E234" s="4"/>
      <c r="F234" s="4"/>
      <c r="G234" s="2">
        <f t="shared" si="18"/>
        <v>7.727</v>
      </c>
      <c r="H234" s="11" t="str">
        <f t="shared" si="19"/>
        <v>3.423E-2</v>
      </c>
      <c r="I234" s="2">
        <f t="shared" si="20"/>
        <v>47.9</v>
      </c>
      <c r="J234" s="4">
        <f t="shared" si="21"/>
        <v>7.727</v>
      </c>
      <c r="K234" s="9">
        <f t="shared" si="22"/>
        <v>1.09999999999999</v>
      </c>
      <c r="L234" s="1">
        <f t="shared" si="23"/>
        <v>-0.999999999999959</v>
      </c>
    </row>
    <row r="235" s="1" customFormat="1" spans="1:12">
      <c r="A235" s="2">
        <v>7.794</v>
      </c>
      <c r="B235" s="10" t="s">
        <v>14</v>
      </c>
      <c r="C235" s="4">
        <v>7.794</v>
      </c>
      <c r="D235" s="5">
        <v>47.3</v>
      </c>
      <c r="E235" s="4"/>
      <c r="F235" s="4"/>
      <c r="G235" s="2">
        <f t="shared" si="18"/>
        <v>7.76</v>
      </c>
      <c r="H235" s="11" t="str">
        <f t="shared" si="19"/>
        <v>3.425E-2</v>
      </c>
      <c r="I235" s="2">
        <f t="shared" si="20"/>
        <v>47.1</v>
      </c>
      <c r="J235" s="4">
        <f t="shared" si="21"/>
        <v>7.76</v>
      </c>
      <c r="K235" s="9">
        <f t="shared" si="22"/>
        <v>1.30000000000005</v>
      </c>
      <c r="L235" s="1">
        <f t="shared" si="23"/>
        <v>-0.999999999999959</v>
      </c>
    </row>
    <row r="236" s="1" customFormat="1" spans="1:12">
      <c r="A236" s="2">
        <v>7.827</v>
      </c>
      <c r="B236" s="10" t="s">
        <v>22</v>
      </c>
      <c r="C236" s="4">
        <v>7.827</v>
      </c>
      <c r="D236" s="5">
        <v>47.6</v>
      </c>
      <c r="E236" s="4"/>
      <c r="F236" s="4"/>
      <c r="G236" s="2">
        <f t="shared" si="18"/>
        <v>7.794</v>
      </c>
      <c r="H236" s="11" t="str">
        <f t="shared" si="19"/>
        <v>3.429E-2</v>
      </c>
      <c r="I236" s="2">
        <f t="shared" si="20"/>
        <v>47.2</v>
      </c>
      <c r="J236" s="4">
        <f t="shared" si="21"/>
        <v>7.794</v>
      </c>
      <c r="K236" s="9">
        <f t="shared" si="22"/>
        <v>1.70000000000003</v>
      </c>
      <c r="L236" s="1">
        <f t="shared" si="23"/>
        <v>-0.999999999999959</v>
      </c>
    </row>
    <row r="237" s="1" customFormat="1" spans="1:12">
      <c r="A237" s="2">
        <v>7.861</v>
      </c>
      <c r="B237" s="10" t="s">
        <v>24</v>
      </c>
      <c r="C237" s="4">
        <v>7.861</v>
      </c>
      <c r="D237" s="5">
        <v>48</v>
      </c>
      <c r="E237" s="4"/>
      <c r="F237" s="4"/>
      <c r="G237" s="2">
        <f t="shared" si="18"/>
        <v>7.827</v>
      </c>
      <c r="H237" s="11" t="str">
        <f t="shared" si="19"/>
        <v>3.439E-2</v>
      </c>
      <c r="I237" s="2">
        <f t="shared" si="20"/>
        <v>47.3</v>
      </c>
      <c r="J237" s="4">
        <f t="shared" si="21"/>
        <v>7.827</v>
      </c>
      <c r="K237" s="9">
        <f t="shared" si="22"/>
        <v>2.69999999999999</v>
      </c>
      <c r="L237" s="1">
        <f t="shared" si="23"/>
        <v>-0.999999999999959</v>
      </c>
    </row>
    <row r="238" s="1" customFormat="1" spans="1:12">
      <c r="A238" s="2">
        <v>7.894</v>
      </c>
      <c r="B238" s="10" t="s">
        <v>42</v>
      </c>
      <c r="C238" s="4">
        <v>7.894</v>
      </c>
      <c r="D238" s="5">
        <v>47.8</v>
      </c>
      <c r="E238" s="4"/>
      <c r="F238" s="4"/>
      <c r="G238" s="2">
        <f t="shared" si="18"/>
        <v>7.861</v>
      </c>
      <c r="H238" s="11" t="str">
        <f t="shared" si="19"/>
        <v>3.445E-2</v>
      </c>
      <c r="I238" s="2">
        <f t="shared" si="20"/>
        <v>47.6</v>
      </c>
      <c r="J238" s="4">
        <f t="shared" si="21"/>
        <v>7.861</v>
      </c>
      <c r="K238" s="9">
        <f t="shared" si="22"/>
        <v>3.30000000000004</v>
      </c>
      <c r="L238" s="1">
        <f t="shared" si="23"/>
        <v>-0.999999999999959</v>
      </c>
    </row>
    <row r="239" s="1" customFormat="1" spans="1:12">
      <c r="A239" s="2">
        <v>7.928</v>
      </c>
      <c r="B239" s="10" t="s">
        <v>223</v>
      </c>
      <c r="C239" s="4">
        <v>7.928</v>
      </c>
      <c r="D239" s="5">
        <v>47.6</v>
      </c>
      <c r="E239" s="4"/>
      <c r="F239" s="4"/>
      <c r="G239" s="2">
        <f t="shared" si="18"/>
        <v>7.894</v>
      </c>
      <c r="H239" s="11" t="str">
        <f t="shared" si="19"/>
        <v>3.450E-2</v>
      </c>
      <c r="I239" s="2">
        <f t="shared" si="20"/>
        <v>48</v>
      </c>
      <c r="J239" s="4">
        <f t="shared" si="21"/>
        <v>7.894</v>
      </c>
      <c r="K239" s="9">
        <f t="shared" si="22"/>
        <v>3.80000000000005</v>
      </c>
      <c r="L239" s="1">
        <f t="shared" si="23"/>
        <v>-0.999999999999959</v>
      </c>
    </row>
    <row r="240" s="1" customFormat="1" spans="1:12">
      <c r="A240" s="2">
        <v>7.961</v>
      </c>
      <c r="B240" s="10" t="s">
        <v>41</v>
      </c>
      <c r="C240" s="4">
        <v>7.961</v>
      </c>
      <c r="D240" s="5">
        <v>48.2</v>
      </c>
      <c r="E240" s="4"/>
      <c r="F240" s="4"/>
      <c r="G240" s="2">
        <f t="shared" si="18"/>
        <v>7.928</v>
      </c>
      <c r="H240" s="11" t="str">
        <f t="shared" si="19"/>
        <v>3.455E-2</v>
      </c>
      <c r="I240" s="2">
        <f t="shared" si="20"/>
        <v>47.8</v>
      </c>
      <c r="J240" s="4">
        <f t="shared" si="21"/>
        <v>7.928</v>
      </c>
      <c r="K240" s="9">
        <f t="shared" si="22"/>
        <v>4.3</v>
      </c>
      <c r="L240" s="1">
        <f t="shared" si="23"/>
        <v>-0.999999999999959</v>
      </c>
    </row>
    <row r="241" s="1" customFormat="1" spans="1:12">
      <c r="A241" s="2">
        <v>7.995</v>
      </c>
      <c r="B241" s="10" t="s">
        <v>110</v>
      </c>
      <c r="C241" s="4">
        <v>7.995</v>
      </c>
      <c r="D241" s="5">
        <v>47.7</v>
      </c>
      <c r="E241" s="4"/>
      <c r="F241" s="4"/>
      <c r="G241" s="2">
        <f t="shared" si="18"/>
        <v>7.961</v>
      </c>
      <c r="H241" s="11" t="str">
        <f t="shared" si="19"/>
        <v>3.456E-2</v>
      </c>
      <c r="I241" s="2">
        <f t="shared" si="20"/>
        <v>47.6</v>
      </c>
      <c r="J241" s="4">
        <f t="shared" si="21"/>
        <v>7.961</v>
      </c>
      <c r="K241" s="9">
        <f t="shared" si="22"/>
        <v>4.40000000000003</v>
      </c>
      <c r="L241" s="1">
        <f t="shared" si="23"/>
        <v>-0.999999999999959</v>
      </c>
    </row>
    <row r="242" s="1" customFormat="1" spans="1:12">
      <c r="A242" s="2">
        <v>8.028</v>
      </c>
      <c r="B242" s="10" t="s">
        <v>110</v>
      </c>
      <c r="C242" s="4">
        <v>8.028</v>
      </c>
      <c r="D242" s="5">
        <v>47.9</v>
      </c>
      <c r="E242" s="4"/>
      <c r="F242" s="4"/>
      <c r="G242" s="2">
        <f t="shared" si="18"/>
        <v>7.995</v>
      </c>
      <c r="H242" s="11" t="str">
        <f t="shared" si="19"/>
        <v>3.457E-2</v>
      </c>
      <c r="I242" s="2">
        <f t="shared" si="20"/>
        <v>48.2</v>
      </c>
      <c r="J242" s="4">
        <f t="shared" si="21"/>
        <v>7.995</v>
      </c>
      <c r="K242" s="9">
        <f t="shared" si="22"/>
        <v>4.49999999999999</v>
      </c>
      <c r="L242" s="1">
        <f t="shared" si="23"/>
        <v>-0.999999999999959</v>
      </c>
    </row>
    <row r="243" s="1" customFormat="1" spans="1:12">
      <c r="A243" s="2">
        <v>8.062</v>
      </c>
      <c r="B243" s="10" t="s">
        <v>41</v>
      </c>
      <c r="C243" s="4">
        <v>8.062</v>
      </c>
      <c r="D243" s="5">
        <v>47.2</v>
      </c>
      <c r="E243" s="4"/>
      <c r="F243" s="4"/>
      <c r="G243" s="2">
        <f t="shared" si="18"/>
        <v>8.028</v>
      </c>
      <c r="H243" s="11" t="str">
        <f t="shared" si="19"/>
        <v>3.457E-2</v>
      </c>
      <c r="I243" s="2">
        <f t="shared" si="20"/>
        <v>47.7</v>
      </c>
      <c r="J243" s="4">
        <f t="shared" si="21"/>
        <v>8.028</v>
      </c>
      <c r="K243" s="9">
        <f t="shared" si="22"/>
        <v>4.49999999999999</v>
      </c>
      <c r="L243" s="1">
        <f t="shared" si="23"/>
        <v>-0.999999999999959</v>
      </c>
    </row>
    <row r="244" s="1" customFormat="1" spans="1:12">
      <c r="A244" s="2">
        <v>8.095</v>
      </c>
      <c r="B244" s="10" t="s">
        <v>223</v>
      </c>
      <c r="C244" s="4">
        <v>8.095</v>
      </c>
      <c r="D244" s="5">
        <v>47.8</v>
      </c>
      <c r="E244" s="4"/>
      <c r="F244" s="4"/>
      <c r="G244" s="2">
        <f t="shared" si="18"/>
        <v>8.062</v>
      </c>
      <c r="H244" s="11" t="str">
        <f t="shared" si="19"/>
        <v>3.456E-2</v>
      </c>
      <c r="I244" s="2">
        <f t="shared" si="20"/>
        <v>47.9</v>
      </c>
      <c r="J244" s="4">
        <f t="shared" si="21"/>
        <v>8.062</v>
      </c>
      <c r="K244" s="9">
        <f t="shared" si="22"/>
        <v>4.40000000000003</v>
      </c>
      <c r="L244" s="1">
        <f t="shared" si="23"/>
        <v>-0.999999999999959</v>
      </c>
    </row>
    <row r="245" s="1" customFormat="1" spans="1:12">
      <c r="A245" s="2">
        <v>8.128</v>
      </c>
      <c r="B245" s="10" t="s">
        <v>140</v>
      </c>
      <c r="C245" s="4">
        <v>8.128</v>
      </c>
      <c r="D245" s="5">
        <v>47.5</v>
      </c>
      <c r="E245" s="4"/>
      <c r="F245" s="4"/>
      <c r="G245" s="2">
        <f t="shared" si="18"/>
        <v>8.095</v>
      </c>
      <c r="H245" s="11" t="str">
        <f t="shared" si="19"/>
        <v>3.455E-2</v>
      </c>
      <c r="I245" s="2">
        <f t="shared" si="20"/>
        <v>47.2</v>
      </c>
      <c r="J245" s="4">
        <f t="shared" si="21"/>
        <v>8.095</v>
      </c>
      <c r="K245" s="9">
        <f t="shared" si="22"/>
        <v>4.3</v>
      </c>
      <c r="L245" s="1">
        <f t="shared" si="23"/>
        <v>-0.999999999999959</v>
      </c>
    </row>
    <row r="246" s="1" customFormat="1" spans="1:12">
      <c r="A246" s="2">
        <v>8.162</v>
      </c>
      <c r="B246" s="10" t="s">
        <v>167</v>
      </c>
      <c r="C246" s="4">
        <v>8.162</v>
      </c>
      <c r="D246" s="5">
        <v>47.7</v>
      </c>
      <c r="E246" s="4"/>
      <c r="F246" s="4"/>
      <c r="G246" s="2">
        <f t="shared" si="18"/>
        <v>8.128</v>
      </c>
      <c r="H246" s="11" t="str">
        <f t="shared" si="19"/>
        <v>3.454E-2</v>
      </c>
      <c r="I246" s="2">
        <f t="shared" si="20"/>
        <v>47.8</v>
      </c>
      <c r="J246" s="4">
        <f t="shared" si="21"/>
        <v>8.128</v>
      </c>
      <c r="K246" s="9">
        <f t="shared" si="22"/>
        <v>4.20000000000004</v>
      </c>
      <c r="L246" s="1">
        <f t="shared" si="23"/>
        <v>-0.999999999999959</v>
      </c>
    </row>
    <row r="247" s="1" customFormat="1" spans="1:12">
      <c r="A247" s="2">
        <v>8.195</v>
      </c>
      <c r="B247" s="10" t="s">
        <v>26</v>
      </c>
      <c r="C247" s="4">
        <v>8.195</v>
      </c>
      <c r="D247" s="5">
        <v>47.7</v>
      </c>
      <c r="E247" s="4"/>
      <c r="F247" s="4"/>
      <c r="G247" s="2">
        <f t="shared" si="18"/>
        <v>8.162</v>
      </c>
      <c r="H247" s="11" t="str">
        <f t="shared" si="19"/>
        <v>3.453E-2</v>
      </c>
      <c r="I247" s="2">
        <f t="shared" si="20"/>
        <v>47.5</v>
      </c>
      <c r="J247" s="4">
        <f t="shared" si="21"/>
        <v>8.162</v>
      </c>
      <c r="K247" s="9">
        <f t="shared" si="22"/>
        <v>4.10000000000001</v>
      </c>
      <c r="L247" s="1">
        <f t="shared" si="23"/>
        <v>-0.999999999999959</v>
      </c>
    </row>
    <row r="248" s="1" customFormat="1" spans="1:12">
      <c r="A248" s="2">
        <v>8.229</v>
      </c>
      <c r="B248" s="10" t="s">
        <v>221</v>
      </c>
      <c r="C248" s="4">
        <v>8.229</v>
      </c>
      <c r="D248" s="5">
        <v>47.4</v>
      </c>
      <c r="E248" s="4"/>
      <c r="F248" s="4"/>
      <c r="G248" s="2">
        <f t="shared" si="18"/>
        <v>8.195</v>
      </c>
      <c r="H248" s="11" t="str">
        <f t="shared" si="19"/>
        <v>3.451E-2</v>
      </c>
      <c r="I248" s="2">
        <f t="shared" si="20"/>
        <v>47.7</v>
      </c>
      <c r="J248" s="4">
        <f t="shared" si="21"/>
        <v>8.195</v>
      </c>
      <c r="K248" s="9">
        <f t="shared" si="22"/>
        <v>3.90000000000001</v>
      </c>
      <c r="L248" s="1">
        <f t="shared" si="23"/>
        <v>-0.999999999999959</v>
      </c>
    </row>
    <row r="249" s="1" customFormat="1" spans="1:12">
      <c r="A249" s="2">
        <v>8.262</v>
      </c>
      <c r="B249" s="10" t="s">
        <v>216</v>
      </c>
      <c r="C249" s="4">
        <v>8.262</v>
      </c>
      <c r="D249" s="5">
        <v>47.7</v>
      </c>
      <c r="E249" s="4"/>
      <c r="F249" s="4"/>
      <c r="G249" s="2">
        <f t="shared" si="18"/>
        <v>8.229</v>
      </c>
      <c r="H249" s="11" t="str">
        <f t="shared" si="19"/>
        <v>3.448E-2</v>
      </c>
      <c r="I249" s="2">
        <f t="shared" si="20"/>
        <v>47.7</v>
      </c>
      <c r="J249" s="4">
        <f t="shared" si="21"/>
        <v>8.229</v>
      </c>
      <c r="K249" s="9">
        <f t="shared" si="22"/>
        <v>3.59999999999999</v>
      </c>
      <c r="L249" s="1">
        <f t="shared" si="23"/>
        <v>-0.999999999999959</v>
      </c>
    </row>
    <row r="250" s="1" customFormat="1" spans="1:12">
      <c r="A250" s="2">
        <v>8.296</v>
      </c>
      <c r="B250" s="10" t="s">
        <v>141</v>
      </c>
      <c r="C250" s="4">
        <v>8.296</v>
      </c>
      <c r="D250" s="5">
        <v>47.7</v>
      </c>
      <c r="E250" s="4"/>
      <c r="F250" s="4"/>
      <c r="G250" s="2">
        <f t="shared" si="18"/>
        <v>8.262</v>
      </c>
      <c r="H250" s="11" t="str">
        <f t="shared" si="19"/>
        <v>3.446E-2</v>
      </c>
      <c r="I250" s="2">
        <f t="shared" si="20"/>
        <v>47.4</v>
      </c>
      <c r="J250" s="4">
        <f t="shared" si="21"/>
        <v>8.262</v>
      </c>
      <c r="K250" s="9">
        <f t="shared" si="22"/>
        <v>3.4</v>
      </c>
      <c r="L250" s="1">
        <f t="shared" si="23"/>
        <v>-0.999999999999959</v>
      </c>
    </row>
    <row r="251" s="1" customFormat="1" spans="1:12">
      <c r="A251" s="2">
        <v>8.329</v>
      </c>
      <c r="B251" s="10" t="s">
        <v>23</v>
      </c>
      <c r="C251" s="4">
        <v>8.329</v>
      </c>
      <c r="D251" s="5">
        <v>47.1</v>
      </c>
      <c r="E251" s="4"/>
      <c r="F251" s="4"/>
      <c r="G251" s="2">
        <f t="shared" si="18"/>
        <v>8.296</v>
      </c>
      <c r="H251" s="11" t="str">
        <f t="shared" si="19"/>
        <v>3.444E-2</v>
      </c>
      <c r="I251" s="2">
        <f t="shared" si="20"/>
        <v>47.7</v>
      </c>
      <c r="J251" s="4">
        <f t="shared" si="21"/>
        <v>8.296</v>
      </c>
      <c r="K251" s="9">
        <f t="shared" si="22"/>
        <v>3.20000000000001</v>
      </c>
      <c r="L251" s="1">
        <f t="shared" si="23"/>
        <v>-0.999999999999959</v>
      </c>
    </row>
    <row r="252" s="1" customFormat="1" spans="1:12">
      <c r="A252" s="2">
        <v>8.363</v>
      </c>
      <c r="B252" s="10" t="s">
        <v>58</v>
      </c>
      <c r="C252" s="4">
        <v>8.363</v>
      </c>
      <c r="D252" s="5">
        <v>47.6</v>
      </c>
      <c r="E252" s="4"/>
      <c r="F252" s="4"/>
      <c r="G252" s="2">
        <f t="shared" si="18"/>
        <v>8.329</v>
      </c>
      <c r="H252" s="11" t="str">
        <f t="shared" si="19"/>
        <v>3.442E-2</v>
      </c>
      <c r="I252" s="2">
        <f t="shared" si="20"/>
        <v>47.7</v>
      </c>
      <c r="J252" s="4">
        <f t="shared" si="21"/>
        <v>8.329</v>
      </c>
      <c r="K252" s="9">
        <f t="shared" si="22"/>
        <v>3.00000000000002</v>
      </c>
      <c r="L252" s="1">
        <f t="shared" si="23"/>
        <v>-0.999999999999959</v>
      </c>
    </row>
    <row r="253" s="1" customFormat="1" spans="1:12">
      <c r="A253" s="2">
        <v>8.396</v>
      </c>
      <c r="B253" s="10" t="s">
        <v>21</v>
      </c>
      <c r="C253" s="4">
        <v>8.396</v>
      </c>
      <c r="D253" s="5">
        <v>47.6</v>
      </c>
      <c r="E253" s="4"/>
      <c r="F253" s="4"/>
      <c r="G253" s="2">
        <f t="shared" si="18"/>
        <v>8.363</v>
      </c>
      <c r="H253" s="11" t="str">
        <f t="shared" si="19"/>
        <v>3.440E-2</v>
      </c>
      <c r="I253" s="2">
        <f t="shared" si="20"/>
        <v>47.1</v>
      </c>
      <c r="J253" s="4">
        <f t="shared" si="21"/>
        <v>8.363</v>
      </c>
      <c r="K253" s="9">
        <f t="shared" si="22"/>
        <v>2.80000000000002</v>
      </c>
      <c r="L253" s="1">
        <f t="shared" si="23"/>
        <v>-0.999999999999959</v>
      </c>
    </row>
    <row r="254" s="1" customFormat="1" spans="1:12">
      <c r="A254" s="2">
        <v>8.429</v>
      </c>
      <c r="B254" s="10" t="s">
        <v>10</v>
      </c>
      <c r="C254" s="4">
        <v>8.429</v>
      </c>
      <c r="D254" s="5">
        <v>47.4</v>
      </c>
      <c r="E254" s="4"/>
      <c r="F254" s="4"/>
      <c r="G254" s="2">
        <f t="shared" si="18"/>
        <v>8.396</v>
      </c>
      <c r="H254" s="11" t="str">
        <f t="shared" si="19"/>
        <v>3.437E-2</v>
      </c>
      <c r="I254" s="2">
        <f t="shared" si="20"/>
        <v>47.6</v>
      </c>
      <c r="J254" s="4">
        <f t="shared" si="21"/>
        <v>8.396</v>
      </c>
      <c r="K254" s="9">
        <f t="shared" si="22"/>
        <v>2.5</v>
      </c>
      <c r="L254" s="1">
        <f t="shared" si="23"/>
        <v>-0.999999999999959</v>
      </c>
    </row>
    <row r="255" s="1" customFormat="1" spans="1:12">
      <c r="A255" s="2">
        <v>8.463</v>
      </c>
      <c r="B255" s="10" t="s">
        <v>11</v>
      </c>
      <c r="C255" s="4">
        <v>8.463</v>
      </c>
      <c r="D255" s="5">
        <v>47.6</v>
      </c>
      <c r="E255" s="4"/>
      <c r="F255" s="4"/>
      <c r="G255" s="2">
        <f t="shared" si="18"/>
        <v>8.429</v>
      </c>
      <c r="H255" s="11" t="str">
        <f t="shared" si="19"/>
        <v>3.434E-2</v>
      </c>
      <c r="I255" s="2">
        <f t="shared" si="20"/>
        <v>47.6</v>
      </c>
      <c r="J255" s="4">
        <f t="shared" si="21"/>
        <v>8.429</v>
      </c>
      <c r="K255" s="9">
        <f t="shared" si="22"/>
        <v>2.20000000000005</v>
      </c>
      <c r="L255" s="1">
        <f t="shared" si="23"/>
        <v>-0.999999999999959</v>
      </c>
    </row>
    <row r="256" s="1" customFormat="1" spans="1:12">
      <c r="A256" s="2">
        <v>8.496</v>
      </c>
      <c r="B256" s="10" t="s">
        <v>20</v>
      </c>
      <c r="C256" s="4">
        <v>8.496</v>
      </c>
      <c r="D256" s="5">
        <v>48</v>
      </c>
      <c r="E256" s="4"/>
      <c r="F256" s="4"/>
      <c r="G256" s="2">
        <f t="shared" si="18"/>
        <v>8.463</v>
      </c>
      <c r="H256" s="11" t="str">
        <f t="shared" si="19"/>
        <v>3.432E-2</v>
      </c>
      <c r="I256" s="2">
        <f t="shared" si="20"/>
        <v>47.4</v>
      </c>
      <c r="J256" s="4">
        <f t="shared" si="21"/>
        <v>8.463</v>
      </c>
      <c r="K256" s="9">
        <f t="shared" si="22"/>
        <v>2.00000000000006</v>
      </c>
      <c r="L256" s="1">
        <f t="shared" si="23"/>
        <v>-0.999999999999959</v>
      </c>
    </row>
    <row r="257" s="1" customFormat="1" spans="1:12">
      <c r="A257" s="2">
        <v>8.53</v>
      </c>
      <c r="B257" s="10" t="s">
        <v>15</v>
      </c>
      <c r="C257" s="4">
        <v>8.53</v>
      </c>
      <c r="D257" s="5">
        <v>47.5</v>
      </c>
      <c r="E257" s="4"/>
      <c r="F257" s="4"/>
      <c r="G257" s="2">
        <f t="shared" si="18"/>
        <v>8.496</v>
      </c>
      <c r="H257" s="11" t="str">
        <f t="shared" si="19"/>
        <v>3.430E-2</v>
      </c>
      <c r="I257" s="2">
        <f t="shared" si="20"/>
        <v>47.6</v>
      </c>
      <c r="J257" s="4">
        <f t="shared" si="21"/>
        <v>8.496</v>
      </c>
      <c r="K257" s="9">
        <f t="shared" si="22"/>
        <v>1.8</v>
      </c>
      <c r="L257" s="1">
        <f t="shared" si="23"/>
        <v>-0.999999999999959</v>
      </c>
    </row>
    <row r="258" s="1" customFormat="1" spans="1:12">
      <c r="A258" s="2">
        <v>8.563</v>
      </c>
      <c r="B258" s="10" t="s">
        <v>249</v>
      </c>
      <c r="C258" s="4">
        <v>8.563</v>
      </c>
      <c r="D258" s="5">
        <v>47.8</v>
      </c>
      <c r="E258" s="4"/>
      <c r="F258" s="4"/>
      <c r="G258" s="2">
        <f t="shared" si="18"/>
        <v>8.53</v>
      </c>
      <c r="H258" s="11" t="str">
        <f t="shared" si="19"/>
        <v>3.427E-2</v>
      </c>
      <c r="I258" s="2">
        <f t="shared" si="20"/>
        <v>48</v>
      </c>
      <c r="J258" s="4">
        <f t="shared" si="21"/>
        <v>8.53</v>
      </c>
      <c r="K258" s="9">
        <f t="shared" si="22"/>
        <v>1.50000000000004</v>
      </c>
      <c r="L258" s="1">
        <f t="shared" si="23"/>
        <v>-0.999999999999959</v>
      </c>
    </row>
    <row r="259" s="1" customFormat="1" spans="1:12">
      <c r="A259" s="2">
        <v>8.597</v>
      </c>
      <c r="B259" s="10" t="s">
        <v>244</v>
      </c>
      <c r="C259" s="4">
        <v>8.597</v>
      </c>
      <c r="D259" s="5">
        <v>47.9</v>
      </c>
      <c r="E259" s="4"/>
      <c r="F259" s="4"/>
      <c r="G259" s="2">
        <f t="shared" si="18"/>
        <v>8.563</v>
      </c>
      <c r="H259" s="11" t="str">
        <f t="shared" si="19"/>
        <v>3.417E-2</v>
      </c>
      <c r="I259" s="2">
        <f t="shared" si="20"/>
        <v>47.5</v>
      </c>
      <c r="J259" s="4">
        <f t="shared" si="21"/>
        <v>8.563</v>
      </c>
      <c r="K259" s="9">
        <f t="shared" si="22"/>
        <v>0.500000000000014</v>
      </c>
      <c r="L259" s="1">
        <f t="shared" si="23"/>
        <v>-0.999999999999959</v>
      </c>
    </row>
    <row r="260" s="1" customFormat="1" spans="1:12">
      <c r="A260" s="2">
        <v>8.63</v>
      </c>
      <c r="B260" s="10" t="s">
        <v>229</v>
      </c>
      <c r="C260" s="4">
        <v>8.63</v>
      </c>
      <c r="D260" s="5">
        <v>47.5</v>
      </c>
      <c r="E260" s="4"/>
      <c r="F260" s="4"/>
      <c r="G260" s="2">
        <f t="shared" ref="G260:G323" si="24">A259</f>
        <v>8.597</v>
      </c>
      <c r="H260" s="11" t="str">
        <f t="shared" ref="H260:H323" si="25">B259</f>
        <v>3.411E-2</v>
      </c>
      <c r="I260" s="2">
        <f t="shared" ref="I260:I323" si="26">D258</f>
        <v>47.8</v>
      </c>
      <c r="J260" s="4">
        <f t="shared" ref="J260:J323" si="27">G260</f>
        <v>8.597</v>
      </c>
      <c r="K260" s="9">
        <f t="shared" ref="K260:K323" si="28">(H260-$H$4)*10000</f>
        <v>-0.0999999999999612</v>
      </c>
      <c r="L260" s="1">
        <f t="shared" ref="L260:L323" si="29">IF(I260&lt;230,MIN(K:K),MAX(K:K))</f>
        <v>-0.999999999999959</v>
      </c>
    </row>
    <row r="261" s="1" customFormat="1" spans="1:12">
      <c r="A261" s="2">
        <v>8.664</v>
      </c>
      <c r="B261" s="10" t="s">
        <v>88</v>
      </c>
      <c r="C261" s="4">
        <v>8.664</v>
      </c>
      <c r="D261" s="5">
        <v>47.8</v>
      </c>
      <c r="E261" s="4"/>
      <c r="F261" s="4"/>
      <c r="G261" s="2">
        <f t="shared" si="24"/>
        <v>8.63</v>
      </c>
      <c r="H261" s="11" t="str">
        <f t="shared" si="25"/>
        <v>3.405E-2</v>
      </c>
      <c r="I261" s="2">
        <f t="shared" si="26"/>
        <v>47.9</v>
      </c>
      <c r="J261" s="4">
        <f t="shared" si="27"/>
        <v>8.63</v>
      </c>
      <c r="K261" s="9">
        <f t="shared" si="28"/>
        <v>-0.700000000000006</v>
      </c>
      <c r="L261" s="1">
        <f t="shared" si="29"/>
        <v>-0.999999999999959</v>
      </c>
    </row>
    <row r="262" s="1" customFormat="1" spans="1:12">
      <c r="A262" s="2">
        <v>8.697</v>
      </c>
      <c r="B262" s="10" t="s">
        <v>88</v>
      </c>
      <c r="C262" s="4">
        <v>8.697</v>
      </c>
      <c r="D262" s="5">
        <v>47.7</v>
      </c>
      <c r="E262" s="4"/>
      <c r="F262" s="4"/>
      <c r="G262" s="2">
        <f t="shared" si="24"/>
        <v>8.664</v>
      </c>
      <c r="H262" s="11" t="str">
        <f t="shared" si="25"/>
        <v>3.403E-2</v>
      </c>
      <c r="I262" s="2">
        <f t="shared" si="26"/>
        <v>47.5</v>
      </c>
      <c r="J262" s="4">
        <f t="shared" si="27"/>
        <v>8.664</v>
      </c>
      <c r="K262" s="9">
        <f t="shared" si="28"/>
        <v>-0.899999999999998</v>
      </c>
      <c r="L262" s="1">
        <f t="shared" si="29"/>
        <v>-0.999999999999959</v>
      </c>
    </row>
    <row r="263" s="1" customFormat="1" spans="1:12">
      <c r="A263" s="2">
        <v>8.731</v>
      </c>
      <c r="B263" s="10" t="s">
        <v>88</v>
      </c>
      <c r="C263" s="4">
        <v>8.731</v>
      </c>
      <c r="D263" s="5">
        <v>47.8</v>
      </c>
      <c r="E263" s="4"/>
      <c r="F263" s="4"/>
      <c r="G263" s="2">
        <f t="shared" si="24"/>
        <v>8.697</v>
      </c>
      <c r="H263" s="11" t="str">
        <f t="shared" si="25"/>
        <v>3.403E-2</v>
      </c>
      <c r="I263" s="2">
        <f t="shared" si="26"/>
        <v>47.8</v>
      </c>
      <c r="J263" s="4">
        <f t="shared" si="27"/>
        <v>8.697</v>
      </c>
      <c r="K263" s="9">
        <f t="shared" si="28"/>
        <v>-0.899999999999998</v>
      </c>
      <c r="L263" s="1">
        <f t="shared" si="29"/>
        <v>-0.999999999999959</v>
      </c>
    </row>
    <row r="264" s="1" customFormat="1" spans="1:12">
      <c r="A264" s="2">
        <v>8.764</v>
      </c>
      <c r="B264" s="10" t="s">
        <v>88</v>
      </c>
      <c r="C264" s="4">
        <v>8.764</v>
      </c>
      <c r="D264" s="5">
        <v>47.4</v>
      </c>
      <c r="E264" s="4"/>
      <c r="F264" s="4"/>
      <c r="G264" s="2">
        <f t="shared" si="24"/>
        <v>8.731</v>
      </c>
      <c r="H264" s="11" t="str">
        <f t="shared" si="25"/>
        <v>3.403E-2</v>
      </c>
      <c r="I264" s="2">
        <f t="shared" si="26"/>
        <v>47.7</v>
      </c>
      <c r="J264" s="4">
        <f t="shared" si="27"/>
        <v>8.731</v>
      </c>
      <c r="K264" s="9">
        <f t="shared" si="28"/>
        <v>-0.899999999999998</v>
      </c>
      <c r="L264" s="1">
        <f t="shared" si="29"/>
        <v>-0.999999999999959</v>
      </c>
    </row>
    <row r="265" s="1" customFormat="1" spans="1:12">
      <c r="A265" s="2">
        <v>8.797</v>
      </c>
      <c r="B265" s="10" t="s">
        <v>229</v>
      </c>
      <c r="C265" s="4">
        <v>8.797</v>
      </c>
      <c r="D265" s="5">
        <v>47.8</v>
      </c>
      <c r="E265" s="4"/>
      <c r="F265" s="4"/>
      <c r="G265" s="2">
        <f t="shared" si="24"/>
        <v>8.764</v>
      </c>
      <c r="H265" s="11" t="str">
        <f t="shared" si="25"/>
        <v>3.403E-2</v>
      </c>
      <c r="I265" s="2">
        <f t="shared" si="26"/>
        <v>47.8</v>
      </c>
      <c r="J265" s="4">
        <f t="shared" si="27"/>
        <v>8.764</v>
      </c>
      <c r="K265" s="9">
        <f t="shared" si="28"/>
        <v>-0.899999999999998</v>
      </c>
      <c r="L265" s="1">
        <f t="shared" si="29"/>
        <v>-0.999999999999959</v>
      </c>
    </row>
    <row r="266" s="1" customFormat="1" spans="1:12">
      <c r="A266" s="2">
        <v>8.831</v>
      </c>
      <c r="B266" s="10" t="s">
        <v>116</v>
      </c>
      <c r="C266" s="4">
        <v>8.831</v>
      </c>
      <c r="D266" s="5">
        <v>47.8</v>
      </c>
      <c r="E266" s="4"/>
      <c r="F266" s="4"/>
      <c r="G266" s="2">
        <f t="shared" si="24"/>
        <v>8.797</v>
      </c>
      <c r="H266" s="11" t="str">
        <f t="shared" si="25"/>
        <v>3.405E-2</v>
      </c>
      <c r="I266" s="2">
        <f t="shared" si="26"/>
        <v>47.4</v>
      </c>
      <c r="J266" s="4">
        <f t="shared" si="27"/>
        <v>8.797</v>
      </c>
      <c r="K266" s="9">
        <f t="shared" si="28"/>
        <v>-0.700000000000006</v>
      </c>
      <c r="L266" s="1">
        <f t="shared" si="29"/>
        <v>-0.999999999999959</v>
      </c>
    </row>
    <row r="267" s="1" customFormat="1" spans="1:12">
      <c r="A267" s="2">
        <v>8.864</v>
      </c>
      <c r="B267" s="10" t="s">
        <v>116</v>
      </c>
      <c r="C267" s="4">
        <v>8.864</v>
      </c>
      <c r="D267" s="5">
        <v>47.8</v>
      </c>
      <c r="E267" s="4"/>
      <c r="F267" s="4"/>
      <c r="G267" s="2">
        <f t="shared" si="24"/>
        <v>8.831</v>
      </c>
      <c r="H267" s="11" t="str">
        <f t="shared" si="25"/>
        <v>3.406E-2</v>
      </c>
      <c r="I267" s="2">
        <f t="shared" si="26"/>
        <v>47.8</v>
      </c>
      <c r="J267" s="4">
        <f t="shared" si="27"/>
        <v>8.831</v>
      </c>
      <c r="K267" s="9">
        <f t="shared" si="28"/>
        <v>-0.599999999999976</v>
      </c>
      <c r="L267" s="1">
        <f t="shared" si="29"/>
        <v>-0.999999999999959</v>
      </c>
    </row>
    <row r="268" s="1" customFormat="1" spans="1:12">
      <c r="A268" s="2">
        <v>8.898</v>
      </c>
      <c r="B268" s="10" t="s">
        <v>230</v>
      </c>
      <c r="C268" s="4">
        <v>8.898</v>
      </c>
      <c r="D268" s="5">
        <v>47.4</v>
      </c>
      <c r="E268" s="4"/>
      <c r="F268" s="4"/>
      <c r="G268" s="2">
        <f t="shared" si="24"/>
        <v>8.864</v>
      </c>
      <c r="H268" s="11" t="str">
        <f t="shared" si="25"/>
        <v>3.406E-2</v>
      </c>
      <c r="I268" s="2">
        <f t="shared" si="26"/>
        <v>47.8</v>
      </c>
      <c r="J268" s="4">
        <f t="shared" si="27"/>
        <v>8.864</v>
      </c>
      <c r="K268" s="9">
        <f t="shared" si="28"/>
        <v>-0.599999999999976</v>
      </c>
      <c r="L268" s="1">
        <f t="shared" si="29"/>
        <v>-0.999999999999959</v>
      </c>
    </row>
    <row r="269" s="1" customFormat="1" spans="1:12">
      <c r="A269" s="2">
        <v>8.931</v>
      </c>
      <c r="B269" s="10" t="s">
        <v>244</v>
      </c>
      <c r="C269" s="4">
        <v>8.931</v>
      </c>
      <c r="D269" s="5">
        <v>47.5</v>
      </c>
      <c r="E269" s="4"/>
      <c r="F269" s="4"/>
      <c r="G269" s="2">
        <f t="shared" si="24"/>
        <v>8.898</v>
      </c>
      <c r="H269" s="11" t="str">
        <f t="shared" si="25"/>
        <v>3.409E-2</v>
      </c>
      <c r="I269" s="2">
        <f t="shared" si="26"/>
        <v>47.8</v>
      </c>
      <c r="J269" s="4">
        <f t="shared" si="27"/>
        <v>8.898</v>
      </c>
      <c r="K269" s="9">
        <f t="shared" si="28"/>
        <v>-0.299999999999953</v>
      </c>
      <c r="L269" s="1">
        <f t="shared" si="29"/>
        <v>-0.999999999999959</v>
      </c>
    </row>
    <row r="270" s="1" customFormat="1" spans="1:12">
      <c r="A270" s="2">
        <v>8.965</v>
      </c>
      <c r="B270" s="10" t="s">
        <v>82</v>
      </c>
      <c r="C270" s="4">
        <v>8.965</v>
      </c>
      <c r="D270" s="5">
        <v>47.5</v>
      </c>
      <c r="E270" s="4"/>
      <c r="F270" s="4"/>
      <c r="G270" s="2">
        <f t="shared" si="24"/>
        <v>8.931</v>
      </c>
      <c r="H270" s="11" t="str">
        <f t="shared" si="25"/>
        <v>3.411E-2</v>
      </c>
      <c r="I270" s="2">
        <f t="shared" si="26"/>
        <v>47.4</v>
      </c>
      <c r="J270" s="4">
        <f t="shared" si="27"/>
        <v>8.931</v>
      </c>
      <c r="K270" s="9">
        <f t="shared" si="28"/>
        <v>-0.0999999999999612</v>
      </c>
      <c r="L270" s="1">
        <f t="shared" si="29"/>
        <v>-0.999999999999959</v>
      </c>
    </row>
    <row r="271" s="1" customFormat="1" spans="1:12">
      <c r="A271" s="2">
        <v>8.998</v>
      </c>
      <c r="B271" s="10" t="s">
        <v>238</v>
      </c>
      <c r="C271" s="4">
        <v>8.998</v>
      </c>
      <c r="D271" s="5">
        <v>48.2</v>
      </c>
      <c r="E271" s="4"/>
      <c r="F271" s="4"/>
      <c r="G271" s="2">
        <f t="shared" si="24"/>
        <v>8.965</v>
      </c>
      <c r="H271" s="11" t="str">
        <f t="shared" si="25"/>
        <v>3.414E-2</v>
      </c>
      <c r="I271" s="2">
        <f t="shared" si="26"/>
        <v>47.5</v>
      </c>
      <c r="J271" s="4">
        <f t="shared" si="27"/>
        <v>8.965</v>
      </c>
      <c r="K271" s="9">
        <f t="shared" si="28"/>
        <v>0.199999999999992</v>
      </c>
      <c r="L271" s="1">
        <f t="shared" si="29"/>
        <v>-0.999999999999959</v>
      </c>
    </row>
    <row r="272" s="1" customFormat="1" spans="1:12">
      <c r="A272" s="2">
        <v>9.032</v>
      </c>
      <c r="B272" s="10" t="s">
        <v>142</v>
      </c>
      <c r="C272" s="4">
        <v>9.032</v>
      </c>
      <c r="D272" s="5">
        <v>47.9</v>
      </c>
      <c r="E272" s="4"/>
      <c r="F272" s="4"/>
      <c r="G272" s="2">
        <f t="shared" si="24"/>
        <v>8.998</v>
      </c>
      <c r="H272" s="11" t="str">
        <f t="shared" si="25"/>
        <v>3.416E-2</v>
      </c>
      <c r="I272" s="2">
        <f t="shared" si="26"/>
        <v>47.5</v>
      </c>
      <c r="J272" s="4">
        <f t="shared" si="27"/>
        <v>8.998</v>
      </c>
      <c r="K272" s="9">
        <f t="shared" si="28"/>
        <v>0.400000000000053</v>
      </c>
      <c r="L272" s="1">
        <f t="shared" si="29"/>
        <v>-0.999999999999959</v>
      </c>
    </row>
    <row r="273" s="1" customFormat="1" spans="1:12">
      <c r="A273" s="2">
        <v>9.065</v>
      </c>
      <c r="B273" s="10" t="s">
        <v>44</v>
      </c>
      <c r="C273" s="4">
        <v>9.065</v>
      </c>
      <c r="D273" s="5">
        <v>47.3</v>
      </c>
      <c r="E273" s="4"/>
      <c r="F273" s="4"/>
      <c r="G273" s="2">
        <f t="shared" si="24"/>
        <v>9.032</v>
      </c>
      <c r="H273" s="11" t="str">
        <f t="shared" si="25"/>
        <v>3.418E-2</v>
      </c>
      <c r="I273" s="2">
        <f t="shared" si="26"/>
        <v>48.2</v>
      </c>
      <c r="J273" s="4">
        <f t="shared" si="27"/>
        <v>9.032</v>
      </c>
      <c r="K273" s="9">
        <f t="shared" si="28"/>
        <v>0.600000000000045</v>
      </c>
      <c r="L273" s="1">
        <f t="shared" si="29"/>
        <v>-0.999999999999959</v>
      </c>
    </row>
    <row r="274" s="1" customFormat="1" spans="1:12">
      <c r="A274" s="2">
        <v>9.098</v>
      </c>
      <c r="B274" s="10" t="s">
        <v>18</v>
      </c>
      <c r="C274" s="4">
        <v>9.098</v>
      </c>
      <c r="D274" s="5">
        <v>47.5</v>
      </c>
      <c r="E274" s="4"/>
      <c r="F274" s="4"/>
      <c r="G274" s="2">
        <f t="shared" si="24"/>
        <v>9.065</v>
      </c>
      <c r="H274" s="11" t="str">
        <f t="shared" si="25"/>
        <v>3.422E-2</v>
      </c>
      <c r="I274" s="2">
        <f t="shared" si="26"/>
        <v>47.9</v>
      </c>
      <c r="J274" s="4">
        <f t="shared" si="27"/>
        <v>9.065</v>
      </c>
      <c r="K274" s="9">
        <f t="shared" si="28"/>
        <v>1.00000000000003</v>
      </c>
      <c r="L274" s="1">
        <f t="shared" si="29"/>
        <v>-0.999999999999959</v>
      </c>
    </row>
    <row r="275" s="1" customFormat="1" spans="1:12">
      <c r="A275" s="2">
        <v>9.132</v>
      </c>
      <c r="B275" s="10" t="s">
        <v>16</v>
      </c>
      <c r="C275" s="4">
        <v>9.132</v>
      </c>
      <c r="D275" s="5">
        <v>47.6</v>
      </c>
      <c r="E275" s="4"/>
      <c r="F275" s="4"/>
      <c r="G275" s="2">
        <f t="shared" si="24"/>
        <v>9.098</v>
      </c>
      <c r="H275" s="11" t="str">
        <f t="shared" si="25"/>
        <v>3.424E-2</v>
      </c>
      <c r="I275" s="2">
        <f t="shared" si="26"/>
        <v>47.3</v>
      </c>
      <c r="J275" s="4">
        <f t="shared" si="27"/>
        <v>9.098</v>
      </c>
      <c r="K275" s="9">
        <f t="shared" si="28"/>
        <v>1.20000000000002</v>
      </c>
      <c r="L275" s="1">
        <f t="shared" si="29"/>
        <v>-0.999999999999959</v>
      </c>
    </row>
    <row r="276" s="1" customFormat="1" spans="1:12">
      <c r="A276" s="2">
        <v>9.165</v>
      </c>
      <c r="B276" s="10" t="s">
        <v>13</v>
      </c>
      <c r="C276" s="4">
        <v>9.165</v>
      </c>
      <c r="D276" s="5">
        <v>47.4</v>
      </c>
      <c r="E276" s="4"/>
      <c r="F276" s="4"/>
      <c r="G276" s="2">
        <f t="shared" si="24"/>
        <v>9.132</v>
      </c>
      <c r="H276" s="11" t="str">
        <f t="shared" si="25"/>
        <v>3.426E-2</v>
      </c>
      <c r="I276" s="2">
        <f t="shared" si="26"/>
        <v>47.5</v>
      </c>
      <c r="J276" s="4">
        <f t="shared" si="27"/>
        <v>9.132</v>
      </c>
      <c r="K276" s="9">
        <f t="shared" si="28"/>
        <v>1.40000000000001</v>
      </c>
      <c r="L276" s="1">
        <f t="shared" si="29"/>
        <v>-0.999999999999959</v>
      </c>
    </row>
    <row r="277" s="1" customFormat="1" spans="1:12">
      <c r="A277" s="2">
        <v>9.199</v>
      </c>
      <c r="B277" s="10" t="s">
        <v>43</v>
      </c>
      <c r="C277" s="4">
        <v>9.199</v>
      </c>
      <c r="D277" s="5">
        <v>47.7</v>
      </c>
      <c r="E277" s="4"/>
      <c r="F277" s="4"/>
      <c r="G277" s="2">
        <f t="shared" si="24"/>
        <v>9.165</v>
      </c>
      <c r="H277" s="11" t="str">
        <f t="shared" si="25"/>
        <v>3.431E-2</v>
      </c>
      <c r="I277" s="2">
        <f t="shared" si="26"/>
        <v>47.6</v>
      </c>
      <c r="J277" s="4">
        <f t="shared" si="27"/>
        <v>9.165</v>
      </c>
      <c r="K277" s="9">
        <f t="shared" si="28"/>
        <v>1.90000000000003</v>
      </c>
      <c r="L277" s="1">
        <f t="shared" si="29"/>
        <v>-0.999999999999959</v>
      </c>
    </row>
    <row r="278" s="1" customFormat="1" spans="1:12">
      <c r="A278" s="2">
        <v>9.232</v>
      </c>
      <c r="B278" s="10" t="s">
        <v>25</v>
      </c>
      <c r="C278" s="4">
        <v>9.232</v>
      </c>
      <c r="D278" s="5">
        <v>47.1</v>
      </c>
      <c r="E278" s="4"/>
      <c r="F278" s="4"/>
      <c r="G278" s="2">
        <f t="shared" si="24"/>
        <v>9.199</v>
      </c>
      <c r="H278" s="11" t="str">
        <f t="shared" si="25"/>
        <v>3.441E-2</v>
      </c>
      <c r="I278" s="2">
        <f t="shared" si="26"/>
        <v>47.4</v>
      </c>
      <c r="J278" s="4">
        <f t="shared" si="27"/>
        <v>9.199</v>
      </c>
      <c r="K278" s="9">
        <f t="shared" si="28"/>
        <v>2.90000000000006</v>
      </c>
      <c r="L278" s="1">
        <f t="shared" si="29"/>
        <v>-0.999999999999959</v>
      </c>
    </row>
    <row r="279" s="1" customFormat="1" spans="1:12">
      <c r="A279" s="2">
        <v>9.266</v>
      </c>
      <c r="B279" s="10" t="s">
        <v>26</v>
      </c>
      <c r="C279" s="4">
        <v>9.266</v>
      </c>
      <c r="D279" s="5">
        <v>47.7</v>
      </c>
      <c r="E279" s="4"/>
      <c r="F279" s="4"/>
      <c r="G279" s="2">
        <f t="shared" si="24"/>
        <v>9.232</v>
      </c>
      <c r="H279" s="11" t="str">
        <f t="shared" si="25"/>
        <v>3.447E-2</v>
      </c>
      <c r="I279" s="2">
        <f t="shared" si="26"/>
        <v>47.7</v>
      </c>
      <c r="J279" s="4">
        <f t="shared" si="27"/>
        <v>9.232</v>
      </c>
      <c r="K279" s="9">
        <f t="shared" si="28"/>
        <v>3.50000000000003</v>
      </c>
      <c r="L279" s="1">
        <f t="shared" si="29"/>
        <v>-0.999999999999959</v>
      </c>
    </row>
    <row r="280" s="1" customFormat="1" spans="1:12">
      <c r="A280" s="2">
        <v>9.299</v>
      </c>
      <c r="B280" s="10" t="s">
        <v>167</v>
      </c>
      <c r="C280" s="4">
        <v>9.299</v>
      </c>
      <c r="D280" s="5">
        <v>47.7</v>
      </c>
      <c r="E280" s="4"/>
      <c r="F280" s="4"/>
      <c r="G280" s="2">
        <f t="shared" si="24"/>
        <v>9.266</v>
      </c>
      <c r="H280" s="11" t="str">
        <f t="shared" si="25"/>
        <v>3.451E-2</v>
      </c>
      <c r="I280" s="2">
        <f t="shared" si="26"/>
        <v>47.1</v>
      </c>
      <c r="J280" s="4">
        <f t="shared" si="27"/>
        <v>9.266</v>
      </c>
      <c r="K280" s="9">
        <f t="shared" si="28"/>
        <v>3.90000000000001</v>
      </c>
      <c r="L280" s="1">
        <f t="shared" si="29"/>
        <v>-0.999999999999959</v>
      </c>
    </row>
    <row r="281" s="1" customFormat="1" spans="1:12">
      <c r="A281" s="2">
        <v>9.333</v>
      </c>
      <c r="B281" s="10" t="s">
        <v>167</v>
      </c>
      <c r="C281" s="4">
        <v>9.333</v>
      </c>
      <c r="D281" s="5">
        <v>47.8</v>
      </c>
      <c r="E281" s="4"/>
      <c r="F281" s="4"/>
      <c r="G281" s="2">
        <f t="shared" si="24"/>
        <v>9.299</v>
      </c>
      <c r="H281" s="11" t="str">
        <f t="shared" si="25"/>
        <v>3.453E-2</v>
      </c>
      <c r="I281" s="2">
        <f t="shared" si="26"/>
        <v>47.7</v>
      </c>
      <c r="J281" s="4">
        <f t="shared" si="27"/>
        <v>9.299</v>
      </c>
      <c r="K281" s="9">
        <f t="shared" si="28"/>
        <v>4.10000000000001</v>
      </c>
      <c r="L281" s="1">
        <f t="shared" si="29"/>
        <v>-0.999999999999959</v>
      </c>
    </row>
    <row r="282" s="1" customFormat="1" spans="1:12">
      <c r="A282" s="2">
        <v>9.366</v>
      </c>
      <c r="B282" s="10" t="s">
        <v>140</v>
      </c>
      <c r="C282" s="4">
        <v>9.366</v>
      </c>
      <c r="D282" s="5">
        <v>47.3</v>
      </c>
      <c r="E282" s="4"/>
      <c r="F282" s="4"/>
      <c r="G282" s="2">
        <f t="shared" si="24"/>
        <v>9.333</v>
      </c>
      <c r="H282" s="11" t="str">
        <f t="shared" si="25"/>
        <v>3.453E-2</v>
      </c>
      <c r="I282" s="2">
        <f t="shared" si="26"/>
        <v>47.7</v>
      </c>
      <c r="J282" s="4">
        <f t="shared" si="27"/>
        <v>9.333</v>
      </c>
      <c r="K282" s="9">
        <f t="shared" si="28"/>
        <v>4.10000000000001</v>
      </c>
      <c r="L282" s="1">
        <f t="shared" si="29"/>
        <v>-0.999999999999959</v>
      </c>
    </row>
    <row r="283" s="1" customFormat="1" spans="1:12">
      <c r="A283" s="2">
        <v>9.4</v>
      </c>
      <c r="B283" s="10" t="s">
        <v>140</v>
      </c>
      <c r="C283" s="4">
        <v>9.4</v>
      </c>
      <c r="D283" s="5">
        <v>48.2</v>
      </c>
      <c r="E283" s="4"/>
      <c r="F283" s="4"/>
      <c r="G283" s="2">
        <f t="shared" si="24"/>
        <v>9.366</v>
      </c>
      <c r="H283" s="11" t="str">
        <f t="shared" si="25"/>
        <v>3.454E-2</v>
      </c>
      <c r="I283" s="2">
        <f t="shared" si="26"/>
        <v>47.8</v>
      </c>
      <c r="J283" s="4">
        <f t="shared" si="27"/>
        <v>9.366</v>
      </c>
      <c r="K283" s="9">
        <f t="shared" si="28"/>
        <v>4.20000000000004</v>
      </c>
      <c r="L283" s="1">
        <f t="shared" si="29"/>
        <v>-0.999999999999959</v>
      </c>
    </row>
    <row r="284" s="1" customFormat="1" spans="1:12">
      <c r="A284" s="2">
        <v>9.433</v>
      </c>
      <c r="B284" s="10" t="s">
        <v>167</v>
      </c>
      <c r="C284" s="4">
        <v>9.433</v>
      </c>
      <c r="D284" s="5">
        <v>47.9</v>
      </c>
      <c r="E284" s="4"/>
      <c r="F284" s="4"/>
      <c r="G284" s="2">
        <f t="shared" si="24"/>
        <v>9.4</v>
      </c>
      <c r="H284" s="11" t="str">
        <f t="shared" si="25"/>
        <v>3.454E-2</v>
      </c>
      <c r="I284" s="2">
        <f t="shared" si="26"/>
        <v>47.3</v>
      </c>
      <c r="J284" s="4">
        <f t="shared" si="27"/>
        <v>9.4</v>
      </c>
      <c r="K284" s="9">
        <f t="shared" si="28"/>
        <v>4.20000000000004</v>
      </c>
      <c r="L284" s="1">
        <f t="shared" si="29"/>
        <v>-0.999999999999959</v>
      </c>
    </row>
    <row r="285" s="1" customFormat="1" spans="1:12">
      <c r="A285" s="2">
        <v>9.466</v>
      </c>
      <c r="B285" s="10" t="s">
        <v>26</v>
      </c>
      <c r="C285" s="4">
        <v>9.466</v>
      </c>
      <c r="D285" s="5">
        <v>47.7</v>
      </c>
      <c r="E285" s="4"/>
      <c r="F285" s="4"/>
      <c r="G285" s="2">
        <f t="shared" si="24"/>
        <v>9.433</v>
      </c>
      <c r="H285" s="11" t="str">
        <f t="shared" si="25"/>
        <v>3.453E-2</v>
      </c>
      <c r="I285" s="2">
        <f t="shared" si="26"/>
        <v>48.2</v>
      </c>
      <c r="J285" s="4">
        <f t="shared" si="27"/>
        <v>9.433</v>
      </c>
      <c r="K285" s="9">
        <f t="shared" si="28"/>
        <v>4.10000000000001</v>
      </c>
      <c r="L285" s="1">
        <f t="shared" si="29"/>
        <v>-0.999999999999959</v>
      </c>
    </row>
    <row r="286" s="1" customFormat="1" spans="1:12">
      <c r="A286" s="2">
        <v>9.5</v>
      </c>
      <c r="B286" s="10" t="s">
        <v>42</v>
      </c>
      <c r="C286" s="4">
        <v>9.5</v>
      </c>
      <c r="D286" s="5">
        <v>47.7</v>
      </c>
      <c r="E286" s="4"/>
      <c r="F286" s="4"/>
      <c r="G286" s="2">
        <f t="shared" si="24"/>
        <v>9.466</v>
      </c>
      <c r="H286" s="11" t="str">
        <f t="shared" si="25"/>
        <v>3.451E-2</v>
      </c>
      <c r="I286" s="2">
        <f t="shared" si="26"/>
        <v>47.9</v>
      </c>
      <c r="J286" s="4">
        <f t="shared" si="27"/>
        <v>9.466</v>
      </c>
      <c r="K286" s="9">
        <f t="shared" si="28"/>
        <v>3.90000000000001</v>
      </c>
      <c r="L286" s="1">
        <f t="shared" si="29"/>
        <v>-0.999999999999959</v>
      </c>
    </row>
    <row r="287" s="1" customFormat="1" spans="1:12">
      <c r="A287" s="2">
        <v>9.533</v>
      </c>
      <c r="B287" s="10" t="s">
        <v>221</v>
      </c>
      <c r="C287" s="4">
        <v>9.533</v>
      </c>
      <c r="D287" s="5">
        <v>47.5</v>
      </c>
      <c r="E287" s="4"/>
      <c r="F287" s="4"/>
      <c r="G287" s="2">
        <f t="shared" si="24"/>
        <v>9.5</v>
      </c>
      <c r="H287" s="11" t="str">
        <f t="shared" si="25"/>
        <v>3.450E-2</v>
      </c>
      <c r="I287" s="2">
        <f t="shared" si="26"/>
        <v>47.7</v>
      </c>
      <c r="J287" s="4">
        <f t="shared" si="27"/>
        <v>9.5</v>
      </c>
      <c r="K287" s="9">
        <f t="shared" si="28"/>
        <v>3.80000000000005</v>
      </c>
      <c r="L287" s="1">
        <f t="shared" si="29"/>
        <v>-0.999999999999959</v>
      </c>
    </row>
    <row r="288" s="1" customFormat="1" spans="1:12">
      <c r="A288" s="2">
        <v>9.567</v>
      </c>
      <c r="B288" s="10" t="s">
        <v>216</v>
      </c>
      <c r="C288" s="4">
        <v>9.567</v>
      </c>
      <c r="D288" s="5">
        <v>47.2</v>
      </c>
      <c r="E288" s="4"/>
      <c r="F288" s="4"/>
      <c r="G288" s="2">
        <f t="shared" si="24"/>
        <v>9.533</v>
      </c>
      <c r="H288" s="11" t="str">
        <f t="shared" si="25"/>
        <v>3.448E-2</v>
      </c>
      <c r="I288" s="2">
        <f t="shared" si="26"/>
        <v>47.7</v>
      </c>
      <c r="J288" s="4">
        <f t="shared" si="27"/>
        <v>9.533</v>
      </c>
      <c r="K288" s="9">
        <f t="shared" si="28"/>
        <v>3.59999999999999</v>
      </c>
      <c r="L288" s="1">
        <f t="shared" si="29"/>
        <v>-0.999999999999959</v>
      </c>
    </row>
    <row r="289" s="1" customFormat="1" spans="1:12">
      <c r="A289" s="2">
        <v>9.6</v>
      </c>
      <c r="B289" s="10" t="s">
        <v>141</v>
      </c>
      <c r="C289" s="4">
        <v>9.6</v>
      </c>
      <c r="D289" s="5">
        <v>47.7</v>
      </c>
      <c r="E289" s="4"/>
      <c r="F289" s="4"/>
      <c r="G289" s="2">
        <f t="shared" si="24"/>
        <v>9.567</v>
      </c>
      <c r="H289" s="11" t="str">
        <f t="shared" si="25"/>
        <v>3.446E-2</v>
      </c>
      <c r="I289" s="2">
        <f t="shared" si="26"/>
        <v>47.5</v>
      </c>
      <c r="J289" s="4">
        <f t="shared" si="27"/>
        <v>9.567</v>
      </c>
      <c r="K289" s="9">
        <f t="shared" si="28"/>
        <v>3.4</v>
      </c>
      <c r="L289" s="1">
        <f t="shared" si="29"/>
        <v>-0.999999999999959</v>
      </c>
    </row>
    <row r="290" s="1" customFormat="1" spans="1:12">
      <c r="A290" s="2">
        <v>9.634</v>
      </c>
      <c r="B290" s="10" t="s">
        <v>222</v>
      </c>
      <c r="C290" s="4">
        <v>9.634</v>
      </c>
      <c r="D290" s="5">
        <v>47.5</v>
      </c>
      <c r="E290" s="4"/>
      <c r="F290" s="4"/>
      <c r="G290" s="2">
        <f t="shared" si="24"/>
        <v>9.6</v>
      </c>
      <c r="H290" s="11" t="str">
        <f t="shared" si="25"/>
        <v>3.444E-2</v>
      </c>
      <c r="I290" s="2">
        <f t="shared" si="26"/>
        <v>47.2</v>
      </c>
      <c r="J290" s="4">
        <f t="shared" si="27"/>
        <v>9.6</v>
      </c>
      <c r="K290" s="9">
        <f t="shared" si="28"/>
        <v>3.20000000000001</v>
      </c>
      <c r="L290" s="1">
        <f t="shared" si="29"/>
        <v>-0.999999999999959</v>
      </c>
    </row>
    <row r="291" s="1" customFormat="1" spans="1:12">
      <c r="A291" s="2">
        <v>9.667</v>
      </c>
      <c r="B291" s="10" t="s">
        <v>23</v>
      </c>
      <c r="C291" s="4">
        <v>9.667</v>
      </c>
      <c r="D291" s="5">
        <v>47.4</v>
      </c>
      <c r="E291" s="4"/>
      <c r="F291" s="4"/>
      <c r="G291" s="2">
        <f t="shared" si="24"/>
        <v>9.634</v>
      </c>
      <c r="H291" s="11" t="str">
        <f t="shared" si="25"/>
        <v>3.443E-2</v>
      </c>
      <c r="I291" s="2">
        <f t="shared" si="26"/>
        <v>47.7</v>
      </c>
      <c r="J291" s="4">
        <f t="shared" si="27"/>
        <v>9.634</v>
      </c>
      <c r="K291" s="9">
        <f t="shared" si="28"/>
        <v>3.10000000000005</v>
      </c>
      <c r="L291" s="1">
        <f t="shared" si="29"/>
        <v>-0.999999999999959</v>
      </c>
    </row>
    <row r="292" s="1" customFormat="1" spans="1:12">
      <c r="A292" s="2">
        <v>9.701</v>
      </c>
      <c r="B292" s="10" t="s">
        <v>236</v>
      </c>
      <c r="C292" s="4">
        <v>9.701</v>
      </c>
      <c r="D292" s="5">
        <v>47.4</v>
      </c>
      <c r="E292" s="4"/>
      <c r="F292" s="4"/>
      <c r="G292" s="2">
        <f t="shared" si="24"/>
        <v>9.667</v>
      </c>
      <c r="H292" s="11" t="str">
        <f t="shared" si="25"/>
        <v>3.442E-2</v>
      </c>
      <c r="I292" s="2">
        <f t="shared" si="26"/>
        <v>47.5</v>
      </c>
      <c r="J292" s="4">
        <f t="shared" si="27"/>
        <v>9.667</v>
      </c>
      <c r="K292" s="9">
        <f t="shared" si="28"/>
        <v>3.00000000000002</v>
      </c>
      <c r="L292" s="1">
        <f t="shared" si="29"/>
        <v>-0.999999999999959</v>
      </c>
    </row>
    <row r="293" s="1" customFormat="1" spans="1:12">
      <c r="A293" s="2">
        <v>9.734</v>
      </c>
      <c r="B293" s="10" t="s">
        <v>12</v>
      </c>
      <c r="C293" s="4">
        <v>9.734</v>
      </c>
      <c r="D293" s="5">
        <v>47.8</v>
      </c>
      <c r="E293" s="4"/>
      <c r="F293" s="4"/>
      <c r="G293" s="2">
        <f t="shared" si="24"/>
        <v>9.701</v>
      </c>
      <c r="H293" s="11" t="str">
        <f t="shared" si="25"/>
        <v>3.438E-2</v>
      </c>
      <c r="I293" s="2">
        <f t="shared" si="26"/>
        <v>47.4</v>
      </c>
      <c r="J293" s="4">
        <f t="shared" si="27"/>
        <v>9.701</v>
      </c>
      <c r="K293" s="9">
        <f t="shared" si="28"/>
        <v>2.60000000000003</v>
      </c>
      <c r="L293" s="1">
        <f t="shared" si="29"/>
        <v>-0.999999999999959</v>
      </c>
    </row>
    <row r="294" s="1" customFormat="1" spans="1:12">
      <c r="A294" s="2">
        <v>9.767</v>
      </c>
      <c r="B294" s="10" t="s">
        <v>13</v>
      </c>
      <c r="C294" s="4">
        <v>9.767</v>
      </c>
      <c r="D294" s="5">
        <v>47.4</v>
      </c>
      <c r="E294" s="4"/>
      <c r="F294" s="4"/>
      <c r="G294" s="2">
        <f t="shared" si="24"/>
        <v>9.734</v>
      </c>
      <c r="H294" s="11" t="str">
        <f t="shared" si="25"/>
        <v>3.435E-2</v>
      </c>
      <c r="I294" s="2">
        <f t="shared" si="26"/>
        <v>47.4</v>
      </c>
      <c r="J294" s="4">
        <f t="shared" si="27"/>
        <v>9.734</v>
      </c>
      <c r="K294" s="9">
        <f t="shared" si="28"/>
        <v>2.30000000000001</v>
      </c>
      <c r="L294" s="1">
        <f t="shared" si="29"/>
        <v>-0.999999999999959</v>
      </c>
    </row>
    <row r="295" s="1" customFormat="1" spans="1:12">
      <c r="A295" s="2">
        <v>9.801</v>
      </c>
      <c r="B295" s="10" t="s">
        <v>14</v>
      </c>
      <c r="C295" s="4">
        <v>9.801</v>
      </c>
      <c r="D295" s="5">
        <v>47.5</v>
      </c>
      <c r="E295" s="4"/>
      <c r="F295" s="4"/>
      <c r="G295" s="2">
        <f t="shared" si="24"/>
        <v>9.767</v>
      </c>
      <c r="H295" s="11" t="str">
        <f t="shared" si="25"/>
        <v>3.431E-2</v>
      </c>
      <c r="I295" s="2">
        <f t="shared" si="26"/>
        <v>47.8</v>
      </c>
      <c r="J295" s="4">
        <f t="shared" si="27"/>
        <v>9.767</v>
      </c>
      <c r="K295" s="9">
        <f t="shared" si="28"/>
        <v>1.90000000000003</v>
      </c>
      <c r="L295" s="1">
        <f t="shared" si="29"/>
        <v>-0.999999999999959</v>
      </c>
    </row>
    <row r="296" s="1" customFormat="1" spans="1:12">
      <c r="A296" s="2">
        <v>9.834</v>
      </c>
      <c r="B296" s="10" t="s">
        <v>16</v>
      </c>
      <c r="C296" s="4">
        <v>9.834</v>
      </c>
      <c r="D296" s="5">
        <v>47.9</v>
      </c>
      <c r="E296" s="4"/>
      <c r="F296" s="4"/>
      <c r="G296" s="2">
        <f t="shared" si="24"/>
        <v>9.801</v>
      </c>
      <c r="H296" s="11" t="str">
        <f t="shared" si="25"/>
        <v>3.429E-2</v>
      </c>
      <c r="I296" s="2">
        <f t="shared" si="26"/>
        <v>47.4</v>
      </c>
      <c r="J296" s="4">
        <f t="shared" si="27"/>
        <v>9.801</v>
      </c>
      <c r="K296" s="9">
        <f t="shared" si="28"/>
        <v>1.70000000000003</v>
      </c>
      <c r="L296" s="1">
        <f t="shared" si="29"/>
        <v>-0.999999999999959</v>
      </c>
    </row>
    <row r="297" s="1" customFormat="1" spans="1:12">
      <c r="A297" s="2">
        <v>9.868</v>
      </c>
      <c r="B297" s="10" t="s">
        <v>238</v>
      </c>
      <c r="C297" s="4">
        <v>9.868</v>
      </c>
      <c r="D297" s="5">
        <v>47.8</v>
      </c>
      <c r="E297" s="4"/>
      <c r="F297" s="4"/>
      <c r="G297" s="2">
        <f t="shared" si="24"/>
        <v>9.834</v>
      </c>
      <c r="H297" s="11" t="str">
        <f t="shared" si="25"/>
        <v>3.426E-2</v>
      </c>
      <c r="I297" s="2">
        <f t="shared" si="26"/>
        <v>47.5</v>
      </c>
      <c r="J297" s="4">
        <f t="shared" si="27"/>
        <v>9.834</v>
      </c>
      <c r="K297" s="9">
        <f t="shared" si="28"/>
        <v>1.40000000000001</v>
      </c>
      <c r="L297" s="1">
        <f t="shared" si="29"/>
        <v>-0.999999999999959</v>
      </c>
    </row>
    <row r="298" s="1" customFormat="1" spans="1:12">
      <c r="A298" s="2">
        <v>9.901</v>
      </c>
      <c r="B298" s="10" t="s">
        <v>244</v>
      </c>
      <c r="C298" s="4">
        <v>9.901</v>
      </c>
      <c r="D298" s="5">
        <v>47.6</v>
      </c>
      <c r="E298" s="4"/>
      <c r="F298" s="4"/>
      <c r="G298" s="2">
        <f t="shared" si="24"/>
        <v>9.868</v>
      </c>
      <c r="H298" s="11" t="str">
        <f t="shared" si="25"/>
        <v>3.416E-2</v>
      </c>
      <c r="I298" s="2">
        <f t="shared" si="26"/>
        <v>47.9</v>
      </c>
      <c r="J298" s="4">
        <f t="shared" si="27"/>
        <v>9.868</v>
      </c>
      <c r="K298" s="9">
        <f t="shared" si="28"/>
        <v>0.400000000000053</v>
      </c>
      <c r="L298" s="1">
        <f t="shared" si="29"/>
        <v>-0.999999999999959</v>
      </c>
    </row>
    <row r="299" s="1" customFormat="1" spans="1:12">
      <c r="A299" s="2">
        <v>9.935</v>
      </c>
      <c r="B299" s="10" t="s">
        <v>116</v>
      </c>
      <c r="C299" s="4">
        <v>9.935</v>
      </c>
      <c r="D299" s="5">
        <v>47.7</v>
      </c>
      <c r="E299" s="4"/>
      <c r="F299" s="4"/>
      <c r="G299" s="2">
        <f t="shared" si="24"/>
        <v>9.901</v>
      </c>
      <c r="H299" s="11" t="str">
        <f t="shared" si="25"/>
        <v>3.411E-2</v>
      </c>
      <c r="I299" s="2">
        <f t="shared" si="26"/>
        <v>47.8</v>
      </c>
      <c r="J299" s="4">
        <f t="shared" si="27"/>
        <v>9.901</v>
      </c>
      <c r="K299" s="9">
        <f t="shared" si="28"/>
        <v>-0.0999999999999612</v>
      </c>
      <c r="L299" s="1">
        <f t="shared" si="29"/>
        <v>-0.999999999999959</v>
      </c>
    </row>
    <row r="300" s="1" customFormat="1" spans="1:12">
      <c r="A300" s="2">
        <v>9.968</v>
      </c>
      <c r="B300" s="10" t="s">
        <v>88</v>
      </c>
      <c r="C300" s="4">
        <v>9.968</v>
      </c>
      <c r="D300" s="5">
        <v>47.8</v>
      </c>
      <c r="E300" s="4"/>
      <c r="F300" s="4"/>
      <c r="G300" s="2">
        <f t="shared" si="24"/>
        <v>9.935</v>
      </c>
      <c r="H300" s="11" t="str">
        <f t="shared" si="25"/>
        <v>3.406E-2</v>
      </c>
      <c r="I300" s="2">
        <f t="shared" si="26"/>
        <v>47.6</v>
      </c>
      <c r="J300" s="4">
        <f t="shared" si="27"/>
        <v>9.935</v>
      </c>
      <c r="K300" s="9">
        <f t="shared" si="28"/>
        <v>-0.599999999999976</v>
      </c>
      <c r="L300" s="1">
        <f t="shared" si="29"/>
        <v>-0.999999999999959</v>
      </c>
    </row>
    <row r="301" s="1" customFormat="1" spans="1:12">
      <c r="A301" s="2">
        <v>10.002</v>
      </c>
      <c r="B301" s="10" t="s">
        <v>56</v>
      </c>
      <c r="C301" s="4">
        <v>10.002</v>
      </c>
      <c r="D301" s="5">
        <v>47.4</v>
      </c>
      <c r="E301" s="4"/>
      <c r="F301" s="4"/>
      <c r="G301" s="2">
        <f t="shared" si="24"/>
        <v>9.968</v>
      </c>
      <c r="H301" s="11" t="str">
        <f t="shared" si="25"/>
        <v>3.403E-2</v>
      </c>
      <c r="I301" s="2">
        <f t="shared" si="26"/>
        <v>47.7</v>
      </c>
      <c r="J301" s="4">
        <f t="shared" si="27"/>
        <v>9.968</v>
      </c>
      <c r="K301" s="9">
        <f t="shared" si="28"/>
        <v>-0.899999999999998</v>
      </c>
      <c r="L301" s="1">
        <f t="shared" si="29"/>
        <v>-0.999999999999959</v>
      </c>
    </row>
    <row r="302" s="1" customFormat="1" spans="1:12">
      <c r="A302" s="2">
        <v>10.035</v>
      </c>
      <c r="B302" s="10" t="s">
        <v>56</v>
      </c>
      <c r="C302" s="4">
        <v>10.035</v>
      </c>
      <c r="D302" s="5">
        <v>47.6</v>
      </c>
      <c r="E302" s="4"/>
      <c r="F302" s="4"/>
      <c r="G302" s="2">
        <f t="shared" si="24"/>
        <v>10.002</v>
      </c>
      <c r="H302" s="11" t="str">
        <f t="shared" si="25"/>
        <v>3.402E-2</v>
      </c>
      <c r="I302" s="2">
        <f t="shared" si="26"/>
        <v>47.8</v>
      </c>
      <c r="J302" s="4">
        <f t="shared" si="27"/>
        <v>10.002</v>
      </c>
      <c r="K302" s="9">
        <f t="shared" si="28"/>
        <v>-0.999999999999959</v>
      </c>
      <c r="L302" s="1">
        <f t="shared" si="29"/>
        <v>-0.999999999999959</v>
      </c>
    </row>
    <row r="303" s="1" customFormat="1" spans="1:12">
      <c r="A303" s="2">
        <v>10.069</v>
      </c>
      <c r="B303" s="10" t="s">
        <v>56</v>
      </c>
      <c r="C303" s="4">
        <v>10.069</v>
      </c>
      <c r="D303" s="5">
        <v>47.5</v>
      </c>
      <c r="E303" s="4"/>
      <c r="F303" s="4"/>
      <c r="G303" s="2">
        <f t="shared" si="24"/>
        <v>10.035</v>
      </c>
      <c r="H303" s="11" t="str">
        <f t="shared" si="25"/>
        <v>3.402E-2</v>
      </c>
      <c r="I303" s="2">
        <f t="shared" si="26"/>
        <v>47.4</v>
      </c>
      <c r="J303" s="4">
        <f t="shared" si="27"/>
        <v>10.035</v>
      </c>
      <c r="K303" s="9">
        <f t="shared" si="28"/>
        <v>-0.999999999999959</v>
      </c>
      <c r="L303" s="1">
        <f t="shared" si="29"/>
        <v>-0.999999999999959</v>
      </c>
    </row>
    <row r="304" s="1" customFormat="1" spans="1:12">
      <c r="A304" s="2">
        <v>10.102</v>
      </c>
      <c r="B304" s="10" t="s">
        <v>88</v>
      </c>
      <c r="C304" s="4">
        <v>10.102</v>
      </c>
      <c r="D304" s="5">
        <v>47.8</v>
      </c>
      <c r="E304" s="4"/>
      <c r="F304" s="4"/>
      <c r="G304" s="2">
        <f t="shared" si="24"/>
        <v>10.069</v>
      </c>
      <c r="H304" s="11" t="str">
        <f t="shared" si="25"/>
        <v>3.402E-2</v>
      </c>
      <c r="I304" s="2">
        <f t="shared" si="26"/>
        <v>47.6</v>
      </c>
      <c r="J304" s="4">
        <f t="shared" si="27"/>
        <v>10.069</v>
      </c>
      <c r="K304" s="9">
        <f t="shared" si="28"/>
        <v>-0.999999999999959</v>
      </c>
      <c r="L304" s="1">
        <f t="shared" si="29"/>
        <v>-0.999999999999959</v>
      </c>
    </row>
    <row r="305" s="1" customFormat="1" spans="1:12">
      <c r="A305" s="2">
        <v>10.135</v>
      </c>
      <c r="B305" s="10" t="s">
        <v>234</v>
      </c>
      <c r="C305" s="4">
        <v>10.135</v>
      </c>
      <c r="D305" s="5">
        <v>47.9</v>
      </c>
      <c r="E305" s="4"/>
      <c r="F305" s="4"/>
      <c r="G305" s="2">
        <f t="shared" si="24"/>
        <v>10.102</v>
      </c>
      <c r="H305" s="11" t="str">
        <f t="shared" si="25"/>
        <v>3.403E-2</v>
      </c>
      <c r="I305" s="2">
        <f t="shared" si="26"/>
        <v>47.5</v>
      </c>
      <c r="J305" s="4">
        <f t="shared" si="27"/>
        <v>10.102</v>
      </c>
      <c r="K305" s="9">
        <f t="shared" si="28"/>
        <v>-0.899999999999998</v>
      </c>
      <c r="L305" s="1">
        <f t="shared" si="29"/>
        <v>-0.999999999999959</v>
      </c>
    </row>
    <row r="306" s="1" customFormat="1" spans="1:12">
      <c r="A306" s="2">
        <v>10.169</v>
      </c>
      <c r="B306" s="10" t="s">
        <v>116</v>
      </c>
      <c r="C306" s="4">
        <v>10.169</v>
      </c>
      <c r="D306" s="5">
        <v>47.6</v>
      </c>
      <c r="E306" s="4"/>
      <c r="F306" s="4"/>
      <c r="G306" s="2">
        <f t="shared" si="24"/>
        <v>10.135</v>
      </c>
      <c r="H306" s="11" t="str">
        <f t="shared" si="25"/>
        <v>3.404E-2</v>
      </c>
      <c r="I306" s="2">
        <f t="shared" si="26"/>
        <v>47.8</v>
      </c>
      <c r="J306" s="4">
        <f t="shared" si="27"/>
        <v>10.135</v>
      </c>
      <c r="K306" s="9">
        <f t="shared" si="28"/>
        <v>-0.799999999999967</v>
      </c>
      <c r="L306" s="1">
        <f t="shared" si="29"/>
        <v>-0.999999999999959</v>
      </c>
    </row>
    <row r="307" s="1" customFormat="1" spans="1:12">
      <c r="A307" s="2">
        <v>10.202</v>
      </c>
      <c r="B307" s="10" t="s">
        <v>230</v>
      </c>
      <c r="C307" s="4">
        <v>10.202</v>
      </c>
      <c r="D307" s="5">
        <v>48.1</v>
      </c>
      <c r="E307" s="4"/>
      <c r="F307" s="4"/>
      <c r="G307" s="2">
        <f t="shared" si="24"/>
        <v>10.169</v>
      </c>
      <c r="H307" s="11" t="str">
        <f t="shared" si="25"/>
        <v>3.406E-2</v>
      </c>
      <c r="I307" s="2">
        <f t="shared" si="26"/>
        <v>47.9</v>
      </c>
      <c r="J307" s="4">
        <f t="shared" si="27"/>
        <v>10.169</v>
      </c>
      <c r="K307" s="9">
        <f t="shared" si="28"/>
        <v>-0.599999999999976</v>
      </c>
      <c r="L307" s="1">
        <f t="shared" si="29"/>
        <v>-0.999999999999959</v>
      </c>
    </row>
    <row r="308" s="1" customFormat="1" spans="1:12">
      <c r="A308" s="2">
        <v>10.236</v>
      </c>
      <c r="B308" s="10" t="s">
        <v>269</v>
      </c>
      <c r="C308" s="4">
        <v>10.236</v>
      </c>
      <c r="D308" s="5">
        <v>47.5</v>
      </c>
      <c r="E308" s="4"/>
      <c r="F308" s="4"/>
      <c r="G308" s="2">
        <f t="shared" si="24"/>
        <v>10.202</v>
      </c>
      <c r="H308" s="11" t="str">
        <f t="shared" si="25"/>
        <v>3.409E-2</v>
      </c>
      <c r="I308" s="2">
        <f t="shared" si="26"/>
        <v>47.6</v>
      </c>
      <c r="J308" s="4">
        <f t="shared" si="27"/>
        <v>10.202</v>
      </c>
      <c r="K308" s="9">
        <f t="shared" si="28"/>
        <v>-0.299999999999953</v>
      </c>
      <c r="L308" s="1">
        <f t="shared" si="29"/>
        <v>-0.999999999999959</v>
      </c>
    </row>
    <row r="309" s="1" customFormat="1" spans="1:12">
      <c r="A309" s="2">
        <v>10.269</v>
      </c>
      <c r="B309" s="10" t="s">
        <v>117</v>
      </c>
      <c r="C309" s="4">
        <v>10.269</v>
      </c>
      <c r="D309" s="5">
        <v>47.3</v>
      </c>
      <c r="E309" s="4"/>
      <c r="F309" s="4"/>
      <c r="G309" s="2">
        <f t="shared" si="24"/>
        <v>10.236</v>
      </c>
      <c r="H309" s="11" t="str">
        <f t="shared" si="25"/>
        <v>3.410E-2</v>
      </c>
      <c r="I309" s="2">
        <f t="shared" si="26"/>
        <v>48.1</v>
      </c>
      <c r="J309" s="4">
        <f t="shared" si="27"/>
        <v>10.236</v>
      </c>
      <c r="K309" s="9">
        <f t="shared" si="28"/>
        <v>-0.199999999999992</v>
      </c>
      <c r="L309" s="1">
        <f t="shared" si="29"/>
        <v>-0.999999999999959</v>
      </c>
    </row>
    <row r="310" s="1" customFormat="1" spans="1:12">
      <c r="A310" s="2">
        <v>10.303</v>
      </c>
      <c r="B310" s="10" t="s">
        <v>45</v>
      </c>
      <c r="C310" s="4">
        <v>10.303</v>
      </c>
      <c r="D310" s="5">
        <v>47.7</v>
      </c>
      <c r="E310" s="4"/>
      <c r="F310" s="4"/>
      <c r="G310" s="2">
        <f t="shared" si="24"/>
        <v>10.269</v>
      </c>
      <c r="H310" s="11" t="str">
        <f t="shared" si="25"/>
        <v>3.412E-2</v>
      </c>
      <c r="I310" s="2">
        <f t="shared" si="26"/>
        <v>47.5</v>
      </c>
      <c r="J310" s="4">
        <f t="shared" si="27"/>
        <v>10.269</v>
      </c>
      <c r="K310" s="9">
        <f t="shared" si="28"/>
        <v>0</v>
      </c>
      <c r="L310" s="1">
        <f t="shared" si="29"/>
        <v>-0.999999999999959</v>
      </c>
    </row>
    <row r="311" s="1" customFormat="1" spans="1:12">
      <c r="A311" s="2">
        <v>10.336</v>
      </c>
      <c r="B311" s="10" t="s">
        <v>249</v>
      </c>
      <c r="C311" s="4">
        <v>10.336</v>
      </c>
      <c r="D311" s="5">
        <v>47.5</v>
      </c>
      <c r="E311" s="4"/>
      <c r="F311" s="4"/>
      <c r="G311" s="2">
        <f t="shared" si="24"/>
        <v>10.303</v>
      </c>
      <c r="H311" s="11" t="str">
        <f t="shared" si="25"/>
        <v>3.415E-2</v>
      </c>
      <c r="I311" s="2">
        <f t="shared" si="26"/>
        <v>47.3</v>
      </c>
      <c r="J311" s="4">
        <f t="shared" si="27"/>
        <v>10.303</v>
      </c>
      <c r="K311" s="9">
        <f t="shared" si="28"/>
        <v>0.300000000000022</v>
      </c>
      <c r="L311" s="1">
        <f t="shared" si="29"/>
        <v>-0.999999999999959</v>
      </c>
    </row>
    <row r="312" s="1" customFormat="1" spans="1:12">
      <c r="A312" s="2">
        <v>10.37</v>
      </c>
      <c r="B312" s="10" t="s">
        <v>235</v>
      </c>
      <c r="C312" s="4">
        <v>10.37</v>
      </c>
      <c r="D312" s="5">
        <v>47.5</v>
      </c>
      <c r="E312" s="4"/>
      <c r="F312" s="4"/>
      <c r="G312" s="2">
        <f t="shared" si="24"/>
        <v>10.336</v>
      </c>
      <c r="H312" s="11" t="str">
        <f t="shared" si="25"/>
        <v>3.417E-2</v>
      </c>
      <c r="I312" s="2">
        <f t="shared" si="26"/>
        <v>47.7</v>
      </c>
      <c r="J312" s="4">
        <f t="shared" si="27"/>
        <v>10.336</v>
      </c>
      <c r="K312" s="9">
        <f t="shared" si="28"/>
        <v>0.500000000000014</v>
      </c>
      <c r="L312" s="1">
        <f t="shared" si="29"/>
        <v>-0.999999999999959</v>
      </c>
    </row>
    <row r="313" s="1" customFormat="1" spans="1:12">
      <c r="A313" s="2">
        <v>10.403</v>
      </c>
      <c r="B313" s="10" t="s">
        <v>18</v>
      </c>
      <c r="C313" s="4">
        <v>10.403</v>
      </c>
      <c r="D313" s="5">
        <v>47.5</v>
      </c>
      <c r="E313" s="4"/>
      <c r="F313" s="4"/>
      <c r="G313" s="2">
        <f t="shared" si="24"/>
        <v>10.37</v>
      </c>
      <c r="H313" s="11" t="str">
        <f t="shared" si="25"/>
        <v>3.420E-2</v>
      </c>
      <c r="I313" s="2">
        <f t="shared" si="26"/>
        <v>47.5</v>
      </c>
      <c r="J313" s="4">
        <f t="shared" si="27"/>
        <v>10.37</v>
      </c>
      <c r="K313" s="9">
        <f t="shared" si="28"/>
        <v>0.800000000000037</v>
      </c>
      <c r="L313" s="1">
        <f t="shared" si="29"/>
        <v>-0.999999999999959</v>
      </c>
    </row>
    <row r="314" s="1" customFormat="1" spans="1:12">
      <c r="A314" s="2">
        <v>10.436</v>
      </c>
      <c r="B314" s="10" t="s">
        <v>81</v>
      </c>
      <c r="C314" s="4">
        <v>10.436</v>
      </c>
      <c r="D314" s="5">
        <v>47.6</v>
      </c>
      <c r="E314" s="4"/>
      <c r="F314" s="4"/>
      <c r="G314" s="2">
        <f t="shared" si="24"/>
        <v>10.403</v>
      </c>
      <c r="H314" s="11" t="str">
        <f t="shared" si="25"/>
        <v>3.424E-2</v>
      </c>
      <c r="I314" s="2">
        <f t="shared" si="26"/>
        <v>47.5</v>
      </c>
      <c r="J314" s="4">
        <f t="shared" si="27"/>
        <v>10.403</v>
      </c>
      <c r="K314" s="9">
        <f t="shared" si="28"/>
        <v>1.20000000000002</v>
      </c>
      <c r="L314" s="1">
        <f t="shared" si="29"/>
        <v>-0.999999999999959</v>
      </c>
    </row>
    <row r="315" s="1" customFormat="1" spans="1:12">
      <c r="A315" s="2">
        <v>10.47</v>
      </c>
      <c r="B315" s="10" t="s">
        <v>19</v>
      </c>
      <c r="C315" s="4">
        <v>10.47</v>
      </c>
      <c r="D315" s="5">
        <v>47.6</v>
      </c>
      <c r="E315" s="4"/>
      <c r="F315" s="4"/>
      <c r="G315" s="2">
        <f t="shared" si="24"/>
        <v>10.436</v>
      </c>
      <c r="H315" s="11" t="str">
        <f t="shared" si="25"/>
        <v>3.425E-2</v>
      </c>
      <c r="I315" s="2">
        <f t="shared" si="26"/>
        <v>47.5</v>
      </c>
      <c r="J315" s="4">
        <f t="shared" si="27"/>
        <v>10.436</v>
      </c>
      <c r="K315" s="9">
        <f t="shared" si="28"/>
        <v>1.30000000000005</v>
      </c>
      <c r="L315" s="1">
        <f t="shared" si="29"/>
        <v>-0.999999999999959</v>
      </c>
    </row>
    <row r="316" s="1" customFormat="1" spans="1:12">
      <c r="A316" s="2">
        <v>10.503</v>
      </c>
      <c r="B316" s="10" t="s">
        <v>22</v>
      </c>
      <c r="C316" s="4">
        <v>10.503</v>
      </c>
      <c r="D316" s="5">
        <v>48.6</v>
      </c>
      <c r="E316" s="4"/>
      <c r="F316" s="4"/>
      <c r="G316" s="2">
        <f t="shared" si="24"/>
        <v>10.47</v>
      </c>
      <c r="H316" s="11" t="str">
        <f t="shared" si="25"/>
        <v>3.428E-2</v>
      </c>
      <c r="I316" s="2">
        <f t="shared" si="26"/>
        <v>47.6</v>
      </c>
      <c r="J316" s="4">
        <f t="shared" si="27"/>
        <v>10.47</v>
      </c>
      <c r="K316" s="9">
        <f t="shared" si="28"/>
        <v>1.6</v>
      </c>
      <c r="L316" s="1">
        <f t="shared" si="29"/>
        <v>-0.999999999999959</v>
      </c>
    </row>
    <row r="317" s="1" customFormat="1" spans="1:12">
      <c r="A317" s="2">
        <v>10.537</v>
      </c>
      <c r="B317" s="10" t="s">
        <v>24</v>
      </c>
      <c r="C317" s="4">
        <v>10.537</v>
      </c>
      <c r="D317" s="5">
        <v>47.7</v>
      </c>
      <c r="E317" s="4"/>
      <c r="F317" s="4"/>
      <c r="G317" s="2">
        <f t="shared" si="24"/>
        <v>10.503</v>
      </c>
      <c r="H317" s="11" t="str">
        <f t="shared" si="25"/>
        <v>3.439E-2</v>
      </c>
      <c r="I317" s="2">
        <f t="shared" si="26"/>
        <v>47.6</v>
      </c>
      <c r="J317" s="4">
        <f t="shared" si="27"/>
        <v>10.503</v>
      </c>
      <c r="K317" s="9">
        <f t="shared" si="28"/>
        <v>2.69999999999999</v>
      </c>
      <c r="L317" s="1">
        <f t="shared" si="29"/>
        <v>-0.999999999999959</v>
      </c>
    </row>
    <row r="318" s="1" customFormat="1" spans="1:12">
      <c r="A318" s="2">
        <v>10.57</v>
      </c>
      <c r="B318" s="10" t="s">
        <v>144</v>
      </c>
      <c r="C318" s="4">
        <v>10.57</v>
      </c>
      <c r="D318" s="5">
        <v>48.1</v>
      </c>
      <c r="E318" s="4"/>
      <c r="F318" s="4"/>
      <c r="G318" s="2">
        <f t="shared" si="24"/>
        <v>10.537</v>
      </c>
      <c r="H318" s="11" t="str">
        <f t="shared" si="25"/>
        <v>3.445E-2</v>
      </c>
      <c r="I318" s="2">
        <f t="shared" si="26"/>
        <v>48.6</v>
      </c>
      <c r="J318" s="4">
        <f t="shared" si="27"/>
        <v>10.537</v>
      </c>
      <c r="K318" s="9">
        <f t="shared" si="28"/>
        <v>3.30000000000004</v>
      </c>
      <c r="L318" s="1">
        <f t="shared" si="29"/>
        <v>-0.999999999999959</v>
      </c>
    </row>
    <row r="319" s="1" customFormat="1" spans="1:12">
      <c r="A319" s="2">
        <v>10.604</v>
      </c>
      <c r="B319" s="10" t="s">
        <v>59</v>
      </c>
      <c r="C319" s="4">
        <v>10.604</v>
      </c>
      <c r="D319" s="5">
        <v>47.8</v>
      </c>
      <c r="E319" s="4"/>
      <c r="F319" s="4"/>
      <c r="G319" s="2">
        <f t="shared" si="24"/>
        <v>10.57</v>
      </c>
      <c r="H319" s="11" t="str">
        <f t="shared" si="25"/>
        <v>3.449E-2</v>
      </c>
      <c r="I319" s="2">
        <f t="shared" si="26"/>
        <v>47.7</v>
      </c>
      <c r="J319" s="4">
        <f t="shared" si="27"/>
        <v>10.57</v>
      </c>
      <c r="K319" s="9">
        <f t="shared" si="28"/>
        <v>3.70000000000002</v>
      </c>
      <c r="L319" s="1">
        <f t="shared" si="29"/>
        <v>-0.999999999999959</v>
      </c>
    </row>
    <row r="320" s="1" customFormat="1" spans="1:12">
      <c r="A320" s="2">
        <v>10.637</v>
      </c>
      <c r="B320" s="10" t="s">
        <v>140</v>
      </c>
      <c r="C320" s="4">
        <v>10.637</v>
      </c>
      <c r="D320" s="5">
        <v>47.7</v>
      </c>
      <c r="E320" s="4"/>
      <c r="F320" s="4"/>
      <c r="G320" s="2">
        <f t="shared" si="24"/>
        <v>10.604</v>
      </c>
      <c r="H320" s="11" t="str">
        <f t="shared" si="25"/>
        <v>3.452E-2</v>
      </c>
      <c r="I320" s="2">
        <f t="shared" si="26"/>
        <v>48.1</v>
      </c>
      <c r="J320" s="4">
        <f t="shared" si="27"/>
        <v>10.604</v>
      </c>
      <c r="K320" s="9">
        <f t="shared" si="28"/>
        <v>4.00000000000005</v>
      </c>
      <c r="L320" s="1">
        <f t="shared" si="29"/>
        <v>-0.999999999999959</v>
      </c>
    </row>
    <row r="321" s="1" customFormat="1" spans="1:12">
      <c r="A321" s="2">
        <v>10.671</v>
      </c>
      <c r="B321" s="10" t="s">
        <v>140</v>
      </c>
      <c r="C321" s="4">
        <v>10.671</v>
      </c>
      <c r="D321" s="5">
        <v>47.8</v>
      </c>
      <c r="E321" s="4"/>
      <c r="F321" s="4"/>
      <c r="G321" s="2">
        <f t="shared" si="24"/>
        <v>10.637</v>
      </c>
      <c r="H321" s="11" t="str">
        <f t="shared" si="25"/>
        <v>3.454E-2</v>
      </c>
      <c r="I321" s="2">
        <f t="shared" si="26"/>
        <v>47.8</v>
      </c>
      <c r="J321" s="4">
        <f t="shared" si="27"/>
        <v>10.637</v>
      </c>
      <c r="K321" s="9">
        <f t="shared" si="28"/>
        <v>4.20000000000004</v>
      </c>
      <c r="L321" s="1">
        <f t="shared" si="29"/>
        <v>-0.999999999999959</v>
      </c>
    </row>
    <row r="322" s="1" customFormat="1" spans="1:12">
      <c r="A322" s="2">
        <v>10.704</v>
      </c>
      <c r="B322" s="10" t="s">
        <v>223</v>
      </c>
      <c r="C322" s="4">
        <v>10.704</v>
      </c>
      <c r="D322" s="5">
        <v>47.9</v>
      </c>
      <c r="E322" s="4"/>
      <c r="F322" s="4"/>
      <c r="G322" s="2">
        <f t="shared" si="24"/>
        <v>10.671</v>
      </c>
      <c r="H322" s="11" t="str">
        <f t="shared" si="25"/>
        <v>3.454E-2</v>
      </c>
      <c r="I322" s="2">
        <f t="shared" si="26"/>
        <v>47.7</v>
      </c>
      <c r="J322" s="4">
        <f t="shared" si="27"/>
        <v>10.671</v>
      </c>
      <c r="K322" s="9">
        <f t="shared" si="28"/>
        <v>4.20000000000004</v>
      </c>
      <c r="L322" s="1">
        <f t="shared" si="29"/>
        <v>-0.999999999999959</v>
      </c>
    </row>
    <row r="323" s="1" customFormat="1" spans="1:12">
      <c r="A323" s="2">
        <v>10.738</v>
      </c>
      <c r="B323" s="10" t="s">
        <v>167</v>
      </c>
      <c r="C323" s="4">
        <v>10.738</v>
      </c>
      <c r="D323" s="5">
        <v>47.8</v>
      </c>
      <c r="E323" s="4"/>
      <c r="F323" s="4"/>
      <c r="G323" s="2">
        <f t="shared" si="24"/>
        <v>10.704</v>
      </c>
      <c r="H323" s="11" t="str">
        <f t="shared" si="25"/>
        <v>3.455E-2</v>
      </c>
      <c r="I323" s="2">
        <f t="shared" si="26"/>
        <v>47.8</v>
      </c>
      <c r="J323" s="4">
        <f t="shared" si="27"/>
        <v>10.704</v>
      </c>
      <c r="K323" s="9">
        <f t="shared" si="28"/>
        <v>4.3</v>
      </c>
      <c r="L323" s="1">
        <f t="shared" si="29"/>
        <v>-0.999999999999959</v>
      </c>
    </row>
    <row r="324" s="1" customFormat="1" spans="1:12">
      <c r="A324" s="2">
        <v>10.771</v>
      </c>
      <c r="B324" s="10" t="s">
        <v>59</v>
      </c>
      <c r="C324" s="4">
        <v>10.771</v>
      </c>
      <c r="D324" s="5">
        <v>47.6</v>
      </c>
      <c r="E324" s="4"/>
      <c r="F324" s="4"/>
      <c r="G324" s="2">
        <f>A323</f>
        <v>10.738</v>
      </c>
      <c r="H324" s="11" t="str">
        <f>B323</f>
        <v>3.453E-2</v>
      </c>
      <c r="I324" s="2">
        <f>D322</f>
        <v>47.9</v>
      </c>
      <c r="J324" s="4">
        <f>G324</f>
        <v>10.738</v>
      </c>
      <c r="K324" s="9">
        <f>(H324-$H$4)*10000</f>
        <v>4.10000000000001</v>
      </c>
      <c r="L324" s="1">
        <f>IF(I324&lt;230,MIN(K:K),MAX(K:K))</f>
        <v>-0.999999999999959</v>
      </c>
    </row>
    <row r="325" s="1" customFormat="1" spans="1:12">
      <c r="A325" s="2">
        <v>10.804</v>
      </c>
      <c r="B325" s="10" t="s">
        <v>26</v>
      </c>
      <c r="C325" s="4">
        <v>10.804</v>
      </c>
      <c r="D325" s="5">
        <v>47.9</v>
      </c>
      <c r="E325" s="4"/>
      <c r="F325" s="4"/>
      <c r="G325" s="2">
        <f>A324</f>
        <v>10.771</v>
      </c>
      <c r="H325" s="11" t="str">
        <f>B324</f>
        <v>3.452E-2</v>
      </c>
      <c r="I325" s="2">
        <f>D323</f>
        <v>47.8</v>
      </c>
      <c r="J325" s="4">
        <f>G325</f>
        <v>10.771</v>
      </c>
      <c r="K325" s="9">
        <f>(H325-$H$4)*10000</f>
        <v>4.00000000000005</v>
      </c>
      <c r="L325" s="1">
        <f>IF(I325&lt;230,MIN(K:K),MAX(K:K))</f>
        <v>-0.999999999999959</v>
      </c>
    </row>
    <row r="326" s="1" customFormat="1" spans="1:12">
      <c r="A326" s="2">
        <v>10.838</v>
      </c>
      <c r="B326" s="10" t="s">
        <v>144</v>
      </c>
      <c r="C326" s="4">
        <v>10.838</v>
      </c>
      <c r="D326" s="5">
        <v>47.5</v>
      </c>
      <c r="E326" s="4"/>
      <c r="F326" s="4"/>
      <c r="G326" s="2">
        <f>A325</f>
        <v>10.804</v>
      </c>
      <c r="H326" s="11" t="str">
        <f>B325</f>
        <v>3.451E-2</v>
      </c>
      <c r="I326" s="2">
        <f>D324</f>
        <v>47.6</v>
      </c>
      <c r="J326" s="4">
        <f>G326</f>
        <v>10.804</v>
      </c>
      <c r="K326" s="9">
        <f>(H326-$H$4)*10000</f>
        <v>3.90000000000001</v>
      </c>
      <c r="L326" s="1">
        <f>IF(I326&lt;230,MIN(K:K),MAX(K:K))</f>
        <v>-0.999999999999959</v>
      </c>
    </row>
    <row r="327" s="1" customFormat="1" spans="1:12">
      <c r="A327" s="2">
        <v>10.871</v>
      </c>
      <c r="B327" s="10" t="s">
        <v>25</v>
      </c>
      <c r="C327" s="4">
        <v>10.871</v>
      </c>
      <c r="D327" s="5">
        <v>47.4</v>
      </c>
      <c r="E327" s="4"/>
      <c r="F327" s="4"/>
      <c r="G327" s="2">
        <f>A326</f>
        <v>10.838</v>
      </c>
      <c r="H327" s="11" t="str">
        <f>B326</f>
        <v>3.449E-2</v>
      </c>
      <c r="I327" s="2">
        <f>D325</f>
        <v>47.9</v>
      </c>
      <c r="J327" s="4">
        <f>G327</f>
        <v>10.838</v>
      </c>
      <c r="K327" s="9">
        <f>(H327-$H$4)*10000</f>
        <v>3.70000000000002</v>
      </c>
      <c r="L327" s="1">
        <f>IF(I327&lt;230,MIN(K:K),MAX(K:K))</f>
        <v>-0.999999999999959</v>
      </c>
    </row>
    <row r="328" s="1" customFormat="1" spans="1:12">
      <c r="A328" s="2">
        <v>10.905</v>
      </c>
      <c r="B328" s="10" t="s">
        <v>216</v>
      </c>
      <c r="C328" s="4">
        <v>10.905</v>
      </c>
      <c r="D328" s="5">
        <v>47.8</v>
      </c>
      <c r="E328" s="4"/>
      <c r="F328" s="4"/>
      <c r="G328" s="2">
        <f>A327</f>
        <v>10.871</v>
      </c>
      <c r="H328" s="11" t="str">
        <f>B327</f>
        <v>3.447E-2</v>
      </c>
      <c r="I328" s="2">
        <f>D326</f>
        <v>47.5</v>
      </c>
      <c r="J328" s="4">
        <f>G328</f>
        <v>10.871</v>
      </c>
      <c r="K328" s="9">
        <f>(H328-$H$4)*10000</f>
        <v>3.50000000000003</v>
      </c>
      <c r="L328" s="1">
        <f>IF(I328&lt;230,MIN(K:K),MAX(K:K))</f>
        <v>-0.999999999999959</v>
      </c>
    </row>
    <row r="329" s="1" customFormat="1" spans="1:12">
      <c r="A329" s="2">
        <v>10.938</v>
      </c>
      <c r="B329" s="10" t="s">
        <v>23</v>
      </c>
      <c r="C329" s="4">
        <v>10.938</v>
      </c>
      <c r="D329" s="5">
        <v>47.7</v>
      </c>
      <c r="E329" s="4"/>
      <c r="F329" s="4"/>
      <c r="G329" s="2">
        <f>A328</f>
        <v>10.905</v>
      </c>
      <c r="H329" s="11" t="str">
        <f>B328</f>
        <v>3.446E-2</v>
      </c>
      <c r="I329" s="2">
        <f>D327</f>
        <v>47.4</v>
      </c>
      <c r="J329" s="4">
        <f>G329</f>
        <v>10.905</v>
      </c>
      <c r="K329" s="9">
        <f>(H329-$H$4)*10000</f>
        <v>3.4</v>
      </c>
      <c r="L329" s="1">
        <f>IF(I329&lt;230,MIN(K:K),MAX(K:K))</f>
        <v>-0.999999999999959</v>
      </c>
    </row>
    <row r="330" s="1" customFormat="1" spans="1:12">
      <c r="A330" s="2">
        <v>10.972</v>
      </c>
      <c r="B330" s="10" t="s">
        <v>58</v>
      </c>
      <c r="C330" s="4">
        <v>10.972</v>
      </c>
      <c r="D330" s="5">
        <v>47.4</v>
      </c>
      <c r="E330" s="4"/>
      <c r="F330" s="4"/>
      <c r="G330" s="2">
        <f>A329</f>
        <v>10.938</v>
      </c>
      <c r="H330" s="11" t="str">
        <f>B329</f>
        <v>3.442E-2</v>
      </c>
      <c r="I330" s="2">
        <f>D328</f>
        <v>47.8</v>
      </c>
      <c r="J330" s="4">
        <f>G330</f>
        <v>10.938</v>
      </c>
      <c r="K330" s="9">
        <f>(H330-$H$4)*10000</f>
        <v>3.00000000000002</v>
      </c>
      <c r="L330" s="1">
        <f>IF(I330&lt;230,MIN(K:K),MAX(K:K))</f>
        <v>-0.999999999999959</v>
      </c>
    </row>
    <row r="331" s="1" customFormat="1" spans="1:12">
      <c r="A331" s="2">
        <v>11.005</v>
      </c>
      <c r="B331" s="10" t="s">
        <v>21</v>
      </c>
      <c r="C331" s="4">
        <v>11.005</v>
      </c>
      <c r="D331" s="5">
        <v>47.5</v>
      </c>
      <c r="E331" s="4"/>
      <c r="F331" s="4"/>
      <c r="G331" s="2">
        <f>A330</f>
        <v>10.972</v>
      </c>
      <c r="H331" s="11" t="str">
        <f>B330</f>
        <v>3.440E-2</v>
      </c>
      <c r="I331" s="2">
        <f>D329</f>
        <v>47.7</v>
      </c>
      <c r="J331" s="4">
        <f>G331</f>
        <v>10.972</v>
      </c>
      <c r="K331" s="9">
        <f>(H331-$H$4)*10000</f>
        <v>2.80000000000002</v>
      </c>
      <c r="L331" s="1">
        <f>IF(I331&lt;230,MIN(K:K),MAX(K:K))</f>
        <v>-0.999999999999959</v>
      </c>
    </row>
    <row r="332" s="1" customFormat="1" spans="1:12">
      <c r="A332" s="2">
        <v>11.039</v>
      </c>
      <c r="B332" s="10" t="s">
        <v>143</v>
      </c>
      <c r="C332" s="4">
        <v>11.039</v>
      </c>
      <c r="D332" s="5">
        <v>47.7</v>
      </c>
      <c r="E332" s="4"/>
      <c r="F332" s="4"/>
      <c r="G332" s="2">
        <f>A331</f>
        <v>11.005</v>
      </c>
      <c r="H332" s="11" t="str">
        <f>B331</f>
        <v>3.437E-2</v>
      </c>
      <c r="I332" s="2">
        <f>D330</f>
        <v>47.4</v>
      </c>
      <c r="J332" s="4">
        <f>G332</f>
        <v>11.005</v>
      </c>
      <c r="K332" s="9">
        <f>(H332-$H$4)*10000</f>
        <v>2.5</v>
      </c>
      <c r="L332" s="1">
        <f>IF(I332&lt;230,MIN(K:K),MAX(K:K))</f>
        <v>-0.999999999999959</v>
      </c>
    </row>
    <row r="333" s="1" customFormat="1" spans="1:12">
      <c r="A333" s="2">
        <v>11.072</v>
      </c>
      <c r="B333" s="10" t="s">
        <v>11</v>
      </c>
      <c r="C333" s="4">
        <v>11.072</v>
      </c>
      <c r="D333" s="5">
        <v>47.8</v>
      </c>
      <c r="E333" s="4"/>
      <c r="F333" s="4"/>
      <c r="G333" s="2">
        <f>A332</f>
        <v>11.039</v>
      </c>
      <c r="H333" s="11" t="str">
        <f>B332</f>
        <v>3.436E-2</v>
      </c>
      <c r="I333" s="2">
        <f>D331</f>
        <v>47.5</v>
      </c>
      <c r="J333" s="4">
        <f>G333</f>
        <v>11.039</v>
      </c>
      <c r="K333" s="9">
        <f>(H333-$H$4)*10000</f>
        <v>2.40000000000004</v>
      </c>
      <c r="L333" s="1">
        <f>IF(I333&lt;230,MIN(K:K),MAX(K:K))</f>
        <v>-0.999999999999959</v>
      </c>
    </row>
    <row r="334" s="1" customFormat="1" spans="1:12">
      <c r="A334" s="2"/>
      <c r="B334" s="3"/>
      <c r="C334" s="4"/>
      <c r="D334" s="5"/>
      <c r="E334" s="4"/>
      <c r="F334" s="4"/>
      <c r="G334" s="2">
        <f>A333</f>
        <v>11.072</v>
      </c>
      <c r="H334" s="11" t="str">
        <f>B333</f>
        <v>3.432E-2</v>
      </c>
      <c r="I334" s="2">
        <f>D332</f>
        <v>47.7</v>
      </c>
      <c r="J334" s="4">
        <f>G334</f>
        <v>11.072</v>
      </c>
      <c r="K334" s="9">
        <f>(H334-$H$4)*10000</f>
        <v>2.00000000000006</v>
      </c>
      <c r="L334" s="1">
        <f>IF(I334&lt;230,MIN(K:K),MAX(K:K))</f>
        <v>-0.999999999999959</v>
      </c>
    </row>
  </sheetData>
  <mergeCells count="2">
    <mergeCell ref="G1:I1"/>
    <mergeCell ref="J1:L1"/>
  </mergeCells>
  <conditionalFormatting sqref="C$1:C$1048576">
    <cfRule type="cellIs" dxfId="0" priority="4" operator="greaterThan">
      <formula>230</formula>
    </cfRule>
    <cfRule type="cellIs" dxfId="0" priority="5" operator="greaterThan">
      <formula>248</formula>
    </cfRule>
    <cfRule type="cellIs" dxfId="0" priority="7" operator="greaterThan">
      <formula>250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334">
    <cfRule type="cellIs" dxfId="0" priority="1" operator="greaterThan">
      <formula>230</formula>
    </cfRule>
    <cfRule type="cellIs" dxfId="0" priority="2" operator="greaterThan">
      <formula>248</formula>
    </cfRule>
    <cfRule type="cellIs" dxfId="0" priority="3" operator="greaterThan">
      <formula>250</formula>
    </cfRule>
  </conditionalFormatting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1"/>
  <sheetViews>
    <sheetView topLeftCell="E1" workbookViewId="0">
      <selection activeCell="P27" sqref="P27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4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52</v>
      </c>
      <c r="C3" s="4">
        <v>0</v>
      </c>
      <c r="D3" s="5">
        <v>48.2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52</v>
      </c>
      <c r="C4" s="4">
        <v>0.033</v>
      </c>
      <c r="D4" s="5">
        <v>47.7</v>
      </c>
      <c r="E4" s="4"/>
      <c r="F4" s="4"/>
      <c r="G4" s="2">
        <f t="shared" ref="G4:G67" si="0">A3</f>
        <v>0</v>
      </c>
      <c r="H4" s="11" t="str">
        <f t="shared" ref="H4:H67" si="1">B3</f>
        <v>3.372E-2</v>
      </c>
      <c r="I4" s="2" t="e">
        <f>#REF!</f>
        <v>#REF!</v>
      </c>
      <c r="J4" s="4">
        <f t="shared" ref="J4:J67" si="2">G4</f>
        <v>0</v>
      </c>
      <c r="K4" s="9">
        <f t="shared" ref="K4:K67" si="3">(H4-$H$4)*10000</f>
        <v>0</v>
      </c>
      <c r="L4" s="1" t="e">
        <f t="shared" ref="L4:L67" si="4">IF(I4&lt;230,MIN(K:K),MAX(K:K))</f>
        <v>#REF!</v>
      </c>
    </row>
    <row r="5" s="1" customFormat="1" spans="1:12">
      <c r="A5" s="2">
        <v>0.067</v>
      </c>
      <c r="B5" s="10" t="s">
        <v>52</v>
      </c>
      <c r="C5" s="4">
        <v>0.067</v>
      </c>
      <c r="D5" s="5">
        <v>48.5</v>
      </c>
      <c r="E5" s="4"/>
      <c r="F5" s="4"/>
      <c r="G5" s="2">
        <f t="shared" si="0"/>
        <v>0.033</v>
      </c>
      <c r="H5" s="11" t="str">
        <f t="shared" si="1"/>
        <v>3.372E-2</v>
      </c>
      <c r="I5" s="2">
        <f t="shared" ref="I5:I68" si="5">D3</f>
        <v>48.2</v>
      </c>
      <c r="J5" s="4">
        <f t="shared" si="2"/>
        <v>0.033</v>
      </c>
      <c r="K5" s="9">
        <f t="shared" si="3"/>
        <v>0</v>
      </c>
      <c r="L5" s="1">
        <f t="shared" si="4"/>
        <v>-0.199999999999992</v>
      </c>
    </row>
    <row r="6" s="1" customFormat="1" spans="1:12">
      <c r="A6" s="2">
        <v>0.1</v>
      </c>
      <c r="B6" s="10" t="s">
        <v>51</v>
      </c>
      <c r="C6" s="4">
        <v>0.1</v>
      </c>
      <c r="D6" s="5">
        <v>48.1</v>
      </c>
      <c r="E6" s="4"/>
      <c r="F6" s="4"/>
      <c r="G6" s="2">
        <f t="shared" si="0"/>
        <v>0.067</v>
      </c>
      <c r="H6" s="11" t="str">
        <f t="shared" si="1"/>
        <v>3.372E-2</v>
      </c>
      <c r="I6" s="2">
        <f t="shared" si="5"/>
        <v>47.7</v>
      </c>
      <c r="J6" s="4">
        <f t="shared" si="2"/>
        <v>0.067</v>
      </c>
      <c r="K6" s="9">
        <f t="shared" si="3"/>
        <v>0</v>
      </c>
      <c r="L6" s="1">
        <f t="shared" si="4"/>
        <v>-0.199999999999992</v>
      </c>
    </row>
    <row r="7" s="1" customFormat="1" spans="1:12">
      <c r="A7" s="2">
        <v>0.134</v>
      </c>
      <c r="B7" s="10" t="s">
        <v>51</v>
      </c>
      <c r="C7" s="4">
        <v>0.134</v>
      </c>
      <c r="D7" s="5">
        <v>47.8</v>
      </c>
      <c r="E7" s="4"/>
      <c r="F7" s="4"/>
      <c r="G7" s="2">
        <f t="shared" si="0"/>
        <v>0.1</v>
      </c>
      <c r="H7" s="11" t="str">
        <f t="shared" si="1"/>
        <v>3.373E-2</v>
      </c>
      <c r="I7" s="2">
        <f t="shared" si="5"/>
        <v>48.5</v>
      </c>
      <c r="J7" s="4">
        <f t="shared" si="2"/>
        <v>0.1</v>
      </c>
      <c r="K7" s="9">
        <f t="shared" si="3"/>
        <v>0.100000000000031</v>
      </c>
      <c r="L7" s="1">
        <f t="shared" si="4"/>
        <v>-0.199999999999992</v>
      </c>
    </row>
    <row r="8" s="1" customFormat="1" spans="1:12">
      <c r="A8" s="2">
        <v>0.167</v>
      </c>
      <c r="B8" s="10" t="s">
        <v>51</v>
      </c>
      <c r="C8" s="4">
        <v>0.167</v>
      </c>
      <c r="D8" s="5">
        <v>48.3</v>
      </c>
      <c r="E8" s="4"/>
      <c r="F8" s="4"/>
      <c r="G8" s="2">
        <f t="shared" si="0"/>
        <v>0.134</v>
      </c>
      <c r="H8" s="11" t="str">
        <f t="shared" si="1"/>
        <v>3.373E-2</v>
      </c>
      <c r="I8" s="2">
        <f t="shared" si="5"/>
        <v>48.1</v>
      </c>
      <c r="J8" s="4">
        <f t="shared" si="2"/>
        <v>0.134</v>
      </c>
      <c r="K8" s="9">
        <f t="shared" si="3"/>
        <v>0.100000000000031</v>
      </c>
      <c r="L8" s="1">
        <f t="shared" si="4"/>
        <v>-0.199999999999992</v>
      </c>
    </row>
    <row r="9" s="1" customFormat="1" spans="1:12">
      <c r="A9" s="2">
        <v>0.201</v>
      </c>
      <c r="B9" s="10" t="s">
        <v>51</v>
      </c>
      <c r="C9" s="4">
        <v>0.201</v>
      </c>
      <c r="D9" s="5">
        <v>48.2</v>
      </c>
      <c r="E9" s="4"/>
      <c r="F9" s="4"/>
      <c r="G9" s="2">
        <f t="shared" si="0"/>
        <v>0.167</v>
      </c>
      <c r="H9" s="11" t="str">
        <f t="shared" si="1"/>
        <v>3.373E-2</v>
      </c>
      <c r="I9" s="2">
        <f t="shared" si="5"/>
        <v>47.8</v>
      </c>
      <c r="J9" s="4">
        <f t="shared" si="2"/>
        <v>0.167</v>
      </c>
      <c r="K9" s="9">
        <f t="shared" si="3"/>
        <v>0.100000000000031</v>
      </c>
      <c r="L9" s="1">
        <f t="shared" si="4"/>
        <v>-0.199999999999992</v>
      </c>
    </row>
    <row r="10" s="1" customFormat="1" spans="1:12">
      <c r="A10" s="2">
        <v>0.234</v>
      </c>
      <c r="B10" s="10" t="s">
        <v>51</v>
      </c>
      <c r="C10" s="4">
        <v>0.234</v>
      </c>
      <c r="D10" s="5">
        <v>48.3</v>
      </c>
      <c r="E10" s="4"/>
      <c r="F10" s="4"/>
      <c r="G10" s="2">
        <f t="shared" si="0"/>
        <v>0.201</v>
      </c>
      <c r="H10" s="11" t="str">
        <f t="shared" si="1"/>
        <v>3.373E-2</v>
      </c>
      <c r="I10" s="2">
        <f t="shared" si="5"/>
        <v>48.3</v>
      </c>
      <c r="J10" s="4">
        <f t="shared" si="2"/>
        <v>0.201</v>
      </c>
      <c r="K10" s="9">
        <f t="shared" si="3"/>
        <v>0.100000000000031</v>
      </c>
      <c r="L10" s="1">
        <f t="shared" si="4"/>
        <v>-0.199999999999992</v>
      </c>
    </row>
    <row r="11" s="1" customFormat="1" spans="1:12">
      <c r="A11" s="2">
        <v>0.268</v>
      </c>
      <c r="B11" s="10" t="s">
        <v>52</v>
      </c>
      <c r="C11" s="4">
        <v>0.268</v>
      </c>
      <c r="D11" s="5">
        <v>48.1</v>
      </c>
      <c r="E11" s="4"/>
      <c r="F11" s="4"/>
      <c r="G11" s="2">
        <f t="shared" si="0"/>
        <v>0.234</v>
      </c>
      <c r="H11" s="11" t="str">
        <f t="shared" si="1"/>
        <v>3.373E-2</v>
      </c>
      <c r="I11" s="2">
        <f t="shared" si="5"/>
        <v>48.2</v>
      </c>
      <c r="J11" s="4">
        <f t="shared" si="2"/>
        <v>0.234</v>
      </c>
      <c r="K11" s="9">
        <f t="shared" si="3"/>
        <v>0.100000000000031</v>
      </c>
      <c r="L11" s="1">
        <f t="shared" si="4"/>
        <v>-0.199999999999992</v>
      </c>
    </row>
    <row r="12" s="1" customFormat="1" spans="1:12">
      <c r="A12" s="2">
        <v>0.301</v>
      </c>
      <c r="B12" s="10" t="s">
        <v>52</v>
      </c>
      <c r="C12" s="4">
        <v>0.301</v>
      </c>
      <c r="D12" s="5">
        <v>48.3</v>
      </c>
      <c r="E12" s="4"/>
      <c r="F12" s="4"/>
      <c r="G12" s="2">
        <f t="shared" si="0"/>
        <v>0.268</v>
      </c>
      <c r="H12" s="11" t="str">
        <f t="shared" si="1"/>
        <v>3.372E-2</v>
      </c>
      <c r="I12" s="2">
        <f t="shared" si="5"/>
        <v>48.3</v>
      </c>
      <c r="J12" s="4">
        <f t="shared" si="2"/>
        <v>0.268</v>
      </c>
      <c r="K12" s="9">
        <f t="shared" si="3"/>
        <v>0</v>
      </c>
      <c r="L12" s="1">
        <f t="shared" si="4"/>
        <v>-0.199999999999992</v>
      </c>
    </row>
    <row r="13" s="1" customFormat="1" spans="1:12">
      <c r="A13" s="2">
        <v>0.334</v>
      </c>
      <c r="B13" s="10" t="s">
        <v>51</v>
      </c>
      <c r="C13" s="4">
        <v>0.334</v>
      </c>
      <c r="D13" s="5">
        <v>47.9</v>
      </c>
      <c r="E13" s="4"/>
      <c r="F13" s="4"/>
      <c r="G13" s="2">
        <f t="shared" si="0"/>
        <v>0.301</v>
      </c>
      <c r="H13" s="11" t="str">
        <f t="shared" si="1"/>
        <v>3.372E-2</v>
      </c>
      <c r="I13" s="2">
        <f t="shared" si="5"/>
        <v>48.1</v>
      </c>
      <c r="J13" s="4">
        <f t="shared" si="2"/>
        <v>0.301</v>
      </c>
      <c r="K13" s="9">
        <f t="shared" si="3"/>
        <v>0</v>
      </c>
      <c r="L13" s="1">
        <f t="shared" si="4"/>
        <v>-0.199999999999992</v>
      </c>
    </row>
    <row r="14" s="1" customFormat="1" spans="1:12">
      <c r="A14" s="2">
        <v>0.368</v>
      </c>
      <c r="B14" s="10" t="s">
        <v>51</v>
      </c>
      <c r="C14" s="4">
        <v>0.368</v>
      </c>
      <c r="D14" s="5">
        <v>48.4</v>
      </c>
      <c r="E14" s="4"/>
      <c r="F14" s="4"/>
      <c r="G14" s="2">
        <f t="shared" si="0"/>
        <v>0.334</v>
      </c>
      <c r="H14" s="11" t="str">
        <f t="shared" si="1"/>
        <v>3.373E-2</v>
      </c>
      <c r="I14" s="2">
        <f t="shared" si="5"/>
        <v>48.3</v>
      </c>
      <c r="J14" s="4">
        <f t="shared" si="2"/>
        <v>0.334</v>
      </c>
      <c r="K14" s="9">
        <f t="shared" si="3"/>
        <v>0.100000000000031</v>
      </c>
      <c r="L14" s="1">
        <f t="shared" si="4"/>
        <v>-0.199999999999992</v>
      </c>
    </row>
    <row r="15" s="1" customFormat="1" spans="1:12">
      <c r="A15" s="2">
        <v>0.401</v>
      </c>
      <c r="B15" s="10" t="s">
        <v>51</v>
      </c>
      <c r="C15" s="4">
        <v>0.401</v>
      </c>
      <c r="D15" s="5">
        <v>48.4</v>
      </c>
      <c r="E15" s="4"/>
      <c r="F15" s="4"/>
      <c r="G15" s="2">
        <f t="shared" si="0"/>
        <v>0.368</v>
      </c>
      <c r="H15" s="11" t="str">
        <f t="shared" si="1"/>
        <v>3.373E-2</v>
      </c>
      <c r="I15" s="2">
        <f t="shared" si="5"/>
        <v>47.9</v>
      </c>
      <c r="J15" s="4">
        <f t="shared" si="2"/>
        <v>0.368</v>
      </c>
      <c r="K15" s="9">
        <f t="shared" si="3"/>
        <v>0.100000000000031</v>
      </c>
      <c r="L15" s="1">
        <f t="shared" si="4"/>
        <v>-0.199999999999992</v>
      </c>
    </row>
    <row r="16" s="1" customFormat="1" spans="1:12">
      <c r="A16" s="2">
        <v>0.435</v>
      </c>
      <c r="B16" s="10" t="s">
        <v>52</v>
      </c>
      <c r="C16" s="4">
        <v>0.435</v>
      </c>
      <c r="D16" s="5">
        <v>48.2</v>
      </c>
      <c r="E16" s="4"/>
      <c r="F16" s="4"/>
      <c r="G16" s="2">
        <f t="shared" si="0"/>
        <v>0.401</v>
      </c>
      <c r="H16" s="11" t="str">
        <f t="shared" si="1"/>
        <v>3.373E-2</v>
      </c>
      <c r="I16" s="2">
        <f t="shared" si="5"/>
        <v>48.4</v>
      </c>
      <c r="J16" s="4">
        <f t="shared" si="2"/>
        <v>0.401</v>
      </c>
      <c r="K16" s="9">
        <f t="shared" si="3"/>
        <v>0.100000000000031</v>
      </c>
      <c r="L16" s="1">
        <f t="shared" si="4"/>
        <v>-0.199999999999992</v>
      </c>
    </row>
    <row r="17" s="1" customFormat="1" spans="1:12">
      <c r="A17" s="2">
        <v>0.468</v>
      </c>
      <c r="B17" s="10" t="s">
        <v>52</v>
      </c>
      <c r="C17" s="4">
        <v>0.468</v>
      </c>
      <c r="D17" s="5">
        <v>48.4</v>
      </c>
      <c r="E17" s="4"/>
      <c r="F17" s="4"/>
      <c r="G17" s="2">
        <f t="shared" si="0"/>
        <v>0.435</v>
      </c>
      <c r="H17" s="11" t="str">
        <f t="shared" si="1"/>
        <v>3.372E-2</v>
      </c>
      <c r="I17" s="2">
        <f t="shared" si="5"/>
        <v>48.4</v>
      </c>
      <c r="J17" s="4">
        <f t="shared" si="2"/>
        <v>0.435</v>
      </c>
      <c r="K17" s="9">
        <f t="shared" si="3"/>
        <v>0</v>
      </c>
      <c r="L17" s="1">
        <f t="shared" si="4"/>
        <v>-0.199999999999992</v>
      </c>
    </row>
    <row r="18" s="1" customFormat="1" spans="1:12">
      <c r="A18" s="2">
        <v>0.502</v>
      </c>
      <c r="B18" s="10" t="s">
        <v>52</v>
      </c>
      <c r="C18" s="4">
        <v>0.502</v>
      </c>
      <c r="D18" s="5">
        <v>48</v>
      </c>
      <c r="E18" s="4"/>
      <c r="F18" s="4"/>
      <c r="G18" s="2">
        <f t="shared" si="0"/>
        <v>0.468</v>
      </c>
      <c r="H18" s="11" t="str">
        <f t="shared" si="1"/>
        <v>3.372E-2</v>
      </c>
      <c r="I18" s="2">
        <f t="shared" si="5"/>
        <v>48.2</v>
      </c>
      <c r="J18" s="4">
        <f t="shared" si="2"/>
        <v>0.468</v>
      </c>
      <c r="K18" s="9">
        <f t="shared" si="3"/>
        <v>0</v>
      </c>
      <c r="L18" s="1">
        <f t="shared" si="4"/>
        <v>-0.199999999999992</v>
      </c>
    </row>
    <row r="19" s="1" customFormat="1" spans="1:12">
      <c r="A19" s="2">
        <v>0.535</v>
      </c>
      <c r="B19" s="10" t="s">
        <v>51</v>
      </c>
      <c r="C19" s="4">
        <v>0.535</v>
      </c>
      <c r="D19" s="5">
        <v>48.3</v>
      </c>
      <c r="E19" s="4"/>
      <c r="F19" s="4"/>
      <c r="G19" s="2">
        <f t="shared" si="0"/>
        <v>0.502</v>
      </c>
      <c r="H19" s="11" t="str">
        <f t="shared" si="1"/>
        <v>3.372E-2</v>
      </c>
      <c r="I19" s="2">
        <f t="shared" si="5"/>
        <v>48.4</v>
      </c>
      <c r="J19" s="4">
        <f t="shared" si="2"/>
        <v>0.502</v>
      </c>
      <c r="K19" s="9">
        <f t="shared" si="3"/>
        <v>0</v>
      </c>
      <c r="L19" s="1">
        <f t="shared" si="4"/>
        <v>-0.199999999999992</v>
      </c>
    </row>
    <row r="20" s="1" customFormat="1" spans="1:12">
      <c r="A20" s="2">
        <v>0.569</v>
      </c>
      <c r="B20" s="10" t="s">
        <v>51</v>
      </c>
      <c r="C20" s="4">
        <v>0.569</v>
      </c>
      <c r="D20" s="5">
        <v>48</v>
      </c>
      <c r="E20" s="4"/>
      <c r="F20" s="4"/>
      <c r="G20" s="2">
        <f t="shared" si="0"/>
        <v>0.535</v>
      </c>
      <c r="H20" s="11" t="str">
        <f t="shared" si="1"/>
        <v>3.373E-2</v>
      </c>
      <c r="I20" s="2">
        <f t="shared" si="5"/>
        <v>48</v>
      </c>
      <c r="J20" s="4">
        <f t="shared" si="2"/>
        <v>0.535</v>
      </c>
      <c r="K20" s="9">
        <f t="shared" si="3"/>
        <v>0.100000000000031</v>
      </c>
      <c r="L20" s="1">
        <f t="shared" si="4"/>
        <v>-0.199999999999992</v>
      </c>
    </row>
    <row r="21" s="1" customFormat="1" spans="1:12">
      <c r="A21" s="2">
        <v>0.602</v>
      </c>
      <c r="B21" s="10" t="s">
        <v>51</v>
      </c>
      <c r="C21" s="4">
        <v>0.602</v>
      </c>
      <c r="D21" s="5">
        <v>48</v>
      </c>
      <c r="E21" s="4"/>
      <c r="F21" s="4"/>
      <c r="G21" s="2">
        <f t="shared" si="0"/>
        <v>0.569</v>
      </c>
      <c r="H21" s="11" t="str">
        <f t="shared" si="1"/>
        <v>3.373E-2</v>
      </c>
      <c r="I21" s="2">
        <f t="shared" si="5"/>
        <v>48.3</v>
      </c>
      <c r="J21" s="4">
        <f t="shared" si="2"/>
        <v>0.569</v>
      </c>
      <c r="K21" s="9">
        <f t="shared" si="3"/>
        <v>0.100000000000031</v>
      </c>
      <c r="L21" s="1">
        <f t="shared" si="4"/>
        <v>-0.199999999999992</v>
      </c>
    </row>
    <row r="22" s="1" customFormat="1" spans="1:12">
      <c r="A22" s="2">
        <v>0.635</v>
      </c>
      <c r="B22" s="10" t="s">
        <v>52</v>
      </c>
      <c r="C22" s="4">
        <v>0.635</v>
      </c>
      <c r="D22" s="5">
        <v>48</v>
      </c>
      <c r="E22" s="4"/>
      <c r="F22" s="4"/>
      <c r="G22" s="2">
        <f t="shared" si="0"/>
        <v>0.602</v>
      </c>
      <c r="H22" s="11" t="str">
        <f t="shared" si="1"/>
        <v>3.373E-2</v>
      </c>
      <c r="I22" s="2">
        <f t="shared" si="5"/>
        <v>48</v>
      </c>
      <c r="J22" s="4">
        <f t="shared" si="2"/>
        <v>0.602</v>
      </c>
      <c r="K22" s="9">
        <f t="shared" si="3"/>
        <v>0.100000000000031</v>
      </c>
      <c r="L22" s="1">
        <f t="shared" si="4"/>
        <v>-0.199999999999992</v>
      </c>
    </row>
    <row r="23" s="1" customFormat="1" spans="1:12">
      <c r="A23" s="2">
        <v>0.669</v>
      </c>
      <c r="B23" s="10" t="s">
        <v>52</v>
      </c>
      <c r="C23" s="4">
        <v>0.669</v>
      </c>
      <c r="D23" s="5">
        <v>46.9</v>
      </c>
      <c r="E23" s="4"/>
      <c r="F23" s="4"/>
      <c r="G23" s="2">
        <f t="shared" si="0"/>
        <v>0.635</v>
      </c>
      <c r="H23" s="11" t="str">
        <f t="shared" si="1"/>
        <v>3.372E-2</v>
      </c>
      <c r="I23" s="2">
        <f t="shared" si="5"/>
        <v>48</v>
      </c>
      <c r="J23" s="4">
        <f t="shared" si="2"/>
        <v>0.635</v>
      </c>
      <c r="K23" s="9">
        <f t="shared" si="3"/>
        <v>0</v>
      </c>
      <c r="L23" s="1">
        <f t="shared" si="4"/>
        <v>-0.199999999999992</v>
      </c>
    </row>
    <row r="24" s="1" customFormat="1" spans="1:12">
      <c r="A24" s="2">
        <v>0.702</v>
      </c>
      <c r="B24" s="10" t="s">
        <v>247</v>
      </c>
      <c r="C24" s="4">
        <v>0.702</v>
      </c>
      <c r="D24" s="5">
        <v>48</v>
      </c>
      <c r="E24" s="4"/>
      <c r="F24" s="4"/>
      <c r="G24" s="2">
        <f t="shared" si="0"/>
        <v>0.669</v>
      </c>
      <c r="H24" s="11" t="str">
        <f t="shared" si="1"/>
        <v>3.372E-2</v>
      </c>
      <c r="I24" s="2">
        <f t="shared" si="5"/>
        <v>48</v>
      </c>
      <c r="J24" s="4">
        <f t="shared" si="2"/>
        <v>0.669</v>
      </c>
      <c r="K24" s="9">
        <f t="shared" si="3"/>
        <v>0</v>
      </c>
      <c r="L24" s="1">
        <f t="shared" si="4"/>
        <v>-0.199999999999992</v>
      </c>
    </row>
    <row r="25" s="1" customFormat="1" spans="1:12">
      <c r="A25" s="2">
        <v>0.736</v>
      </c>
      <c r="B25" s="10" t="s">
        <v>52</v>
      </c>
      <c r="C25" s="4">
        <v>0.736</v>
      </c>
      <c r="D25" s="5">
        <v>48.3</v>
      </c>
      <c r="E25" s="4"/>
      <c r="F25" s="4"/>
      <c r="G25" s="2">
        <f t="shared" si="0"/>
        <v>0.702</v>
      </c>
      <c r="H25" s="11" t="str">
        <f t="shared" si="1"/>
        <v>3.371E-2</v>
      </c>
      <c r="I25" s="2">
        <f t="shared" si="5"/>
        <v>46.9</v>
      </c>
      <c r="J25" s="4">
        <f t="shared" si="2"/>
        <v>0.702</v>
      </c>
      <c r="K25" s="9">
        <f t="shared" si="3"/>
        <v>-0.100000000000031</v>
      </c>
      <c r="L25" s="1">
        <f t="shared" si="4"/>
        <v>-0.199999999999992</v>
      </c>
    </row>
    <row r="26" s="1" customFormat="1" spans="1:12">
      <c r="A26" s="2">
        <v>0.769</v>
      </c>
      <c r="B26" s="10" t="s">
        <v>52</v>
      </c>
      <c r="C26" s="4">
        <v>0.769</v>
      </c>
      <c r="D26" s="5">
        <v>48.4</v>
      </c>
      <c r="E26" s="4"/>
      <c r="F26" s="4"/>
      <c r="G26" s="2">
        <f t="shared" si="0"/>
        <v>0.736</v>
      </c>
      <c r="H26" s="11" t="str">
        <f t="shared" si="1"/>
        <v>3.372E-2</v>
      </c>
      <c r="I26" s="2">
        <f t="shared" si="5"/>
        <v>48</v>
      </c>
      <c r="J26" s="4">
        <f t="shared" si="2"/>
        <v>0.736</v>
      </c>
      <c r="K26" s="9">
        <f t="shared" si="3"/>
        <v>0</v>
      </c>
      <c r="L26" s="1">
        <f t="shared" si="4"/>
        <v>-0.199999999999992</v>
      </c>
    </row>
    <row r="27" s="1" customFormat="1" spans="1:12">
      <c r="A27" s="2">
        <v>0.803</v>
      </c>
      <c r="B27" s="10" t="s">
        <v>52</v>
      </c>
      <c r="C27" s="4">
        <v>0.803</v>
      </c>
      <c r="D27" s="5">
        <v>48.2</v>
      </c>
      <c r="E27" s="4"/>
      <c r="F27" s="4"/>
      <c r="G27" s="2">
        <f t="shared" si="0"/>
        <v>0.769</v>
      </c>
      <c r="H27" s="11" t="str">
        <f t="shared" si="1"/>
        <v>3.372E-2</v>
      </c>
      <c r="I27" s="2">
        <f t="shared" si="5"/>
        <v>48.3</v>
      </c>
      <c r="J27" s="4">
        <f t="shared" si="2"/>
        <v>0.769</v>
      </c>
      <c r="K27" s="9">
        <f t="shared" si="3"/>
        <v>0</v>
      </c>
      <c r="L27" s="1">
        <f t="shared" si="4"/>
        <v>-0.199999999999992</v>
      </c>
    </row>
    <row r="28" s="1" customFormat="1" spans="1:12">
      <c r="A28" s="2">
        <v>0.836</v>
      </c>
      <c r="B28" s="10" t="s">
        <v>52</v>
      </c>
      <c r="C28" s="4">
        <v>0.836</v>
      </c>
      <c r="D28" s="5">
        <v>48.1</v>
      </c>
      <c r="E28" s="4"/>
      <c r="F28" s="4"/>
      <c r="G28" s="2">
        <f t="shared" si="0"/>
        <v>0.803</v>
      </c>
      <c r="H28" s="11" t="str">
        <f t="shared" si="1"/>
        <v>3.372E-2</v>
      </c>
      <c r="I28" s="2">
        <f t="shared" si="5"/>
        <v>48.4</v>
      </c>
      <c r="J28" s="4">
        <f t="shared" si="2"/>
        <v>0.803</v>
      </c>
      <c r="K28" s="9">
        <f t="shared" si="3"/>
        <v>0</v>
      </c>
      <c r="L28" s="1">
        <f t="shared" si="4"/>
        <v>-0.199999999999992</v>
      </c>
    </row>
    <row r="29" s="1" customFormat="1" spans="1:12">
      <c r="A29" s="2">
        <v>0.87</v>
      </c>
      <c r="B29" s="10" t="s">
        <v>247</v>
      </c>
      <c r="C29" s="4">
        <v>0.87</v>
      </c>
      <c r="D29" s="5">
        <v>48.4</v>
      </c>
      <c r="E29" s="4"/>
      <c r="F29" s="4"/>
      <c r="G29" s="2">
        <f t="shared" si="0"/>
        <v>0.836</v>
      </c>
      <c r="H29" s="11" t="str">
        <f t="shared" si="1"/>
        <v>3.372E-2</v>
      </c>
      <c r="I29" s="2">
        <f t="shared" si="5"/>
        <v>48.2</v>
      </c>
      <c r="J29" s="4">
        <f t="shared" si="2"/>
        <v>0.836</v>
      </c>
      <c r="K29" s="9">
        <f t="shared" si="3"/>
        <v>0</v>
      </c>
      <c r="L29" s="1">
        <f t="shared" si="4"/>
        <v>-0.199999999999992</v>
      </c>
    </row>
    <row r="30" s="1" customFormat="1" spans="1:12">
      <c r="A30" s="2">
        <v>0.903</v>
      </c>
      <c r="B30" s="10" t="s">
        <v>52</v>
      </c>
      <c r="C30" s="4">
        <v>0.903</v>
      </c>
      <c r="D30" s="5">
        <v>47.9</v>
      </c>
      <c r="E30" s="4"/>
      <c r="F30" s="4"/>
      <c r="G30" s="2">
        <f t="shared" si="0"/>
        <v>0.87</v>
      </c>
      <c r="H30" s="11" t="str">
        <f t="shared" si="1"/>
        <v>3.371E-2</v>
      </c>
      <c r="I30" s="2">
        <f t="shared" si="5"/>
        <v>48.1</v>
      </c>
      <c r="J30" s="4">
        <f t="shared" si="2"/>
        <v>0.87</v>
      </c>
      <c r="K30" s="9">
        <f t="shared" si="3"/>
        <v>-0.100000000000031</v>
      </c>
      <c r="L30" s="1">
        <f t="shared" si="4"/>
        <v>-0.199999999999992</v>
      </c>
    </row>
    <row r="31" s="1" customFormat="1" spans="1:12">
      <c r="A31" s="2">
        <v>0.937</v>
      </c>
      <c r="B31" s="10" t="s">
        <v>247</v>
      </c>
      <c r="C31" s="4">
        <v>0.937</v>
      </c>
      <c r="D31" s="5">
        <v>48</v>
      </c>
      <c r="E31" s="4"/>
      <c r="F31" s="4"/>
      <c r="G31" s="2">
        <f t="shared" si="0"/>
        <v>0.903</v>
      </c>
      <c r="H31" s="11" t="str">
        <f t="shared" si="1"/>
        <v>3.372E-2</v>
      </c>
      <c r="I31" s="2">
        <f t="shared" si="5"/>
        <v>48.4</v>
      </c>
      <c r="J31" s="4">
        <f t="shared" si="2"/>
        <v>0.903</v>
      </c>
      <c r="K31" s="9">
        <f t="shared" si="3"/>
        <v>0</v>
      </c>
      <c r="L31" s="1">
        <f t="shared" si="4"/>
        <v>-0.199999999999992</v>
      </c>
    </row>
    <row r="32" s="1" customFormat="1" spans="1:12">
      <c r="A32" s="2">
        <v>0.97</v>
      </c>
      <c r="B32" s="10" t="s">
        <v>52</v>
      </c>
      <c r="C32" s="4">
        <v>0.97</v>
      </c>
      <c r="D32" s="5">
        <v>48</v>
      </c>
      <c r="E32" s="4"/>
      <c r="F32" s="4"/>
      <c r="G32" s="2">
        <f t="shared" si="0"/>
        <v>0.937</v>
      </c>
      <c r="H32" s="11" t="str">
        <f t="shared" si="1"/>
        <v>3.371E-2</v>
      </c>
      <c r="I32" s="2">
        <f t="shared" si="5"/>
        <v>47.9</v>
      </c>
      <c r="J32" s="4">
        <f t="shared" si="2"/>
        <v>0.937</v>
      </c>
      <c r="K32" s="9">
        <f t="shared" si="3"/>
        <v>-0.100000000000031</v>
      </c>
      <c r="L32" s="1">
        <f t="shared" si="4"/>
        <v>-0.199999999999992</v>
      </c>
    </row>
    <row r="33" s="1" customFormat="1" spans="1:12">
      <c r="A33" s="2">
        <v>1.003</v>
      </c>
      <c r="B33" s="10" t="s">
        <v>52</v>
      </c>
      <c r="C33" s="4">
        <v>1.003</v>
      </c>
      <c r="D33" s="5">
        <v>47.8</v>
      </c>
      <c r="E33" s="4"/>
      <c r="F33" s="4"/>
      <c r="G33" s="2">
        <f t="shared" si="0"/>
        <v>0.97</v>
      </c>
      <c r="H33" s="11" t="str">
        <f t="shared" si="1"/>
        <v>3.372E-2</v>
      </c>
      <c r="I33" s="2">
        <f t="shared" si="5"/>
        <v>48</v>
      </c>
      <c r="J33" s="4">
        <f t="shared" si="2"/>
        <v>0.97</v>
      </c>
      <c r="K33" s="9">
        <f t="shared" si="3"/>
        <v>0</v>
      </c>
      <c r="L33" s="1">
        <f t="shared" si="4"/>
        <v>-0.199999999999992</v>
      </c>
    </row>
    <row r="34" s="1" customFormat="1" spans="1:12">
      <c r="A34" s="2">
        <v>1.037</v>
      </c>
      <c r="B34" s="10" t="s">
        <v>52</v>
      </c>
      <c r="C34" s="4">
        <v>1.037</v>
      </c>
      <c r="D34" s="5">
        <v>48</v>
      </c>
      <c r="E34" s="4"/>
      <c r="F34" s="4"/>
      <c r="G34" s="2">
        <f t="shared" si="0"/>
        <v>1.003</v>
      </c>
      <c r="H34" s="11" t="str">
        <f t="shared" si="1"/>
        <v>3.372E-2</v>
      </c>
      <c r="I34" s="2">
        <f t="shared" si="5"/>
        <v>48</v>
      </c>
      <c r="J34" s="4">
        <f t="shared" si="2"/>
        <v>1.003</v>
      </c>
      <c r="K34" s="9">
        <f t="shared" si="3"/>
        <v>0</v>
      </c>
      <c r="L34" s="1">
        <f t="shared" si="4"/>
        <v>-0.199999999999992</v>
      </c>
    </row>
    <row r="35" s="1" customFormat="1" spans="1:12">
      <c r="A35" s="2">
        <v>1.07</v>
      </c>
      <c r="B35" s="10" t="s">
        <v>52</v>
      </c>
      <c r="C35" s="4">
        <v>1.07</v>
      </c>
      <c r="D35" s="5">
        <v>48.4</v>
      </c>
      <c r="E35" s="4"/>
      <c r="F35" s="4"/>
      <c r="G35" s="2">
        <f t="shared" si="0"/>
        <v>1.037</v>
      </c>
      <c r="H35" s="11" t="str">
        <f t="shared" si="1"/>
        <v>3.372E-2</v>
      </c>
      <c r="I35" s="2">
        <f t="shared" si="5"/>
        <v>47.8</v>
      </c>
      <c r="J35" s="4">
        <f t="shared" si="2"/>
        <v>1.037</v>
      </c>
      <c r="K35" s="9">
        <f t="shared" si="3"/>
        <v>0</v>
      </c>
      <c r="L35" s="1">
        <f t="shared" si="4"/>
        <v>-0.199999999999992</v>
      </c>
    </row>
    <row r="36" s="1" customFormat="1" spans="1:12">
      <c r="A36" s="2">
        <v>1.104</v>
      </c>
      <c r="B36" s="10" t="s">
        <v>52</v>
      </c>
      <c r="C36" s="4">
        <v>1.104</v>
      </c>
      <c r="D36" s="5">
        <v>47.9</v>
      </c>
      <c r="E36" s="4"/>
      <c r="F36" s="4"/>
      <c r="G36" s="2">
        <f t="shared" si="0"/>
        <v>1.07</v>
      </c>
      <c r="H36" s="11" t="str">
        <f t="shared" si="1"/>
        <v>3.372E-2</v>
      </c>
      <c r="I36" s="2">
        <f t="shared" si="5"/>
        <v>48</v>
      </c>
      <c r="J36" s="4">
        <f t="shared" si="2"/>
        <v>1.07</v>
      </c>
      <c r="K36" s="9">
        <f t="shared" si="3"/>
        <v>0</v>
      </c>
      <c r="L36" s="1">
        <f t="shared" si="4"/>
        <v>-0.199999999999992</v>
      </c>
    </row>
    <row r="37" s="1" customFormat="1" spans="1:12">
      <c r="A37" s="2">
        <v>1.137</v>
      </c>
      <c r="B37" s="10" t="s">
        <v>52</v>
      </c>
      <c r="C37" s="4">
        <v>1.137</v>
      </c>
      <c r="D37" s="5">
        <v>48.3</v>
      </c>
      <c r="E37" s="4"/>
      <c r="F37" s="4"/>
      <c r="G37" s="2">
        <f t="shared" si="0"/>
        <v>1.104</v>
      </c>
      <c r="H37" s="11" t="str">
        <f t="shared" si="1"/>
        <v>3.372E-2</v>
      </c>
      <c r="I37" s="2">
        <f t="shared" si="5"/>
        <v>48.4</v>
      </c>
      <c r="J37" s="4">
        <f t="shared" si="2"/>
        <v>1.104</v>
      </c>
      <c r="K37" s="9">
        <f t="shared" si="3"/>
        <v>0</v>
      </c>
      <c r="L37" s="1">
        <f t="shared" si="4"/>
        <v>-0.199999999999992</v>
      </c>
    </row>
    <row r="38" s="1" customFormat="1" spans="1:12">
      <c r="A38" s="2">
        <v>1.171</v>
      </c>
      <c r="B38" s="10" t="s">
        <v>247</v>
      </c>
      <c r="C38" s="4">
        <v>1.171</v>
      </c>
      <c r="D38" s="5">
        <v>47.9</v>
      </c>
      <c r="E38" s="4"/>
      <c r="F38" s="4"/>
      <c r="G38" s="2">
        <f t="shared" si="0"/>
        <v>1.137</v>
      </c>
      <c r="H38" s="11" t="str">
        <f t="shared" si="1"/>
        <v>3.372E-2</v>
      </c>
      <c r="I38" s="2">
        <f t="shared" si="5"/>
        <v>47.9</v>
      </c>
      <c r="J38" s="4">
        <f t="shared" si="2"/>
        <v>1.137</v>
      </c>
      <c r="K38" s="9">
        <f t="shared" si="3"/>
        <v>0</v>
      </c>
      <c r="L38" s="1">
        <f t="shared" si="4"/>
        <v>-0.199999999999992</v>
      </c>
    </row>
    <row r="39" s="1" customFormat="1" spans="1:12">
      <c r="A39" s="2">
        <v>1.204</v>
      </c>
      <c r="B39" s="10" t="s">
        <v>52</v>
      </c>
      <c r="C39" s="4">
        <v>1.204</v>
      </c>
      <c r="D39" s="5">
        <v>47.9</v>
      </c>
      <c r="E39" s="4"/>
      <c r="F39" s="4"/>
      <c r="G39" s="2">
        <f t="shared" si="0"/>
        <v>1.171</v>
      </c>
      <c r="H39" s="11" t="str">
        <f t="shared" si="1"/>
        <v>3.371E-2</v>
      </c>
      <c r="I39" s="2">
        <f t="shared" si="5"/>
        <v>48.3</v>
      </c>
      <c r="J39" s="4">
        <f t="shared" si="2"/>
        <v>1.171</v>
      </c>
      <c r="K39" s="9">
        <f t="shared" si="3"/>
        <v>-0.100000000000031</v>
      </c>
      <c r="L39" s="1">
        <f t="shared" si="4"/>
        <v>-0.199999999999992</v>
      </c>
    </row>
    <row r="40" s="1" customFormat="1" spans="1:12">
      <c r="A40" s="2">
        <v>1.238</v>
      </c>
      <c r="B40" s="10" t="s">
        <v>52</v>
      </c>
      <c r="C40" s="4">
        <v>1.238</v>
      </c>
      <c r="D40" s="5">
        <v>48.2</v>
      </c>
      <c r="E40" s="4"/>
      <c r="F40" s="4"/>
      <c r="G40" s="2">
        <f t="shared" si="0"/>
        <v>1.204</v>
      </c>
      <c r="H40" s="11" t="str">
        <f t="shared" si="1"/>
        <v>3.372E-2</v>
      </c>
      <c r="I40" s="2">
        <f t="shared" si="5"/>
        <v>47.9</v>
      </c>
      <c r="J40" s="4">
        <f t="shared" si="2"/>
        <v>1.204</v>
      </c>
      <c r="K40" s="9">
        <f t="shared" si="3"/>
        <v>0</v>
      </c>
      <c r="L40" s="1">
        <f t="shared" si="4"/>
        <v>-0.199999999999992</v>
      </c>
    </row>
    <row r="41" s="1" customFormat="1" spans="1:12">
      <c r="A41" s="2">
        <v>1.271</v>
      </c>
      <c r="B41" s="10" t="s">
        <v>51</v>
      </c>
      <c r="C41" s="4">
        <v>1.271</v>
      </c>
      <c r="D41" s="5">
        <v>47.8</v>
      </c>
      <c r="E41" s="4"/>
      <c r="F41" s="4"/>
      <c r="G41" s="2">
        <f t="shared" si="0"/>
        <v>1.238</v>
      </c>
      <c r="H41" s="11" t="str">
        <f t="shared" si="1"/>
        <v>3.372E-2</v>
      </c>
      <c r="I41" s="2">
        <f t="shared" si="5"/>
        <v>47.9</v>
      </c>
      <c r="J41" s="4">
        <f t="shared" si="2"/>
        <v>1.238</v>
      </c>
      <c r="K41" s="9">
        <f t="shared" si="3"/>
        <v>0</v>
      </c>
      <c r="L41" s="1">
        <f t="shared" si="4"/>
        <v>-0.199999999999992</v>
      </c>
    </row>
    <row r="42" s="1" customFormat="1" spans="1:12">
      <c r="A42" s="2">
        <v>1.304</v>
      </c>
      <c r="B42" s="10" t="s">
        <v>51</v>
      </c>
      <c r="C42" s="4">
        <v>1.304</v>
      </c>
      <c r="D42" s="5">
        <v>48</v>
      </c>
      <c r="E42" s="4"/>
      <c r="F42" s="4"/>
      <c r="G42" s="2">
        <f t="shared" si="0"/>
        <v>1.271</v>
      </c>
      <c r="H42" s="11" t="str">
        <f t="shared" si="1"/>
        <v>3.373E-2</v>
      </c>
      <c r="I42" s="2">
        <f t="shared" si="5"/>
        <v>48.2</v>
      </c>
      <c r="J42" s="4">
        <f t="shared" si="2"/>
        <v>1.271</v>
      </c>
      <c r="K42" s="9">
        <f t="shared" si="3"/>
        <v>0.100000000000031</v>
      </c>
      <c r="L42" s="1">
        <f t="shared" si="4"/>
        <v>-0.199999999999992</v>
      </c>
    </row>
    <row r="43" s="1" customFormat="1" spans="1:12">
      <c r="A43" s="2">
        <v>1.338</v>
      </c>
      <c r="B43" s="10" t="s">
        <v>52</v>
      </c>
      <c r="C43" s="4">
        <v>1.338</v>
      </c>
      <c r="D43" s="5">
        <v>48.1</v>
      </c>
      <c r="E43" s="4"/>
      <c r="F43" s="4"/>
      <c r="G43" s="2">
        <f t="shared" si="0"/>
        <v>1.304</v>
      </c>
      <c r="H43" s="11" t="str">
        <f t="shared" si="1"/>
        <v>3.373E-2</v>
      </c>
      <c r="I43" s="2">
        <f t="shared" si="5"/>
        <v>47.8</v>
      </c>
      <c r="J43" s="4">
        <f t="shared" si="2"/>
        <v>1.304</v>
      </c>
      <c r="K43" s="9">
        <f t="shared" si="3"/>
        <v>0.100000000000031</v>
      </c>
      <c r="L43" s="1">
        <f t="shared" si="4"/>
        <v>-0.199999999999992</v>
      </c>
    </row>
    <row r="44" s="1" customFormat="1" spans="1:12">
      <c r="A44" s="2">
        <v>1.371</v>
      </c>
      <c r="B44" s="10" t="s">
        <v>51</v>
      </c>
      <c r="C44" s="4">
        <v>1.371</v>
      </c>
      <c r="D44" s="5">
        <v>48</v>
      </c>
      <c r="E44" s="4"/>
      <c r="F44" s="4"/>
      <c r="G44" s="2">
        <f t="shared" si="0"/>
        <v>1.338</v>
      </c>
      <c r="H44" s="11" t="str">
        <f t="shared" si="1"/>
        <v>3.372E-2</v>
      </c>
      <c r="I44" s="2">
        <f t="shared" si="5"/>
        <v>48</v>
      </c>
      <c r="J44" s="4">
        <f t="shared" si="2"/>
        <v>1.338</v>
      </c>
      <c r="K44" s="9">
        <f t="shared" si="3"/>
        <v>0</v>
      </c>
      <c r="L44" s="1">
        <f t="shared" si="4"/>
        <v>-0.199999999999992</v>
      </c>
    </row>
    <row r="45" s="1" customFormat="1" spans="1:12">
      <c r="A45" s="2">
        <v>1.405</v>
      </c>
      <c r="B45" s="10" t="s">
        <v>51</v>
      </c>
      <c r="C45" s="4">
        <v>1.405</v>
      </c>
      <c r="D45" s="5">
        <v>48.6</v>
      </c>
      <c r="E45" s="4"/>
      <c r="F45" s="4"/>
      <c r="G45" s="2">
        <f t="shared" si="0"/>
        <v>1.371</v>
      </c>
      <c r="H45" s="11" t="str">
        <f t="shared" si="1"/>
        <v>3.373E-2</v>
      </c>
      <c r="I45" s="2">
        <f t="shared" si="5"/>
        <v>48.1</v>
      </c>
      <c r="J45" s="4">
        <f t="shared" si="2"/>
        <v>1.371</v>
      </c>
      <c r="K45" s="9">
        <f t="shared" si="3"/>
        <v>0.100000000000031</v>
      </c>
      <c r="L45" s="1">
        <f t="shared" si="4"/>
        <v>-0.199999999999992</v>
      </c>
    </row>
    <row r="46" s="1" customFormat="1" spans="1:12">
      <c r="A46" s="2">
        <v>1.438</v>
      </c>
      <c r="B46" s="10" t="s">
        <v>52</v>
      </c>
      <c r="C46" s="4">
        <v>1.438</v>
      </c>
      <c r="D46" s="5">
        <v>48.4</v>
      </c>
      <c r="E46" s="4"/>
      <c r="F46" s="4"/>
      <c r="G46" s="2">
        <f t="shared" si="0"/>
        <v>1.405</v>
      </c>
      <c r="H46" s="11" t="str">
        <f t="shared" si="1"/>
        <v>3.373E-2</v>
      </c>
      <c r="I46" s="2">
        <f t="shared" si="5"/>
        <v>48</v>
      </c>
      <c r="J46" s="4">
        <f t="shared" si="2"/>
        <v>1.405</v>
      </c>
      <c r="K46" s="9">
        <f t="shared" si="3"/>
        <v>0.100000000000031</v>
      </c>
      <c r="L46" s="1">
        <f t="shared" si="4"/>
        <v>-0.199999999999992</v>
      </c>
    </row>
    <row r="47" s="1" customFormat="1" spans="1:12">
      <c r="A47" s="2">
        <v>1.472</v>
      </c>
      <c r="B47" s="10" t="s">
        <v>51</v>
      </c>
      <c r="C47" s="4">
        <v>1.472</v>
      </c>
      <c r="D47" s="5">
        <v>48.4</v>
      </c>
      <c r="E47" s="4"/>
      <c r="F47" s="4"/>
      <c r="G47" s="2">
        <f t="shared" si="0"/>
        <v>1.438</v>
      </c>
      <c r="H47" s="11" t="str">
        <f t="shared" si="1"/>
        <v>3.372E-2</v>
      </c>
      <c r="I47" s="2">
        <f t="shared" si="5"/>
        <v>48.6</v>
      </c>
      <c r="J47" s="4">
        <f t="shared" si="2"/>
        <v>1.438</v>
      </c>
      <c r="K47" s="9">
        <f t="shared" si="3"/>
        <v>0</v>
      </c>
      <c r="L47" s="1">
        <f t="shared" si="4"/>
        <v>-0.199999999999992</v>
      </c>
    </row>
    <row r="48" s="1" customFormat="1" spans="1:12">
      <c r="A48" s="2">
        <v>1.505</v>
      </c>
      <c r="B48" s="10" t="s">
        <v>52</v>
      </c>
      <c r="C48" s="4">
        <v>1.505</v>
      </c>
      <c r="D48" s="5">
        <v>48.4</v>
      </c>
      <c r="E48" s="4"/>
      <c r="F48" s="4"/>
      <c r="G48" s="2">
        <f t="shared" si="0"/>
        <v>1.472</v>
      </c>
      <c r="H48" s="11" t="str">
        <f t="shared" si="1"/>
        <v>3.373E-2</v>
      </c>
      <c r="I48" s="2">
        <f t="shared" si="5"/>
        <v>48.4</v>
      </c>
      <c r="J48" s="4">
        <f t="shared" si="2"/>
        <v>1.472</v>
      </c>
      <c r="K48" s="9">
        <f t="shared" si="3"/>
        <v>0.100000000000031</v>
      </c>
      <c r="L48" s="1">
        <f t="shared" si="4"/>
        <v>-0.199999999999992</v>
      </c>
    </row>
    <row r="49" s="1" customFormat="1" spans="1:12">
      <c r="A49" s="2">
        <v>1.539</v>
      </c>
      <c r="B49" s="10" t="s">
        <v>51</v>
      </c>
      <c r="C49" s="4">
        <v>1.539</v>
      </c>
      <c r="D49" s="5">
        <v>48.5</v>
      </c>
      <c r="E49" s="4"/>
      <c r="F49" s="4"/>
      <c r="G49" s="2">
        <f t="shared" si="0"/>
        <v>1.505</v>
      </c>
      <c r="H49" s="11" t="str">
        <f t="shared" si="1"/>
        <v>3.372E-2</v>
      </c>
      <c r="I49" s="2">
        <f t="shared" si="5"/>
        <v>48.4</v>
      </c>
      <c r="J49" s="4">
        <f t="shared" si="2"/>
        <v>1.505</v>
      </c>
      <c r="K49" s="9">
        <f t="shared" si="3"/>
        <v>0</v>
      </c>
      <c r="L49" s="1">
        <f t="shared" si="4"/>
        <v>-0.199999999999992</v>
      </c>
    </row>
    <row r="50" s="1" customFormat="1" spans="1:12">
      <c r="A50" s="2">
        <v>1.572</v>
      </c>
      <c r="B50" s="10" t="s">
        <v>51</v>
      </c>
      <c r="C50" s="4">
        <v>1.572</v>
      </c>
      <c r="D50" s="5">
        <v>48.2</v>
      </c>
      <c r="E50" s="4"/>
      <c r="F50" s="4"/>
      <c r="G50" s="2">
        <f t="shared" si="0"/>
        <v>1.539</v>
      </c>
      <c r="H50" s="11" t="str">
        <f t="shared" si="1"/>
        <v>3.373E-2</v>
      </c>
      <c r="I50" s="2">
        <f t="shared" si="5"/>
        <v>48.4</v>
      </c>
      <c r="J50" s="4">
        <f t="shared" si="2"/>
        <v>1.539</v>
      </c>
      <c r="K50" s="9">
        <f t="shared" si="3"/>
        <v>0.100000000000031</v>
      </c>
      <c r="L50" s="1">
        <f t="shared" si="4"/>
        <v>-0.199999999999992</v>
      </c>
    </row>
    <row r="51" s="1" customFormat="1" spans="1:12">
      <c r="A51" s="2">
        <v>1.605</v>
      </c>
      <c r="B51" s="10" t="s">
        <v>51</v>
      </c>
      <c r="C51" s="4">
        <v>1.605</v>
      </c>
      <c r="D51" s="5">
        <v>48.2</v>
      </c>
      <c r="E51" s="4"/>
      <c r="F51" s="4"/>
      <c r="G51" s="2">
        <f t="shared" si="0"/>
        <v>1.572</v>
      </c>
      <c r="H51" s="11" t="str">
        <f t="shared" si="1"/>
        <v>3.373E-2</v>
      </c>
      <c r="I51" s="2">
        <f t="shared" si="5"/>
        <v>48.5</v>
      </c>
      <c r="J51" s="4">
        <f t="shared" si="2"/>
        <v>1.572</v>
      </c>
      <c r="K51" s="9">
        <f t="shared" si="3"/>
        <v>0.100000000000031</v>
      </c>
      <c r="L51" s="1">
        <f t="shared" si="4"/>
        <v>-0.199999999999992</v>
      </c>
    </row>
    <row r="52" s="1" customFormat="1" spans="1:12">
      <c r="A52" s="2">
        <v>1.639</v>
      </c>
      <c r="B52" s="10" t="s">
        <v>52</v>
      </c>
      <c r="C52" s="4">
        <v>1.639</v>
      </c>
      <c r="D52" s="5">
        <v>48.3</v>
      </c>
      <c r="E52" s="4"/>
      <c r="F52" s="4"/>
      <c r="G52" s="2">
        <f t="shared" si="0"/>
        <v>1.605</v>
      </c>
      <c r="H52" s="11" t="str">
        <f t="shared" si="1"/>
        <v>3.373E-2</v>
      </c>
      <c r="I52" s="2">
        <f t="shared" si="5"/>
        <v>48.2</v>
      </c>
      <c r="J52" s="4">
        <f t="shared" si="2"/>
        <v>1.605</v>
      </c>
      <c r="K52" s="9">
        <f t="shared" si="3"/>
        <v>0.100000000000031</v>
      </c>
      <c r="L52" s="1">
        <f t="shared" si="4"/>
        <v>-0.199999999999992</v>
      </c>
    </row>
    <row r="53" s="1" customFormat="1" spans="1:12">
      <c r="A53" s="2">
        <v>1.672</v>
      </c>
      <c r="B53" s="10" t="s">
        <v>51</v>
      </c>
      <c r="C53" s="4">
        <v>1.672</v>
      </c>
      <c r="D53" s="5">
        <v>48.3</v>
      </c>
      <c r="E53" s="4"/>
      <c r="F53" s="4"/>
      <c r="G53" s="2">
        <f t="shared" si="0"/>
        <v>1.639</v>
      </c>
      <c r="H53" s="11" t="str">
        <f t="shared" si="1"/>
        <v>3.372E-2</v>
      </c>
      <c r="I53" s="2">
        <f t="shared" si="5"/>
        <v>48.2</v>
      </c>
      <c r="J53" s="4">
        <f t="shared" si="2"/>
        <v>1.639</v>
      </c>
      <c r="K53" s="9">
        <f t="shared" si="3"/>
        <v>0</v>
      </c>
      <c r="L53" s="1">
        <f t="shared" si="4"/>
        <v>-0.199999999999992</v>
      </c>
    </row>
    <row r="54" s="1" customFormat="1" spans="1:12">
      <c r="A54" s="2">
        <v>1.706</v>
      </c>
      <c r="B54" s="10" t="s">
        <v>52</v>
      </c>
      <c r="C54" s="4">
        <v>1.706</v>
      </c>
      <c r="D54" s="5">
        <v>48.1</v>
      </c>
      <c r="E54" s="4"/>
      <c r="F54" s="4"/>
      <c r="G54" s="2">
        <f t="shared" si="0"/>
        <v>1.672</v>
      </c>
      <c r="H54" s="11" t="str">
        <f t="shared" si="1"/>
        <v>3.373E-2</v>
      </c>
      <c r="I54" s="2">
        <f t="shared" si="5"/>
        <v>48.3</v>
      </c>
      <c r="J54" s="4">
        <f t="shared" si="2"/>
        <v>1.672</v>
      </c>
      <c r="K54" s="9">
        <f t="shared" si="3"/>
        <v>0.100000000000031</v>
      </c>
      <c r="L54" s="1">
        <f t="shared" si="4"/>
        <v>-0.199999999999992</v>
      </c>
    </row>
    <row r="55" s="1" customFormat="1" spans="1:12">
      <c r="A55" s="2">
        <v>1.739</v>
      </c>
      <c r="B55" s="10" t="s">
        <v>51</v>
      </c>
      <c r="C55" s="4">
        <v>1.739</v>
      </c>
      <c r="D55" s="5">
        <v>48</v>
      </c>
      <c r="E55" s="4"/>
      <c r="F55" s="4"/>
      <c r="G55" s="2">
        <f t="shared" si="0"/>
        <v>1.706</v>
      </c>
      <c r="H55" s="11" t="str">
        <f t="shared" si="1"/>
        <v>3.372E-2</v>
      </c>
      <c r="I55" s="2">
        <f t="shared" si="5"/>
        <v>48.3</v>
      </c>
      <c r="J55" s="4">
        <f t="shared" si="2"/>
        <v>1.706</v>
      </c>
      <c r="K55" s="9">
        <f t="shared" si="3"/>
        <v>0</v>
      </c>
      <c r="L55" s="1">
        <f t="shared" si="4"/>
        <v>-0.199999999999992</v>
      </c>
    </row>
    <row r="56" s="1" customFormat="1" spans="1:12">
      <c r="A56" s="2">
        <v>1.773</v>
      </c>
      <c r="B56" s="10" t="s">
        <v>51</v>
      </c>
      <c r="C56" s="4">
        <v>1.773</v>
      </c>
      <c r="D56" s="5">
        <v>48.3</v>
      </c>
      <c r="E56" s="4"/>
      <c r="F56" s="4"/>
      <c r="G56" s="2">
        <f t="shared" si="0"/>
        <v>1.739</v>
      </c>
      <c r="H56" s="11" t="str">
        <f t="shared" si="1"/>
        <v>3.373E-2</v>
      </c>
      <c r="I56" s="2">
        <f t="shared" si="5"/>
        <v>48.1</v>
      </c>
      <c r="J56" s="4">
        <f t="shared" si="2"/>
        <v>1.739</v>
      </c>
      <c r="K56" s="9">
        <f t="shared" si="3"/>
        <v>0.100000000000031</v>
      </c>
      <c r="L56" s="1">
        <f t="shared" si="4"/>
        <v>-0.199999999999992</v>
      </c>
    </row>
    <row r="57" s="1" customFormat="1" spans="1:12">
      <c r="A57" s="2">
        <v>1.806</v>
      </c>
      <c r="B57" s="10" t="s">
        <v>52</v>
      </c>
      <c r="C57" s="4">
        <v>1.806</v>
      </c>
      <c r="D57" s="5">
        <v>47.8</v>
      </c>
      <c r="E57" s="4"/>
      <c r="F57" s="4"/>
      <c r="G57" s="2">
        <f t="shared" si="0"/>
        <v>1.773</v>
      </c>
      <c r="H57" s="11" t="str">
        <f t="shared" si="1"/>
        <v>3.373E-2</v>
      </c>
      <c r="I57" s="2">
        <f t="shared" si="5"/>
        <v>48</v>
      </c>
      <c r="J57" s="4">
        <f t="shared" si="2"/>
        <v>1.773</v>
      </c>
      <c r="K57" s="9">
        <f t="shared" si="3"/>
        <v>0.100000000000031</v>
      </c>
      <c r="L57" s="1">
        <f t="shared" si="4"/>
        <v>-0.199999999999992</v>
      </c>
    </row>
    <row r="58" s="1" customFormat="1" spans="1:12">
      <c r="A58" s="2">
        <v>1.84</v>
      </c>
      <c r="B58" s="10" t="s">
        <v>51</v>
      </c>
      <c r="C58" s="4">
        <v>1.84</v>
      </c>
      <c r="D58" s="5">
        <v>48.3</v>
      </c>
      <c r="E58" s="4"/>
      <c r="F58" s="4"/>
      <c r="G58" s="2">
        <f t="shared" si="0"/>
        <v>1.806</v>
      </c>
      <c r="H58" s="11" t="str">
        <f t="shared" si="1"/>
        <v>3.372E-2</v>
      </c>
      <c r="I58" s="2">
        <f t="shared" si="5"/>
        <v>48.3</v>
      </c>
      <c r="J58" s="4">
        <f t="shared" si="2"/>
        <v>1.806</v>
      </c>
      <c r="K58" s="9">
        <f t="shared" si="3"/>
        <v>0</v>
      </c>
      <c r="L58" s="1">
        <f t="shared" si="4"/>
        <v>-0.199999999999992</v>
      </c>
    </row>
    <row r="59" s="1" customFormat="1" spans="1:12">
      <c r="A59" s="2">
        <v>1.873</v>
      </c>
      <c r="B59" s="10" t="s">
        <v>52</v>
      </c>
      <c r="C59" s="4">
        <v>1.873</v>
      </c>
      <c r="D59" s="5">
        <v>48</v>
      </c>
      <c r="E59" s="4"/>
      <c r="F59" s="4"/>
      <c r="G59" s="2">
        <f t="shared" si="0"/>
        <v>1.84</v>
      </c>
      <c r="H59" s="11" t="str">
        <f t="shared" si="1"/>
        <v>3.373E-2</v>
      </c>
      <c r="I59" s="2">
        <f t="shared" si="5"/>
        <v>47.8</v>
      </c>
      <c r="J59" s="4">
        <f t="shared" si="2"/>
        <v>1.84</v>
      </c>
      <c r="K59" s="9">
        <f t="shared" si="3"/>
        <v>0.100000000000031</v>
      </c>
      <c r="L59" s="1">
        <f t="shared" si="4"/>
        <v>-0.199999999999992</v>
      </c>
    </row>
    <row r="60" s="1" customFormat="1" spans="1:12">
      <c r="A60" s="2">
        <v>1.906</v>
      </c>
      <c r="B60" s="10" t="s">
        <v>52</v>
      </c>
      <c r="C60" s="4">
        <v>1.906</v>
      </c>
      <c r="D60" s="5">
        <v>48.3</v>
      </c>
      <c r="E60" s="4"/>
      <c r="F60" s="4"/>
      <c r="G60" s="2">
        <f t="shared" si="0"/>
        <v>1.873</v>
      </c>
      <c r="H60" s="11" t="str">
        <f t="shared" si="1"/>
        <v>3.372E-2</v>
      </c>
      <c r="I60" s="2">
        <f t="shared" si="5"/>
        <v>48.3</v>
      </c>
      <c r="J60" s="4">
        <f t="shared" si="2"/>
        <v>1.873</v>
      </c>
      <c r="K60" s="9">
        <f t="shared" si="3"/>
        <v>0</v>
      </c>
      <c r="L60" s="1">
        <f t="shared" si="4"/>
        <v>-0.199999999999992</v>
      </c>
    </row>
    <row r="61" s="1" customFormat="1" spans="1:12">
      <c r="A61" s="2">
        <v>1.94</v>
      </c>
      <c r="B61" s="10" t="s">
        <v>52</v>
      </c>
      <c r="C61" s="4">
        <v>1.94</v>
      </c>
      <c r="D61" s="5">
        <v>47.7</v>
      </c>
      <c r="E61" s="4"/>
      <c r="F61" s="4"/>
      <c r="G61" s="2">
        <f t="shared" si="0"/>
        <v>1.906</v>
      </c>
      <c r="H61" s="11" t="str">
        <f t="shared" si="1"/>
        <v>3.372E-2</v>
      </c>
      <c r="I61" s="2">
        <f t="shared" si="5"/>
        <v>48</v>
      </c>
      <c r="J61" s="4">
        <f t="shared" si="2"/>
        <v>1.906</v>
      </c>
      <c r="K61" s="9">
        <f t="shared" si="3"/>
        <v>0</v>
      </c>
      <c r="L61" s="1">
        <f t="shared" si="4"/>
        <v>-0.199999999999992</v>
      </c>
    </row>
    <row r="62" s="1" customFormat="1" spans="1:12">
      <c r="A62" s="2">
        <v>1.973</v>
      </c>
      <c r="B62" s="10" t="s">
        <v>52</v>
      </c>
      <c r="C62" s="4">
        <v>1.973</v>
      </c>
      <c r="D62" s="5">
        <v>48.7</v>
      </c>
      <c r="E62" s="4"/>
      <c r="F62" s="4"/>
      <c r="G62" s="2">
        <f t="shared" si="0"/>
        <v>1.94</v>
      </c>
      <c r="H62" s="11" t="str">
        <f t="shared" si="1"/>
        <v>3.372E-2</v>
      </c>
      <c r="I62" s="2">
        <f t="shared" si="5"/>
        <v>48.3</v>
      </c>
      <c r="J62" s="4">
        <f t="shared" si="2"/>
        <v>1.94</v>
      </c>
      <c r="K62" s="9">
        <f t="shared" si="3"/>
        <v>0</v>
      </c>
      <c r="L62" s="1">
        <f t="shared" si="4"/>
        <v>-0.199999999999992</v>
      </c>
    </row>
    <row r="63" s="1" customFormat="1" spans="1:12">
      <c r="A63" s="2">
        <v>2.007</v>
      </c>
      <c r="B63" s="10" t="s">
        <v>52</v>
      </c>
      <c r="C63" s="4">
        <v>2.007</v>
      </c>
      <c r="D63" s="5">
        <v>48.3</v>
      </c>
      <c r="E63" s="4"/>
      <c r="F63" s="4"/>
      <c r="G63" s="2">
        <f t="shared" si="0"/>
        <v>1.973</v>
      </c>
      <c r="H63" s="11" t="str">
        <f t="shared" si="1"/>
        <v>3.372E-2</v>
      </c>
      <c r="I63" s="2">
        <f t="shared" si="5"/>
        <v>47.7</v>
      </c>
      <c r="J63" s="4">
        <f t="shared" si="2"/>
        <v>1.973</v>
      </c>
      <c r="K63" s="9">
        <f t="shared" si="3"/>
        <v>0</v>
      </c>
      <c r="L63" s="1">
        <f t="shared" si="4"/>
        <v>-0.199999999999992</v>
      </c>
    </row>
    <row r="64" s="1" customFormat="1" spans="1:12">
      <c r="A64" s="2">
        <v>2.04</v>
      </c>
      <c r="B64" s="10" t="s">
        <v>52</v>
      </c>
      <c r="C64" s="4">
        <v>2.04</v>
      </c>
      <c r="D64" s="5">
        <v>48.3</v>
      </c>
      <c r="E64" s="4"/>
      <c r="F64" s="4"/>
      <c r="G64" s="2">
        <f t="shared" si="0"/>
        <v>2.007</v>
      </c>
      <c r="H64" s="11" t="str">
        <f t="shared" si="1"/>
        <v>3.372E-2</v>
      </c>
      <c r="I64" s="2">
        <f t="shared" si="5"/>
        <v>48.7</v>
      </c>
      <c r="J64" s="4">
        <f t="shared" si="2"/>
        <v>2.007</v>
      </c>
      <c r="K64" s="9">
        <f t="shared" si="3"/>
        <v>0</v>
      </c>
      <c r="L64" s="1">
        <f t="shared" si="4"/>
        <v>-0.199999999999992</v>
      </c>
    </row>
    <row r="65" s="1" customFormat="1" spans="1:12">
      <c r="A65" s="2">
        <v>2.074</v>
      </c>
      <c r="B65" s="10" t="s">
        <v>52</v>
      </c>
      <c r="C65" s="4">
        <v>2.074</v>
      </c>
      <c r="D65" s="5">
        <v>48.2</v>
      </c>
      <c r="E65" s="4"/>
      <c r="F65" s="4"/>
      <c r="G65" s="2">
        <f t="shared" si="0"/>
        <v>2.04</v>
      </c>
      <c r="H65" s="11" t="str">
        <f t="shared" si="1"/>
        <v>3.372E-2</v>
      </c>
      <c r="I65" s="2">
        <f t="shared" si="5"/>
        <v>48.3</v>
      </c>
      <c r="J65" s="4">
        <f t="shared" si="2"/>
        <v>2.04</v>
      </c>
      <c r="K65" s="9">
        <f t="shared" si="3"/>
        <v>0</v>
      </c>
      <c r="L65" s="1">
        <f t="shared" si="4"/>
        <v>-0.199999999999992</v>
      </c>
    </row>
    <row r="66" s="1" customFormat="1" spans="1:12">
      <c r="A66" s="2">
        <v>2.107</v>
      </c>
      <c r="B66" s="10" t="s">
        <v>52</v>
      </c>
      <c r="C66" s="4">
        <v>2.107</v>
      </c>
      <c r="D66" s="5">
        <v>48.1</v>
      </c>
      <c r="E66" s="4"/>
      <c r="F66" s="4"/>
      <c r="G66" s="2">
        <f t="shared" si="0"/>
        <v>2.074</v>
      </c>
      <c r="H66" s="11" t="str">
        <f t="shared" si="1"/>
        <v>3.372E-2</v>
      </c>
      <c r="I66" s="2">
        <f t="shared" si="5"/>
        <v>48.3</v>
      </c>
      <c r="J66" s="4">
        <f t="shared" si="2"/>
        <v>2.074</v>
      </c>
      <c r="K66" s="9">
        <f t="shared" si="3"/>
        <v>0</v>
      </c>
      <c r="L66" s="1">
        <f t="shared" si="4"/>
        <v>-0.199999999999992</v>
      </c>
    </row>
    <row r="67" s="1" customFormat="1" spans="1:12">
      <c r="A67" s="2">
        <v>2.141</v>
      </c>
      <c r="B67" s="10" t="s">
        <v>52</v>
      </c>
      <c r="C67" s="4">
        <v>2.141</v>
      </c>
      <c r="D67" s="5">
        <v>48.6</v>
      </c>
      <c r="E67" s="4"/>
      <c r="F67" s="4"/>
      <c r="G67" s="2">
        <f t="shared" si="0"/>
        <v>2.107</v>
      </c>
      <c r="H67" s="11" t="str">
        <f t="shared" si="1"/>
        <v>3.372E-2</v>
      </c>
      <c r="I67" s="2">
        <f t="shared" si="5"/>
        <v>48.2</v>
      </c>
      <c r="J67" s="4">
        <f t="shared" si="2"/>
        <v>2.107</v>
      </c>
      <c r="K67" s="9">
        <f t="shared" si="3"/>
        <v>0</v>
      </c>
      <c r="L67" s="1">
        <f t="shared" si="4"/>
        <v>-0.199999999999992</v>
      </c>
    </row>
    <row r="68" s="1" customFormat="1" spans="1:12">
      <c r="A68" s="2">
        <v>2.174</v>
      </c>
      <c r="B68" s="10" t="s">
        <v>52</v>
      </c>
      <c r="C68" s="4">
        <v>2.174</v>
      </c>
      <c r="D68" s="5">
        <v>48</v>
      </c>
      <c r="E68" s="4"/>
      <c r="F68" s="4"/>
      <c r="G68" s="2">
        <f t="shared" ref="G68:G131" si="6">A67</f>
        <v>2.141</v>
      </c>
      <c r="H68" s="11" t="str">
        <f t="shared" ref="H68:H131" si="7">B67</f>
        <v>3.372E-2</v>
      </c>
      <c r="I68" s="2">
        <f t="shared" si="5"/>
        <v>48.1</v>
      </c>
      <c r="J68" s="4">
        <f t="shared" ref="J68:J131" si="8">G68</f>
        <v>2.141</v>
      </c>
      <c r="K68" s="9">
        <f t="shared" ref="K68:K131" si="9">(H68-$H$4)*10000</f>
        <v>0</v>
      </c>
      <c r="L68" s="1">
        <f t="shared" ref="L68:L131" si="10">IF(I68&lt;230,MIN(K:K),MAX(K:K))</f>
        <v>-0.199999999999992</v>
      </c>
    </row>
    <row r="69" s="1" customFormat="1" spans="1:12">
      <c r="A69" s="2">
        <v>2.208</v>
      </c>
      <c r="B69" s="10" t="s">
        <v>247</v>
      </c>
      <c r="C69" s="4">
        <v>2.208</v>
      </c>
      <c r="D69" s="5">
        <v>48.2</v>
      </c>
      <c r="E69" s="4"/>
      <c r="F69" s="4"/>
      <c r="G69" s="2">
        <f t="shared" si="6"/>
        <v>2.174</v>
      </c>
      <c r="H69" s="11" t="str">
        <f t="shared" si="7"/>
        <v>3.372E-2</v>
      </c>
      <c r="I69" s="2">
        <f t="shared" ref="I69:I132" si="11">D67</f>
        <v>48.6</v>
      </c>
      <c r="J69" s="4">
        <f t="shared" si="8"/>
        <v>2.174</v>
      </c>
      <c r="K69" s="9">
        <f t="shared" si="9"/>
        <v>0</v>
      </c>
      <c r="L69" s="1">
        <f t="shared" si="10"/>
        <v>-0.199999999999992</v>
      </c>
    </row>
    <row r="70" s="1" customFormat="1" spans="1:12">
      <c r="A70" s="2">
        <v>2.241</v>
      </c>
      <c r="B70" s="10" t="s">
        <v>52</v>
      </c>
      <c r="C70" s="4">
        <v>2.241</v>
      </c>
      <c r="D70" s="5">
        <v>47.4</v>
      </c>
      <c r="E70" s="4"/>
      <c r="F70" s="4"/>
      <c r="G70" s="2">
        <f t="shared" si="6"/>
        <v>2.208</v>
      </c>
      <c r="H70" s="11" t="str">
        <f t="shared" si="7"/>
        <v>3.371E-2</v>
      </c>
      <c r="I70" s="2">
        <f t="shared" si="11"/>
        <v>48</v>
      </c>
      <c r="J70" s="4">
        <f t="shared" si="8"/>
        <v>2.208</v>
      </c>
      <c r="K70" s="9">
        <f t="shared" si="9"/>
        <v>-0.100000000000031</v>
      </c>
      <c r="L70" s="1">
        <f t="shared" si="10"/>
        <v>-0.199999999999992</v>
      </c>
    </row>
    <row r="71" s="1" customFormat="1" spans="1:12">
      <c r="A71" s="2">
        <v>2.274</v>
      </c>
      <c r="B71" s="10" t="s">
        <v>247</v>
      </c>
      <c r="C71" s="4">
        <v>2.274</v>
      </c>
      <c r="D71" s="5">
        <v>105.2</v>
      </c>
      <c r="E71" s="4"/>
      <c r="F71" s="4"/>
      <c r="G71" s="2">
        <f t="shared" si="6"/>
        <v>2.241</v>
      </c>
      <c r="H71" s="11" t="str">
        <f t="shared" si="7"/>
        <v>3.372E-2</v>
      </c>
      <c r="I71" s="2">
        <f t="shared" si="11"/>
        <v>48.2</v>
      </c>
      <c r="J71" s="4">
        <f t="shared" si="8"/>
        <v>2.241</v>
      </c>
      <c r="K71" s="9">
        <f t="shared" si="9"/>
        <v>0</v>
      </c>
      <c r="L71" s="1">
        <f t="shared" si="10"/>
        <v>-0.199999999999992</v>
      </c>
    </row>
    <row r="72" s="1" customFormat="1" spans="1:12">
      <c r="A72" s="2">
        <v>2.308</v>
      </c>
      <c r="B72" s="10" t="s">
        <v>247</v>
      </c>
      <c r="C72" s="4">
        <v>2.308</v>
      </c>
      <c r="D72" s="5">
        <v>253.8</v>
      </c>
      <c r="E72" s="4"/>
      <c r="F72" s="4"/>
      <c r="G72" s="2">
        <f t="shared" si="6"/>
        <v>2.274</v>
      </c>
      <c r="H72" s="11" t="str">
        <f t="shared" si="7"/>
        <v>3.371E-2</v>
      </c>
      <c r="I72" s="2">
        <f t="shared" si="11"/>
        <v>47.4</v>
      </c>
      <c r="J72" s="4">
        <f t="shared" si="8"/>
        <v>2.274</v>
      </c>
      <c r="K72" s="9">
        <f t="shared" si="9"/>
        <v>-0.100000000000031</v>
      </c>
      <c r="L72" s="1">
        <f t="shared" si="10"/>
        <v>-0.199999999999992</v>
      </c>
    </row>
    <row r="73" s="1" customFormat="1" spans="1:12">
      <c r="A73" s="2">
        <v>2.341</v>
      </c>
      <c r="B73" s="10" t="s">
        <v>247</v>
      </c>
      <c r="C73" s="4">
        <v>2.341</v>
      </c>
      <c r="D73" s="5">
        <v>253.8</v>
      </c>
      <c r="E73" s="4"/>
      <c r="F73" s="4"/>
      <c r="G73" s="2">
        <f t="shared" si="6"/>
        <v>2.308</v>
      </c>
      <c r="H73" s="11" t="str">
        <f t="shared" si="7"/>
        <v>3.371E-2</v>
      </c>
      <c r="I73" s="2">
        <f t="shared" si="11"/>
        <v>105.2</v>
      </c>
      <c r="J73" s="4">
        <f t="shared" si="8"/>
        <v>2.308</v>
      </c>
      <c r="K73" s="9">
        <f t="shared" si="9"/>
        <v>-0.100000000000031</v>
      </c>
      <c r="L73" s="1">
        <f t="shared" si="10"/>
        <v>-0.199999999999992</v>
      </c>
    </row>
    <row r="74" s="1" customFormat="1" spans="1:12">
      <c r="A74" s="2">
        <v>2.375</v>
      </c>
      <c r="B74" s="10" t="s">
        <v>247</v>
      </c>
      <c r="C74" s="4">
        <v>2.375</v>
      </c>
      <c r="D74" s="5">
        <v>253.8</v>
      </c>
      <c r="E74" s="4"/>
      <c r="F74" s="4"/>
      <c r="G74" s="2">
        <f t="shared" si="6"/>
        <v>2.341</v>
      </c>
      <c r="H74" s="11" t="str">
        <f t="shared" si="7"/>
        <v>3.371E-2</v>
      </c>
      <c r="I74" s="2">
        <f t="shared" si="11"/>
        <v>253.8</v>
      </c>
      <c r="J74" s="4">
        <f t="shared" si="8"/>
        <v>2.341</v>
      </c>
      <c r="K74" s="9">
        <f t="shared" si="9"/>
        <v>-0.100000000000031</v>
      </c>
      <c r="L74" s="1">
        <f t="shared" si="10"/>
        <v>12.5</v>
      </c>
    </row>
    <row r="75" s="1" customFormat="1" spans="1:12">
      <c r="A75" s="2">
        <v>2.408</v>
      </c>
      <c r="B75" s="10" t="s">
        <v>247</v>
      </c>
      <c r="C75" s="4">
        <v>2.408</v>
      </c>
      <c r="D75" s="5">
        <v>253.8</v>
      </c>
      <c r="E75" s="4"/>
      <c r="F75" s="4"/>
      <c r="G75" s="2">
        <f t="shared" si="6"/>
        <v>2.375</v>
      </c>
      <c r="H75" s="11" t="str">
        <f t="shared" si="7"/>
        <v>3.371E-2</v>
      </c>
      <c r="I75" s="2">
        <f t="shared" si="11"/>
        <v>253.8</v>
      </c>
      <c r="J75" s="4">
        <f t="shared" si="8"/>
        <v>2.375</v>
      </c>
      <c r="K75" s="9">
        <f t="shared" si="9"/>
        <v>-0.100000000000031</v>
      </c>
      <c r="L75" s="1">
        <f t="shared" si="10"/>
        <v>12.5</v>
      </c>
    </row>
    <row r="76" s="1" customFormat="1" spans="1:12">
      <c r="A76" s="2">
        <v>2.442</v>
      </c>
      <c r="B76" s="10" t="s">
        <v>52</v>
      </c>
      <c r="C76" s="4">
        <v>2.442</v>
      </c>
      <c r="D76" s="5">
        <v>253.8</v>
      </c>
      <c r="E76" s="4"/>
      <c r="F76" s="4"/>
      <c r="G76" s="2">
        <f t="shared" si="6"/>
        <v>2.408</v>
      </c>
      <c r="H76" s="11" t="str">
        <f t="shared" si="7"/>
        <v>3.371E-2</v>
      </c>
      <c r="I76" s="2">
        <f t="shared" si="11"/>
        <v>253.8</v>
      </c>
      <c r="J76" s="4">
        <f t="shared" si="8"/>
        <v>2.408</v>
      </c>
      <c r="K76" s="9">
        <f t="shared" si="9"/>
        <v>-0.100000000000031</v>
      </c>
      <c r="L76" s="1">
        <f t="shared" si="10"/>
        <v>12.5</v>
      </c>
    </row>
    <row r="77" s="1" customFormat="1" spans="1:12">
      <c r="A77" s="2">
        <v>2.475</v>
      </c>
      <c r="B77" s="10" t="s">
        <v>240</v>
      </c>
      <c r="C77" s="4">
        <v>2.475</v>
      </c>
      <c r="D77" s="5">
        <v>253.8</v>
      </c>
      <c r="E77" s="4"/>
      <c r="F77" s="4"/>
      <c r="G77" s="2">
        <f t="shared" si="6"/>
        <v>2.442</v>
      </c>
      <c r="H77" s="11" t="str">
        <f t="shared" si="7"/>
        <v>3.372E-2</v>
      </c>
      <c r="I77" s="2">
        <f t="shared" si="11"/>
        <v>253.8</v>
      </c>
      <c r="J77" s="4">
        <f t="shared" si="8"/>
        <v>2.442</v>
      </c>
      <c r="K77" s="9">
        <f t="shared" si="9"/>
        <v>0</v>
      </c>
      <c r="L77" s="1">
        <f t="shared" si="10"/>
        <v>12.5</v>
      </c>
    </row>
    <row r="78" s="1" customFormat="1" spans="1:12">
      <c r="A78" s="2">
        <v>2.509</v>
      </c>
      <c r="B78" s="10" t="s">
        <v>240</v>
      </c>
      <c r="C78" s="4">
        <v>2.509</v>
      </c>
      <c r="D78" s="5">
        <v>253.8</v>
      </c>
      <c r="E78" s="4"/>
      <c r="F78" s="4"/>
      <c r="G78" s="2">
        <f t="shared" si="6"/>
        <v>2.475</v>
      </c>
      <c r="H78" s="11" t="str">
        <f t="shared" si="7"/>
        <v>3.370E-2</v>
      </c>
      <c r="I78" s="2">
        <f t="shared" si="11"/>
        <v>253.8</v>
      </c>
      <c r="J78" s="4">
        <f t="shared" si="8"/>
        <v>2.475</v>
      </c>
      <c r="K78" s="9">
        <f t="shared" si="9"/>
        <v>-0.199999999999992</v>
      </c>
      <c r="L78" s="1">
        <f t="shared" si="10"/>
        <v>12.5</v>
      </c>
    </row>
    <row r="79" s="1" customFormat="1" spans="1:12">
      <c r="A79" s="2">
        <v>2.542</v>
      </c>
      <c r="B79" s="10" t="s">
        <v>247</v>
      </c>
      <c r="C79" s="4">
        <v>2.542</v>
      </c>
      <c r="D79" s="5">
        <v>253.8</v>
      </c>
      <c r="E79" s="4"/>
      <c r="F79" s="4"/>
      <c r="G79" s="2">
        <f t="shared" si="6"/>
        <v>2.509</v>
      </c>
      <c r="H79" s="11" t="str">
        <f t="shared" si="7"/>
        <v>3.370E-2</v>
      </c>
      <c r="I79" s="2">
        <f t="shared" si="11"/>
        <v>253.8</v>
      </c>
      <c r="J79" s="4">
        <f t="shared" si="8"/>
        <v>2.509</v>
      </c>
      <c r="K79" s="9">
        <f t="shared" si="9"/>
        <v>-0.199999999999992</v>
      </c>
      <c r="L79" s="1">
        <f t="shared" si="10"/>
        <v>12.5</v>
      </c>
    </row>
    <row r="80" s="1" customFormat="1" spans="1:12">
      <c r="A80" s="2">
        <v>2.575</v>
      </c>
      <c r="B80" s="10" t="s">
        <v>240</v>
      </c>
      <c r="C80" s="4">
        <v>2.575</v>
      </c>
      <c r="D80" s="5">
        <v>253.8</v>
      </c>
      <c r="E80" s="4"/>
      <c r="F80" s="4"/>
      <c r="G80" s="2">
        <f t="shared" si="6"/>
        <v>2.542</v>
      </c>
      <c r="H80" s="11" t="str">
        <f t="shared" si="7"/>
        <v>3.371E-2</v>
      </c>
      <c r="I80" s="2">
        <f t="shared" si="11"/>
        <v>253.8</v>
      </c>
      <c r="J80" s="4">
        <f t="shared" si="8"/>
        <v>2.542</v>
      </c>
      <c r="K80" s="9">
        <f t="shared" si="9"/>
        <v>-0.100000000000031</v>
      </c>
      <c r="L80" s="1">
        <f t="shared" si="10"/>
        <v>12.5</v>
      </c>
    </row>
    <row r="81" s="1" customFormat="1" spans="1:12">
      <c r="A81" s="2">
        <v>2.609</v>
      </c>
      <c r="B81" s="10" t="s">
        <v>240</v>
      </c>
      <c r="C81" s="4">
        <v>2.609</v>
      </c>
      <c r="D81" s="5">
        <v>253.8</v>
      </c>
      <c r="E81" s="4"/>
      <c r="F81" s="4"/>
      <c r="G81" s="2">
        <f t="shared" si="6"/>
        <v>2.575</v>
      </c>
      <c r="H81" s="11" t="str">
        <f t="shared" si="7"/>
        <v>3.370E-2</v>
      </c>
      <c r="I81" s="2">
        <f t="shared" si="11"/>
        <v>253.8</v>
      </c>
      <c r="J81" s="4">
        <f t="shared" si="8"/>
        <v>2.575</v>
      </c>
      <c r="K81" s="9">
        <f t="shared" si="9"/>
        <v>-0.199999999999992</v>
      </c>
      <c r="L81" s="1">
        <f t="shared" si="10"/>
        <v>12.5</v>
      </c>
    </row>
    <row r="82" s="1" customFormat="1" spans="1:12">
      <c r="A82" s="2">
        <v>2.642</v>
      </c>
      <c r="B82" s="10" t="s">
        <v>247</v>
      </c>
      <c r="C82" s="4">
        <v>2.642</v>
      </c>
      <c r="D82" s="5">
        <v>253.8</v>
      </c>
      <c r="E82" s="4"/>
      <c r="F82" s="4"/>
      <c r="G82" s="2">
        <f t="shared" si="6"/>
        <v>2.609</v>
      </c>
      <c r="H82" s="11" t="str">
        <f t="shared" si="7"/>
        <v>3.370E-2</v>
      </c>
      <c r="I82" s="2">
        <f t="shared" si="11"/>
        <v>253.8</v>
      </c>
      <c r="J82" s="4">
        <f t="shared" si="8"/>
        <v>2.609</v>
      </c>
      <c r="K82" s="9">
        <f t="shared" si="9"/>
        <v>-0.199999999999992</v>
      </c>
      <c r="L82" s="1">
        <f t="shared" si="10"/>
        <v>12.5</v>
      </c>
    </row>
    <row r="83" s="1" customFormat="1" spans="1:12">
      <c r="A83" s="2">
        <v>2.676</v>
      </c>
      <c r="B83" s="10" t="s">
        <v>52</v>
      </c>
      <c r="C83" s="4">
        <v>2.676</v>
      </c>
      <c r="D83" s="5">
        <v>253.7</v>
      </c>
      <c r="E83" s="4"/>
      <c r="F83" s="4"/>
      <c r="G83" s="2">
        <f t="shared" si="6"/>
        <v>2.642</v>
      </c>
      <c r="H83" s="11" t="str">
        <f t="shared" si="7"/>
        <v>3.371E-2</v>
      </c>
      <c r="I83" s="2">
        <f t="shared" si="11"/>
        <v>253.8</v>
      </c>
      <c r="J83" s="4">
        <f t="shared" si="8"/>
        <v>2.642</v>
      </c>
      <c r="K83" s="9">
        <f t="shared" si="9"/>
        <v>-0.100000000000031</v>
      </c>
      <c r="L83" s="1">
        <f t="shared" si="10"/>
        <v>12.5</v>
      </c>
    </row>
    <row r="84" s="1" customFormat="1" spans="1:12">
      <c r="A84" s="2">
        <v>2.709</v>
      </c>
      <c r="B84" s="10" t="s">
        <v>51</v>
      </c>
      <c r="C84" s="4">
        <v>2.709</v>
      </c>
      <c r="D84" s="5">
        <v>233</v>
      </c>
      <c r="E84" s="4"/>
      <c r="F84" s="4"/>
      <c r="G84" s="2">
        <f t="shared" si="6"/>
        <v>2.676</v>
      </c>
      <c r="H84" s="11" t="str">
        <f t="shared" si="7"/>
        <v>3.372E-2</v>
      </c>
      <c r="I84" s="2">
        <f t="shared" si="11"/>
        <v>253.8</v>
      </c>
      <c r="J84" s="4">
        <f t="shared" si="8"/>
        <v>2.676</v>
      </c>
      <c r="K84" s="9">
        <f t="shared" si="9"/>
        <v>0</v>
      </c>
      <c r="L84" s="1">
        <f t="shared" si="10"/>
        <v>12.5</v>
      </c>
    </row>
    <row r="85" s="1" customFormat="1" spans="1:12">
      <c r="A85" s="2">
        <v>2.743</v>
      </c>
      <c r="B85" s="10" t="s">
        <v>246</v>
      </c>
      <c r="C85" s="4">
        <v>2.743</v>
      </c>
      <c r="D85" s="5">
        <v>46.3</v>
      </c>
      <c r="E85" s="4"/>
      <c r="F85" s="4"/>
      <c r="G85" s="2">
        <f t="shared" si="6"/>
        <v>2.709</v>
      </c>
      <c r="H85" s="11" t="str">
        <f t="shared" si="7"/>
        <v>3.373E-2</v>
      </c>
      <c r="I85" s="2">
        <f t="shared" si="11"/>
        <v>253.7</v>
      </c>
      <c r="J85" s="4">
        <f t="shared" si="8"/>
        <v>2.709</v>
      </c>
      <c r="K85" s="9">
        <f t="shared" si="9"/>
        <v>0.100000000000031</v>
      </c>
      <c r="L85" s="1">
        <f t="shared" si="10"/>
        <v>12.5</v>
      </c>
    </row>
    <row r="86" s="1" customFormat="1" spans="1:12">
      <c r="A86" s="2">
        <v>2.776</v>
      </c>
      <c r="B86" s="10" t="s">
        <v>53</v>
      </c>
      <c r="C86" s="4">
        <v>2.776</v>
      </c>
      <c r="D86" s="5">
        <v>47.5</v>
      </c>
      <c r="E86" s="4"/>
      <c r="F86" s="4"/>
      <c r="G86" s="2">
        <f t="shared" si="6"/>
        <v>2.743</v>
      </c>
      <c r="H86" s="11" t="str">
        <f t="shared" si="7"/>
        <v>3.374E-2</v>
      </c>
      <c r="I86" s="2">
        <f t="shared" si="11"/>
        <v>233</v>
      </c>
      <c r="J86" s="4">
        <f t="shared" si="8"/>
        <v>2.743</v>
      </c>
      <c r="K86" s="9">
        <f t="shared" si="9"/>
        <v>0.199999999999992</v>
      </c>
      <c r="L86" s="1">
        <f t="shared" si="10"/>
        <v>12.5</v>
      </c>
    </row>
    <row r="87" s="1" customFormat="1" spans="1:12">
      <c r="A87" s="2">
        <v>2.81</v>
      </c>
      <c r="B87" s="10" t="s">
        <v>50</v>
      </c>
      <c r="C87" s="4">
        <v>2.81</v>
      </c>
      <c r="D87" s="5">
        <v>46.6</v>
      </c>
      <c r="E87" s="4"/>
      <c r="F87" s="4"/>
      <c r="G87" s="2">
        <f t="shared" si="6"/>
        <v>2.776</v>
      </c>
      <c r="H87" s="11" t="str">
        <f t="shared" si="7"/>
        <v>3.375E-2</v>
      </c>
      <c r="I87" s="2">
        <f t="shared" si="11"/>
        <v>46.3</v>
      </c>
      <c r="J87" s="4">
        <f t="shared" si="8"/>
        <v>2.776</v>
      </c>
      <c r="K87" s="9">
        <f t="shared" si="9"/>
        <v>0.300000000000022</v>
      </c>
      <c r="L87" s="1">
        <f t="shared" si="10"/>
        <v>-0.199999999999992</v>
      </c>
    </row>
    <row r="88" s="1" customFormat="1" spans="1:12">
      <c r="A88" s="2">
        <v>2.843</v>
      </c>
      <c r="B88" s="10" t="s">
        <v>248</v>
      </c>
      <c r="C88" s="4">
        <v>2.843</v>
      </c>
      <c r="D88" s="5">
        <v>46.8</v>
      </c>
      <c r="E88" s="4"/>
      <c r="F88" s="4"/>
      <c r="G88" s="2">
        <f t="shared" si="6"/>
        <v>2.81</v>
      </c>
      <c r="H88" s="11" t="str">
        <f t="shared" si="7"/>
        <v>3.377E-2</v>
      </c>
      <c r="I88" s="2">
        <f t="shared" si="11"/>
        <v>47.5</v>
      </c>
      <c r="J88" s="4">
        <f t="shared" si="8"/>
        <v>2.81</v>
      </c>
      <c r="K88" s="9">
        <f t="shared" si="9"/>
        <v>0.500000000000014</v>
      </c>
      <c r="L88" s="1">
        <f t="shared" si="10"/>
        <v>-0.199999999999992</v>
      </c>
    </row>
    <row r="89" s="1" customFormat="1" spans="1:12">
      <c r="A89" s="2">
        <v>2.876</v>
      </c>
      <c r="B89" s="10" t="s">
        <v>253</v>
      </c>
      <c r="C89" s="4">
        <v>2.876</v>
      </c>
      <c r="D89" s="5">
        <v>46.7</v>
      </c>
      <c r="E89" s="4"/>
      <c r="F89" s="4"/>
      <c r="G89" s="2">
        <f t="shared" si="6"/>
        <v>2.843</v>
      </c>
      <c r="H89" s="11" t="str">
        <f t="shared" si="7"/>
        <v>3.381E-2</v>
      </c>
      <c r="I89" s="2">
        <f t="shared" si="11"/>
        <v>46.6</v>
      </c>
      <c r="J89" s="4">
        <f t="shared" si="8"/>
        <v>2.843</v>
      </c>
      <c r="K89" s="9">
        <f t="shared" si="9"/>
        <v>0.899999999999998</v>
      </c>
      <c r="L89" s="1">
        <f t="shared" si="10"/>
        <v>-0.199999999999992</v>
      </c>
    </row>
    <row r="90" s="1" customFormat="1" spans="1:12">
      <c r="A90" s="2">
        <v>2.91</v>
      </c>
      <c r="B90" s="10" t="s">
        <v>85</v>
      </c>
      <c r="C90" s="4">
        <v>2.91</v>
      </c>
      <c r="D90" s="5">
        <v>46.8</v>
      </c>
      <c r="E90" s="4"/>
      <c r="F90" s="4"/>
      <c r="G90" s="2">
        <f t="shared" si="6"/>
        <v>2.876</v>
      </c>
      <c r="H90" s="11" t="str">
        <f t="shared" si="7"/>
        <v>3.385E-2</v>
      </c>
      <c r="I90" s="2">
        <f t="shared" si="11"/>
        <v>46.8</v>
      </c>
      <c r="J90" s="4">
        <f t="shared" si="8"/>
        <v>2.876</v>
      </c>
      <c r="K90" s="9">
        <f t="shared" si="9"/>
        <v>1.29999999999998</v>
      </c>
      <c r="L90" s="1">
        <f t="shared" si="10"/>
        <v>-0.199999999999992</v>
      </c>
    </row>
    <row r="91" s="1" customFormat="1" spans="1:12">
      <c r="A91" s="2">
        <v>2.943</v>
      </c>
      <c r="B91" s="10" t="s">
        <v>83</v>
      </c>
      <c r="C91" s="4">
        <v>2.943</v>
      </c>
      <c r="D91" s="5">
        <v>46.7</v>
      </c>
      <c r="E91" s="4"/>
      <c r="F91" s="4"/>
      <c r="G91" s="2">
        <f t="shared" si="6"/>
        <v>2.91</v>
      </c>
      <c r="H91" s="11" t="str">
        <f t="shared" si="7"/>
        <v>3.388E-2</v>
      </c>
      <c r="I91" s="2">
        <f t="shared" si="11"/>
        <v>46.7</v>
      </c>
      <c r="J91" s="4">
        <f t="shared" si="8"/>
        <v>2.91</v>
      </c>
      <c r="K91" s="9">
        <f t="shared" si="9"/>
        <v>1.6</v>
      </c>
      <c r="L91" s="1">
        <f t="shared" si="10"/>
        <v>-0.199999999999992</v>
      </c>
    </row>
    <row r="92" s="1" customFormat="1" spans="1:12">
      <c r="A92" s="2">
        <v>2.977</v>
      </c>
      <c r="B92" s="10" t="s">
        <v>277</v>
      </c>
      <c r="C92" s="4">
        <v>2.977</v>
      </c>
      <c r="D92" s="5">
        <v>45.9</v>
      </c>
      <c r="E92" s="4"/>
      <c r="F92" s="4"/>
      <c r="G92" s="2">
        <f t="shared" si="6"/>
        <v>2.943</v>
      </c>
      <c r="H92" s="11" t="str">
        <f t="shared" si="7"/>
        <v>3.400E-2</v>
      </c>
      <c r="I92" s="2">
        <f t="shared" si="11"/>
        <v>46.8</v>
      </c>
      <c r="J92" s="4">
        <f t="shared" si="8"/>
        <v>2.943</v>
      </c>
      <c r="K92" s="9">
        <f t="shared" si="9"/>
        <v>2.80000000000002</v>
      </c>
      <c r="L92" s="1">
        <f t="shared" si="10"/>
        <v>-0.199999999999992</v>
      </c>
    </row>
    <row r="93" s="1" customFormat="1" spans="1:12">
      <c r="A93" s="2">
        <v>3.01</v>
      </c>
      <c r="B93" s="10" t="s">
        <v>45</v>
      </c>
      <c r="C93" s="4">
        <v>3.01</v>
      </c>
      <c r="D93" s="5">
        <v>46.2</v>
      </c>
      <c r="E93" s="4"/>
      <c r="F93" s="4"/>
      <c r="G93" s="2">
        <f t="shared" si="6"/>
        <v>2.977</v>
      </c>
      <c r="H93" s="11" t="str">
        <f t="shared" si="7"/>
        <v>3.408E-2</v>
      </c>
      <c r="I93" s="2">
        <f t="shared" si="11"/>
        <v>46.7</v>
      </c>
      <c r="J93" s="4">
        <f t="shared" si="8"/>
        <v>2.977</v>
      </c>
      <c r="K93" s="9">
        <f t="shared" si="9"/>
        <v>3.59999999999999</v>
      </c>
      <c r="L93" s="1">
        <f t="shared" si="10"/>
        <v>-0.199999999999992</v>
      </c>
    </row>
    <row r="94" s="1" customFormat="1" spans="1:12">
      <c r="A94" s="2">
        <v>3.044</v>
      </c>
      <c r="B94" s="10" t="s">
        <v>242</v>
      </c>
      <c r="C94" s="4">
        <v>3.044</v>
      </c>
      <c r="D94" s="5">
        <v>46.7</v>
      </c>
      <c r="E94" s="4"/>
      <c r="F94" s="4"/>
      <c r="G94" s="2">
        <f t="shared" si="6"/>
        <v>3.01</v>
      </c>
      <c r="H94" s="11" t="str">
        <f t="shared" si="7"/>
        <v>3.415E-2</v>
      </c>
      <c r="I94" s="2">
        <f t="shared" si="11"/>
        <v>45.9</v>
      </c>
      <c r="J94" s="4">
        <f t="shared" si="8"/>
        <v>3.01</v>
      </c>
      <c r="K94" s="9">
        <f t="shared" si="9"/>
        <v>4.3</v>
      </c>
      <c r="L94" s="1">
        <f t="shared" si="10"/>
        <v>-0.199999999999992</v>
      </c>
    </row>
    <row r="95" s="1" customFormat="1" spans="1:12">
      <c r="A95" s="2">
        <v>3.077</v>
      </c>
      <c r="B95" s="10" t="s">
        <v>13</v>
      </c>
      <c r="C95" s="4">
        <v>3.077</v>
      </c>
      <c r="D95" s="5">
        <v>46.4</v>
      </c>
      <c r="E95" s="4"/>
      <c r="F95" s="4"/>
      <c r="G95" s="2">
        <f t="shared" si="6"/>
        <v>3.044</v>
      </c>
      <c r="H95" s="11" t="str">
        <f t="shared" si="7"/>
        <v>3.421E-2</v>
      </c>
      <c r="I95" s="2">
        <f t="shared" si="11"/>
        <v>46.2</v>
      </c>
      <c r="J95" s="4">
        <f t="shared" si="8"/>
        <v>3.044</v>
      </c>
      <c r="K95" s="9">
        <f t="shared" si="9"/>
        <v>4.89999999999997</v>
      </c>
      <c r="L95" s="1">
        <f t="shared" si="10"/>
        <v>-0.199999999999992</v>
      </c>
    </row>
    <row r="96" s="1" customFormat="1" spans="1:12">
      <c r="A96" s="2">
        <v>3.111</v>
      </c>
      <c r="B96" s="10" t="s">
        <v>236</v>
      </c>
      <c r="C96" s="4">
        <v>3.111</v>
      </c>
      <c r="D96" s="5">
        <v>253.8</v>
      </c>
      <c r="E96" s="4"/>
      <c r="F96" s="4"/>
      <c r="G96" s="2">
        <f t="shared" si="6"/>
        <v>3.077</v>
      </c>
      <c r="H96" s="11" t="str">
        <f t="shared" si="7"/>
        <v>3.431E-2</v>
      </c>
      <c r="I96" s="2">
        <f t="shared" si="11"/>
        <v>46.7</v>
      </c>
      <c r="J96" s="4">
        <f t="shared" si="8"/>
        <v>3.077</v>
      </c>
      <c r="K96" s="9">
        <f t="shared" si="9"/>
        <v>5.9</v>
      </c>
      <c r="L96" s="1">
        <f t="shared" si="10"/>
        <v>-0.199999999999992</v>
      </c>
    </row>
    <row r="97" s="1" customFormat="1" spans="1:12">
      <c r="A97" s="2">
        <v>3.144</v>
      </c>
      <c r="B97" s="10" t="s">
        <v>23</v>
      </c>
      <c r="C97" s="4">
        <v>3.144</v>
      </c>
      <c r="D97" s="5">
        <v>253.8</v>
      </c>
      <c r="E97" s="4"/>
      <c r="F97" s="4"/>
      <c r="G97" s="2">
        <f t="shared" si="6"/>
        <v>3.111</v>
      </c>
      <c r="H97" s="11" t="str">
        <f t="shared" si="7"/>
        <v>3.438E-2</v>
      </c>
      <c r="I97" s="2">
        <f t="shared" si="11"/>
        <v>46.4</v>
      </c>
      <c r="J97" s="4">
        <f t="shared" si="8"/>
        <v>3.111</v>
      </c>
      <c r="K97" s="9">
        <f t="shared" si="9"/>
        <v>6.60000000000001</v>
      </c>
      <c r="L97" s="1">
        <f t="shared" si="10"/>
        <v>-0.199999999999992</v>
      </c>
    </row>
    <row r="98" s="1" customFormat="1" spans="1:12">
      <c r="A98" s="2">
        <v>3.177</v>
      </c>
      <c r="B98" s="10" t="s">
        <v>141</v>
      </c>
      <c r="C98" s="4">
        <v>3.177</v>
      </c>
      <c r="D98" s="5">
        <v>253.8</v>
      </c>
      <c r="E98" s="4"/>
      <c r="F98" s="4"/>
      <c r="G98" s="2">
        <f t="shared" si="6"/>
        <v>3.144</v>
      </c>
      <c r="H98" s="11" t="str">
        <f t="shared" si="7"/>
        <v>3.442E-2</v>
      </c>
      <c r="I98" s="2">
        <f t="shared" si="11"/>
        <v>253.8</v>
      </c>
      <c r="J98" s="4">
        <f t="shared" si="8"/>
        <v>3.144</v>
      </c>
      <c r="K98" s="9">
        <f t="shared" si="9"/>
        <v>6.99999999999999</v>
      </c>
      <c r="L98" s="1">
        <f t="shared" si="10"/>
        <v>12.5</v>
      </c>
    </row>
    <row r="99" s="1" customFormat="1" spans="1:12">
      <c r="A99" s="2">
        <v>3.211</v>
      </c>
      <c r="B99" s="10" t="s">
        <v>141</v>
      </c>
      <c r="C99" s="4">
        <v>3.211</v>
      </c>
      <c r="D99" s="5">
        <v>253.8</v>
      </c>
      <c r="E99" s="4"/>
      <c r="F99" s="4"/>
      <c r="G99" s="2">
        <f t="shared" si="6"/>
        <v>3.177</v>
      </c>
      <c r="H99" s="11" t="str">
        <f t="shared" si="7"/>
        <v>3.444E-2</v>
      </c>
      <c r="I99" s="2">
        <f t="shared" si="11"/>
        <v>253.8</v>
      </c>
      <c r="J99" s="4">
        <f t="shared" si="8"/>
        <v>3.177</v>
      </c>
      <c r="K99" s="9">
        <f t="shared" si="9"/>
        <v>7.19999999999998</v>
      </c>
      <c r="L99" s="1">
        <f t="shared" si="10"/>
        <v>12.5</v>
      </c>
    </row>
    <row r="100" s="1" customFormat="1" spans="1:12">
      <c r="A100" s="2">
        <v>3.244</v>
      </c>
      <c r="B100" s="10" t="s">
        <v>222</v>
      </c>
      <c r="C100" s="4">
        <v>3.244</v>
      </c>
      <c r="D100" s="5">
        <v>253.8</v>
      </c>
      <c r="E100" s="4"/>
      <c r="F100" s="4"/>
      <c r="G100" s="2">
        <f t="shared" si="6"/>
        <v>3.211</v>
      </c>
      <c r="H100" s="11" t="str">
        <f t="shared" si="7"/>
        <v>3.444E-2</v>
      </c>
      <c r="I100" s="2">
        <f t="shared" si="11"/>
        <v>253.8</v>
      </c>
      <c r="J100" s="4">
        <f t="shared" si="8"/>
        <v>3.211</v>
      </c>
      <c r="K100" s="9">
        <f t="shared" si="9"/>
        <v>7.19999999999998</v>
      </c>
      <c r="L100" s="1">
        <f t="shared" si="10"/>
        <v>12.5</v>
      </c>
    </row>
    <row r="101" s="1" customFormat="1" spans="1:12">
      <c r="A101" s="2">
        <v>3.278</v>
      </c>
      <c r="B101" s="10" t="s">
        <v>43</v>
      </c>
      <c r="C101" s="4">
        <v>3.278</v>
      </c>
      <c r="D101" s="5">
        <v>253.8</v>
      </c>
      <c r="E101" s="4"/>
      <c r="F101" s="4"/>
      <c r="G101" s="2">
        <f t="shared" si="6"/>
        <v>3.244</v>
      </c>
      <c r="H101" s="11" t="str">
        <f t="shared" si="7"/>
        <v>3.443E-2</v>
      </c>
      <c r="I101" s="2">
        <f t="shared" si="11"/>
        <v>253.8</v>
      </c>
      <c r="J101" s="4">
        <f t="shared" si="8"/>
        <v>3.244</v>
      </c>
      <c r="K101" s="9">
        <f t="shared" si="9"/>
        <v>7.10000000000002</v>
      </c>
      <c r="L101" s="1">
        <f t="shared" si="10"/>
        <v>12.5</v>
      </c>
    </row>
    <row r="102" s="1" customFormat="1" spans="1:12">
      <c r="A102" s="2">
        <v>3.311</v>
      </c>
      <c r="B102" s="10" t="s">
        <v>22</v>
      </c>
      <c r="C102" s="4">
        <v>3.311</v>
      </c>
      <c r="D102" s="5">
        <v>253.8</v>
      </c>
      <c r="E102" s="4"/>
      <c r="F102" s="4"/>
      <c r="G102" s="2">
        <f t="shared" si="6"/>
        <v>3.278</v>
      </c>
      <c r="H102" s="11" t="str">
        <f t="shared" si="7"/>
        <v>3.441E-2</v>
      </c>
      <c r="I102" s="2">
        <f t="shared" si="11"/>
        <v>253.8</v>
      </c>
      <c r="J102" s="4">
        <f t="shared" si="8"/>
        <v>3.278</v>
      </c>
      <c r="K102" s="9">
        <f t="shared" si="9"/>
        <v>6.90000000000003</v>
      </c>
      <c r="L102" s="1">
        <f t="shared" si="10"/>
        <v>12.5</v>
      </c>
    </row>
    <row r="103" s="1" customFormat="1" spans="1:12">
      <c r="A103" s="2">
        <v>3.345</v>
      </c>
      <c r="B103" s="10" t="s">
        <v>143</v>
      </c>
      <c r="C103" s="4">
        <v>3.345</v>
      </c>
      <c r="D103" s="5">
        <v>253.8</v>
      </c>
      <c r="E103" s="4"/>
      <c r="F103" s="4"/>
      <c r="G103" s="2">
        <f t="shared" si="6"/>
        <v>3.311</v>
      </c>
      <c r="H103" s="11" t="str">
        <f t="shared" si="7"/>
        <v>3.439E-2</v>
      </c>
      <c r="I103" s="2">
        <f t="shared" si="11"/>
        <v>253.8</v>
      </c>
      <c r="J103" s="4">
        <f t="shared" si="8"/>
        <v>3.311</v>
      </c>
      <c r="K103" s="9">
        <f t="shared" si="9"/>
        <v>6.69999999999997</v>
      </c>
      <c r="L103" s="1">
        <f t="shared" si="10"/>
        <v>12.5</v>
      </c>
    </row>
    <row r="104" s="1" customFormat="1" spans="1:12">
      <c r="A104" s="2">
        <v>3.378</v>
      </c>
      <c r="B104" s="10" t="s">
        <v>9</v>
      </c>
      <c r="C104" s="4">
        <v>3.378</v>
      </c>
      <c r="D104" s="5">
        <v>253.8</v>
      </c>
      <c r="E104" s="4"/>
      <c r="F104" s="4"/>
      <c r="G104" s="2">
        <f t="shared" si="6"/>
        <v>3.345</v>
      </c>
      <c r="H104" s="11" t="str">
        <f t="shared" si="7"/>
        <v>3.436E-2</v>
      </c>
      <c r="I104" s="2">
        <f t="shared" si="11"/>
        <v>253.8</v>
      </c>
      <c r="J104" s="4">
        <f t="shared" si="8"/>
        <v>3.345</v>
      </c>
      <c r="K104" s="9">
        <f t="shared" si="9"/>
        <v>6.40000000000002</v>
      </c>
      <c r="L104" s="1">
        <f t="shared" si="10"/>
        <v>12.5</v>
      </c>
    </row>
    <row r="105" s="1" customFormat="1" spans="1:12">
      <c r="A105" s="2">
        <v>3.412</v>
      </c>
      <c r="B105" s="10" t="s">
        <v>13</v>
      </c>
      <c r="C105" s="4">
        <v>3.412</v>
      </c>
      <c r="D105" s="5">
        <v>253.8</v>
      </c>
      <c r="E105" s="4"/>
      <c r="F105" s="4"/>
      <c r="G105" s="2">
        <f t="shared" si="6"/>
        <v>3.378</v>
      </c>
      <c r="H105" s="11" t="str">
        <f t="shared" si="7"/>
        <v>3.433E-2</v>
      </c>
      <c r="I105" s="2">
        <f t="shared" si="11"/>
        <v>253.8</v>
      </c>
      <c r="J105" s="4">
        <f t="shared" si="8"/>
        <v>3.378</v>
      </c>
      <c r="K105" s="9">
        <f t="shared" si="9"/>
        <v>6.09999999999999</v>
      </c>
      <c r="L105" s="1">
        <f t="shared" si="10"/>
        <v>12.5</v>
      </c>
    </row>
    <row r="106" s="1" customFormat="1" spans="1:12">
      <c r="A106" s="2">
        <v>3.445</v>
      </c>
      <c r="B106" s="10" t="s">
        <v>19</v>
      </c>
      <c r="C106" s="4">
        <v>3.445</v>
      </c>
      <c r="D106" s="5">
        <v>253.8</v>
      </c>
      <c r="E106" s="4"/>
      <c r="F106" s="4"/>
      <c r="G106" s="2">
        <f t="shared" si="6"/>
        <v>3.412</v>
      </c>
      <c r="H106" s="11" t="str">
        <f t="shared" si="7"/>
        <v>3.431E-2</v>
      </c>
      <c r="I106" s="2">
        <f t="shared" si="11"/>
        <v>253.8</v>
      </c>
      <c r="J106" s="4">
        <f t="shared" si="8"/>
        <v>3.412</v>
      </c>
      <c r="K106" s="9">
        <f t="shared" si="9"/>
        <v>5.9</v>
      </c>
      <c r="L106" s="1">
        <f t="shared" si="10"/>
        <v>12.5</v>
      </c>
    </row>
    <row r="107" s="1" customFormat="1" spans="1:12">
      <c r="A107" s="2">
        <v>3.478</v>
      </c>
      <c r="B107" s="10" t="s">
        <v>16</v>
      </c>
      <c r="C107" s="4">
        <v>3.478</v>
      </c>
      <c r="D107" s="5">
        <v>253.8</v>
      </c>
      <c r="E107" s="4"/>
      <c r="F107" s="4"/>
      <c r="G107" s="2">
        <f t="shared" si="6"/>
        <v>3.445</v>
      </c>
      <c r="H107" s="11" t="str">
        <f t="shared" si="7"/>
        <v>3.428E-2</v>
      </c>
      <c r="I107" s="2">
        <f t="shared" si="11"/>
        <v>253.8</v>
      </c>
      <c r="J107" s="4">
        <f t="shared" si="8"/>
        <v>3.445</v>
      </c>
      <c r="K107" s="9">
        <f t="shared" si="9"/>
        <v>5.59999999999998</v>
      </c>
      <c r="L107" s="1">
        <f t="shared" si="10"/>
        <v>12.5</v>
      </c>
    </row>
    <row r="108" s="1" customFormat="1" spans="1:12">
      <c r="A108" s="2">
        <v>3.512</v>
      </c>
      <c r="B108" s="10" t="s">
        <v>17</v>
      </c>
      <c r="C108" s="4">
        <v>3.512</v>
      </c>
      <c r="D108" s="5">
        <v>244.8</v>
      </c>
      <c r="E108" s="4"/>
      <c r="F108" s="4"/>
      <c r="G108" s="2">
        <f t="shared" si="6"/>
        <v>3.478</v>
      </c>
      <c r="H108" s="11" t="str">
        <f t="shared" si="7"/>
        <v>3.426E-2</v>
      </c>
      <c r="I108" s="2">
        <f t="shared" si="11"/>
        <v>253.8</v>
      </c>
      <c r="J108" s="4">
        <f t="shared" si="8"/>
        <v>3.478</v>
      </c>
      <c r="K108" s="9">
        <f t="shared" si="9"/>
        <v>5.39999999999999</v>
      </c>
      <c r="L108" s="1">
        <f t="shared" si="10"/>
        <v>12.5</v>
      </c>
    </row>
    <row r="109" s="1" customFormat="1" spans="1:12">
      <c r="A109" s="2">
        <v>3.545</v>
      </c>
      <c r="B109" s="10" t="s">
        <v>142</v>
      </c>
      <c r="C109" s="4">
        <v>3.545</v>
      </c>
      <c r="D109" s="5">
        <v>46.7</v>
      </c>
      <c r="E109" s="4"/>
      <c r="F109" s="4"/>
      <c r="G109" s="2">
        <f t="shared" si="6"/>
        <v>3.512</v>
      </c>
      <c r="H109" s="11" t="str">
        <f t="shared" si="7"/>
        <v>3.423E-2</v>
      </c>
      <c r="I109" s="2">
        <f t="shared" si="11"/>
        <v>253.8</v>
      </c>
      <c r="J109" s="4">
        <f t="shared" si="8"/>
        <v>3.512</v>
      </c>
      <c r="K109" s="9">
        <f t="shared" si="9"/>
        <v>5.09999999999997</v>
      </c>
      <c r="L109" s="1">
        <f t="shared" si="10"/>
        <v>12.5</v>
      </c>
    </row>
    <row r="110" s="1" customFormat="1" spans="1:12">
      <c r="A110" s="2">
        <v>3.579</v>
      </c>
      <c r="B110" s="10" t="s">
        <v>45</v>
      </c>
      <c r="C110" s="4">
        <v>3.579</v>
      </c>
      <c r="D110" s="5">
        <v>46.2</v>
      </c>
      <c r="E110" s="4"/>
      <c r="F110" s="4"/>
      <c r="G110" s="2">
        <f t="shared" si="6"/>
        <v>3.545</v>
      </c>
      <c r="H110" s="11" t="str">
        <f t="shared" si="7"/>
        <v>3.418E-2</v>
      </c>
      <c r="I110" s="2">
        <f t="shared" si="11"/>
        <v>244.8</v>
      </c>
      <c r="J110" s="4">
        <f t="shared" si="8"/>
        <v>3.545</v>
      </c>
      <c r="K110" s="9">
        <f t="shared" si="9"/>
        <v>4.60000000000002</v>
      </c>
      <c r="L110" s="1">
        <f t="shared" si="10"/>
        <v>12.5</v>
      </c>
    </row>
    <row r="111" s="1" customFormat="1" spans="1:12">
      <c r="A111" s="2">
        <v>3.612</v>
      </c>
      <c r="B111" s="10" t="s">
        <v>234</v>
      </c>
      <c r="C111" s="4">
        <v>3.612</v>
      </c>
      <c r="D111" s="5">
        <v>46.4</v>
      </c>
      <c r="E111" s="4"/>
      <c r="F111" s="4"/>
      <c r="G111" s="2">
        <f t="shared" si="6"/>
        <v>3.579</v>
      </c>
      <c r="H111" s="11" t="str">
        <f t="shared" si="7"/>
        <v>3.415E-2</v>
      </c>
      <c r="I111" s="2">
        <f t="shared" si="11"/>
        <v>46.7</v>
      </c>
      <c r="J111" s="4">
        <f t="shared" si="8"/>
        <v>3.579</v>
      </c>
      <c r="K111" s="9">
        <f t="shared" si="9"/>
        <v>4.3</v>
      </c>
      <c r="L111" s="1">
        <f t="shared" si="10"/>
        <v>-0.199999999999992</v>
      </c>
    </row>
    <row r="112" s="1" customFormat="1" spans="1:12">
      <c r="A112" s="2">
        <v>3.646</v>
      </c>
      <c r="B112" s="10" t="s">
        <v>233</v>
      </c>
      <c r="C112" s="4">
        <v>3.646</v>
      </c>
      <c r="D112" s="5">
        <v>46.3</v>
      </c>
      <c r="E112" s="4"/>
      <c r="F112" s="4"/>
      <c r="G112" s="2">
        <f t="shared" si="6"/>
        <v>3.612</v>
      </c>
      <c r="H112" s="11" t="str">
        <f t="shared" si="7"/>
        <v>3.404E-2</v>
      </c>
      <c r="I112" s="2">
        <f t="shared" si="11"/>
        <v>46.2</v>
      </c>
      <c r="J112" s="4">
        <f t="shared" si="8"/>
        <v>3.612</v>
      </c>
      <c r="K112" s="9">
        <f t="shared" si="9"/>
        <v>3.20000000000001</v>
      </c>
      <c r="L112" s="1">
        <f t="shared" si="10"/>
        <v>-0.199999999999992</v>
      </c>
    </row>
    <row r="113" s="1" customFormat="1" spans="1:12">
      <c r="A113" s="2">
        <v>3.679</v>
      </c>
      <c r="B113" s="10" t="s">
        <v>484</v>
      </c>
      <c r="C113" s="4">
        <v>3.679</v>
      </c>
      <c r="D113" s="5">
        <v>46</v>
      </c>
      <c r="E113" s="4"/>
      <c r="F113" s="4"/>
      <c r="G113" s="2">
        <f t="shared" si="6"/>
        <v>3.646</v>
      </c>
      <c r="H113" s="11" t="str">
        <f t="shared" si="7"/>
        <v>3.399E-2</v>
      </c>
      <c r="I113" s="2">
        <f t="shared" si="11"/>
        <v>46.4</v>
      </c>
      <c r="J113" s="4">
        <f t="shared" si="8"/>
        <v>3.646</v>
      </c>
      <c r="K113" s="9">
        <f t="shared" si="9"/>
        <v>2.69999999999999</v>
      </c>
      <c r="L113" s="1">
        <f t="shared" si="10"/>
        <v>-0.199999999999992</v>
      </c>
    </row>
    <row r="114" s="1" customFormat="1" spans="1:12">
      <c r="A114" s="2">
        <v>3.713</v>
      </c>
      <c r="B114" s="10" t="s">
        <v>111</v>
      </c>
      <c r="C114" s="4">
        <v>3.713</v>
      </c>
      <c r="D114" s="5">
        <v>46.5</v>
      </c>
      <c r="E114" s="4"/>
      <c r="F114" s="4"/>
      <c r="G114" s="2">
        <f t="shared" si="6"/>
        <v>3.679</v>
      </c>
      <c r="H114" s="11" t="str">
        <f t="shared" si="7"/>
        <v>3.397E-2</v>
      </c>
      <c r="I114" s="2">
        <f t="shared" si="11"/>
        <v>46.3</v>
      </c>
      <c r="J114" s="4">
        <f t="shared" si="8"/>
        <v>3.679</v>
      </c>
      <c r="K114" s="9">
        <f t="shared" si="9"/>
        <v>2.5</v>
      </c>
      <c r="L114" s="1">
        <f t="shared" si="10"/>
        <v>-0.199999999999992</v>
      </c>
    </row>
    <row r="115" s="1" customFormat="1" spans="1:12">
      <c r="A115" s="2">
        <v>3.746</v>
      </c>
      <c r="B115" s="10" t="s">
        <v>115</v>
      </c>
      <c r="C115" s="4">
        <v>3.746</v>
      </c>
      <c r="D115" s="5">
        <v>46.5</v>
      </c>
      <c r="E115" s="4"/>
      <c r="F115" s="4"/>
      <c r="G115" s="2">
        <f t="shared" si="6"/>
        <v>3.713</v>
      </c>
      <c r="H115" s="11" t="str">
        <f t="shared" si="7"/>
        <v>3.395E-2</v>
      </c>
      <c r="I115" s="2">
        <f t="shared" si="11"/>
        <v>46</v>
      </c>
      <c r="J115" s="4">
        <f t="shared" si="8"/>
        <v>3.713</v>
      </c>
      <c r="K115" s="9">
        <f t="shared" si="9"/>
        <v>2.30000000000001</v>
      </c>
      <c r="L115" s="1">
        <f t="shared" si="10"/>
        <v>-0.199999999999992</v>
      </c>
    </row>
    <row r="116" s="1" customFormat="1" spans="1:12">
      <c r="A116" s="2">
        <v>3.78</v>
      </c>
      <c r="B116" s="10" t="s">
        <v>115</v>
      </c>
      <c r="C116" s="4">
        <v>3.78</v>
      </c>
      <c r="D116" s="5">
        <v>46.1</v>
      </c>
      <c r="E116" s="4"/>
      <c r="F116" s="4"/>
      <c r="G116" s="2">
        <f t="shared" si="6"/>
        <v>3.746</v>
      </c>
      <c r="H116" s="11" t="str">
        <f t="shared" si="7"/>
        <v>3.396E-2</v>
      </c>
      <c r="I116" s="2">
        <f t="shared" si="11"/>
        <v>46.5</v>
      </c>
      <c r="J116" s="4">
        <f t="shared" si="8"/>
        <v>3.746</v>
      </c>
      <c r="K116" s="9">
        <f t="shared" si="9"/>
        <v>2.39999999999997</v>
      </c>
      <c r="L116" s="1">
        <f t="shared" si="10"/>
        <v>-0.199999999999992</v>
      </c>
    </row>
    <row r="117" s="1" customFormat="1" spans="1:12">
      <c r="A117" s="2">
        <v>3.813</v>
      </c>
      <c r="B117" s="10" t="s">
        <v>484</v>
      </c>
      <c r="C117" s="4">
        <v>3.813</v>
      </c>
      <c r="D117" s="5">
        <v>46.6</v>
      </c>
      <c r="E117" s="4"/>
      <c r="F117" s="4"/>
      <c r="G117" s="2">
        <f t="shared" si="6"/>
        <v>3.78</v>
      </c>
      <c r="H117" s="11" t="str">
        <f t="shared" si="7"/>
        <v>3.396E-2</v>
      </c>
      <c r="I117" s="2">
        <f t="shared" si="11"/>
        <v>46.5</v>
      </c>
      <c r="J117" s="4">
        <f t="shared" si="8"/>
        <v>3.78</v>
      </c>
      <c r="K117" s="9">
        <f t="shared" si="9"/>
        <v>2.39999999999997</v>
      </c>
      <c r="L117" s="1">
        <f t="shared" si="10"/>
        <v>-0.199999999999992</v>
      </c>
    </row>
    <row r="118" s="1" customFormat="1" spans="1:12">
      <c r="A118" s="2">
        <v>3.846</v>
      </c>
      <c r="B118" s="10" t="s">
        <v>83</v>
      </c>
      <c r="C118" s="4">
        <v>3.846</v>
      </c>
      <c r="D118" s="5">
        <v>46.4</v>
      </c>
      <c r="E118" s="4"/>
      <c r="F118" s="4"/>
      <c r="G118" s="2">
        <f t="shared" si="6"/>
        <v>3.813</v>
      </c>
      <c r="H118" s="11" t="str">
        <f t="shared" si="7"/>
        <v>3.397E-2</v>
      </c>
      <c r="I118" s="2">
        <f t="shared" si="11"/>
        <v>46.1</v>
      </c>
      <c r="J118" s="4">
        <f t="shared" si="8"/>
        <v>3.813</v>
      </c>
      <c r="K118" s="9">
        <f t="shared" si="9"/>
        <v>2.5</v>
      </c>
      <c r="L118" s="1">
        <f t="shared" si="10"/>
        <v>-0.199999999999992</v>
      </c>
    </row>
    <row r="119" s="1" customFormat="1" spans="1:12">
      <c r="A119" s="2">
        <v>3.88</v>
      </c>
      <c r="B119" s="10" t="s">
        <v>56</v>
      </c>
      <c r="C119" s="4">
        <v>3.88</v>
      </c>
      <c r="D119" s="5">
        <v>46.2</v>
      </c>
      <c r="E119" s="4"/>
      <c r="F119" s="4"/>
      <c r="G119" s="2">
        <f t="shared" si="6"/>
        <v>3.846</v>
      </c>
      <c r="H119" s="11" t="str">
        <f t="shared" si="7"/>
        <v>3.400E-2</v>
      </c>
      <c r="I119" s="2">
        <f t="shared" si="11"/>
        <v>46.6</v>
      </c>
      <c r="J119" s="4">
        <f t="shared" si="8"/>
        <v>3.846</v>
      </c>
      <c r="K119" s="9">
        <f t="shared" si="9"/>
        <v>2.80000000000002</v>
      </c>
      <c r="L119" s="1">
        <f t="shared" si="10"/>
        <v>-0.199999999999992</v>
      </c>
    </row>
    <row r="120" s="1" customFormat="1" spans="1:12">
      <c r="A120" s="2">
        <v>3.913</v>
      </c>
      <c r="B120" s="10" t="s">
        <v>234</v>
      </c>
      <c r="C120" s="4">
        <v>3.913</v>
      </c>
      <c r="D120" s="5">
        <v>243.4</v>
      </c>
      <c r="E120" s="4"/>
      <c r="F120" s="4"/>
      <c r="G120" s="2">
        <f t="shared" si="6"/>
        <v>3.88</v>
      </c>
      <c r="H120" s="11" t="str">
        <f t="shared" si="7"/>
        <v>3.402E-2</v>
      </c>
      <c r="I120" s="2">
        <f t="shared" si="11"/>
        <v>46.4</v>
      </c>
      <c r="J120" s="4">
        <f t="shared" si="8"/>
        <v>3.88</v>
      </c>
      <c r="K120" s="9">
        <f t="shared" si="9"/>
        <v>3.00000000000002</v>
      </c>
      <c r="L120" s="1">
        <f t="shared" si="10"/>
        <v>-0.199999999999992</v>
      </c>
    </row>
    <row r="121" s="1" customFormat="1" spans="1:12">
      <c r="A121" s="2">
        <v>3.947</v>
      </c>
      <c r="B121" s="10" t="s">
        <v>277</v>
      </c>
      <c r="C121" s="4">
        <v>3.947</v>
      </c>
      <c r="D121" s="5">
        <v>253.7</v>
      </c>
      <c r="E121" s="4"/>
      <c r="F121" s="4"/>
      <c r="G121" s="2">
        <f t="shared" si="6"/>
        <v>3.913</v>
      </c>
      <c r="H121" s="11" t="str">
        <f t="shared" si="7"/>
        <v>3.404E-2</v>
      </c>
      <c r="I121" s="2">
        <f t="shared" si="11"/>
        <v>46.2</v>
      </c>
      <c r="J121" s="4">
        <f t="shared" si="8"/>
        <v>3.913</v>
      </c>
      <c r="K121" s="9">
        <f t="shared" si="9"/>
        <v>3.20000000000001</v>
      </c>
      <c r="L121" s="1">
        <f t="shared" si="10"/>
        <v>-0.199999999999992</v>
      </c>
    </row>
    <row r="122" s="1" customFormat="1" spans="1:12">
      <c r="A122" s="2">
        <v>3.98</v>
      </c>
      <c r="B122" s="10" t="s">
        <v>244</v>
      </c>
      <c r="C122" s="4">
        <v>3.98</v>
      </c>
      <c r="D122" s="5">
        <v>253.7</v>
      </c>
      <c r="E122" s="4"/>
      <c r="F122" s="4"/>
      <c r="G122" s="2">
        <f t="shared" si="6"/>
        <v>3.947</v>
      </c>
      <c r="H122" s="11" t="str">
        <f t="shared" si="7"/>
        <v>3.408E-2</v>
      </c>
      <c r="I122" s="2">
        <f t="shared" si="11"/>
        <v>243.4</v>
      </c>
      <c r="J122" s="4">
        <f t="shared" si="8"/>
        <v>3.947</v>
      </c>
      <c r="K122" s="9">
        <f t="shared" si="9"/>
        <v>3.59999999999999</v>
      </c>
      <c r="L122" s="1">
        <f t="shared" si="10"/>
        <v>12.5</v>
      </c>
    </row>
    <row r="123" s="1" customFormat="1" spans="1:12">
      <c r="A123" s="2">
        <v>4.014</v>
      </c>
      <c r="B123" s="10" t="s">
        <v>45</v>
      </c>
      <c r="C123" s="4">
        <v>4.014</v>
      </c>
      <c r="D123" s="5">
        <v>253.8</v>
      </c>
      <c r="E123" s="4"/>
      <c r="F123" s="4"/>
      <c r="G123" s="2">
        <f t="shared" si="6"/>
        <v>3.98</v>
      </c>
      <c r="H123" s="11" t="str">
        <f t="shared" si="7"/>
        <v>3.411E-2</v>
      </c>
      <c r="I123" s="2">
        <f t="shared" si="11"/>
        <v>253.7</v>
      </c>
      <c r="J123" s="4">
        <f t="shared" si="8"/>
        <v>3.98</v>
      </c>
      <c r="K123" s="9">
        <f t="shared" si="9"/>
        <v>3.90000000000001</v>
      </c>
      <c r="L123" s="1">
        <f t="shared" si="10"/>
        <v>12.5</v>
      </c>
    </row>
    <row r="124" s="1" customFormat="1" spans="1:12">
      <c r="A124" s="2">
        <v>4.047</v>
      </c>
      <c r="B124" s="10" t="s">
        <v>118</v>
      </c>
      <c r="C124" s="4">
        <v>4.047</v>
      </c>
      <c r="D124" s="5">
        <v>253.8</v>
      </c>
      <c r="E124" s="4"/>
      <c r="F124" s="4"/>
      <c r="G124" s="2">
        <f t="shared" si="6"/>
        <v>4.014</v>
      </c>
      <c r="H124" s="11" t="str">
        <f t="shared" si="7"/>
        <v>3.415E-2</v>
      </c>
      <c r="I124" s="2">
        <f t="shared" si="11"/>
        <v>253.7</v>
      </c>
      <c r="J124" s="4">
        <f t="shared" si="8"/>
        <v>4.014</v>
      </c>
      <c r="K124" s="9">
        <f t="shared" si="9"/>
        <v>4.3</v>
      </c>
      <c r="L124" s="1">
        <f t="shared" si="10"/>
        <v>12.5</v>
      </c>
    </row>
    <row r="125" s="1" customFormat="1" spans="1:12">
      <c r="A125" s="2">
        <v>4.081</v>
      </c>
      <c r="B125" s="10" t="s">
        <v>20</v>
      </c>
      <c r="C125" s="4">
        <v>4.081</v>
      </c>
      <c r="D125" s="5">
        <v>253.8</v>
      </c>
      <c r="E125" s="4"/>
      <c r="F125" s="4"/>
      <c r="G125" s="2">
        <f t="shared" si="6"/>
        <v>4.047</v>
      </c>
      <c r="H125" s="11" t="str">
        <f t="shared" si="7"/>
        <v>3.419E-2</v>
      </c>
      <c r="I125" s="2">
        <f t="shared" si="11"/>
        <v>253.8</v>
      </c>
      <c r="J125" s="4">
        <f t="shared" si="8"/>
        <v>4.047</v>
      </c>
      <c r="K125" s="9">
        <f t="shared" si="9"/>
        <v>4.69999999999998</v>
      </c>
      <c r="L125" s="1">
        <f t="shared" si="10"/>
        <v>12.5</v>
      </c>
    </row>
    <row r="126" s="1" customFormat="1" spans="1:12">
      <c r="A126" s="2">
        <v>4.114</v>
      </c>
      <c r="B126" s="10" t="s">
        <v>143</v>
      </c>
      <c r="C126" s="4">
        <v>4.114</v>
      </c>
      <c r="D126" s="5">
        <v>253.8</v>
      </c>
      <c r="E126" s="4"/>
      <c r="F126" s="4"/>
      <c r="G126" s="2">
        <f t="shared" si="6"/>
        <v>4.081</v>
      </c>
      <c r="H126" s="11" t="str">
        <f t="shared" si="7"/>
        <v>3.430E-2</v>
      </c>
      <c r="I126" s="2">
        <f t="shared" si="11"/>
        <v>253.8</v>
      </c>
      <c r="J126" s="4">
        <f t="shared" si="8"/>
        <v>4.081</v>
      </c>
      <c r="K126" s="9">
        <f t="shared" si="9"/>
        <v>5.79999999999997</v>
      </c>
      <c r="L126" s="1">
        <f t="shared" si="10"/>
        <v>12.5</v>
      </c>
    </row>
    <row r="127" s="1" customFormat="1" spans="1:12">
      <c r="A127" s="2">
        <v>4.147</v>
      </c>
      <c r="B127" s="10" t="s">
        <v>43</v>
      </c>
      <c r="C127" s="4">
        <v>4.147</v>
      </c>
      <c r="D127" s="5">
        <v>253.8</v>
      </c>
      <c r="E127" s="4"/>
      <c r="F127" s="4"/>
      <c r="G127" s="2">
        <f t="shared" si="6"/>
        <v>4.114</v>
      </c>
      <c r="H127" s="11" t="str">
        <f t="shared" si="7"/>
        <v>3.436E-2</v>
      </c>
      <c r="I127" s="2">
        <f t="shared" si="11"/>
        <v>253.8</v>
      </c>
      <c r="J127" s="4">
        <f t="shared" si="8"/>
        <v>4.114</v>
      </c>
      <c r="K127" s="9">
        <f t="shared" si="9"/>
        <v>6.40000000000002</v>
      </c>
      <c r="L127" s="1">
        <f t="shared" si="10"/>
        <v>12.5</v>
      </c>
    </row>
    <row r="128" s="1" customFormat="1" spans="1:12">
      <c r="A128" s="2">
        <v>4.181</v>
      </c>
      <c r="B128" s="10" t="s">
        <v>141</v>
      </c>
      <c r="C128" s="4">
        <v>4.181</v>
      </c>
      <c r="D128" s="5">
        <v>253.8</v>
      </c>
      <c r="E128" s="4"/>
      <c r="F128" s="4"/>
      <c r="G128" s="2">
        <f t="shared" si="6"/>
        <v>4.147</v>
      </c>
      <c r="H128" s="11" t="str">
        <f t="shared" si="7"/>
        <v>3.441E-2</v>
      </c>
      <c r="I128" s="2">
        <f t="shared" si="11"/>
        <v>253.8</v>
      </c>
      <c r="J128" s="4">
        <f t="shared" si="8"/>
        <v>4.147</v>
      </c>
      <c r="K128" s="9">
        <f t="shared" si="9"/>
        <v>6.90000000000003</v>
      </c>
      <c r="L128" s="1">
        <f t="shared" si="10"/>
        <v>12.5</v>
      </c>
    </row>
    <row r="129" s="1" customFormat="1" spans="1:12">
      <c r="A129" s="2">
        <v>4.214</v>
      </c>
      <c r="B129" s="10" t="s">
        <v>25</v>
      </c>
      <c r="C129" s="4">
        <v>4.214</v>
      </c>
      <c r="D129" s="5">
        <v>253.9</v>
      </c>
      <c r="E129" s="4"/>
      <c r="F129" s="4"/>
      <c r="G129" s="2">
        <f t="shared" si="6"/>
        <v>4.181</v>
      </c>
      <c r="H129" s="11" t="str">
        <f t="shared" si="7"/>
        <v>3.444E-2</v>
      </c>
      <c r="I129" s="2">
        <f t="shared" si="11"/>
        <v>253.8</v>
      </c>
      <c r="J129" s="4">
        <f t="shared" si="8"/>
        <v>4.181</v>
      </c>
      <c r="K129" s="9">
        <f t="shared" si="9"/>
        <v>7.19999999999998</v>
      </c>
      <c r="L129" s="1">
        <f t="shared" si="10"/>
        <v>12.5</v>
      </c>
    </row>
    <row r="130" s="1" customFormat="1" spans="1:12">
      <c r="A130" s="2">
        <v>4.248</v>
      </c>
      <c r="B130" s="10" t="s">
        <v>144</v>
      </c>
      <c r="C130" s="4">
        <v>4.248</v>
      </c>
      <c r="D130" s="5">
        <v>253.8</v>
      </c>
      <c r="E130" s="4"/>
      <c r="F130" s="4"/>
      <c r="G130" s="2">
        <f t="shared" si="6"/>
        <v>4.214</v>
      </c>
      <c r="H130" s="11" t="str">
        <f t="shared" si="7"/>
        <v>3.447E-2</v>
      </c>
      <c r="I130" s="2">
        <f t="shared" si="11"/>
        <v>253.8</v>
      </c>
      <c r="J130" s="4">
        <f t="shared" si="8"/>
        <v>4.214</v>
      </c>
      <c r="K130" s="9">
        <f t="shared" si="9"/>
        <v>7.50000000000001</v>
      </c>
      <c r="L130" s="1">
        <f t="shared" si="10"/>
        <v>12.5</v>
      </c>
    </row>
    <row r="131" s="1" customFormat="1" spans="1:12">
      <c r="A131" s="2">
        <v>4.281</v>
      </c>
      <c r="B131" s="10" t="s">
        <v>168</v>
      </c>
      <c r="C131" s="4">
        <v>4.281</v>
      </c>
      <c r="D131" s="5">
        <v>253.8</v>
      </c>
      <c r="E131" s="4"/>
      <c r="F131" s="4"/>
      <c r="G131" s="2">
        <f t="shared" si="6"/>
        <v>4.248</v>
      </c>
      <c r="H131" s="11" t="str">
        <f t="shared" si="7"/>
        <v>3.449E-2</v>
      </c>
      <c r="I131" s="2">
        <f t="shared" si="11"/>
        <v>253.9</v>
      </c>
      <c r="J131" s="4">
        <f t="shared" si="8"/>
        <v>4.248</v>
      </c>
      <c r="K131" s="9">
        <f t="shared" si="9"/>
        <v>7.7</v>
      </c>
      <c r="L131" s="1">
        <f t="shared" si="10"/>
        <v>12.5</v>
      </c>
    </row>
    <row r="132" s="1" customFormat="1" spans="1:12">
      <c r="A132" s="2">
        <v>4.315</v>
      </c>
      <c r="B132" s="10" t="s">
        <v>166</v>
      </c>
      <c r="C132" s="4">
        <v>4.315</v>
      </c>
      <c r="D132" s="5">
        <v>250.6</v>
      </c>
      <c r="E132" s="4"/>
      <c r="F132" s="4"/>
      <c r="G132" s="2">
        <f t="shared" ref="G132:G195" si="12">A131</f>
        <v>4.281</v>
      </c>
      <c r="H132" s="11" t="str">
        <f t="shared" ref="H132:H195" si="13">B131</f>
        <v>3.459E-2</v>
      </c>
      <c r="I132" s="2">
        <f t="shared" si="11"/>
        <v>253.8</v>
      </c>
      <c r="J132" s="4">
        <f t="shared" ref="J132:J195" si="14">G132</f>
        <v>4.281</v>
      </c>
      <c r="K132" s="9">
        <f t="shared" ref="K132:K195" si="15">(H132-$H$4)*10000</f>
        <v>8.70000000000003</v>
      </c>
      <c r="L132" s="1">
        <f t="shared" ref="L132:L195" si="16">IF(I132&lt;230,MIN(K:K),MAX(K:K))</f>
        <v>12.5</v>
      </c>
    </row>
    <row r="133" s="1" customFormat="1" spans="1:12">
      <c r="A133" s="2">
        <v>4.348</v>
      </c>
      <c r="B133" s="10" t="s">
        <v>28</v>
      </c>
      <c r="C133" s="4">
        <v>4.348</v>
      </c>
      <c r="D133" s="5">
        <v>67.6</v>
      </c>
      <c r="E133" s="4"/>
      <c r="F133" s="4"/>
      <c r="G133" s="2">
        <f t="shared" si="12"/>
        <v>4.315</v>
      </c>
      <c r="H133" s="11" t="str">
        <f t="shared" si="13"/>
        <v>3.465E-2</v>
      </c>
      <c r="I133" s="2">
        <f t="shared" ref="I133:I196" si="17">D131</f>
        <v>253.8</v>
      </c>
      <c r="J133" s="4">
        <f t="shared" si="14"/>
        <v>4.315</v>
      </c>
      <c r="K133" s="9">
        <f t="shared" si="15"/>
        <v>9.3</v>
      </c>
      <c r="L133" s="1">
        <f t="shared" si="16"/>
        <v>12.5</v>
      </c>
    </row>
    <row r="134" s="1" customFormat="1" spans="1:12">
      <c r="A134" s="2">
        <v>4.382</v>
      </c>
      <c r="B134" s="10" t="s">
        <v>80</v>
      </c>
      <c r="C134" s="4">
        <v>4.382</v>
      </c>
      <c r="D134" s="5">
        <v>66.8</v>
      </c>
      <c r="E134" s="4"/>
      <c r="F134" s="4"/>
      <c r="G134" s="2">
        <f t="shared" si="12"/>
        <v>4.348</v>
      </c>
      <c r="H134" s="11" t="str">
        <f t="shared" si="13"/>
        <v>3.470E-2</v>
      </c>
      <c r="I134" s="2">
        <f t="shared" si="17"/>
        <v>250.6</v>
      </c>
      <c r="J134" s="4">
        <f t="shared" si="14"/>
        <v>4.348</v>
      </c>
      <c r="K134" s="9">
        <f t="shared" si="15"/>
        <v>9.80000000000002</v>
      </c>
      <c r="L134" s="1">
        <f t="shared" si="16"/>
        <v>12.5</v>
      </c>
    </row>
    <row r="135" s="1" customFormat="1" spans="1:12">
      <c r="A135" s="2">
        <v>4.415</v>
      </c>
      <c r="B135" s="10" t="s">
        <v>202</v>
      </c>
      <c r="C135" s="4">
        <v>4.415</v>
      </c>
      <c r="D135" s="5">
        <v>66.5</v>
      </c>
      <c r="E135" s="4"/>
      <c r="F135" s="4"/>
      <c r="G135" s="2">
        <f t="shared" si="12"/>
        <v>4.382</v>
      </c>
      <c r="H135" s="11" t="str">
        <f t="shared" si="13"/>
        <v>3.472E-2</v>
      </c>
      <c r="I135" s="2">
        <f t="shared" si="17"/>
        <v>67.6</v>
      </c>
      <c r="J135" s="4">
        <f t="shared" si="14"/>
        <v>4.382</v>
      </c>
      <c r="K135" s="9">
        <f t="shared" si="15"/>
        <v>10</v>
      </c>
      <c r="L135" s="1">
        <f t="shared" si="16"/>
        <v>-0.199999999999992</v>
      </c>
    </row>
    <row r="136" s="1" customFormat="1" spans="1:12">
      <c r="A136" s="2">
        <v>4.448</v>
      </c>
      <c r="B136" s="10" t="s">
        <v>109</v>
      </c>
      <c r="C136" s="4">
        <v>4.448</v>
      </c>
      <c r="D136" s="5">
        <v>65.7</v>
      </c>
      <c r="E136" s="4"/>
      <c r="F136" s="4"/>
      <c r="G136" s="2">
        <f t="shared" si="12"/>
        <v>4.415</v>
      </c>
      <c r="H136" s="11" t="str">
        <f t="shared" si="13"/>
        <v>3.475E-2</v>
      </c>
      <c r="I136" s="2">
        <f t="shared" si="17"/>
        <v>66.8</v>
      </c>
      <c r="J136" s="4">
        <f t="shared" si="14"/>
        <v>4.415</v>
      </c>
      <c r="K136" s="9">
        <f t="shared" si="15"/>
        <v>10.3</v>
      </c>
      <c r="L136" s="1">
        <f t="shared" si="16"/>
        <v>-0.199999999999992</v>
      </c>
    </row>
    <row r="137" s="1" customFormat="1" spans="1:12">
      <c r="A137" s="2">
        <v>4.482</v>
      </c>
      <c r="B137" s="10" t="s">
        <v>29</v>
      </c>
      <c r="C137" s="4">
        <v>4.482</v>
      </c>
      <c r="D137" s="5">
        <v>65.6</v>
      </c>
      <c r="E137" s="4"/>
      <c r="F137" s="4"/>
      <c r="G137" s="2">
        <f t="shared" si="12"/>
        <v>4.448</v>
      </c>
      <c r="H137" s="11" t="str">
        <f t="shared" si="13"/>
        <v>3.476E-2</v>
      </c>
      <c r="I137" s="2">
        <f t="shared" si="17"/>
        <v>66.5</v>
      </c>
      <c r="J137" s="4">
        <f t="shared" si="14"/>
        <v>4.448</v>
      </c>
      <c r="K137" s="9">
        <f t="shared" si="15"/>
        <v>10.4</v>
      </c>
      <c r="L137" s="1">
        <f t="shared" si="16"/>
        <v>-0.199999999999992</v>
      </c>
    </row>
    <row r="138" s="1" customFormat="1" spans="1:12">
      <c r="A138" s="2">
        <v>4.515</v>
      </c>
      <c r="B138" s="10" t="s">
        <v>79</v>
      </c>
      <c r="C138" s="4">
        <v>4.515</v>
      </c>
      <c r="D138" s="5">
        <v>65.1</v>
      </c>
      <c r="E138" s="4"/>
      <c r="F138" s="4"/>
      <c r="G138" s="2">
        <f t="shared" si="12"/>
        <v>4.482</v>
      </c>
      <c r="H138" s="11" t="str">
        <f t="shared" si="13"/>
        <v>3.478E-2</v>
      </c>
      <c r="I138" s="2">
        <f t="shared" si="17"/>
        <v>65.7</v>
      </c>
      <c r="J138" s="4">
        <f t="shared" si="14"/>
        <v>4.482</v>
      </c>
      <c r="K138" s="9">
        <f t="shared" si="15"/>
        <v>10.6</v>
      </c>
      <c r="L138" s="1">
        <f t="shared" si="16"/>
        <v>-0.199999999999992</v>
      </c>
    </row>
    <row r="139" s="1" customFormat="1" spans="1:12">
      <c r="A139" s="2">
        <v>4.549</v>
      </c>
      <c r="B139" s="10" t="s">
        <v>189</v>
      </c>
      <c r="C139" s="4">
        <v>4.549</v>
      </c>
      <c r="D139" s="5">
        <v>64.1</v>
      </c>
      <c r="E139" s="4"/>
      <c r="F139" s="4"/>
      <c r="G139" s="2">
        <f t="shared" si="12"/>
        <v>4.515</v>
      </c>
      <c r="H139" s="11" t="str">
        <f t="shared" si="13"/>
        <v>3.486E-2</v>
      </c>
      <c r="I139" s="2">
        <f t="shared" si="17"/>
        <v>65.6</v>
      </c>
      <c r="J139" s="4">
        <f t="shared" si="14"/>
        <v>4.515</v>
      </c>
      <c r="K139" s="9">
        <f t="shared" si="15"/>
        <v>11.4</v>
      </c>
      <c r="L139" s="1">
        <f t="shared" si="16"/>
        <v>-0.199999999999992</v>
      </c>
    </row>
    <row r="140" s="1" customFormat="1" spans="1:12">
      <c r="A140" s="2">
        <v>4.582</v>
      </c>
      <c r="B140" s="10" t="s">
        <v>192</v>
      </c>
      <c r="C140" s="4">
        <v>4.582</v>
      </c>
      <c r="D140" s="5">
        <v>62.8</v>
      </c>
      <c r="E140" s="4"/>
      <c r="F140" s="4"/>
      <c r="G140" s="2">
        <f t="shared" si="12"/>
        <v>4.549</v>
      </c>
      <c r="H140" s="11" t="str">
        <f t="shared" si="13"/>
        <v>3.493E-2</v>
      </c>
      <c r="I140" s="2">
        <f t="shared" si="17"/>
        <v>65.1</v>
      </c>
      <c r="J140" s="4">
        <f t="shared" si="14"/>
        <v>4.549</v>
      </c>
      <c r="K140" s="9">
        <f t="shared" si="15"/>
        <v>12.1</v>
      </c>
      <c r="L140" s="1">
        <f t="shared" si="16"/>
        <v>-0.199999999999992</v>
      </c>
    </row>
    <row r="141" s="1" customFormat="1" spans="1:12">
      <c r="A141" s="2">
        <v>4.616</v>
      </c>
      <c r="B141" s="10" t="s">
        <v>108</v>
      </c>
      <c r="C141" s="4">
        <v>4.616</v>
      </c>
      <c r="D141" s="5">
        <v>62.2</v>
      </c>
      <c r="E141" s="4"/>
      <c r="F141" s="4"/>
      <c r="G141" s="2">
        <f t="shared" si="12"/>
        <v>4.582</v>
      </c>
      <c r="H141" s="11" t="str">
        <f t="shared" si="13"/>
        <v>3.495E-2</v>
      </c>
      <c r="I141" s="2">
        <f t="shared" si="17"/>
        <v>64.1</v>
      </c>
      <c r="J141" s="4">
        <f t="shared" si="14"/>
        <v>4.582</v>
      </c>
      <c r="K141" s="9">
        <f t="shared" si="15"/>
        <v>12.3</v>
      </c>
      <c r="L141" s="1">
        <f t="shared" si="16"/>
        <v>-0.199999999999992</v>
      </c>
    </row>
    <row r="142" s="1" customFormat="1" spans="1:12">
      <c r="A142" s="2">
        <v>4.649</v>
      </c>
      <c r="B142" s="10" t="s">
        <v>108</v>
      </c>
      <c r="C142" s="4">
        <v>4.649</v>
      </c>
      <c r="D142" s="5">
        <v>61.5</v>
      </c>
      <c r="E142" s="4"/>
      <c r="F142" s="4"/>
      <c r="G142" s="2">
        <f t="shared" si="12"/>
        <v>4.616</v>
      </c>
      <c r="H142" s="11" t="str">
        <f t="shared" si="13"/>
        <v>3.497E-2</v>
      </c>
      <c r="I142" s="2">
        <f t="shared" si="17"/>
        <v>62.8</v>
      </c>
      <c r="J142" s="4">
        <f t="shared" si="14"/>
        <v>4.616</v>
      </c>
      <c r="K142" s="9">
        <f t="shared" si="15"/>
        <v>12.5</v>
      </c>
      <c r="L142" s="1">
        <f t="shared" si="16"/>
        <v>-0.199999999999992</v>
      </c>
    </row>
    <row r="143" s="1" customFormat="1" spans="1:12">
      <c r="A143" s="2">
        <v>4.683</v>
      </c>
      <c r="B143" s="10" t="s">
        <v>108</v>
      </c>
      <c r="C143" s="4">
        <v>4.683</v>
      </c>
      <c r="D143" s="5">
        <v>60.9</v>
      </c>
      <c r="E143" s="4"/>
      <c r="F143" s="4"/>
      <c r="G143" s="2">
        <f t="shared" si="12"/>
        <v>4.649</v>
      </c>
      <c r="H143" s="11" t="str">
        <f t="shared" si="13"/>
        <v>3.497E-2</v>
      </c>
      <c r="I143" s="2">
        <f t="shared" si="17"/>
        <v>62.2</v>
      </c>
      <c r="J143" s="4">
        <f t="shared" si="14"/>
        <v>4.649</v>
      </c>
      <c r="K143" s="9">
        <f t="shared" si="15"/>
        <v>12.5</v>
      </c>
      <c r="L143" s="1">
        <f t="shared" si="16"/>
        <v>-0.199999999999992</v>
      </c>
    </row>
    <row r="144" s="1" customFormat="1" spans="1:12">
      <c r="A144" s="2">
        <v>4.716</v>
      </c>
      <c r="B144" s="10" t="s">
        <v>37</v>
      </c>
      <c r="C144" s="4">
        <v>4.716</v>
      </c>
      <c r="D144" s="5">
        <v>60</v>
      </c>
      <c r="E144" s="4"/>
      <c r="F144" s="4"/>
      <c r="G144" s="2">
        <f t="shared" si="12"/>
        <v>4.683</v>
      </c>
      <c r="H144" s="11" t="str">
        <f t="shared" si="13"/>
        <v>3.497E-2</v>
      </c>
      <c r="I144" s="2">
        <f t="shared" si="17"/>
        <v>61.5</v>
      </c>
      <c r="J144" s="4">
        <f t="shared" si="14"/>
        <v>4.683</v>
      </c>
      <c r="K144" s="9">
        <f t="shared" si="15"/>
        <v>12.5</v>
      </c>
      <c r="L144" s="1">
        <f t="shared" si="16"/>
        <v>-0.199999999999992</v>
      </c>
    </row>
    <row r="145" s="1" customFormat="1" spans="1:12">
      <c r="A145" s="2">
        <v>4.749</v>
      </c>
      <c r="B145" s="10" t="s">
        <v>192</v>
      </c>
      <c r="C145" s="4">
        <v>4.749</v>
      </c>
      <c r="D145" s="5">
        <v>59.3</v>
      </c>
      <c r="E145" s="4"/>
      <c r="F145" s="4"/>
      <c r="G145" s="2">
        <f t="shared" si="12"/>
        <v>4.716</v>
      </c>
      <c r="H145" s="11" t="str">
        <f t="shared" si="13"/>
        <v>3.496E-2</v>
      </c>
      <c r="I145" s="2">
        <f t="shared" si="17"/>
        <v>60.9</v>
      </c>
      <c r="J145" s="4">
        <f t="shared" si="14"/>
        <v>4.716</v>
      </c>
      <c r="K145" s="9">
        <f t="shared" si="15"/>
        <v>12.4</v>
      </c>
      <c r="L145" s="1">
        <f t="shared" si="16"/>
        <v>-0.199999999999992</v>
      </c>
    </row>
    <row r="146" s="1" customFormat="1" spans="1:12">
      <c r="A146" s="2">
        <v>4.783</v>
      </c>
      <c r="B146" s="10" t="s">
        <v>31</v>
      </c>
      <c r="C146" s="4">
        <v>4.783</v>
      </c>
      <c r="D146" s="5">
        <v>59</v>
      </c>
      <c r="E146" s="4"/>
      <c r="F146" s="4"/>
      <c r="G146" s="2">
        <f t="shared" si="12"/>
        <v>4.749</v>
      </c>
      <c r="H146" s="11" t="str">
        <f t="shared" si="13"/>
        <v>3.495E-2</v>
      </c>
      <c r="I146" s="2">
        <f t="shared" si="17"/>
        <v>60</v>
      </c>
      <c r="J146" s="4">
        <f t="shared" si="14"/>
        <v>4.749</v>
      </c>
      <c r="K146" s="9">
        <f t="shared" si="15"/>
        <v>12.3</v>
      </c>
      <c r="L146" s="1">
        <f t="shared" si="16"/>
        <v>-0.199999999999992</v>
      </c>
    </row>
    <row r="147" s="1" customFormat="1" spans="1:12">
      <c r="A147" s="2">
        <v>4.816</v>
      </c>
      <c r="B147" s="10" t="s">
        <v>189</v>
      </c>
      <c r="C147" s="4">
        <v>4.816</v>
      </c>
      <c r="D147" s="5">
        <v>58</v>
      </c>
      <c r="E147" s="4"/>
      <c r="F147" s="4"/>
      <c r="G147" s="2">
        <f t="shared" si="12"/>
        <v>4.783</v>
      </c>
      <c r="H147" s="11" t="str">
        <f t="shared" si="13"/>
        <v>3.494E-2</v>
      </c>
      <c r="I147" s="2">
        <f t="shared" si="17"/>
        <v>59.3</v>
      </c>
      <c r="J147" s="4">
        <f t="shared" si="14"/>
        <v>4.783</v>
      </c>
      <c r="K147" s="9">
        <f t="shared" si="15"/>
        <v>12.2</v>
      </c>
      <c r="L147" s="1">
        <f t="shared" si="16"/>
        <v>-0.199999999999992</v>
      </c>
    </row>
    <row r="148" s="1" customFormat="1" spans="1:12">
      <c r="A148" s="2">
        <v>4.85</v>
      </c>
      <c r="B148" s="10" t="s">
        <v>193</v>
      </c>
      <c r="C148" s="4">
        <v>4.85</v>
      </c>
      <c r="D148" s="5">
        <v>57.4</v>
      </c>
      <c r="E148" s="4"/>
      <c r="F148" s="4"/>
      <c r="G148" s="2">
        <f t="shared" si="12"/>
        <v>4.816</v>
      </c>
      <c r="H148" s="11" t="str">
        <f t="shared" si="13"/>
        <v>3.493E-2</v>
      </c>
      <c r="I148" s="2">
        <f t="shared" si="17"/>
        <v>59</v>
      </c>
      <c r="J148" s="4">
        <f t="shared" si="14"/>
        <v>4.816</v>
      </c>
      <c r="K148" s="9">
        <f t="shared" si="15"/>
        <v>12.1</v>
      </c>
      <c r="L148" s="1">
        <f t="shared" si="16"/>
        <v>-0.199999999999992</v>
      </c>
    </row>
    <row r="149" s="1" customFormat="1" spans="1:12">
      <c r="A149" s="2">
        <v>4.883</v>
      </c>
      <c r="B149" s="10" t="s">
        <v>194</v>
      </c>
      <c r="C149" s="4">
        <v>4.883</v>
      </c>
      <c r="D149" s="5">
        <v>56.5</v>
      </c>
      <c r="E149" s="4"/>
      <c r="F149" s="4"/>
      <c r="G149" s="2">
        <f t="shared" si="12"/>
        <v>4.85</v>
      </c>
      <c r="H149" s="11" t="str">
        <f t="shared" si="13"/>
        <v>3.491E-2</v>
      </c>
      <c r="I149" s="2">
        <f t="shared" si="17"/>
        <v>58</v>
      </c>
      <c r="J149" s="4">
        <f t="shared" si="14"/>
        <v>4.85</v>
      </c>
      <c r="K149" s="9">
        <f t="shared" si="15"/>
        <v>11.9</v>
      </c>
      <c r="L149" s="1">
        <f t="shared" si="16"/>
        <v>-0.199999999999992</v>
      </c>
    </row>
    <row r="150" s="1" customFormat="1" spans="1:12">
      <c r="A150" s="2">
        <v>4.917</v>
      </c>
      <c r="B150" s="10" t="s">
        <v>195</v>
      </c>
      <c r="C150" s="4">
        <v>4.917</v>
      </c>
      <c r="D150" s="5">
        <v>56.3</v>
      </c>
      <c r="E150" s="4"/>
      <c r="F150" s="4"/>
      <c r="G150" s="2">
        <f t="shared" si="12"/>
        <v>4.883</v>
      </c>
      <c r="H150" s="11" t="str">
        <f t="shared" si="13"/>
        <v>3.490E-2</v>
      </c>
      <c r="I150" s="2">
        <f t="shared" si="17"/>
        <v>57.4</v>
      </c>
      <c r="J150" s="4">
        <f t="shared" si="14"/>
        <v>4.883</v>
      </c>
      <c r="K150" s="9">
        <f t="shared" si="15"/>
        <v>11.8</v>
      </c>
      <c r="L150" s="1">
        <f t="shared" si="16"/>
        <v>-0.199999999999992</v>
      </c>
    </row>
    <row r="151" s="1" customFormat="1" spans="1:12">
      <c r="A151" s="2">
        <v>4.95</v>
      </c>
      <c r="B151" s="10" t="s">
        <v>30</v>
      </c>
      <c r="C151" s="4">
        <v>4.95</v>
      </c>
      <c r="D151" s="5">
        <v>55.7</v>
      </c>
      <c r="E151" s="4"/>
      <c r="F151" s="4"/>
      <c r="G151" s="2">
        <f t="shared" si="12"/>
        <v>4.917</v>
      </c>
      <c r="H151" s="11" t="str">
        <f t="shared" si="13"/>
        <v>3.488E-2</v>
      </c>
      <c r="I151" s="2">
        <f t="shared" si="17"/>
        <v>56.5</v>
      </c>
      <c r="J151" s="4">
        <f t="shared" si="14"/>
        <v>4.917</v>
      </c>
      <c r="K151" s="9">
        <f t="shared" si="15"/>
        <v>11.6</v>
      </c>
      <c r="L151" s="1">
        <f t="shared" si="16"/>
        <v>-0.199999999999992</v>
      </c>
    </row>
    <row r="152" s="1" customFormat="1" spans="1:12">
      <c r="A152" s="2">
        <v>4.984</v>
      </c>
      <c r="B152" s="10" t="s">
        <v>60</v>
      </c>
      <c r="C152" s="4">
        <v>4.984</v>
      </c>
      <c r="D152" s="5">
        <v>55</v>
      </c>
      <c r="E152" s="4"/>
      <c r="F152" s="4"/>
      <c r="G152" s="2">
        <f t="shared" si="12"/>
        <v>4.95</v>
      </c>
      <c r="H152" s="11" t="str">
        <f t="shared" si="13"/>
        <v>3.484E-2</v>
      </c>
      <c r="I152" s="2">
        <f t="shared" si="17"/>
        <v>56.3</v>
      </c>
      <c r="J152" s="4">
        <f t="shared" si="14"/>
        <v>4.95</v>
      </c>
      <c r="K152" s="9">
        <f t="shared" si="15"/>
        <v>11.2</v>
      </c>
      <c r="L152" s="1">
        <f t="shared" si="16"/>
        <v>-0.199999999999992</v>
      </c>
    </row>
    <row r="153" s="1" customFormat="1" spans="1:12">
      <c r="A153" s="2">
        <v>5.017</v>
      </c>
      <c r="B153" s="10" t="s">
        <v>205</v>
      </c>
      <c r="C153" s="4">
        <v>5.017</v>
      </c>
      <c r="D153" s="5">
        <v>54.8</v>
      </c>
      <c r="E153" s="4"/>
      <c r="F153" s="4"/>
      <c r="G153" s="2">
        <f t="shared" si="12"/>
        <v>4.984</v>
      </c>
      <c r="H153" s="11" t="str">
        <f t="shared" si="13"/>
        <v>3.483E-2</v>
      </c>
      <c r="I153" s="2">
        <f t="shared" si="17"/>
        <v>55.7</v>
      </c>
      <c r="J153" s="4">
        <f t="shared" si="14"/>
        <v>4.984</v>
      </c>
      <c r="K153" s="9">
        <f t="shared" si="15"/>
        <v>11.1</v>
      </c>
      <c r="L153" s="1">
        <f t="shared" si="16"/>
        <v>-0.199999999999992</v>
      </c>
    </row>
    <row r="154" s="1" customFormat="1" spans="1:12">
      <c r="A154" s="2">
        <v>5.05</v>
      </c>
      <c r="B154" s="10" t="s">
        <v>172</v>
      </c>
      <c r="C154" s="4">
        <v>5.05</v>
      </c>
      <c r="D154" s="5">
        <v>54</v>
      </c>
      <c r="E154" s="4"/>
      <c r="F154" s="4"/>
      <c r="G154" s="2">
        <f t="shared" si="12"/>
        <v>5.017</v>
      </c>
      <c r="H154" s="11" t="str">
        <f t="shared" si="13"/>
        <v>3.481E-2</v>
      </c>
      <c r="I154" s="2">
        <f t="shared" si="17"/>
        <v>55</v>
      </c>
      <c r="J154" s="4">
        <f t="shared" si="14"/>
        <v>5.017</v>
      </c>
      <c r="K154" s="9">
        <f t="shared" si="15"/>
        <v>10.9</v>
      </c>
      <c r="L154" s="1">
        <f t="shared" si="16"/>
        <v>-0.199999999999992</v>
      </c>
    </row>
    <row r="155" s="1" customFormat="1" spans="1:12">
      <c r="A155" s="2">
        <v>5.084</v>
      </c>
      <c r="B155" s="10" t="s">
        <v>29</v>
      </c>
      <c r="C155" s="4">
        <v>5.084</v>
      </c>
      <c r="D155" s="5">
        <v>53.3</v>
      </c>
      <c r="E155" s="4"/>
      <c r="F155" s="4"/>
      <c r="G155" s="2">
        <f t="shared" si="12"/>
        <v>5.05</v>
      </c>
      <c r="H155" s="11" t="str">
        <f t="shared" si="13"/>
        <v>3.477E-2</v>
      </c>
      <c r="I155" s="2">
        <f t="shared" si="17"/>
        <v>54.8</v>
      </c>
      <c r="J155" s="4">
        <f t="shared" si="14"/>
        <v>5.05</v>
      </c>
      <c r="K155" s="9">
        <f t="shared" si="15"/>
        <v>10.5</v>
      </c>
      <c r="L155" s="1">
        <f t="shared" si="16"/>
        <v>-0.199999999999992</v>
      </c>
    </row>
    <row r="156" s="1" customFormat="1" spans="1:12">
      <c r="A156" s="2">
        <v>5.117</v>
      </c>
      <c r="B156" s="10" t="s">
        <v>109</v>
      </c>
      <c r="C156" s="4">
        <v>5.117</v>
      </c>
      <c r="D156" s="5">
        <v>53</v>
      </c>
      <c r="E156" s="4"/>
      <c r="F156" s="4"/>
      <c r="G156" s="2">
        <f t="shared" si="12"/>
        <v>5.084</v>
      </c>
      <c r="H156" s="11" t="str">
        <f t="shared" si="13"/>
        <v>3.478E-2</v>
      </c>
      <c r="I156" s="2">
        <f t="shared" si="17"/>
        <v>54</v>
      </c>
      <c r="J156" s="4">
        <f t="shared" si="14"/>
        <v>5.084</v>
      </c>
      <c r="K156" s="9">
        <f t="shared" si="15"/>
        <v>10.6</v>
      </c>
      <c r="L156" s="1">
        <f t="shared" si="16"/>
        <v>-0.199999999999992</v>
      </c>
    </row>
    <row r="157" s="1" customFormat="1" spans="1:12">
      <c r="A157" s="2">
        <v>5.151</v>
      </c>
      <c r="B157" s="10" t="s">
        <v>166</v>
      </c>
      <c r="C157" s="4">
        <v>5.151</v>
      </c>
      <c r="D157" s="5">
        <v>51.9</v>
      </c>
      <c r="E157" s="4"/>
      <c r="F157" s="4"/>
      <c r="G157" s="2">
        <f t="shared" si="12"/>
        <v>5.117</v>
      </c>
      <c r="H157" s="11" t="str">
        <f t="shared" si="13"/>
        <v>3.476E-2</v>
      </c>
      <c r="I157" s="2">
        <f t="shared" si="17"/>
        <v>53.3</v>
      </c>
      <c r="J157" s="4">
        <f t="shared" si="14"/>
        <v>5.117</v>
      </c>
      <c r="K157" s="9">
        <f t="shared" si="15"/>
        <v>10.4</v>
      </c>
      <c r="L157" s="1">
        <f t="shared" si="16"/>
        <v>-0.199999999999992</v>
      </c>
    </row>
    <row r="158" s="1" customFormat="1" spans="1:12">
      <c r="A158" s="2">
        <v>5.184</v>
      </c>
      <c r="B158" s="10" t="s">
        <v>203</v>
      </c>
      <c r="C158" s="4">
        <v>5.184</v>
      </c>
      <c r="D158" s="5">
        <v>52</v>
      </c>
      <c r="E158" s="4"/>
      <c r="F158" s="4"/>
      <c r="G158" s="2">
        <f t="shared" si="12"/>
        <v>5.151</v>
      </c>
      <c r="H158" s="11" t="str">
        <f t="shared" si="13"/>
        <v>3.465E-2</v>
      </c>
      <c r="I158" s="2">
        <f t="shared" si="17"/>
        <v>53</v>
      </c>
      <c r="J158" s="4">
        <f t="shared" si="14"/>
        <v>5.151</v>
      </c>
      <c r="K158" s="9">
        <f t="shared" si="15"/>
        <v>9.3</v>
      </c>
      <c r="L158" s="1">
        <f t="shared" si="16"/>
        <v>-0.199999999999992</v>
      </c>
    </row>
    <row r="159" s="1" customFormat="1" spans="1:12">
      <c r="A159" s="2">
        <v>5.218</v>
      </c>
      <c r="B159" s="10" t="s">
        <v>110</v>
      </c>
      <c r="C159" s="4">
        <v>5.218</v>
      </c>
      <c r="D159" s="5">
        <v>51</v>
      </c>
      <c r="E159" s="4"/>
      <c r="F159" s="4"/>
      <c r="G159" s="2">
        <f t="shared" si="12"/>
        <v>5.184</v>
      </c>
      <c r="H159" s="11" t="str">
        <f t="shared" si="13"/>
        <v>3.460E-2</v>
      </c>
      <c r="I159" s="2">
        <f t="shared" si="17"/>
        <v>51.9</v>
      </c>
      <c r="J159" s="4">
        <f t="shared" si="14"/>
        <v>5.184</v>
      </c>
      <c r="K159" s="9">
        <f t="shared" si="15"/>
        <v>8.79999999999999</v>
      </c>
      <c r="L159" s="1">
        <f t="shared" si="16"/>
        <v>-0.199999999999992</v>
      </c>
    </row>
    <row r="160" s="1" customFormat="1" spans="1:12">
      <c r="A160" s="2">
        <v>5.251</v>
      </c>
      <c r="B160" s="10" t="s">
        <v>223</v>
      </c>
      <c r="C160" s="4">
        <v>5.251</v>
      </c>
      <c r="D160" s="5">
        <v>50.9</v>
      </c>
      <c r="E160" s="4"/>
      <c r="F160" s="4"/>
      <c r="G160" s="2">
        <f t="shared" si="12"/>
        <v>5.218</v>
      </c>
      <c r="H160" s="11" t="str">
        <f t="shared" si="13"/>
        <v>3.457E-2</v>
      </c>
      <c r="I160" s="2">
        <f t="shared" si="17"/>
        <v>52</v>
      </c>
      <c r="J160" s="4">
        <f t="shared" si="14"/>
        <v>5.218</v>
      </c>
      <c r="K160" s="9">
        <f t="shared" si="15"/>
        <v>8.49999999999997</v>
      </c>
      <c r="L160" s="1">
        <f t="shared" si="16"/>
        <v>-0.199999999999992</v>
      </c>
    </row>
    <row r="161" s="1" customFormat="1" spans="1:12">
      <c r="A161" s="2">
        <v>5.285</v>
      </c>
      <c r="B161" s="10" t="s">
        <v>223</v>
      </c>
      <c r="C161" s="4">
        <v>5.285</v>
      </c>
      <c r="D161" s="5">
        <v>50.5</v>
      </c>
      <c r="E161" s="4"/>
      <c r="F161" s="4"/>
      <c r="G161" s="2">
        <f t="shared" si="12"/>
        <v>5.251</v>
      </c>
      <c r="H161" s="11" t="str">
        <f t="shared" si="13"/>
        <v>3.455E-2</v>
      </c>
      <c r="I161" s="2">
        <f t="shared" si="17"/>
        <v>51</v>
      </c>
      <c r="J161" s="4">
        <f t="shared" si="14"/>
        <v>5.251</v>
      </c>
      <c r="K161" s="9">
        <f t="shared" si="15"/>
        <v>8.29999999999997</v>
      </c>
      <c r="L161" s="1">
        <f t="shared" si="16"/>
        <v>-0.199999999999992</v>
      </c>
    </row>
    <row r="162" s="1" customFormat="1" spans="1:12">
      <c r="A162" s="2">
        <v>5.318</v>
      </c>
      <c r="B162" s="10" t="s">
        <v>223</v>
      </c>
      <c r="C162" s="4">
        <v>5.318</v>
      </c>
      <c r="D162" s="5">
        <v>50.3</v>
      </c>
      <c r="E162" s="4"/>
      <c r="F162" s="4"/>
      <c r="G162" s="2">
        <f t="shared" si="12"/>
        <v>5.285</v>
      </c>
      <c r="H162" s="11" t="str">
        <f t="shared" si="13"/>
        <v>3.455E-2</v>
      </c>
      <c r="I162" s="2">
        <f t="shared" si="17"/>
        <v>50.9</v>
      </c>
      <c r="J162" s="4">
        <f t="shared" si="14"/>
        <v>5.285</v>
      </c>
      <c r="K162" s="9">
        <f t="shared" si="15"/>
        <v>8.29999999999997</v>
      </c>
      <c r="L162" s="1">
        <f t="shared" si="16"/>
        <v>-0.199999999999992</v>
      </c>
    </row>
    <row r="163" s="1" customFormat="1" spans="1:12">
      <c r="A163" s="2">
        <v>5.352</v>
      </c>
      <c r="B163" s="10" t="s">
        <v>223</v>
      </c>
      <c r="C163" s="4">
        <v>5.352</v>
      </c>
      <c r="D163" s="5">
        <v>49.3</v>
      </c>
      <c r="E163" s="4"/>
      <c r="F163" s="4"/>
      <c r="G163" s="2">
        <f t="shared" si="12"/>
        <v>5.318</v>
      </c>
      <c r="H163" s="11" t="str">
        <f t="shared" si="13"/>
        <v>3.455E-2</v>
      </c>
      <c r="I163" s="2">
        <f t="shared" si="17"/>
        <v>50.5</v>
      </c>
      <c r="J163" s="4">
        <f t="shared" si="14"/>
        <v>5.318</v>
      </c>
      <c r="K163" s="9">
        <f t="shared" si="15"/>
        <v>8.29999999999997</v>
      </c>
      <c r="L163" s="1">
        <f t="shared" si="16"/>
        <v>-0.199999999999992</v>
      </c>
    </row>
    <row r="164" s="1" customFormat="1" spans="1:12">
      <c r="A164" s="2">
        <v>5.385</v>
      </c>
      <c r="B164" s="10" t="s">
        <v>41</v>
      </c>
      <c r="C164" s="4">
        <v>5.385</v>
      </c>
      <c r="D164" s="5">
        <v>49.4</v>
      </c>
      <c r="E164" s="4"/>
      <c r="F164" s="4"/>
      <c r="G164" s="2">
        <f t="shared" si="12"/>
        <v>5.352</v>
      </c>
      <c r="H164" s="11" t="str">
        <f t="shared" si="13"/>
        <v>3.455E-2</v>
      </c>
      <c r="I164" s="2">
        <f t="shared" si="17"/>
        <v>50.3</v>
      </c>
      <c r="J164" s="4">
        <f t="shared" si="14"/>
        <v>5.352</v>
      </c>
      <c r="K164" s="9">
        <f t="shared" si="15"/>
        <v>8.29999999999997</v>
      </c>
      <c r="L164" s="1">
        <f t="shared" si="16"/>
        <v>-0.199999999999992</v>
      </c>
    </row>
    <row r="165" s="1" customFormat="1" spans="1:12">
      <c r="A165" s="2">
        <v>5.418</v>
      </c>
      <c r="B165" s="10" t="s">
        <v>41</v>
      </c>
      <c r="C165" s="4">
        <v>5.418</v>
      </c>
      <c r="D165" s="5">
        <v>49</v>
      </c>
      <c r="E165" s="4"/>
      <c r="F165" s="4"/>
      <c r="G165" s="2">
        <f t="shared" si="12"/>
        <v>5.385</v>
      </c>
      <c r="H165" s="11" t="str">
        <f t="shared" si="13"/>
        <v>3.456E-2</v>
      </c>
      <c r="I165" s="2">
        <f t="shared" si="17"/>
        <v>49.3</v>
      </c>
      <c r="J165" s="4">
        <f t="shared" si="14"/>
        <v>5.385</v>
      </c>
      <c r="K165" s="9">
        <f t="shared" si="15"/>
        <v>8.4</v>
      </c>
      <c r="L165" s="1">
        <f t="shared" si="16"/>
        <v>-0.199999999999992</v>
      </c>
    </row>
    <row r="166" s="1" customFormat="1" spans="1:12">
      <c r="A166" s="2">
        <v>5.452</v>
      </c>
      <c r="B166" s="10" t="s">
        <v>110</v>
      </c>
      <c r="C166" s="4">
        <v>5.452</v>
      </c>
      <c r="D166" s="5">
        <v>49.4</v>
      </c>
      <c r="E166" s="4"/>
      <c r="F166" s="4"/>
      <c r="G166" s="2">
        <f t="shared" si="12"/>
        <v>5.418</v>
      </c>
      <c r="H166" s="11" t="str">
        <f t="shared" si="13"/>
        <v>3.456E-2</v>
      </c>
      <c r="I166" s="2">
        <f t="shared" si="17"/>
        <v>49.4</v>
      </c>
      <c r="J166" s="4">
        <f t="shared" si="14"/>
        <v>5.418</v>
      </c>
      <c r="K166" s="9">
        <f t="shared" si="15"/>
        <v>8.4</v>
      </c>
      <c r="L166" s="1">
        <f t="shared" si="16"/>
        <v>-0.199999999999992</v>
      </c>
    </row>
    <row r="167" s="1" customFormat="1" spans="1:12">
      <c r="A167" s="2">
        <v>5.485</v>
      </c>
      <c r="B167" s="10" t="s">
        <v>220</v>
      </c>
      <c r="C167" s="4">
        <v>5.485</v>
      </c>
      <c r="D167" s="5">
        <v>48.7</v>
      </c>
      <c r="E167" s="4"/>
      <c r="F167" s="4"/>
      <c r="G167" s="2">
        <f t="shared" si="12"/>
        <v>5.452</v>
      </c>
      <c r="H167" s="11" t="str">
        <f t="shared" si="13"/>
        <v>3.457E-2</v>
      </c>
      <c r="I167" s="2">
        <f t="shared" si="17"/>
        <v>49</v>
      </c>
      <c r="J167" s="4">
        <f t="shared" si="14"/>
        <v>5.452</v>
      </c>
      <c r="K167" s="9">
        <f t="shared" si="15"/>
        <v>8.49999999999997</v>
      </c>
      <c r="L167" s="1">
        <f t="shared" si="16"/>
        <v>-0.199999999999992</v>
      </c>
    </row>
    <row r="168" s="1" customFormat="1" spans="1:12">
      <c r="A168" s="2">
        <v>5.519</v>
      </c>
      <c r="B168" s="10" t="s">
        <v>89</v>
      </c>
      <c r="C168" s="4">
        <v>5.519</v>
      </c>
      <c r="D168" s="5">
        <v>49.4</v>
      </c>
      <c r="E168" s="4"/>
      <c r="F168" s="4"/>
      <c r="G168" s="2">
        <f t="shared" si="12"/>
        <v>5.485</v>
      </c>
      <c r="H168" s="11" t="str">
        <f t="shared" si="13"/>
        <v>3.458E-2</v>
      </c>
      <c r="I168" s="2">
        <f t="shared" si="17"/>
        <v>49.4</v>
      </c>
      <c r="J168" s="4">
        <f t="shared" si="14"/>
        <v>5.485</v>
      </c>
      <c r="K168" s="9">
        <f t="shared" si="15"/>
        <v>8.6</v>
      </c>
      <c r="L168" s="1">
        <f t="shared" si="16"/>
        <v>-0.199999999999992</v>
      </c>
    </row>
    <row r="169" s="1" customFormat="1" spans="1:12">
      <c r="A169" s="2">
        <v>5.552</v>
      </c>
      <c r="B169" s="10" t="s">
        <v>27</v>
      </c>
      <c r="C169" s="4">
        <v>5.552</v>
      </c>
      <c r="D169" s="5">
        <v>48.3</v>
      </c>
      <c r="E169" s="4"/>
      <c r="F169" s="4"/>
      <c r="G169" s="2">
        <f t="shared" si="12"/>
        <v>5.519</v>
      </c>
      <c r="H169" s="11" t="str">
        <f t="shared" si="13"/>
        <v>3.462E-2</v>
      </c>
      <c r="I169" s="2">
        <f t="shared" si="17"/>
        <v>48.7</v>
      </c>
      <c r="J169" s="4">
        <f t="shared" si="14"/>
        <v>5.519</v>
      </c>
      <c r="K169" s="9">
        <f t="shared" si="15"/>
        <v>8.99999999999998</v>
      </c>
      <c r="L169" s="1">
        <f t="shared" si="16"/>
        <v>-0.199999999999992</v>
      </c>
    </row>
    <row r="170" s="1" customFormat="1" spans="1:12">
      <c r="A170" s="2">
        <v>5.586</v>
      </c>
      <c r="B170" s="10" t="s">
        <v>237</v>
      </c>
      <c r="C170" s="4">
        <v>5.586</v>
      </c>
      <c r="D170" s="5">
        <v>48</v>
      </c>
      <c r="E170" s="4"/>
      <c r="F170" s="4"/>
      <c r="G170" s="2">
        <f t="shared" si="12"/>
        <v>5.552</v>
      </c>
      <c r="H170" s="11" t="str">
        <f t="shared" si="13"/>
        <v>3.463E-2</v>
      </c>
      <c r="I170" s="2">
        <f t="shared" si="17"/>
        <v>49.4</v>
      </c>
      <c r="J170" s="4">
        <f t="shared" si="14"/>
        <v>5.552</v>
      </c>
      <c r="K170" s="9">
        <f t="shared" si="15"/>
        <v>9.10000000000001</v>
      </c>
      <c r="L170" s="1">
        <f t="shared" si="16"/>
        <v>-0.199999999999992</v>
      </c>
    </row>
    <row r="171" s="1" customFormat="1" spans="1:12">
      <c r="A171" s="2">
        <v>5.619</v>
      </c>
      <c r="B171" s="10" t="s">
        <v>166</v>
      </c>
      <c r="C171" s="4">
        <v>5.619</v>
      </c>
      <c r="D171" s="5">
        <v>47.7</v>
      </c>
      <c r="E171" s="4"/>
      <c r="F171" s="4"/>
      <c r="G171" s="2">
        <f t="shared" si="12"/>
        <v>5.586</v>
      </c>
      <c r="H171" s="11" t="str">
        <f t="shared" si="13"/>
        <v>3.464E-2</v>
      </c>
      <c r="I171" s="2">
        <f t="shared" si="17"/>
        <v>48.3</v>
      </c>
      <c r="J171" s="4">
        <f t="shared" si="14"/>
        <v>5.586</v>
      </c>
      <c r="K171" s="9">
        <f t="shared" si="15"/>
        <v>9.19999999999997</v>
      </c>
      <c r="L171" s="1">
        <f t="shared" si="16"/>
        <v>-0.199999999999992</v>
      </c>
    </row>
    <row r="172" s="1" customFormat="1" spans="1:12">
      <c r="A172" s="2">
        <v>5.653</v>
      </c>
      <c r="B172" s="10" t="s">
        <v>204</v>
      </c>
      <c r="C172" s="4">
        <v>5.653</v>
      </c>
      <c r="D172" s="5">
        <v>47.6</v>
      </c>
      <c r="E172" s="4"/>
      <c r="F172" s="4"/>
      <c r="G172" s="2">
        <f t="shared" si="12"/>
        <v>5.619</v>
      </c>
      <c r="H172" s="11" t="str">
        <f t="shared" si="13"/>
        <v>3.465E-2</v>
      </c>
      <c r="I172" s="2">
        <f t="shared" si="17"/>
        <v>48</v>
      </c>
      <c r="J172" s="4">
        <f t="shared" si="14"/>
        <v>5.619</v>
      </c>
      <c r="K172" s="9">
        <f t="shared" si="15"/>
        <v>9.3</v>
      </c>
      <c r="L172" s="1">
        <f t="shared" si="16"/>
        <v>-0.199999999999992</v>
      </c>
    </row>
    <row r="173" s="1" customFormat="1" spans="1:12">
      <c r="A173" s="2">
        <v>5.686</v>
      </c>
      <c r="B173" s="10" t="s">
        <v>28</v>
      </c>
      <c r="C173" s="4">
        <v>5.686</v>
      </c>
      <c r="D173" s="5">
        <v>47.2</v>
      </c>
      <c r="E173" s="4"/>
      <c r="F173" s="4"/>
      <c r="G173" s="2">
        <f t="shared" si="12"/>
        <v>5.653</v>
      </c>
      <c r="H173" s="11" t="str">
        <f t="shared" si="13"/>
        <v>3.468E-2</v>
      </c>
      <c r="I173" s="2">
        <f t="shared" si="17"/>
        <v>47.7</v>
      </c>
      <c r="J173" s="4">
        <f t="shared" si="14"/>
        <v>5.653</v>
      </c>
      <c r="K173" s="9">
        <f t="shared" si="15"/>
        <v>9.60000000000002</v>
      </c>
      <c r="L173" s="1">
        <f t="shared" si="16"/>
        <v>-0.199999999999992</v>
      </c>
    </row>
    <row r="174" s="1" customFormat="1" spans="1:12">
      <c r="A174" s="2">
        <v>5.719</v>
      </c>
      <c r="B174" s="10" t="s">
        <v>119</v>
      </c>
      <c r="C174" s="4">
        <v>5.719</v>
      </c>
      <c r="D174" s="5">
        <v>46.8</v>
      </c>
      <c r="E174" s="4"/>
      <c r="F174" s="4"/>
      <c r="G174" s="2">
        <f t="shared" si="12"/>
        <v>5.686</v>
      </c>
      <c r="H174" s="11" t="str">
        <f t="shared" si="13"/>
        <v>3.470E-2</v>
      </c>
      <c r="I174" s="2">
        <f t="shared" si="17"/>
        <v>47.6</v>
      </c>
      <c r="J174" s="4">
        <f t="shared" si="14"/>
        <v>5.686</v>
      </c>
      <c r="K174" s="9">
        <f t="shared" si="15"/>
        <v>9.80000000000002</v>
      </c>
      <c r="L174" s="1">
        <f t="shared" si="16"/>
        <v>-0.199999999999992</v>
      </c>
    </row>
    <row r="175" s="1" customFormat="1" spans="1:12">
      <c r="A175" s="2">
        <v>5.753</v>
      </c>
      <c r="B175" s="10" t="s">
        <v>250</v>
      </c>
      <c r="C175" s="4">
        <v>5.753</v>
      </c>
      <c r="D175" s="5">
        <v>46.8</v>
      </c>
      <c r="E175" s="4"/>
      <c r="F175" s="4"/>
      <c r="G175" s="2">
        <f t="shared" si="12"/>
        <v>5.719</v>
      </c>
      <c r="H175" s="11" t="str">
        <f t="shared" si="13"/>
        <v>3.471E-2</v>
      </c>
      <c r="I175" s="2">
        <f t="shared" si="17"/>
        <v>47.2</v>
      </c>
      <c r="J175" s="4">
        <f t="shared" si="14"/>
        <v>5.719</v>
      </c>
      <c r="K175" s="9">
        <f t="shared" si="15"/>
        <v>9.89999999999998</v>
      </c>
      <c r="L175" s="1">
        <f t="shared" si="16"/>
        <v>-0.199999999999992</v>
      </c>
    </row>
    <row r="176" s="1" customFormat="1" spans="1:12">
      <c r="A176" s="2">
        <v>5.786</v>
      </c>
      <c r="B176" s="10" t="s">
        <v>250</v>
      </c>
      <c r="C176" s="4">
        <v>5.786</v>
      </c>
      <c r="D176" s="5">
        <v>46.6</v>
      </c>
      <c r="E176" s="4"/>
      <c r="F176" s="4"/>
      <c r="G176" s="2">
        <f t="shared" si="12"/>
        <v>5.753</v>
      </c>
      <c r="H176" s="11" t="str">
        <f t="shared" si="13"/>
        <v>3.473E-2</v>
      </c>
      <c r="I176" s="2">
        <f t="shared" si="17"/>
        <v>46.8</v>
      </c>
      <c r="J176" s="4">
        <f t="shared" si="14"/>
        <v>5.753</v>
      </c>
      <c r="K176" s="9">
        <f t="shared" si="15"/>
        <v>10.1</v>
      </c>
      <c r="L176" s="1">
        <f t="shared" si="16"/>
        <v>-0.199999999999992</v>
      </c>
    </row>
    <row r="177" s="1" customFormat="1" spans="1:12">
      <c r="A177" s="2">
        <v>5.82</v>
      </c>
      <c r="B177" s="10" t="s">
        <v>109</v>
      </c>
      <c r="C177" s="4">
        <v>5.82</v>
      </c>
      <c r="D177" s="5">
        <v>46.5</v>
      </c>
      <c r="E177" s="4"/>
      <c r="F177" s="4"/>
      <c r="G177" s="2">
        <f t="shared" si="12"/>
        <v>5.786</v>
      </c>
      <c r="H177" s="11" t="str">
        <f t="shared" si="13"/>
        <v>3.473E-2</v>
      </c>
      <c r="I177" s="2">
        <f t="shared" si="17"/>
        <v>46.8</v>
      </c>
      <c r="J177" s="4">
        <f t="shared" si="14"/>
        <v>5.786</v>
      </c>
      <c r="K177" s="9">
        <f t="shared" si="15"/>
        <v>10.1</v>
      </c>
      <c r="L177" s="1">
        <f t="shared" si="16"/>
        <v>-0.199999999999992</v>
      </c>
    </row>
    <row r="178" s="1" customFormat="1" spans="1:12">
      <c r="A178" s="2">
        <v>5.853</v>
      </c>
      <c r="B178" s="10" t="s">
        <v>202</v>
      </c>
      <c r="C178" s="4">
        <v>5.853</v>
      </c>
      <c r="D178" s="5">
        <v>46.9</v>
      </c>
      <c r="E178" s="4"/>
      <c r="F178" s="4"/>
      <c r="G178" s="2">
        <f t="shared" si="12"/>
        <v>5.82</v>
      </c>
      <c r="H178" s="11" t="str">
        <f t="shared" si="13"/>
        <v>3.476E-2</v>
      </c>
      <c r="I178" s="2">
        <f t="shared" si="17"/>
        <v>46.6</v>
      </c>
      <c r="J178" s="4">
        <f t="shared" si="14"/>
        <v>5.82</v>
      </c>
      <c r="K178" s="9">
        <f t="shared" si="15"/>
        <v>10.4</v>
      </c>
      <c r="L178" s="1">
        <f t="shared" si="16"/>
        <v>-0.199999999999992</v>
      </c>
    </row>
    <row r="179" s="1" customFormat="1" spans="1:12">
      <c r="A179" s="2">
        <v>5.887</v>
      </c>
      <c r="B179" s="10" t="s">
        <v>109</v>
      </c>
      <c r="C179" s="4">
        <v>5.887</v>
      </c>
      <c r="D179" s="5">
        <v>47</v>
      </c>
      <c r="E179" s="4"/>
      <c r="F179" s="4"/>
      <c r="G179" s="2">
        <f t="shared" si="12"/>
        <v>5.853</v>
      </c>
      <c r="H179" s="11" t="str">
        <f t="shared" si="13"/>
        <v>3.475E-2</v>
      </c>
      <c r="I179" s="2">
        <f t="shared" si="17"/>
        <v>46.5</v>
      </c>
      <c r="J179" s="4">
        <f t="shared" si="14"/>
        <v>5.853</v>
      </c>
      <c r="K179" s="9">
        <f t="shared" si="15"/>
        <v>10.3</v>
      </c>
      <c r="L179" s="1">
        <f t="shared" si="16"/>
        <v>-0.199999999999992</v>
      </c>
    </row>
    <row r="180" s="1" customFormat="1" spans="1:12">
      <c r="A180" s="2">
        <v>5.92</v>
      </c>
      <c r="B180" s="10" t="s">
        <v>202</v>
      </c>
      <c r="C180" s="4">
        <v>5.92</v>
      </c>
      <c r="D180" s="5">
        <v>46.3</v>
      </c>
      <c r="E180" s="4"/>
      <c r="F180" s="4"/>
      <c r="G180" s="2">
        <f t="shared" si="12"/>
        <v>5.887</v>
      </c>
      <c r="H180" s="11" t="str">
        <f t="shared" si="13"/>
        <v>3.476E-2</v>
      </c>
      <c r="I180" s="2">
        <f t="shared" si="17"/>
        <v>46.9</v>
      </c>
      <c r="J180" s="4">
        <f t="shared" si="14"/>
        <v>5.887</v>
      </c>
      <c r="K180" s="9">
        <f t="shared" si="15"/>
        <v>10.4</v>
      </c>
      <c r="L180" s="1">
        <f t="shared" si="16"/>
        <v>-0.199999999999992</v>
      </c>
    </row>
    <row r="181" s="1" customFormat="1" spans="1:12">
      <c r="A181" s="2">
        <v>5.954</v>
      </c>
      <c r="B181" s="10" t="s">
        <v>171</v>
      </c>
      <c r="C181" s="4">
        <v>5.954</v>
      </c>
      <c r="D181" s="5">
        <v>46.5</v>
      </c>
      <c r="E181" s="4"/>
      <c r="F181" s="4"/>
      <c r="G181" s="2">
        <f t="shared" si="12"/>
        <v>5.92</v>
      </c>
      <c r="H181" s="11" t="str">
        <f t="shared" si="13"/>
        <v>3.475E-2</v>
      </c>
      <c r="I181" s="2">
        <f t="shared" si="17"/>
        <v>47</v>
      </c>
      <c r="J181" s="4">
        <f t="shared" si="14"/>
        <v>5.92</v>
      </c>
      <c r="K181" s="9">
        <f t="shared" si="15"/>
        <v>10.3</v>
      </c>
      <c r="L181" s="1">
        <f t="shared" si="16"/>
        <v>-0.199999999999992</v>
      </c>
    </row>
    <row r="182" s="1" customFormat="1" spans="1:12">
      <c r="A182" s="2">
        <v>5.987</v>
      </c>
      <c r="B182" s="10" t="s">
        <v>250</v>
      </c>
      <c r="C182" s="4">
        <v>5.987</v>
      </c>
      <c r="D182" s="5">
        <v>46.5</v>
      </c>
      <c r="E182" s="4"/>
      <c r="F182" s="4"/>
      <c r="G182" s="2">
        <f t="shared" si="12"/>
        <v>5.954</v>
      </c>
      <c r="H182" s="11" t="str">
        <f t="shared" si="13"/>
        <v>3.474E-2</v>
      </c>
      <c r="I182" s="2">
        <f t="shared" si="17"/>
        <v>46.3</v>
      </c>
      <c r="J182" s="4">
        <f t="shared" si="14"/>
        <v>5.954</v>
      </c>
      <c r="K182" s="9">
        <f t="shared" si="15"/>
        <v>10.2</v>
      </c>
      <c r="L182" s="1">
        <f t="shared" si="16"/>
        <v>-0.199999999999992</v>
      </c>
    </row>
    <row r="183" s="1" customFormat="1" spans="1:12">
      <c r="A183" s="2">
        <v>6.02</v>
      </c>
      <c r="B183" s="10" t="s">
        <v>119</v>
      </c>
      <c r="C183" s="4">
        <v>6.02</v>
      </c>
      <c r="D183" s="5">
        <v>46.3</v>
      </c>
      <c r="E183" s="4"/>
      <c r="F183" s="4"/>
      <c r="G183" s="2">
        <f t="shared" si="12"/>
        <v>5.987</v>
      </c>
      <c r="H183" s="11" t="str">
        <f t="shared" si="13"/>
        <v>3.473E-2</v>
      </c>
      <c r="I183" s="2">
        <f t="shared" si="17"/>
        <v>46.5</v>
      </c>
      <c r="J183" s="4">
        <f t="shared" si="14"/>
        <v>5.987</v>
      </c>
      <c r="K183" s="9">
        <f t="shared" si="15"/>
        <v>10.1</v>
      </c>
      <c r="L183" s="1">
        <f t="shared" si="16"/>
        <v>-0.199999999999992</v>
      </c>
    </row>
    <row r="184" s="1" customFormat="1" spans="1:12">
      <c r="A184" s="2">
        <v>6.054</v>
      </c>
      <c r="B184" s="10" t="s">
        <v>28</v>
      </c>
      <c r="C184" s="4">
        <v>6.054</v>
      </c>
      <c r="D184" s="5">
        <v>46.7</v>
      </c>
      <c r="E184" s="4"/>
      <c r="F184" s="4"/>
      <c r="G184" s="2">
        <f t="shared" si="12"/>
        <v>6.02</v>
      </c>
      <c r="H184" s="11" t="str">
        <f t="shared" si="13"/>
        <v>3.471E-2</v>
      </c>
      <c r="I184" s="2">
        <f t="shared" si="17"/>
        <v>46.5</v>
      </c>
      <c r="J184" s="4">
        <f t="shared" si="14"/>
        <v>6.02</v>
      </c>
      <c r="K184" s="9">
        <f t="shared" si="15"/>
        <v>9.89999999999998</v>
      </c>
      <c r="L184" s="1">
        <f t="shared" si="16"/>
        <v>-0.199999999999992</v>
      </c>
    </row>
    <row r="185" s="1" customFormat="1" spans="1:12">
      <c r="A185" s="2">
        <v>6.087</v>
      </c>
      <c r="B185" s="10" t="s">
        <v>217</v>
      </c>
      <c r="C185" s="4">
        <v>6.087</v>
      </c>
      <c r="D185" s="5">
        <v>46.4</v>
      </c>
      <c r="E185" s="4"/>
      <c r="F185" s="4"/>
      <c r="G185" s="2">
        <f t="shared" si="12"/>
        <v>6.054</v>
      </c>
      <c r="H185" s="11" t="str">
        <f t="shared" si="13"/>
        <v>3.470E-2</v>
      </c>
      <c r="I185" s="2">
        <f t="shared" si="17"/>
        <v>46.3</v>
      </c>
      <c r="J185" s="4">
        <f t="shared" si="14"/>
        <v>6.054</v>
      </c>
      <c r="K185" s="9">
        <f t="shared" si="15"/>
        <v>9.80000000000002</v>
      </c>
      <c r="L185" s="1">
        <f t="shared" si="16"/>
        <v>-0.199999999999992</v>
      </c>
    </row>
    <row r="186" s="1" customFormat="1" spans="1:12">
      <c r="A186" s="2">
        <v>6.121</v>
      </c>
      <c r="B186" s="10" t="s">
        <v>166</v>
      </c>
      <c r="C186" s="4">
        <v>6.121</v>
      </c>
      <c r="D186" s="5">
        <v>46</v>
      </c>
      <c r="E186" s="4"/>
      <c r="F186" s="4"/>
      <c r="G186" s="2">
        <f t="shared" si="12"/>
        <v>6.087</v>
      </c>
      <c r="H186" s="11" t="str">
        <f t="shared" si="13"/>
        <v>3.467E-2</v>
      </c>
      <c r="I186" s="2">
        <f t="shared" si="17"/>
        <v>46.7</v>
      </c>
      <c r="J186" s="4">
        <f t="shared" si="14"/>
        <v>6.087</v>
      </c>
      <c r="K186" s="9">
        <f t="shared" si="15"/>
        <v>9.49999999999999</v>
      </c>
      <c r="L186" s="1">
        <f t="shared" si="16"/>
        <v>-0.199999999999992</v>
      </c>
    </row>
    <row r="187" s="1" customFormat="1" spans="1:12">
      <c r="A187" s="2">
        <v>6.154</v>
      </c>
      <c r="B187" s="10" t="s">
        <v>237</v>
      </c>
      <c r="C187" s="4">
        <v>6.154</v>
      </c>
      <c r="D187" s="5">
        <v>46.3</v>
      </c>
      <c r="E187" s="4"/>
      <c r="F187" s="4"/>
      <c r="G187" s="2">
        <f t="shared" si="12"/>
        <v>6.121</v>
      </c>
      <c r="H187" s="11" t="str">
        <f t="shared" si="13"/>
        <v>3.465E-2</v>
      </c>
      <c r="I187" s="2">
        <f t="shared" si="17"/>
        <v>46.4</v>
      </c>
      <c r="J187" s="4">
        <f t="shared" si="14"/>
        <v>6.121</v>
      </c>
      <c r="K187" s="9">
        <f t="shared" si="15"/>
        <v>9.3</v>
      </c>
      <c r="L187" s="1">
        <f t="shared" si="16"/>
        <v>-0.199999999999992</v>
      </c>
    </row>
    <row r="188" s="1" customFormat="1" spans="1:12">
      <c r="A188" s="2">
        <v>6.188</v>
      </c>
      <c r="B188" s="10" t="s">
        <v>27</v>
      </c>
      <c r="C188" s="4">
        <v>6.188</v>
      </c>
      <c r="D188" s="5">
        <v>46.2</v>
      </c>
      <c r="E188" s="4"/>
      <c r="F188" s="4"/>
      <c r="G188" s="2">
        <f t="shared" si="12"/>
        <v>6.154</v>
      </c>
      <c r="H188" s="11" t="str">
        <f t="shared" si="13"/>
        <v>3.464E-2</v>
      </c>
      <c r="I188" s="2">
        <f t="shared" si="17"/>
        <v>46</v>
      </c>
      <c r="J188" s="4">
        <f t="shared" si="14"/>
        <v>6.154</v>
      </c>
      <c r="K188" s="9">
        <f t="shared" si="15"/>
        <v>9.19999999999997</v>
      </c>
      <c r="L188" s="1">
        <f t="shared" si="16"/>
        <v>-0.199999999999992</v>
      </c>
    </row>
    <row r="189" s="1" customFormat="1" spans="1:12">
      <c r="A189" s="2">
        <v>6.221</v>
      </c>
      <c r="B189" s="10" t="s">
        <v>169</v>
      </c>
      <c r="C189" s="4">
        <v>6.221</v>
      </c>
      <c r="D189" s="5">
        <v>46.8</v>
      </c>
      <c r="E189" s="4"/>
      <c r="F189" s="4"/>
      <c r="G189" s="2">
        <f t="shared" si="12"/>
        <v>6.188</v>
      </c>
      <c r="H189" s="11" t="str">
        <f t="shared" si="13"/>
        <v>3.463E-2</v>
      </c>
      <c r="I189" s="2">
        <f t="shared" si="17"/>
        <v>46.3</v>
      </c>
      <c r="J189" s="4">
        <f t="shared" si="14"/>
        <v>6.188</v>
      </c>
      <c r="K189" s="9">
        <f t="shared" si="15"/>
        <v>9.10000000000001</v>
      </c>
      <c r="L189" s="1">
        <f t="shared" si="16"/>
        <v>-0.199999999999992</v>
      </c>
    </row>
    <row r="190" s="1" customFormat="1" spans="1:12">
      <c r="A190" s="2">
        <v>6.255</v>
      </c>
      <c r="B190" s="10" t="s">
        <v>220</v>
      </c>
      <c r="C190" s="4">
        <v>6.255</v>
      </c>
      <c r="D190" s="5">
        <v>46.3</v>
      </c>
      <c r="E190" s="4"/>
      <c r="F190" s="4"/>
      <c r="G190" s="2">
        <f t="shared" si="12"/>
        <v>6.221</v>
      </c>
      <c r="H190" s="11" t="str">
        <f t="shared" si="13"/>
        <v>3.461E-2</v>
      </c>
      <c r="I190" s="2">
        <f t="shared" si="17"/>
        <v>46.2</v>
      </c>
      <c r="J190" s="4">
        <f t="shared" si="14"/>
        <v>6.221</v>
      </c>
      <c r="K190" s="9">
        <f t="shared" si="15"/>
        <v>8.90000000000002</v>
      </c>
      <c r="L190" s="1">
        <f t="shared" si="16"/>
        <v>-0.199999999999992</v>
      </c>
    </row>
    <row r="191" s="1" customFormat="1" spans="1:12">
      <c r="A191" s="2">
        <v>6.288</v>
      </c>
      <c r="B191" s="10" t="s">
        <v>223</v>
      </c>
      <c r="C191" s="4">
        <v>6.288</v>
      </c>
      <c r="D191" s="5">
        <v>46.5</v>
      </c>
      <c r="E191" s="4"/>
      <c r="F191" s="4"/>
      <c r="G191" s="2">
        <f t="shared" si="12"/>
        <v>6.255</v>
      </c>
      <c r="H191" s="11" t="str">
        <f t="shared" si="13"/>
        <v>3.458E-2</v>
      </c>
      <c r="I191" s="2">
        <f t="shared" si="17"/>
        <v>46.8</v>
      </c>
      <c r="J191" s="4">
        <f t="shared" si="14"/>
        <v>6.255</v>
      </c>
      <c r="K191" s="9">
        <f t="shared" si="15"/>
        <v>8.6</v>
      </c>
      <c r="L191" s="1">
        <f t="shared" si="16"/>
        <v>-0.199999999999992</v>
      </c>
    </row>
    <row r="192" s="1" customFormat="1" spans="1:12">
      <c r="A192" s="2">
        <v>6.321</v>
      </c>
      <c r="B192" s="10" t="s">
        <v>223</v>
      </c>
      <c r="C192" s="4">
        <v>6.321</v>
      </c>
      <c r="D192" s="5">
        <v>46.1</v>
      </c>
      <c r="E192" s="4"/>
      <c r="F192" s="4"/>
      <c r="G192" s="2">
        <f t="shared" si="12"/>
        <v>6.288</v>
      </c>
      <c r="H192" s="11" t="str">
        <f t="shared" si="13"/>
        <v>3.455E-2</v>
      </c>
      <c r="I192" s="2">
        <f t="shared" si="17"/>
        <v>46.3</v>
      </c>
      <c r="J192" s="4">
        <f t="shared" si="14"/>
        <v>6.288</v>
      </c>
      <c r="K192" s="9">
        <f t="shared" si="15"/>
        <v>8.29999999999997</v>
      </c>
      <c r="L192" s="1">
        <f t="shared" si="16"/>
        <v>-0.199999999999992</v>
      </c>
    </row>
    <row r="193" s="1" customFormat="1" spans="1:12">
      <c r="A193" s="2">
        <v>6.355</v>
      </c>
      <c r="B193" s="10" t="s">
        <v>59</v>
      </c>
      <c r="C193" s="4">
        <v>6.355</v>
      </c>
      <c r="D193" s="5">
        <v>46.3</v>
      </c>
      <c r="E193" s="4"/>
      <c r="F193" s="4"/>
      <c r="G193" s="2">
        <f t="shared" si="12"/>
        <v>6.321</v>
      </c>
      <c r="H193" s="11" t="str">
        <f t="shared" si="13"/>
        <v>3.455E-2</v>
      </c>
      <c r="I193" s="2">
        <f t="shared" si="17"/>
        <v>46.5</v>
      </c>
      <c r="J193" s="4">
        <f t="shared" si="14"/>
        <v>6.321</v>
      </c>
      <c r="K193" s="9">
        <f t="shared" si="15"/>
        <v>8.29999999999997</v>
      </c>
      <c r="L193" s="1">
        <f t="shared" si="16"/>
        <v>-0.199999999999992</v>
      </c>
    </row>
    <row r="194" s="1" customFormat="1" spans="1:12">
      <c r="A194" s="2">
        <v>6.388</v>
      </c>
      <c r="B194" s="10" t="s">
        <v>26</v>
      </c>
      <c r="C194" s="4">
        <v>6.388</v>
      </c>
      <c r="D194" s="5">
        <v>46.2</v>
      </c>
      <c r="E194" s="4"/>
      <c r="F194" s="4"/>
      <c r="G194" s="2">
        <f t="shared" si="12"/>
        <v>6.355</v>
      </c>
      <c r="H194" s="11" t="str">
        <f t="shared" si="13"/>
        <v>3.452E-2</v>
      </c>
      <c r="I194" s="2">
        <f t="shared" si="17"/>
        <v>46.1</v>
      </c>
      <c r="J194" s="4">
        <f t="shared" si="14"/>
        <v>6.355</v>
      </c>
      <c r="K194" s="9">
        <f t="shared" si="15"/>
        <v>8.00000000000002</v>
      </c>
      <c r="L194" s="1">
        <f t="shared" si="16"/>
        <v>-0.199999999999992</v>
      </c>
    </row>
    <row r="195" s="1" customFormat="1" spans="1:12">
      <c r="A195" s="2">
        <v>6.422</v>
      </c>
      <c r="B195" s="10" t="s">
        <v>144</v>
      </c>
      <c r="C195" s="4">
        <v>6.422</v>
      </c>
      <c r="D195" s="5">
        <v>46.4</v>
      </c>
      <c r="E195" s="4"/>
      <c r="F195" s="4"/>
      <c r="G195" s="2">
        <f t="shared" si="12"/>
        <v>6.388</v>
      </c>
      <c r="H195" s="11" t="str">
        <f t="shared" si="13"/>
        <v>3.451E-2</v>
      </c>
      <c r="I195" s="2">
        <f t="shared" si="17"/>
        <v>46.3</v>
      </c>
      <c r="J195" s="4">
        <f t="shared" si="14"/>
        <v>6.388</v>
      </c>
      <c r="K195" s="9">
        <f t="shared" si="15"/>
        <v>7.89999999999999</v>
      </c>
      <c r="L195" s="1">
        <f t="shared" si="16"/>
        <v>-0.199999999999992</v>
      </c>
    </row>
    <row r="196" s="1" customFormat="1" spans="1:12">
      <c r="A196" s="2">
        <v>6.455</v>
      </c>
      <c r="B196" s="10" t="s">
        <v>144</v>
      </c>
      <c r="C196" s="4">
        <v>6.455</v>
      </c>
      <c r="D196" s="5">
        <v>46.1</v>
      </c>
      <c r="E196" s="4"/>
      <c r="F196" s="4"/>
      <c r="G196" s="2">
        <f t="shared" ref="G196:G259" si="18">A195</f>
        <v>6.422</v>
      </c>
      <c r="H196" s="11" t="str">
        <f t="shared" ref="H196:H259" si="19">B195</f>
        <v>3.449E-2</v>
      </c>
      <c r="I196" s="2">
        <f t="shared" si="17"/>
        <v>46.2</v>
      </c>
      <c r="J196" s="4">
        <f t="shared" ref="J196:J259" si="20">G196</f>
        <v>6.422</v>
      </c>
      <c r="K196" s="9">
        <f t="shared" ref="K196:K259" si="21">(H196-$H$4)*10000</f>
        <v>7.7</v>
      </c>
      <c r="L196" s="1">
        <f t="shared" ref="L196:L259" si="22">IF(I196&lt;230,MIN(K:K),MAX(K:K))</f>
        <v>-0.199999999999992</v>
      </c>
    </row>
    <row r="197" s="1" customFormat="1" spans="1:12">
      <c r="A197" s="2">
        <v>6.489</v>
      </c>
      <c r="B197" s="10" t="s">
        <v>25</v>
      </c>
      <c r="C197" s="4">
        <v>6.489</v>
      </c>
      <c r="D197" s="5">
        <v>46.3</v>
      </c>
      <c r="E197" s="4"/>
      <c r="F197" s="4"/>
      <c r="G197" s="2">
        <f t="shared" si="18"/>
        <v>6.455</v>
      </c>
      <c r="H197" s="11" t="str">
        <f t="shared" si="19"/>
        <v>3.449E-2</v>
      </c>
      <c r="I197" s="2">
        <f t="shared" ref="I197:I260" si="23">D195</f>
        <v>46.4</v>
      </c>
      <c r="J197" s="4">
        <f t="shared" si="20"/>
        <v>6.455</v>
      </c>
      <c r="K197" s="9">
        <f t="shared" si="21"/>
        <v>7.7</v>
      </c>
      <c r="L197" s="1">
        <f t="shared" si="22"/>
        <v>-0.199999999999992</v>
      </c>
    </row>
    <row r="198" s="1" customFormat="1" spans="1:12">
      <c r="A198" s="2">
        <v>6.522</v>
      </c>
      <c r="B198" s="10" t="s">
        <v>25</v>
      </c>
      <c r="C198" s="4">
        <v>6.522</v>
      </c>
      <c r="D198" s="5">
        <v>46.3</v>
      </c>
      <c r="E198" s="4"/>
      <c r="F198" s="4"/>
      <c r="G198" s="2">
        <f t="shared" si="18"/>
        <v>6.489</v>
      </c>
      <c r="H198" s="11" t="str">
        <f t="shared" si="19"/>
        <v>3.447E-2</v>
      </c>
      <c r="I198" s="2">
        <f t="shared" si="23"/>
        <v>46.1</v>
      </c>
      <c r="J198" s="4">
        <f t="shared" si="20"/>
        <v>6.489</v>
      </c>
      <c r="K198" s="9">
        <f t="shared" si="21"/>
        <v>7.50000000000001</v>
      </c>
      <c r="L198" s="1">
        <f t="shared" si="22"/>
        <v>-0.199999999999992</v>
      </c>
    </row>
    <row r="199" s="1" customFormat="1" spans="1:12">
      <c r="A199" s="2">
        <v>6.556</v>
      </c>
      <c r="B199" s="10" t="s">
        <v>21</v>
      </c>
      <c r="C199" s="4">
        <v>6.556</v>
      </c>
      <c r="D199" s="5">
        <v>46.1</v>
      </c>
      <c r="E199" s="4"/>
      <c r="F199" s="4"/>
      <c r="G199" s="2">
        <f t="shared" si="18"/>
        <v>6.522</v>
      </c>
      <c r="H199" s="11" t="str">
        <f t="shared" si="19"/>
        <v>3.447E-2</v>
      </c>
      <c r="I199" s="2">
        <f t="shared" si="23"/>
        <v>46.3</v>
      </c>
      <c r="J199" s="4">
        <f t="shared" si="20"/>
        <v>6.522</v>
      </c>
      <c r="K199" s="9">
        <f t="shared" si="21"/>
        <v>7.50000000000001</v>
      </c>
      <c r="L199" s="1">
        <f t="shared" si="22"/>
        <v>-0.199999999999992</v>
      </c>
    </row>
    <row r="200" s="1" customFormat="1" spans="1:12">
      <c r="A200" s="2">
        <v>6.589</v>
      </c>
      <c r="B200" s="10" t="s">
        <v>11</v>
      </c>
      <c r="C200" s="4">
        <v>6.589</v>
      </c>
      <c r="D200" s="5">
        <v>46.3</v>
      </c>
      <c r="E200" s="4"/>
      <c r="F200" s="4"/>
      <c r="G200" s="2">
        <f t="shared" si="18"/>
        <v>6.556</v>
      </c>
      <c r="H200" s="11" t="str">
        <f t="shared" si="19"/>
        <v>3.437E-2</v>
      </c>
      <c r="I200" s="2">
        <f t="shared" si="23"/>
        <v>46.3</v>
      </c>
      <c r="J200" s="4">
        <f t="shared" si="20"/>
        <v>6.556</v>
      </c>
      <c r="K200" s="9">
        <f t="shared" si="21"/>
        <v>6.49999999999998</v>
      </c>
      <c r="L200" s="1">
        <f t="shared" si="22"/>
        <v>-0.199999999999992</v>
      </c>
    </row>
    <row r="201" s="1" customFormat="1" spans="1:12">
      <c r="A201" s="2">
        <v>6.623</v>
      </c>
      <c r="B201" s="10" t="s">
        <v>20</v>
      </c>
      <c r="C201" s="4">
        <v>6.623</v>
      </c>
      <c r="D201" s="5">
        <v>46.5</v>
      </c>
      <c r="E201" s="4"/>
      <c r="F201" s="4"/>
      <c r="G201" s="2">
        <f t="shared" si="18"/>
        <v>6.589</v>
      </c>
      <c r="H201" s="11" t="str">
        <f t="shared" si="19"/>
        <v>3.432E-2</v>
      </c>
      <c r="I201" s="2">
        <f t="shared" si="23"/>
        <v>46.1</v>
      </c>
      <c r="J201" s="4">
        <f t="shared" si="20"/>
        <v>6.589</v>
      </c>
      <c r="K201" s="9">
        <f t="shared" si="21"/>
        <v>6.00000000000003</v>
      </c>
      <c r="L201" s="1">
        <f t="shared" si="22"/>
        <v>-0.199999999999992</v>
      </c>
    </row>
    <row r="202" s="1" customFormat="1" spans="1:12">
      <c r="A202" s="2">
        <v>6.656</v>
      </c>
      <c r="B202" s="10" t="s">
        <v>20</v>
      </c>
      <c r="C202" s="4">
        <v>6.656</v>
      </c>
      <c r="D202" s="5">
        <v>46.6</v>
      </c>
      <c r="E202" s="4"/>
      <c r="F202" s="4"/>
      <c r="G202" s="2">
        <f t="shared" si="18"/>
        <v>6.623</v>
      </c>
      <c r="H202" s="11" t="str">
        <f t="shared" si="19"/>
        <v>3.430E-2</v>
      </c>
      <c r="I202" s="2">
        <f t="shared" si="23"/>
        <v>46.3</v>
      </c>
      <c r="J202" s="4">
        <f t="shared" si="20"/>
        <v>6.623</v>
      </c>
      <c r="K202" s="9">
        <f t="shared" si="21"/>
        <v>5.79999999999997</v>
      </c>
      <c r="L202" s="1">
        <f t="shared" si="22"/>
        <v>-0.199999999999992</v>
      </c>
    </row>
    <row r="203" s="1" customFormat="1" spans="1:12">
      <c r="A203" s="2">
        <v>6.689</v>
      </c>
      <c r="B203" s="10" t="s">
        <v>14</v>
      </c>
      <c r="C203" s="4">
        <v>6.689</v>
      </c>
      <c r="D203" s="5">
        <v>46.5</v>
      </c>
      <c r="E203" s="4"/>
      <c r="F203" s="4"/>
      <c r="G203" s="2">
        <f t="shared" si="18"/>
        <v>6.656</v>
      </c>
      <c r="H203" s="11" t="str">
        <f t="shared" si="19"/>
        <v>3.430E-2</v>
      </c>
      <c r="I203" s="2">
        <f t="shared" si="23"/>
        <v>46.5</v>
      </c>
      <c r="J203" s="4">
        <f t="shared" si="20"/>
        <v>6.656</v>
      </c>
      <c r="K203" s="9">
        <f t="shared" si="21"/>
        <v>5.79999999999997</v>
      </c>
      <c r="L203" s="1">
        <f t="shared" si="22"/>
        <v>-0.199999999999992</v>
      </c>
    </row>
    <row r="204" s="1" customFormat="1" spans="1:12">
      <c r="A204" s="2">
        <v>6.723</v>
      </c>
      <c r="B204" s="10" t="s">
        <v>14</v>
      </c>
      <c r="C204" s="4">
        <v>6.723</v>
      </c>
      <c r="D204" s="5">
        <v>46.2</v>
      </c>
      <c r="E204" s="4"/>
      <c r="F204" s="4"/>
      <c r="G204" s="2">
        <f t="shared" si="18"/>
        <v>6.689</v>
      </c>
      <c r="H204" s="11" t="str">
        <f t="shared" si="19"/>
        <v>3.429E-2</v>
      </c>
      <c r="I204" s="2">
        <f t="shared" si="23"/>
        <v>46.6</v>
      </c>
      <c r="J204" s="4">
        <f t="shared" si="20"/>
        <v>6.689</v>
      </c>
      <c r="K204" s="9">
        <f t="shared" si="21"/>
        <v>5.70000000000001</v>
      </c>
      <c r="L204" s="1">
        <f t="shared" si="22"/>
        <v>-0.199999999999992</v>
      </c>
    </row>
    <row r="205" s="1" customFormat="1" spans="1:12">
      <c r="A205" s="2">
        <v>6.756</v>
      </c>
      <c r="B205" s="10" t="s">
        <v>20</v>
      </c>
      <c r="C205" s="4">
        <v>6.756</v>
      </c>
      <c r="D205" s="5">
        <v>46.3</v>
      </c>
      <c r="E205" s="4"/>
      <c r="F205" s="4"/>
      <c r="G205" s="2">
        <f t="shared" si="18"/>
        <v>6.723</v>
      </c>
      <c r="H205" s="11" t="str">
        <f t="shared" si="19"/>
        <v>3.429E-2</v>
      </c>
      <c r="I205" s="2">
        <f t="shared" si="23"/>
        <v>46.5</v>
      </c>
      <c r="J205" s="4">
        <f t="shared" si="20"/>
        <v>6.723</v>
      </c>
      <c r="K205" s="9">
        <f t="shared" si="21"/>
        <v>5.70000000000001</v>
      </c>
      <c r="L205" s="1">
        <f t="shared" si="22"/>
        <v>-0.199999999999992</v>
      </c>
    </row>
    <row r="206" s="1" customFormat="1" spans="1:12">
      <c r="A206" s="2">
        <v>6.79</v>
      </c>
      <c r="B206" s="10" t="s">
        <v>20</v>
      </c>
      <c r="C206" s="4">
        <v>6.79</v>
      </c>
      <c r="D206" s="5">
        <v>46.5</v>
      </c>
      <c r="E206" s="4"/>
      <c r="F206" s="4"/>
      <c r="G206" s="2">
        <f t="shared" si="18"/>
        <v>6.756</v>
      </c>
      <c r="H206" s="11" t="str">
        <f t="shared" si="19"/>
        <v>3.430E-2</v>
      </c>
      <c r="I206" s="2">
        <f t="shared" si="23"/>
        <v>46.2</v>
      </c>
      <c r="J206" s="4">
        <f t="shared" si="20"/>
        <v>6.756</v>
      </c>
      <c r="K206" s="9">
        <f t="shared" si="21"/>
        <v>5.79999999999997</v>
      </c>
      <c r="L206" s="1">
        <f t="shared" si="22"/>
        <v>-0.199999999999992</v>
      </c>
    </row>
    <row r="207" s="1" customFormat="1" spans="1:12">
      <c r="A207" s="2">
        <v>6.823</v>
      </c>
      <c r="B207" s="10" t="s">
        <v>11</v>
      </c>
      <c r="C207" s="4">
        <v>6.823</v>
      </c>
      <c r="D207" s="5">
        <v>46.7</v>
      </c>
      <c r="E207" s="4"/>
      <c r="F207" s="4"/>
      <c r="G207" s="2">
        <f t="shared" si="18"/>
        <v>6.79</v>
      </c>
      <c r="H207" s="11" t="str">
        <f t="shared" si="19"/>
        <v>3.430E-2</v>
      </c>
      <c r="I207" s="2">
        <f t="shared" si="23"/>
        <v>46.3</v>
      </c>
      <c r="J207" s="4">
        <f t="shared" si="20"/>
        <v>6.79</v>
      </c>
      <c r="K207" s="9">
        <f t="shared" si="21"/>
        <v>5.79999999999997</v>
      </c>
      <c r="L207" s="1">
        <f t="shared" si="22"/>
        <v>-0.199999999999992</v>
      </c>
    </row>
    <row r="208" s="1" customFormat="1" spans="1:12">
      <c r="A208" s="2">
        <v>6.857</v>
      </c>
      <c r="B208" s="10" t="s">
        <v>10</v>
      </c>
      <c r="C208" s="4">
        <v>6.857</v>
      </c>
      <c r="D208" s="5">
        <v>46.9</v>
      </c>
      <c r="E208" s="4"/>
      <c r="F208" s="4"/>
      <c r="G208" s="2">
        <f t="shared" si="18"/>
        <v>6.823</v>
      </c>
      <c r="H208" s="11" t="str">
        <f t="shared" si="19"/>
        <v>3.432E-2</v>
      </c>
      <c r="I208" s="2">
        <f t="shared" si="23"/>
        <v>46.5</v>
      </c>
      <c r="J208" s="4">
        <f t="shared" si="20"/>
        <v>6.823</v>
      </c>
      <c r="K208" s="9">
        <f t="shared" si="21"/>
        <v>6.00000000000003</v>
      </c>
      <c r="L208" s="1">
        <f t="shared" si="22"/>
        <v>-0.199999999999992</v>
      </c>
    </row>
    <row r="209" s="1" customFormat="1" spans="1:12">
      <c r="A209" s="2">
        <v>6.89</v>
      </c>
      <c r="B209" s="10" t="s">
        <v>143</v>
      </c>
      <c r="C209" s="4">
        <v>6.89</v>
      </c>
      <c r="D209" s="5">
        <v>46.2</v>
      </c>
      <c r="E209" s="4"/>
      <c r="F209" s="4"/>
      <c r="G209" s="2">
        <f t="shared" si="18"/>
        <v>6.857</v>
      </c>
      <c r="H209" s="11" t="str">
        <f t="shared" si="19"/>
        <v>3.434E-2</v>
      </c>
      <c r="I209" s="2">
        <f t="shared" si="23"/>
        <v>46.7</v>
      </c>
      <c r="J209" s="4">
        <f t="shared" si="20"/>
        <v>6.857</v>
      </c>
      <c r="K209" s="9">
        <f t="shared" si="21"/>
        <v>6.20000000000003</v>
      </c>
      <c r="L209" s="1">
        <f t="shared" si="22"/>
        <v>-0.199999999999992</v>
      </c>
    </row>
    <row r="210" s="1" customFormat="1" spans="1:12">
      <c r="A210" s="2">
        <v>6.924</v>
      </c>
      <c r="B210" s="10" t="s">
        <v>21</v>
      </c>
      <c r="C210" s="4">
        <v>6.924</v>
      </c>
      <c r="D210" s="5">
        <v>45.7</v>
      </c>
      <c r="E210" s="4"/>
      <c r="F210" s="4"/>
      <c r="G210" s="2">
        <f t="shared" si="18"/>
        <v>6.89</v>
      </c>
      <c r="H210" s="11" t="str">
        <f t="shared" si="19"/>
        <v>3.436E-2</v>
      </c>
      <c r="I210" s="2">
        <f t="shared" si="23"/>
        <v>46.9</v>
      </c>
      <c r="J210" s="4">
        <f t="shared" si="20"/>
        <v>6.89</v>
      </c>
      <c r="K210" s="9">
        <f t="shared" si="21"/>
        <v>6.40000000000002</v>
      </c>
      <c r="L210" s="1">
        <f t="shared" si="22"/>
        <v>-0.199999999999992</v>
      </c>
    </row>
    <row r="211" s="1" customFormat="1" spans="1:12">
      <c r="A211" s="2">
        <v>6.957</v>
      </c>
      <c r="B211" s="10" t="s">
        <v>58</v>
      </c>
      <c r="C211" s="4">
        <v>6.957</v>
      </c>
      <c r="D211" s="5">
        <v>46</v>
      </c>
      <c r="E211" s="4"/>
      <c r="F211" s="4"/>
      <c r="G211" s="2">
        <f t="shared" si="18"/>
        <v>6.924</v>
      </c>
      <c r="H211" s="11" t="str">
        <f t="shared" si="19"/>
        <v>3.437E-2</v>
      </c>
      <c r="I211" s="2">
        <f t="shared" si="23"/>
        <v>46.2</v>
      </c>
      <c r="J211" s="4">
        <f t="shared" si="20"/>
        <v>6.924</v>
      </c>
      <c r="K211" s="9">
        <f t="shared" si="21"/>
        <v>6.49999999999998</v>
      </c>
      <c r="L211" s="1">
        <f t="shared" si="22"/>
        <v>-0.199999999999992</v>
      </c>
    </row>
    <row r="212" s="1" customFormat="1" spans="1:12">
      <c r="A212" s="2">
        <v>6.99</v>
      </c>
      <c r="B212" s="10" t="s">
        <v>43</v>
      </c>
      <c r="C212" s="4">
        <v>6.99</v>
      </c>
      <c r="D212" s="5">
        <v>46</v>
      </c>
      <c r="E212" s="4"/>
      <c r="F212" s="4"/>
      <c r="G212" s="2">
        <f t="shared" si="18"/>
        <v>6.957</v>
      </c>
      <c r="H212" s="11" t="str">
        <f t="shared" si="19"/>
        <v>3.440E-2</v>
      </c>
      <c r="I212" s="2">
        <f t="shared" si="23"/>
        <v>45.7</v>
      </c>
      <c r="J212" s="4">
        <f t="shared" si="20"/>
        <v>6.957</v>
      </c>
      <c r="K212" s="9">
        <f t="shared" si="21"/>
        <v>6.8</v>
      </c>
      <c r="L212" s="1">
        <f t="shared" si="22"/>
        <v>-0.199999999999992</v>
      </c>
    </row>
    <row r="213" s="1" customFormat="1" spans="1:12">
      <c r="A213" s="2">
        <v>7.024</v>
      </c>
      <c r="B213" s="10" t="s">
        <v>222</v>
      </c>
      <c r="C213" s="4">
        <v>7.024</v>
      </c>
      <c r="D213" s="5">
        <v>45.9</v>
      </c>
      <c r="E213" s="4"/>
      <c r="F213" s="4"/>
      <c r="G213" s="2">
        <f t="shared" si="18"/>
        <v>6.99</v>
      </c>
      <c r="H213" s="11" t="str">
        <f t="shared" si="19"/>
        <v>3.441E-2</v>
      </c>
      <c r="I213" s="2">
        <f t="shared" si="23"/>
        <v>46</v>
      </c>
      <c r="J213" s="4">
        <f t="shared" si="20"/>
        <v>6.99</v>
      </c>
      <c r="K213" s="9">
        <f t="shared" si="21"/>
        <v>6.90000000000003</v>
      </c>
      <c r="L213" s="1">
        <f t="shared" si="22"/>
        <v>-0.199999999999992</v>
      </c>
    </row>
    <row r="214" s="1" customFormat="1" spans="1:12">
      <c r="A214" s="2">
        <v>7.057</v>
      </c>
      <c r="B214" s="10" t="s">
        <v>141</v>
      </c>
      <c r="C214" s="4">
        <v>7.057</v>
      </c>
      <c r="D214" s="5">
        <v>46.4</v>
      </c>
      <c r="E214" s="4"/>
      <c r="F214" s="4"/>
      <c r="G214" s="2">
        <f t="shared" si="18"/>
        <v>7.024</v>
      </c>
      <c r="H214" s="11" t="str">
        <f t="shared" si="19"/>
        <v>3.443E-2</v>
      </c>
      <c r="I214" s="2">
        <f t="shared" si="23"/>
        <v>46</v>
      </c>
      <c r="J214" s="4">
        <f t="shared" si="20"/>
        <v>7.024</v>
      </c>
      <c r="K214" s="9">
        <f t="shared" si="21"/>
        <v>7.10000000000002</v>
      </c>
      <c r="L214" s="1">
        <f t="shared" si="22"/>
        <v>-0.199999999999992</v>
      </c>
    </row>
    <row r="215" s="1" customFormat="1" spans="1:12">
      <c r="A215" s="2">
        <v>7.091</v>
      </c>
      <c r="B215" s="10" t="s">
        <v>24</v>
      </c>
      <c r="C215" s="4">
        <v>7.091</v>
      </c>
      <c r="D215" s="5">
        <v>46.1</v>
      </c>
      <c r="E215" s="4"/>
      <c r="F215" s="4"/>
      <c r="G215" s="2">
        <f t="shared" si="18"/>
        <v>7.057</v>
      </c>
      <c r="H215" s="11" t="str">
        <f t="shared" si="19"/>
        <v>3.444E-2</v>
      </c>
      <c r="I215" s="2">
        <f t="shared" si="23"/>
        <v>45.9</v>
      </c>
      <c r="J215" s="4">
        <f t="shared" si="20"/>
        <v>7.057</v>
      </c>
      <c r="K215" s="9">
        <f t="shared" si="21"/>
        <v>7.19999999999998</v>
      </c>
      <c r="L215" s="1">
        <f t="shared" si="22"/>
        <v>-0.199999999999992</v>
      </c>
    </row>
    <row r="216" s="1" customFormat="1" spans="1:12">
      <c r="A216" s="2">
        <v>7.124</v>
      </c>
      <c r="B216" s="10" t="s">
        <v>24</v>
      </c>
      <c r="C216" s="4">
        <v>7.124</v>
      </c>
      <c r="D216" s="5">
        <v>46.2</v>
      </c>
      <c r="E216" s="4"/>
      <c r="F216" s="4"/>
      <c r="G216" s="2">
        <f t="shared" si="18"/>
        <v>7.091</v>
      </c>
      <c r="H216" s="11" t="str">
        <f t="shared" si="19"/>
        <v>3.445E-2</v>
      </c>
      <c r="I216" s="2">
        <f t="shared" si="23"/>
        <v>46.4</v>
      </c>
      <c r="J216" s="4">
        <f t="shared" si="20"/>
        <v>7.091</v>
      </c>
      <c r="K216" s="9">
        <f t="shared" si="21"/>
        <v>7.30000000000001</v>
      </c>
      <c r="L216" s="1">
        <f t="shared" si="22"/>
        <v>-0.199999999999992</v>
      </c>
    </row>
    <row r="217" s="1" customFormat="1" spans="1:12">
      <c r="A217" s="2">
        <v>7.158</v>
      </c>
      <c r="B217" s="10" t="s">
        <v>25</v>
      </c>
      <c r="C217" s="4">
        <v>7.158</v>
      </c>
      <c r="D217" s="5">
        <v>46</v>
      </c>
      <c r="E217" s="4"/>
      <c r="F217" s="4"/>
      <c r="G217" s="2">
        <f t="shared" si="18"/>
        <v>7.124</v>
      </c>
      <c r="H217" s="11" t="str">
        <f t="shared" si="19"/>
        <v>3.445E-2</v>
      </c>
      <c r="I217" s="2">
        <f t="shared" si="23"/>
        <v>46.1</v>
      </c>
      <c r="J217" s="4">
        <f t="shared" si="20"/>
        <v>7.124</v>
      </c>
      <c r="K217" s="9">
        <f t="shared" si="21"/>
        <v>7.30000000000001</v>
      </c>
      <c r="L217" s="1">
        <f t="shared" si="22"/>
        <v>-0.199999999999992</v>
      </c>
    </row>
    <row r="218" s="1" customFormat="1" spans="1:12">
      <c r="A218" s="2">
        <v>7.191</v>
      </c>
      <c r="B218" s="10" t="s">
        <v>216</v>
      </c>
      <c r="C218" s="4">
        <v>7.191</v>
      </c>
      <c r="D218" s="5">
        <v>46.4</v>
      </c>
      <c r="E218" s="4"/>
      <c r="F218" s="4"/>
      <c r="G218" s="2">
        <f t="shared" si="18"/>
        <v>7.158</v>
      </c>
      <c r="H218" s="11" t="str">
        <f t="shared" si="19"/>
        <v>3.447E-2</v>
      </c>
      <c r="I218" s="2">
        <f t="shared" si="23"/>
        <v>46.2</v>
      </c>
      <c r="J218" s="4">
        <f t="shared" si="20"/>
        <v>7.158</v>
      </c>
      <c r="K218" s="9">
        <f t="shared" si="21"/>
        <v>7.50000000000001</v>
      </c>
      <c r="L218" s="1">
        <f t="shared" si="22"/>
        <v>-0.199999999999992</v>
      </c>
    </row>
    <row r="219" s="1" customFormat="1" spans="1:12">
      <c r="A219" s="2">
        <v>7.225</v>
      </c>
      <c r="B219" s="10" t="s">
        <v>216</v>
      </c>
      <c r="C219" s="4">
        <v>7.225</v>
      </c>
      <c r="D219" s="5">
        <v>46.2</v>
      </c>
      <c r="E219" s="4"/>
      <c r="F219" s="4"/>
      <c r="G219" s="2">
        <f t="shared" si="18"/>
        <v>7.191</v>
      </c>
      <c r="H219" s="11" t="str">
        <f t="shared" si="19"/>
        <v>3.446E-2</v>
      </c>
      <c r="I219" s="2">
        <f t="shared" si="23"/>
        <v>46</v>
      </c>
      <c r="J219" s="4">
        <f t="shared" si="20"/>
        <v>7.191</v>
      </c>
      <c r="K219" s="9">
        <f t="shared" si="21"/>
        <v>7.39999999999998</v>
      </c>
      <c r="L219" s="1">
        <f t="shared" si="22"/>
        <v>-0.199999999999992</v>
      </c>
    </row>
    <row r="220" s="1" customFormat="1" spans="1:12">
      <c r="A220" s="2">
        <v>7.258</v>
      </c>
      <c r="B220" s="10" t="s">
        <v>24</v>
      </c>
      <c r="C220" s="4">
        <v>7.258</v>
      </c>
      <c r="D220" s="5">
        <v>46.1</v>
      </c>
      <c r="E220" s="4"/>
      <c r="F220" s="4"/>
      <c r="G220" s="2">
        <f t="shared" si="18"/>
        <v>7.225</v>
      </c>
      <c r="H220" s="11" t="str">
        <f t="shared" si="19"/>
        <v>3.446E-2</v>
      </c>
      <c r="I220" s="2">
        <f t="shared" si="23"/>
        <v>46.4</v>
      </c>
      <c r="J220" s="4">
        <f t="shared" si="20"/>
        <v>7.225</v>
      </c>
      <c r="K220" s="9">
        <f t="shared" si="21"/>
        <v>7.39999999999998</v>
      </c>
      <c r="L220" s="1">
        <f t="shared" si="22"/>
        <v>-0.199999999999992</v>
      </c>
    </row>
    <row r="221" s="1" customFormat="1" spans="1:12">
      <c r="A221" s="2">
        <v>7.291</v>
      </c>
      <c r="B221" s="10" t="s">
        <v>222</v>
      </c>
      <c r="C221" s="4">
        <v>7.291</v>
      </c>
      <c r="D221" s="5">
        <v>46.4</v>
      </c>
      <c r="E221" s="4"/>
      <c r="F221" s="4"/>
      <c r="G221" s="2">
        <f t="shared" si="18"/>
        <v>7.258</v>
      </c>
      <c r="H221" s="11" t="str">
        <f t="shared" si="19"/>
        <v>3.445E-2</v>
      </c>
      <c r="I221" s="2">
        <f t="shared" si="23"/>
        <v>46.2</v>
      </c>
      <c r="J221" s="4">
        <f t="shared" si="20"/>
        <v>7.258</v>
      </c>
      <c r="K221" s="9">
        <f t="shared" si="21"/>
        <v>7.30000000000001</v>
      </c>
      <c r="L221" s="1">
        <f t="shared" si="22"/>
        <v>-0.199999999999992</v>
      </c>
    </row>
    <row r="222" s="1" customFormat="1" spans="1:12">
      <c r="A222" s="2">
        <v>7.325</v>
      </c>
      <c r="B222" s="10" t="s">
        <v>222</v>
      </c>
      <c r="C222" s="4">
        <v>7.325</v>
      </c>
      <c r="D222" s="5">
        <v>46.6</v>
      </c>
      <c r="E222" s="4"/>
      <c r="F222" s="4"/>
      <c r="G222" s="2">
        <f t="shared" si="18"/>
        <v>7.291</v>
      </c>
      <c r="H222" s="11" t="str">
        <f t="shared" si="19"/>
        <v>3.443E-2</v>
      </c>
      <c r="I222" s="2">
        <f t="shared" si="23"/>
        <v>46.1</v>
      </c>
      <c r="J222" s="4">
        <f t="shared" si="20"/>
        <v>7.291</v>
      </c>
      <c r="K222" s="9">
        <f t="shared" si="21"/>
        <v>7.10000000000002</v>
      </c>
      <c r="L222" s="1">
        <f t="shared" si="22"/>
        <v>-0.199999999999992</v>
      </c>
    </row>
    <row r="223" s="1" customFormat="1" spans="1:12">
      <c r="A223" s="2">
        <v>7.358</v>
      </c>
      <c r="B223" s="10" t="s">
        <v>43</v>
      </c>
      <c r="C223" s="4">
        <v>7.358</v>
      </c>
      <c r="D223" s="5">
        <v>46.3</v>
      </c>
      <c r="E223" s="4"/>
      <c r="F223" s="4"/>
      <c r="G223" s="2">
        <f t="shared" si="18"/>
        <v>7.325</v>
      </c>
      <c r="H223" s="11" t="str">
        <f t="shared" si="19"/>
        <v>3.443E-2</v>
      </c>
      <c r="I223" s="2">
        <f t="shared" si="23"/>
        <v>46.4</v>
      </c>
      <c r="J223" s="4">
        <f t="shared" si="20"/>
        <v>7.325</v>
      </c>
      <c r="K223" s="9">
        <f t="shared" si="21"/>
        <v>7.10000000000002</v>
      </c>
      <c r="L223" s="1">
        <f t="shared" si="22"/>
        <v>-0.199999999999992</v>
      </c>
    </row>
    <row r="224" s="1" customFormat="1" spans="1:12">
      <c r="A224" s="2">
        <v>7.392</v>
      </c>
      <c r="B224" s="10" t="s">
        <v>22</v>
      </c>
      <c r="C224" s="4">
        <v>7.392</v>
      </c>
      <c r="D224" s="5">
        <v>46.7</v>
      </c>
      <c r="E224" s="4"/>
      <c r="F224" s="4"/>
      <c r="G224" s="2">
        <f t="shared" si="18"/>
        <v>7.358</v>
      </c>
      <c r="H224" s="11" t="str">
        <f t="shared" si="19"/>
        <v>3.441E-2</v>
      </c>
      <c r="I224" s="2">
        <f t="shared" si="23"/>
        <v>46.6</v>
      </c>
      <c r="J224" s="4">
        <f t="shared" si="20"/>
        <v>7.358</v>
      </c>
      <c r="K224" s="9">
        <f t="shared" si="21"/>
        <v>6.90000000000003</v>
      </c>
      <c r="L224" s="1">
        <f t="shared" si="22"/>
        <v>-0.199999999999992</v>
      </c>
    </row>
    <row r="225" s="1" customFormat="1" spans="1:12">
      <c r="A225" s="2">
        <v>7.425</v>
      </c>
      <c r="B225" s="10" t="s">
        <v>236</v>
      </c>
      <c r="C225" s="4">
        <v>7.425</v>
      </c>
      <c r="D225" s="5">
        <v>46.4</v>
      </c>
      <c r="E225" s="4"/>
      <c r="F225" s="4"/>
      <c r="G225" s="2">
        <f t="shared" si="18"/>
        <v>7.392</v>
      </c>
      <c r="H225" s="11" t="str">
        <f t="shared" si="19"/>
        <v>3.439E-2</v>
      </c>
      <c r="I225" s="2">
        <f t="shared" si="23"/>
        <v>46.3</v>
      </c>
      <c r="J225" s="4">
        <f t="shared" si="20"/>
        <v>7.392</v>
      </c>
      <c r="K225" s="9">
        <f t="shared" si="21"/>
        <v>6.69999999999997</v>
      </c>
      <c r="L225" s="1">
        <f t="shared" si="22"/>
        <v>-0.199999999999992</v>
      </c>
    </row>
    <row r="226" s="1" customFormat="1" spans="1:12">
      <c r="A226" s="2">
        <v>7.459</v>
      </c>
      <c r="B226" s="10" t="s">
        <v>143</v>
      </c>
      <c r="C226" s="4">
        <v>7.459</v>
      </c>
      <c r="D226" s="5">
        <v>46.1</v>
      </c>
      <c r="E226" s="4"/>
      <c r="F226" s="4"/>
      <c r="G226" s="2">
        <f t="shared" si="18"/>
        <v>7.425</v>
      </c>
      <c r="H226" s="11" t="str">
        <f t="shared" si="19"/>
        <v>3.438E-2</v>
      </c>
      <c r="I226" s="2">
        <f t="shared" si="23"/>
        <v>46.7</v>
      </c>
      <c r="J226" s="4">
        <f t="shared" si="20"/>
        <v>7.425</v>
      </c>
      <c r="K226" s="9">
        <f t="shared" si="21"/>
        <v>6.60000000000001</v>
      </c>
      <c r="L226" s="1">
        <f t="shared" si="22"/>
        <v>-0.199999999999992</v>
      </c>
    </row>
    <row r="227" s="1" customFormat="1" spans="1:12">
      <c r="A227" s="2">
        <v>7.492</v>
      </c>
      <c r="B227" s="10" t="s">
        <v>9</v>
      </c>
      <c r="C227" s="4">
        <v>7.492</v>
      </c>
      <c r="D227" s="5">
        <v>46.4</v>
      </c>
      <c r="E227" s="4"/>
      <c r="F227" s="4"/>
      <c r="G227" s="2">
        <f t="shared" si="18"/>
        <v>7.459</v>
      </c>
      <c r="H227" s="11" t="str">
        <f t="shared" si="19"/>
        <v>3.436E-2</v>
      </c>
      <c r="I227" s="2">
        <f t="shared" si="23"/>
        <v>46.4</v>
      </c>
      <c r="J227" s="4">
        <f t="shared" si="20"/>
        <v>7.459</v>
      </c>
      <c r="K227" s="9">
        <f t="shared" si="21"/>
        <v>6.40000000000002</v>
      </c>
      <c r="L227" s="1">
        <f t="shared" si="22"/>
        <v>-0.199999999999992</v>
      </c>
    </row>
    <row r="228" s="1" customFormat="1" spans="1:12">
      <c r="A228" s="2">
        <v>7.526</v>
      </c>
      <c r="B228" s="10" t="s">
        <v>11</v>
      </c>
      <c r="C228" s="4">
        <v>7.526</v>
      </c>
      <c r="D228" s="5">
        <v>46.1</v>
      </c>
      <c r="E228" s="4"/>
      <c r="F228" s="4"/>
      <c r="G228" s="2">
        <f t="shared" si="18"/>
        <v>7.492</v>
      </c>
      <c r="H228" s="11" t="str">
        <f t="shared" si="19"/>
        <v>3.433E-2</v>
      </c>
      <c r="I228" s="2">
        <f t="shared" si="23"/>
        <v>46.1</v>
      </c>
      <c r="J228" s="4">
        <f t="shared" si="20"/>
        <v>7.492</v>
      </c>
      <c r="K228" s="9">
        <f t="shared" si="21"/>
        <v>6.09999999999999</v>
      </c>
      <c r="L228" s="1">
        <f t="shared" si="22"/>
        <v>-0.199999999999992</v>
      </c>
    </row>
    <row r="229" s="1" customFormat="1" spans="1:12">
      <c r="A229" s="2">
        <v>7.559</v>
      </c>
      <c r="B229" s="10" t="s">
        <v>20</v>
      </c>
      <c r="C229" s="4">
        <v>7.559</v>
      </c>
      <c r="D229" s="5">
        <v>46.4</v>
      </c>
      <c r="E229" s="4"/>
      <c r="F229" s="4"/>
      <c r="G229" s="2">
        <f t="shared" si="18"/>
        <v>7.526</v>
      </c>
      <c r="H229" s="11" t="str">
        <f t="shared" si="19"/>
        <v>3.432E-2</v>
      </c>
      <c r="I229" s="2">
        <f t="shared" si="23"/>
        <v>46.4</v>
      </c>
      <c r="J229" s="4">
        <f t="shared" si="20"/>
        <v>7.526</v>
      </c>
      <c r="K229" s="9">
        <f t="shared" si="21"/>
        <v>6.00000000000003</v>
      </c>
      <c r="L229" s="1">
        <f t="shared" si="22"/>
        <v>-0.199999999999992</v>
      </c>
    </row>
    <row r="230" s="1" customFormat="1" spans="1:12">
      <c r="A230" s="2">
        <v>7.592</v>
      </c>
      <c r="B230" s="10" t="s">
        <v>14</v>
      </c>
      <c r="C230" s="4">
        <v>7.592</v>
      </c>
      <c r="D230" s="5">
        <v>46.3</v>
      </c>
      <c r="E230" s="4"/>
      <c r="F230" s="4"/>
      <c r="G230" s="2">
        <f t="shared" si="18"/>
        <v>7.559</v>
      </c>
      <c r="H230" s="11" t="str">
        <f t="shared" si="19"/>
        <v>3.430E-2</v>
      </c>
      <c r="I230" s="2">
        <f t="shared" si="23"/>
        <v>46.1</v>
      </c>
      <c r="J230" s="4">
        <f t="shared" si="20"/>
        <v>7.559</v>
      </c>
      <c r="K230" s="9">
        <f t="shared" si="21"/>
        <v>5.79999999999997</v>
      </c>
      <c r="L230" s="1">
        <f t="shared" si="22"/>
        <v>-0.199999999999992</v>
      </c>
    </row>
    <row r="231" s="1" customFormat="1" spans="1:12">
      <c r="A231" s="2">
        <v>7.626</v>
      </c>
      <c r="B231" s="10" t="s">
        <v>15</v>
      </c>
      <c r="C231" s="4">
        <v>7.626</v>
      </c>
      <c r="D231" s="5">
        <v>46.8</v>
      </c>
      <c r="E231" s="4"/>
      <c r="F231" s="4"/>
      <c r="G231" s="2">
        <f t="shared" si="18"/>
        <v>7.592</v>
      </c>
      <c r="H231" s="11" t="str">
        <f t="shared" si="19"/>
        <v>3.429E-2</v>
      </c>
      <c r="I231" s="2">
        <f t="shared" si="23"/>
        <v>46.4</v>
      </c>
      <c r="J231" s="4">
        <f t="shared" si="20"/>
        <v>7.592</v>
      </c>
      <c r="K231" s="9">
        <f t="shared" si="21"/>
        <v>5.70000000000001</v>
      </c>
      <c r="L231" s="1">
        <f t="shared" si="22"/>
        <v>-0.199999999999992</v>
      </c>
    </row>
    <row r="232" s="1" customFormat="1" spans="1:12">
      <c r="A232" s="2">
        <v>7.659</v>
      </c>
      <c r="B232" s="10" t="s">
        <v>18</v>
      </c>
      <c r="C232" s="4">
        <v>7.659</v>
      </c>
      <c r="D232" s="5">
        <v>46.5</v>
      </c>
      <c r="E232" s="4"/>
      <c r="F232" s="4"/>
      <c r="G232" s="2">
        <f t="shared" si="18"/>
        <v>7.626</v>
      </c>
      <c r="H232" s="11" t="str">
        <f t="shared" si="19"/>
        <v>3.427E-2</v>
      </c>
      <c r="I232" s="2">
        <f t="shared" si="23"/>
        <v>46.3</v>
      </c>
      <c r="J232" s="4">
        <f t="shared" si="20"/>
        <v>7.626</v>
      </c>
      <c r="K232" s="9">
        <f t="shared" si="21"/>
        <v>5.50000000000002</v>
      </c>
      <c r="L232" s="1">
        <f t="shared" si="22"/>
        <v>-0.199999999999992</v>
      </c>
    </row>
    <row r="233" s="1" customFormat="1" spans="1:12">
      <c r="A233" s="2">
        <v>7.693</v>
      </c>
      <c r="B233" s="10" t="s">
        <v>44</v>
      </c>
      <c r="C233" s="4">
        <v>7.693</v>
      </c>
      <c r="D233" s="5">
        <v>46.7</v>
      </c>
      <c r="E233" s="4"/>
      <c r="F233" s="4"/>
      <c r="G233" s="2">
        <f t="shared" si="18"/>
        <v>7.659</v>
      </c>
      <c r="H233" s="11" t="str">
        <f t="shared" si="19"/>
        <v>3.424E-2</v>
      </c>
      <c r="I233" s="2">
        <f t="shared" si="23"/>
        <v>46.8</v>
      </c>
      <c r="J233" s="4">
        <f t="shared" si="20"/>
        <v>7.659</v>
      </c>
      <c r="K233" s="9">
        <f t="shared" si="21"/>
        <v>5.2</v>
      </c>
      <c r="L233" s="1">
        <f t="shared" si="22"/>
        <v>-0.199999999999992</v>
      </c>
    </row>
    <row r="234" s="1" customFormat="1" spans="1:12">
      <c r="A234" s="2">
        <v>7.726</v>
      </c>
      <c r="B234" s="10" t="s">
        <v>44</v>
      </c>
      <c r="C234" s="4">
        <v>7.726</v>
      </c>
      <c r="D234" s="5">
        <v>46.5</v>
      </c>
      <c r="E234" s="4"/>
      <c r="F234" s="4"/>
      <c r="G234" s="2">
        <f t="shared" si="18"/>
        <v>7.693</v>
      </c>
      <c r="H234" s="11" t="str">
        <f t="shared" si="19"/>
        <v>3.422E-2</v>
      </c>
      <c r="I234" s="2">
        <f t="shared" si="23"/>
        <v>46.5</v>
      </c>
      <c r="J234" s="4">
        <f t="shared" si="20"/>
        <v>7.693</v>
      </c>
      <c r="K234" s="9">
        <f t="shared" si="21"/>
        <v>5</v>
      </c>
      <c r="L234" s="1">
        <f t="shared" si="22"/>
        <v>-0.199999999999992</v>
      </c>
    </row>
    <row r="235" s="1" customFormat="1" spans="1:12">
      <c r="A235" s="2">
        <v>7.76</v>
      </c>
      <c r="B235" s="10" t="s">
        <v>235</v>
      </c>
      <c r="C235" s="4">
        <v>7.76</v>
      </c>
      <c r="D235" s="5">
        <v>46.1</v>
      </c>
      <c r="E235" s="4"/>
      <c r="F235" s="4"/>
      <c r="G235" s="2">
        <f t="shared" si="18"/>
        <v>7.726</v>
      </c>
      <c r="H235" s="11" t="str">
        <f t="shared" si="19"/>
        <v>3.422E-2</v>
      </c>
      <c r="I235" s="2">
        <f t="shared" si="23"/>
        <v>46.7</v>
      </c>
      <c r="J235" s="4">
        <f t="shared" si="20"/>
        <v>7.726</v>
      </c>
      <c r="K235" s="9">
        <f t="shared" si="21"/>
        <v>5</v>
      </c>
      <c r="L235" s="1">
        <f t="shared" si="22"/>
        <v>-0.199999999999992</v>
      </c>
    </row>
    <row r="236" s="1" customFormat="1" spans="1:12">
      <c r="A236" s="2">
        <v>7.793</v>
      </c>
      <c r="B236" s="10" t="s">
        <v>118</v>
      </c>
      <c r="C236" s="4">
        <v>7.793</v>
      </c>
      <c r="D236" s="5">
        <v>46.5</v>
      </c>
      <c r="E236" s="4"/>
      <c r="F236" s="4"/>
      <c r="G236" s="2">
        <f t="shared" si="18"/>
        <v>7.76</v>
      </c>
      <c r="H236" s="11" t="str">
        <f t="shared" si="19"/>
        <v>3.420E-2</v>
      </c>
      <c r="I236" s="2">
        <f t="shared" si="23"/>
        <v>46.5</v>
      </c>
      <c r="J236" s="4">
        <f t="shared" si="20"/>
        <v>7.76</v>
      </c>
      <c r="K236" s="9">
        <f t="shared" si="21"/>
        <v>4.80000000000001</v>
      </c>
      <c r="L236" s="1">
        <f t="shared" si="22"/>
        <v>-0.199999999999992</v>
      </c>
    </row>
    <row r="237" s="1" customFormat="1" spans="1:12">
      <c r="A237" s="2">
        <v>7.827</v>
      </c>
      <c r="B237" s="10" t="s">
        <v>118</v>
      </c>
      <c r="C237" s="4">
        <v>7.827</v>
      </c>
      <c r="D237" s="5">
        <v>46.1</v>
      </c>
      <c r="E237" s="4"/>
      <c r="F237" s="4"/>
      <c r="G237" s="2">
        <f t="shared" si="18"/>
        <v>7.793</v>
      </c>
      <c r="H237" s="11" t="str">
        <f t="shared" si="19"/>
        <v>3.419E-2</v>
      </c>
      <c r="I237" s="2">
        <f t="shared" si="23"/>
        <v>46.1</v>
      </c>
      <c r="J237" s="4">
        <f t="shared" si="20"/>
        <v>7.793</v>
      </c>
      <c r="K237" s="9">
        <f t="shared" si="21"/>
        <v>4.69999999999998</v>
      </c>
      <c r="L237" s="1">
        <f t="shared" si="22"/>
        <v>-0.199999999999992</v>
      </c>
    </row>
    <row r="238" s="1" customFormat="1" spans="1:12">
      <c r="A238" s="2">
        <v>7.86</v>
      </c>
      <c r="B238" s="10" t="s">
        <v>235</v>
      </c>
      <c r="C238" s="4">
        <v>7.86</v>
      </c>
      <c r="D238" s="5">
        <v>46.9</v>
      </c>
      <c r="E238" s="4"/>
      <c r="F238" s="4"/>
      <c r="G238" s="2">
        <f t="shared" si="18"/>
        <v>7.827</v>
      </c>
      <c r="H238" s="11" t="str">
        <f t="shared" si="19"/>
        <v>3.419E-2</v>
      </c>
      <c r="I238" s="2">
        <f t="shared" si="23"/>
        <v>46.5</v>
      </c>
      <c r="J238" s="4">
        <f t="shared" si="20"/>
        <v>7.827</v>
      </c>
      <c r="K238" s="9">
        <f t="shared" si="21"/>
        <v>4.69999999999998</v>
      </c>
      <c r="L238" s="1">
        <f t="shared" si="22"/>
        <v>-0.199999999999992</v>
      </c>
    </row>
    <row r="239" s="1" customFormat="1" spans="1:12">
      <c r="A239" s="2">
        <v>7.893</v>
      </c>
      <c r="B239" s="10" t="s">
        <v>242</v>
      </c>
      <c r="C239" s="4">
        <v>7.893</v>
      </c>
      <c r="D239" s="5">
        <v>46.6</v>
      </c>
      <c r="E239" s="4"/>
      <c r="F239" s="4"/>
      <c r="G239" s="2">
        <f t="shared" si="18"/>
        <v>7.86</v>
      </c>
      <c r="H239" s="11" t="str">
        <f t="shared" si="19"/>
        <v>3.420E-2</v>
      </c>
      <c r="I239" s="2">
        <f t="shared" si="23"/>
        <v>46.1</v>
      </c>
      <c r="J239" s="4">
        <f t="shared" si="20"/>
        <v>7.86</v>
      </c>
      <c r="K239" s="9">
        <f t="shared" si="21"/>
        <v>4.80000000000001</v>
      </c>
      <c r="L239" s="1">
        <f t="shared" si="22"/>
        <v>-0.199999999999992</v>
      </c>
    </row>
    <row r="240" s="1" customFormat="1" spans="1:12">
      <c r="A240" s="2">
        <v>7.927</v>
      </c>
      <c r="B240" s="10" t="s">
        <v>44</v>
      </c>
      <c r="C240" s="4">
        <v>7.927</v>
      </c>
      <c r="D240" s="5">
        <v>46.2</v>
      </c>
      <c r="E240" s="4"/>
      <c r="F240" s="4"/>
      <c r="G240" s="2">
        <f t="shared" si="18"/>
        <v>7.893</v>
      </c>
      <c r="H240" s="11" t="str">
        <f t="shared" si="19"/>
        <v>3.421E-2</v>
      </c>
      <c r="I240" s="2">
        <f t="shared" si="23"/>
        <v>46.9</v>
      </c>
      <c r="J240" s="4">
        <f t="shared" si="20"/>
        <v>7.893</v>
      </c>
      <c r="K240" s="9">
        <f t="shared" si="21"/>
        <v>4.89999999999997</v>
      </c>
      <c r="L240" s="1">
        <f t="shared" si="22"/>
        <v>-0.199999999999992</v>
      </c>
    </row>
    <row r="241" s="1" customFormat="1" spans="1:12">
      <c r="A241" s="2">
        <v>7.96</v>
      </c>
      <c r="B241" s="10" t="s">
        <v>17</v>
      </c>
      <c r="C241" s="4">
        <v>7.96</v>
      </c>
      <c r="D241" s="5">
        <v>46.2</v>
      </c>
      <c r="E241" s="4"/>
      <c r="F241" s="4"/>
      <c r="G241" s="2">
        <f t="shared" si="18"/>
        <v>7.927</v>
      </c>
      <c r="H241" s="11" t="str">
        <f t="shared" si="19"/>
        <v>3.422E-2</v>
      </c>
      <c r="I241" s="2">
        <f t="shared" si="23"/>
        <v>46.6</v>
      </c>
      <c r="J241" s="4">
        <f t="shared" si="20"/>
        <v>7.927</v>
      </c>
      <c r="K241" s="9">
        <f t="shared" si="21"/>
        <v>5</v>
      </c>
      <c r="L241" s="1">
        <f t="shared" si="22"/>
        <v>-0.199999999999992</v>
      </c>
    </row>
    <row r="242" s="1" customFormat="1" spans="1:12">
      <c r="A242" s="2">
        <v>7.994</v>
      </c>
      <c r="B242" s="10" t="s">
        <v>18</v>
      </c>
      <c r="C242" s="4">
        <v>7.994</v>
      </c>
      <c r="D242" s="5">
        <v>46.3</v>
      </c>
      <c r="E242" s="4"/>
      <c r="F242" s="4"/>
      <c r="G242" s="2">
        <f t="shared" si="18"/>
        <v>7.96</v>
      </c>
      <c r="H242" s="11" t="str">
        <f t="shared" si="19"/>
        <v>3.423E-2</v>
      </c>
      <c r="I242" s="2">
        <f t="shared" si="23"/>
        <v>46.2</v>
      </c>
      <c r="J242" s="4">
        <f t="shared" si="20"/>
        <v>7.96</v>
      </c>
      <c r="K242" s="9">
        <f t="shared" si="21"/>
        <v>5.09999999999997</v>
      </c>
      <c r="L242" s="1">
        <f t="shared" si="22"/>
        <v>-0.199999999999992</v>
      </c>
    </row>
    <row r="243" s="1" customFormat="1" spans="1:12">
      <c r="A243" s="2">
        <v>8.027</v>
      </c>
      <c r="B243" s="10" t="s">
        <v>81</v>
      </c>
      <c r="C243" s="4">
        <v>8.027</v>
      </c>
      <c r="D243" s="5">
        <v>46.3</v>
      </c>
      <c r="E243" s="4"/>
      <c r="F243" s="4"/>
      <c r="G243" s="2">
        <f t="shared" si="18"/>
        <v>7.994</v>
      </c>
      <c r="H243" s="11" t="str">
        <f t="shared" si="19"/>
        <v>3.424E-2</v>
      </c>
      <c r="I243" s="2">
        <f t="shared" si="23"/>
        <v>46.2</v>
      </c>
      <c r="J243" s="4">
        <f t="shared" si="20"/>
        <v>7.994</v>
      </c>
      <c r="K243" s="9">
        <f t="shared" si="21"/>
        <v>5.2</v>
      </c>
      <c r="L243" s="1">
        <f t="shared" si="22"/>
        <v>-0.199999999999992</v>
      </c>
    </row>
    <row r="244" s="1" customFormat="1" spans="1:12">
      <c r="A244" s="2">
        <v>8.061</v>
      </c>
      <c r="B244" s="10" t="s">
        <v>16</v>
      </c>
      <c r="C244" s="4">
        <v>8.061</v>
      </c>
      <c r="D244" s="5">
        <v>46.2</v>
      </c>
      <c r="E244" s="4"/>
      <c r="F244" s="4"/>
      <c r="G244" s="2">
        <f t="shared" si="18"/>
        <v>8.027</v>
      </c>
      <c r="H244" s="11" t="str">
        <f t="shared" si="19"/>
        <v>3.425E-2</v>
      </c>
      <c r="I244" s="2">
        <f t="shared" si="23"/>
        <v>46.3</v>
      </c>
      <c r="J244" s="4">
        <f t="shared" si="20"/>
        <v>8.027</v>
      </c>
      <c r="K244" s="9">
        <f t="shared" si="21"/>
        <v>5.30000000000003</v>
      </c>
      <c r="L244" s="1">
        <f t="shared" si="22"/>
        <v>-0.199999999999992</v>
      </c>
    </row>
    <row r="245" s="1" customFormat="1" spans="1:12">
      <c r="A245" s="2">
        <v>8.094</v>
      </c>
      <c r="B245" s="10" t="s">
        <v>19</v>
      </c>
      <c r="C245" s="4">
        <v>8.094</v>
      </c>
      <c r="D245" s="5">
        <v>46.7</v>
      </c>
      <c r="E245" s="4"/>
      <c r="F245" s="4"/>
      <c r="G245" s="2">
        <f t="shared" si="18"/>
        <v>8.061</v>
      </c>
      <c r="H245" s="11" t="str">
        <f t="shared" si="19"/>
        <v>3.426E-2</v>
      </c>
      <c r="I245" s="2">
        <f t="shared" si="23"/>
        <v>46.3</v>
      </c>
      <c r="J245" s="4">
        <f t="shared" si="20"/>
        <v>8.061</v>
      </c>
      <c r="K245" s="9">
        <f t="shared" si="21"/>
        <v>5.39999999999999</v>
      </c>
      <c r="L245" s="1">
        <f t="shared" si="22"/>
        <v>-0.199999999999992</v>
      </c>
    </row>
    <row r="246" s="1" customFormat="1" spans="1:12">
      <c r="A246" s="2">
        <v>8.128</v>
      </c>
      <c r="B246" s="10" t="s">
        <v>14</v>
      </c>
      <c r="C246" s="4">
        <v>8.128</v>
      </c>
      <c r="D246" s="5">
        <v>46.7</v>
      </c>
      <c r="E246" s="4"/>
      <c r="F246" s="4"/>
      <c r="G246" s="2">
        <f t="shared" si="18"/>
        <v>8.094</v>
      </c>
      <c r="H246" s="11" t="str">
        <f t="shared" si="19"/>
        <v>3.428E-2</v>
      </c>
      <c r="I246" s="2">
        <f t="shared" si="23"/>
        <v>46.2</v>
      </c>
      <c r="J246" s="4">
        <f t="shared" si="20"/>
        <v>8.094</v>
      </c>
      <c r="K246" s="9">
        <f t="shared" si="21"/>
        <v>5.59999999999998</v>
      </c>
      <c r="L246" s="1">
        <f t="shared" si="22"/>
        <v>-0.199999999999992</v>
      </c>
    </row>
    <row r="247" s="1" customFormat="1" spans="1:12">
      <c r="A247" s="2">
        <v>8.161</v>
      </c>
      <c r="B247" s="10" t="s">
        <v>13</v>
      </c>
      <c r="C247" s="4">
        <v>8.161</v>
      </c>
      <c r="D247" s="5">
        <v>46.2</v>
      </c>
      <c r="E247" s="4"/>
      <c r="F247" s="4"/>
      <c r="G247" s="2">
        <f t="shared" si="18"/>
        <v>8.128</v>
      </c>
      <c r="H247" s="11" t="str">
        <f t="shared" si="19"/>
        <v>3.429E-2</v>
      </c>
      <c r="I247" s="2">
        <f t="shared" si="23"/>
        <v>46.7</v>
      </c>
      <c r="J247" s="4">
        <f t="shared" si="20"/>
        <v>8.128</v>
      </c>
      <c r="K247" s="9">
        <f t="shared" si="21"/>
        <v>5.70000000000001</v>
      </c>
      <c r="L247" s="1">
        <f t="shared" si="22"/>
        <v>-0.199999999999992</v>
      </c>
    </row>
    <row r="248" s="1" customFormat="1" spans="1:12">
      <c r="A248" s="2">
        <v>8.195</v>
      </c>
      <c r="B248" s="10" t="s">
        <v>11</v>
      </c>
      <c r="C248" s="4">
        <v>8.195</v>
      </c>
      <c r="D248" s="5">
        <v>46.1</v>
      </c>
      <c r="E248" s="4"/>
      <c r="F248" s="4"/>
      <c r="G248" s="2">
        <f t="shared" si="18"/>
        <v>8.161</v>
      </c>
      <c r="H248" s="11" t="str">
        <f t="shared" si="19"/>
        <v>3.431E-2</v>
      </c>
      <c r="I248" s="2">
        <f t="shared" si="23"/>
        <v>46.7</v>
      </c>
      <c r="J248" s="4">
        <f t="shared" si="20"/>
        <v>8.161</v>
      </c>
      <c r="K248" s="9">
        <f t="shared" si="21"/>
        <v>5.9</v>
      </c>
      <c r="L248" s="1">
        <f t="shared" si="22"/>
        <v>-0.199999999999992</v>
      </c>
    </row>
    <row r="249" s="1" customFormat="1" spans="1:12">
      <c r="A249" s="2">
        <v>8.228</v>
      </c>
      <c r="B249" s="10" t="s">
        <v>9</v>
      </c>
      <c r="C249" s="4">
        <v>8.228</v>
      </c>
      <c r="D249" s="5">
        <v>46.5</v>
      </c>
      <c r="E249" s="4"/>
      <c r="F249" s="4"/>
      <c r="G249" s="2">
        <f t="shared" si="18"/>
        <v>8.195</v>
      </c>
      <c r="H249" s="11" t="str">
        <f t="shared" si="19"/>
        <v>3.432E-2</v>
      </c>
      <c r="I249" s="2">
        <f t="shared" si="23"/>
        <v>46.2</v>
      </c>
      <c r="J249" s="4">
        <f t="shared" si="20"/>
        <v>8.195</v>
      </c>
      <c r="K249" s="9">
        <f t="shared" si="21"/>
        <v>6.00000000000003</v>
      </c>
      <c r="L249" s="1">
        <f t="shared" si="22"/>
        <v>-0.199999999999992</v>
      </c>
    </row>
    <row r="250" s="1" customFormat="1" spans="1:12">
      <c r="A250" s="2">
        <v>8.261</v>
      </c>
      <c r="B250" s="10" t="s">
        <v>12</v>
      </c>
      <c r="C250" s="4">
        <v>8.261</v>
      </c>
      <c r="D250" s="5">
        <v>46.3</v>
      </c>
      <c r="E250" s="4"/>
      <c r="F250" s="4"/>
      <c r="G250" s="2">
        <f t="shared" si="18"/>
        <v>8.228</v>
      </c>
      <c r="H250" s="11" t="str">
        <f t="shared" si="19"/>
        <v>3.433E-2</v>
      </c>
      <c r="I250" s="2">
        <f t="shared" si="23"/>
        <v>46.1</v>
      </c>
      <c r="J250" s="4">
        <f t="shared" si="20"/>
        <v>8.228</v>
      </c>
      <c r="K250" s="9">
        <f t="shared" si="21"/>
        <v>6.09999999999999</v>
      </c>
      <c r="L250" s="1">
        <f t="shared" si="22"/>
        <v>-0.199999999999992</v>
      </c>
    </row>
    <row r="251" s="1" customFormat="1" spans="1:12">
      <c r="A251" s="2">
        <v>8.295</v>
      </c>
      <c r="B251" s="10" t="s">
        <v>21</v>
      </c>
      <c r="C251" s="4">
        <v>8.295</v>
      </c>
      <c r="D251" s="5">
        <v>46</v>
      </c>
      <c r="E251" s="4"/>
      <c r="F251" s="4"/>
      <c r="G251" s="2">
        <f t="shared" si="18"/>
        <v>8.261</v>
      </c>
      <c r="H251" s="11" t="str">
        <f t="shared" si="19"/>
        <v>3.435E-2</v>
      </c>
      <c r="I251" s="2">
        <f t="shared" si="23"/>
        <v>46.5</v>
      </c>
      <c r="J251" s="4">
        <f t="shared" si="20"/>
        <v>8.261</v>
      </c>
      <c r="K251" s="9">
        <f t="shared" si="21"/>
        <v>6.29999999999999</v>
      </c>
      <c r="L251" s="1">
        <f t="shared" si="22"/>
        <v>-0.199999999999992</v>
      </c>
    </row>
    <row r="252" s="1" customFormat="1" spans="1:12">
      <c r="A252" s="2">
        <v>8.328</v>
      </c>
      <c r="B252" s="10" t="s">
        <v>58</v>
      </c>
      <c r="C252" s="4">
        <v>8.328</v>
      </c>
      <c r="D252" s="5">
        <v>46.6</v>
      </c>
      <c r="E252" s="4"/>
      <c r="F252" s="4"/>
      <c r="G252" s="2">
        <f t="shared" si="18"/>
        <v>8.295</v>
      </c>
      <c r="H252" s="11" t="str">
        <f t="shared" si="19"/>
        <v>3.437E-2</v>
      </c>
      <c r="I252" s="2">
        <f t="shared" si="23"/>
        <v>46.3</v>
      </c>
      <c r="J252" s="4">
        <f t="shared" si="20"/>
        <v>8.295</v>
      </c>
      <c r="K252" s="9">
        <f t="shared" si="21"/>
        <v>6.49999999999998</v>
      </c>
      <c r="L252" s="1">
        <f t="shared" si="22"/>
        <v>-0.199999999999992</v>
      </c>
    </row>
    <row r="253" s="1" customFormat="1" spans="1:12">
      <c r="A253" s="2">
        <v>8.362</v>
      </c>
      <c r="B253" s="10" t="s">
        <v>43</v>
      </c>
      <c r="C253" s="4">
        <v>8.362</v>
      </c>
      <c r="D253" s="5">
        <v>46</v>
      </c>
      <c r="E253" s="4"/>
      <c r="F253" s="4"/>
      <c r="G253" s="2">
        <f t="shared" si="18"/>
        <v>8.328</v>
      </c>
      <c r="H253" s="11" t="str">
        <f t="shared" si="19"/>
        <v>3.440E-2</v>
      </c>
      <c r="I253" s="2">
        <f t="shared" si="23"/>
        <v>46</v>
      </c>
      <c r="J253" s="4">
        <f t="shared" si="20"/>
        <v>8.328</v>
      </c>
      <c r="K253" s="9">
        <f t="shared" si="21"/>
        <v>6.8</v>
      </c>
      <c r="L253" s="1">
        <f t="shared" si="22"/>
        <v>-0.199999999999992</v>
      </c>
    </row>
    <row r="254" s="1" customFormat="1" spans="1:12">
      <c r="A254" s="2">
        <v>8.395</v>
      </c>
      <c r="B254" s="10" t="s">
        <v>23</v>
      </c>
      <c r="C254" s="4">
        <v>8.395</v>
      </c>
      <c r="D254" s="5">
        <v>46</v>
      </c>
      <c r="E254" s="4"/>
      <c r="F254" s="4"/>
      <c r="G254" s="2">
        <f t="shared" si="18"/>
        <v>8.362</v>
      </c>
      <c r="H254" s="11" t="str">
        <f t="shared" si="19"/>
        <v>3.441E-2</v>
      </c>
      <c r="I254" s="2">
        <f t="shared" si="23"/>
        <v>46.6</v>
      </c>
      <c r="J254" s="4">
        <f t="shared" si="20"/>
        <v>8.362</v>
      </c>
      <c r="K254" s="9">
        <f t="shared" si="21"/>
        <v>6.90000000000003</v>
      </c>
      <c r="L254" s="1">
        <f t="shared" si="22"/>
        <v>-0.199999999999992</v>
      </c>
    </row>
    <row r="255" s="1" customFormat="1" spans="1:12">
      <c r="A255" s="2">
        <v>8.429</v>
      </c>
      <c r="B255" s="10" t="s">
        <v>141</v>
      </c>
      <c r="C255" s="4">
        <v>8.429</v>
      </c>
      <c r="D255" s="5">
        <v>46</v>
      </c>
      <c r="E255" s="4"/>
      <c r="F255" s="4"/>
      <c r="G255" s="2">
        <f t="shared" si="18"/>
        <v>8.395</v>
      </c>
      <c r="H255" s="11" t="str">
        <f t="shared" si="19"/>
        <v>3.442E-2</v>
      </c>
      <c r="I255" s="2">
        <f t="shared" si="23"/>
        <v>46</v>
      </c>
      <c r="J255" s="4">
        <f t="shared" si="20"/>
        <v>8.395</v>
      </c>
      <c r="K255" s="9">
        <f t="shared" si="21"/>
        <v>6.99999999999999</v>
      </c>
      <c r="L255" s="1">
        <f t="shared" si="22"/>
        <v>-0.199999999999992</v>
      </c>
    </row>
    <row r="256" s="1" customFormat="1" spans="1:12">
      <c r="A256" s="2">
        <v>8.462</v>
      </c>
      <c r="B256" s="10" t="s">
        <v>141</v>
      </c>
      <c r="C256" s="4">
        <v>8.462</v>
      </c>
      <c r="D256" s="5">
        <v>46.4</v>
      </c>
      <c r="E256" s="4"/>
      <c r="F256" s="4"/>
      <c r="G256" s="2">
        <f t="shared" si="18"/>
        <v>8.429</v>
      </c>
      <c r="H256" s="11" t="str">
        <f t="shared" si="19"/>
        <v>3.444E-2</v>
      </c>
      <c r="I256" s="2">
        <f t="shared" si="23"/>
        <v>46</v>
      </c>
      <c r="J256" s="4">
        <f t="shared" si="20"/>
        <v>8.429</v>
      </c>
      <c r="K256" s="9">
        <f t="shared" si="21"/>
        <v>7.19999999999998</v>
      </c>
      <c r="L256" s="1">
        <f t="shared" si="22"/>
        <v>-0.199999999999992</v>
      </c>
    </row>
    <row r="257" s="1" customFormat="1" spans="1:12">
      <c r="A257" s="2">
        <v>8.496</v>
      </c>
      <c r="B257" s="10" t="s">
        <v>216</v>
      </c>
      <c r="C257" s="4">
        <v>8.496</v>
      </c>
      <c r="D257" s="5">
        <v>46</v>
      </c>
      <c r="E257" s="4"/>
      <c r="F257" s="4"/>
      <c r="G257" s="2">
        <f t="shared" si="18"/>
        <v>8.462</v>
      </c>
      <c r="H257" s="11" t="str">
        <f t="shared" si="19"/>
        <v>3.444E-2</v>
      </c>
      <c r="I257" s="2">
        <f t="shared" si="23"/>
        <v>46</v>
      </c>
      <c r="J257" s="4">
        <f t="shared" si="20"/>
        <v>8.462</v>
      </c>
      <c r="K257" s="9">
        <f t="shared" si="21"/>
        <v>7.19999999999998</v>
      </c>
      <c r="L257" s="1">
        <f t="shared" si="22"/>
        <v>-0.199999999999992</v>
      </c>
    </row>
    <row r="258" s="1" customFormat="1" spans="1:12">
      <c r="A258" s="2">
        <v>8.529</v>
      </c>
      <c r="B258" s="10" t="s">
        <v>216</v>
      </c>
      <c r="C258" s="4">
        <v>8.529</v>
      </c>
      <c r="D258" s="5">
        <v>46.3</v>
      </c>
      <c r="E258" s="4"/>
      <c r="F258" s="4"/>
      <c r="G258" s="2">
        <f t="shared" si="18"/>
        <v>8.496</v>
      </c>
      <c r="H258" s="11" t="str">
        <f t="shared" si="19"/>
        <v>3.446E-2</v>
      </c>
      <c r="I258" s="2">
        <f t="shared" si="23"/>
        <v>46.4</v>
      </c>
      <c r="J258" s="4">
        <f t="shared" si="20"/>
        <v>8.496</v>
      </c>
      <c r="K258" s="9">
        <f t="shared" si="21"/>
        <v>7.39999999999998</v>
      </c>
      <c r="L258" s="1">
        <f t="shared" si="22"/>
        <v>-0.199999999999992</v>
      </c>
    </row>
    <row r="259" s="1" customFormat="1" spans="1:12">
      <c r="A259" s="2">
        <v>8.562</v>
      </c>
      <c r="B259" s="10" t="s">
        <v>24</v>
      </c>
      <c r="C259" s="4">
        <v>8.562</v>
      </c>
      <c r="D259" s="5">
        <v>46.3</v>
      </c>
      <c r="E259" s="4"/>
      <c r="F259" s="4"/>
      <c r="G259" s="2">
        <f t="shared" si="18"/>
        <v>8.529</v>
      </c>
      <c r="H259" s="11" t="str">
        <f t="shared" si="19"/>
        <v>3.446E-2</v>
      </c>
      <c r="I259" s="2">
        <f t="shared" si="23"/>
        <v>46</v>
      </c>
      <c r="J259" s="4">
        <f t="shared" si="20"/>
        <v>8.529</v>
      </c>
      <c r="K259" s="9">
        <f t="shared" si="21"/>
        <v>7.39999999999998</v>
      </c>
      <c r="L259" s="1">
        <f t="shared" si="22"/>
        <v>-0.199999999999992</v>
      </c>
    </row>
    <row r="260" s="1" customFormat="1" spans="1:12">
      <c r="A260" s="2">
        <v>8.596</v>
      </c>
      <c r="B260" s="10" t="s">
        <v>222</v>
      </c>
      <c r="C260" s="4">
        <v>8.596</v>
      </c>
      <c r="D260" s="5">
        <v>45.8</v>
      </c>
      <c r="E260" s="4"/>
      <c r="F260" s="4"/>
      <c r="G260" s="2">
        <f t="shared" ref="G260:G323" si="24">A259</f>
        <v>8.562</v>
      </c>
      <c r="H260" s="11" t="str">
        <f t="shared" ref="H260:H323" si="25">B259</f>
        <v>3.445E-2</v>
      </c>
      <c r="I260" s="2">
        <f t="shared" si="23"/>
        <v>46.3</v>
      </c>
      <c r="J260" s="4">
        <f t="shared" ref="J260:J323" si="26">G260</f>
        <v>8.562</v>
      </c>
      <c r="K260" s="9">
        <f t="shared" ref="K260:K323" si="27">(H260-$H$4)*10000</f>
        <v>7.30000000000001</v>
      </c>
      <c r="L260" s="1">
        <f t="shared" ref="L260:L323" si="28">IF(I260&lt;230,MIN(K:K),MAX(K:K))</f>
        <v>-0.199999999999992</v>
      </c>
    </row>
    <row r="261" s="1" customFormat="1" spans="1:12">
      <c r="A261" s="2">
        <v>8.629</v>
      </c>
      <c r="B261" s="10" t="s">
        <v>23</v>
      </c>
      <c r="C261" s="4">
        <v>8.629</v>
      </c>
      <c r="D261" s="5">
        <v>46.6</v>
      </c>
      <c r="E261" s="4"/>
      <c r="F261" s="4"/>
      <c r="G261" s="2">
        <f t="shared" si="24"/>
        <v>8.596</v>
      </c>
      <c r="H261" s="11" t="str">
        <f t="shared" si="25"/>
        <v>3.443E-2</v>
      </c>
      <c r="I261" s="2">
        <f t="shared" ref="I261:I324" si="29">D259</f>
        <v>46.3</v>
      </c>
      <c r="J261" s="4">
        <f t="shared" si="26"/>
        <v>8.596</v>
      </c>
      <c r="K261" s="9">
        <f t="shared" si="27"/>
        <v>7.10000000000002</v>
      </c>
      <c r="L261" s="1">
        <f t="shared" si="28"/>
        <v>-0.199999999999992</v>
      </c>
    </row>
    <row r="262" s="1" customFormat="1" spans="1:12">
      <c r="A262" s="2">
        <v>8.663</v>
      </c>
      <c r="B262" s="10" t="s">
        <v>22</v>
      </c>
      <c r="C262" s="4">
        <v>8.663</v>
      </c>
      <c r="D262" s="5">
        <v>46.3</v>
      </c>
      <c r="E262" s="4"/>
      <c r="F262" s="4"/>
      <c r="G262" s="2">
        <f t="shared" si="24"/>
        <v>8.629</v>
      </c>
      <c r="H262" s="11" t="str">
        <f t="shared" si="25"/>
        <v>3.442E-2</v>
      </c>
      <c r="I262" s="2">
        <f t="shared" si="29"/>
        <v>45.8</v>
      </c>
      <c r="J262" s="4">
        <f t="shared" si="26"/>
        <v>8.629</v>
      </c>
      <c r="K262" s="9">
        <f t="shared" si="27"/>
        <v>6.99999999999999</v>
      </c>
      <c r="L262" s="1">
        <f t="shared" si="28"/>
        <v>-0.199999999999992</v>
      </c>
    </row>
    <row r="263" s="1" customFormat="1" spans="1:12">
      <c r="A263" s="2">
        <v>8.696</v>
      </c>
      <c r="B263" s="10" t="s">
        <v>22</v>
      </c>
      <c r="C263" s="4">
        <v>8.696</v>
      </c>
      <c r="D263" s="5">
        <v>46</v>
      </c>
      <c r="E263" s="4"/>
      <c r="F263" s="4"/>
      <c r="G263" s="2">
        <f t="shared" si="24"/>
        <v>8.663</v>
      </c>
      <c r="H263" s="11" t="str">
        <f t="shared" si="25"/>
        <v>3.439E-2</v>
      </c>
      <c r="I263" s="2">
        <f t="shared" si="29"/>
        <v>46.6</v>
      </c>
      <c r="J263" s="4">
        <f t="shared" si="26"/>
        <v>8.663</v>
      </c>
      <c r="K263" s="9">
        <f t="shared" si="27"/>
        <v>6.69999999999997</v>
      </c>
      <c r="L263" s="1">
        <f t="shared" si="28"/>
        <v>-0.199999999999992</v>
      </c>
    </row>
    <row r="264" s="1" customFormat="1" spans="1:12">
      <c r="A264" s="2">
        <v>8.73</v>
      </c>
      <c r="B264" s="10" t="s">
        <v>21</v>
      </c>
      <c r="C264" s="4">
        <v>8.73</v>
      </c>
      <c r="D264" s="5">
        <v>46.5</v>
      </c>
      <c r="E264" s="4"/>
      <c r="F264" s="4"/>
      <c r="G264" s="2">
        <f t="shared" si="24"/>
        <v>8.696</v>
      </c>
      <c r="H264" s="11" t="str">
        <f t="shared" si="25"/>
        <v>3.439E-2</v>
      </c>
      <c r="I264" s="2">
        <f t="shared" si="29"/>
        <v>46.3</v>
      </c>
      <c r="J264" s="4">
        <f t="shared" si="26"/>
        <v>8.696</v>
      </c>
      <c r="K264" s="9">
        <f t="shared" si="27"/>
        <v>6.69999999999997</v>
      </c>
      <c r="L264" s="1">
        <f t="shared" si="28"/>
        <v>-0.199999999999992</v>
      </c>
    </row>
    <row r="265" s="1" customFormat="1" spans="1:12">
      <c r="A265" s="2">
        <v>8.763</v>
      </c>
      <c r="B265" s="10" t="s">
        <v>12</v>
      </c>
      <c r="C265" s="4">
        <v>8.763</v>
      </c>
      <c r="D265" s="5">
        <v>46.8</v>
      </c>
      <c r="E265" s="4"/>
      <c r="F265" s="4"/>
      <c r="G265" s="2">
        <f t="shared" si="24"/>
        <v>8.73</v>
      </c>
      <c r="H265" s="11" t="str">
        <f t="shared" si="25"/>
        <v>3.437E-2</v>
      </c>
      <c r="I265" s="2">
        <f t="shared" si="29"/>
        <v>46</v>
      </c>
      <c r="J265" s="4">
        <f t="shared" si="26"/>
        <v>8.73</v>
      </c>
      <c r="K265" s="9">
        <f t="shared" si="27"/>
        <v>6.49999999999998</v>
      </c>
      <c r="L265" s="1">
        <f t="shared" si="28"/>
        <v>-0.199999999999992</v>
      </c>
    </row>
    <row r="266" s="1" customFormat="1" spans="1:12">
      <c r="A266" s="2">
        <v>8.797</v>
      </c>
      <c r="B266" s="10" t="s">
        <v>9</v>
      </c>
      <c r="C266" s="4">
        <v>8.797</v>
      </c>
      <c r="D266" s="5">
        <v>46.1</v>
      </c>
      <c r="E266" s="4"/>
      <c r="F266" s="4"/>
      <c r="G266" s="2">
        <f t="shared" si="24"/>
        <v>8.763</v>
      </c>
      <c r="H266" s="11" t="str">
        <f t="shared" si="25"/>
        <v>3.435E-2</v>
      </c>
      <c r="I266" s="2">
        <f t="shared" si="29"/>
        <v>46.5</v>
      </c>
      <c r="J266" s="4">
        <f t="shared" si="26"/>
        <v>8.763</v>
      </c>
      <c r="K266" s="9">
        <f t="shared" si="27"/>
        <v>6.29999999999999</v>
      </c>
      <c r="L266" s="1">
        <f t="shared" si="28"/>
        <v>-0.199999999999992</v>
      </c>
    </row>
    <row r="267" s="1" customFormat="1" spans="1:12">
      <c r="A267" s="2">
        <v>8.83</v>
      </c>
      <c r="B267" s="10" t="s">
        <v>11</v>
      </c>
      <c r="C267" s="4">
        <v>8.83</v>
      </c>
      <c r="D267" s="5">
        <v>46.4</v>
      </c>
      <c r="E267" s="4"/>
      <c r="F267" s="4"/>
      <c r="G267" s="2">
        <f t="shared" si="24"/>
        <v>8.797</v>
      </c>
      <c r="H267" s="11" t="str">
        <f t="shared" si="25"/>
        <v>3.433E-2</v>
      </c>
      <c r="I267" s="2">
        <f t="shared" si="29"/>
        <v>46.8</v>
      </c>
      <c r="J267" s="4">
        <f t="shared" si="26"/>
        <v>8.797</v>
      </c>
      <c r="K267" s="9">
        <f t="shared" si="27"/>
        <v>6.09999999999999</v>
      </c>
      <c r="L267" s="1">
        <f t="shared" si="28"/>
        <v>-0.199999999999992</v>
      </c>
    </row>
    <row r="268" s="1" customFormat="1" spans="1:12">
      <c r="A268" s="2">
        <v>8.863</v>
      </c>
      <c r="B268" s="10" t="s">
        <v>14</v>
      </c>
      <c r="C268" s="4">
        <v>8.863</v>
      </c>
      <c r="D268" s="5">
        <v>46.1</v>
      </c>
      <c r="E268" s="4"/>
      <c r="F268" s="4"/>
      <c r="G268" s="2">
        <f t="shared" si="24"/>
        <v>8.83</v>
      </c>
      <c r="H268" s="11" t="str">
        <f t="shared" si="25"/>
        <v>3.432E-2</v>
      </c>
      <c r="I268" s="2">
        <f t="shared" si="29"/>
        <v>46.1</v>
      </c>
      <c r="J268" s="4">
        <f t="shared" si="26"/>
        <v>8.83</v>
      </c>
      <c r="K268" s="9">
        <f t="shared" si="27"/>
        <v>6.00000000000003</v>
      </c>
      <c r="L268" s="1">
        <f t="shared" si="28"/>
        <v>-0.199999999999992</v>
      </c>
    </row>
    <row r="269" s="1" customFormat="1" spans="1:12">
      <c r="A269" s="2">
        <v>8.897</v>
      </c>
      <c r="B269" s="10" t="s">
        <v>19</v>
      </c>
      <c r="C269" s="4">
        <v>8.897</v>
      </c>
      <c r="D269" s="5">
        <v>45.7</v>
      </c>
      <c r="E269" s="4"/>
      <c r="F269" s="4"/>
      <c r="G269" s="2">
        <f t="shared" si="24"/>
        <v>8.863</v>
      </c>
      <c r="H269" s="11" t="str">
        <f t="shared" si="25"/>
        <v>3.429E-2</v>
      </c>
      <c r="I269" s="2">
        <f t="shared" si="29"/>
        <v>46.4</v>
      </c>
      <c r="J269" s="4">
        <f t="shared" si="26"/>
        <v>8.863</v>
      </c>
      <c r="K269" s="9">
        <f t="shared" si="27"/>
        <v>5.70000000000001</v>
      </c>
      <c r="L269" s="1">
        <f t="shared" si="28"/>
        <v>-0.199999999999992</v>
      </c>
    </row>
    <row r="270" s="1" customFormat="1" spans="1:12">
      <c r="A270" s="2">
        <v>8.93</v>
      </c>
      <c r="B270" s="10" t="s">
        <v>16</v>
      </c>
      <c r="C270" s="4">
        <v>8.93</v>
      </c>
      <c r="D270" s="5">
        <v>46.2</v>
      </c>
      <c r="E270" s="4"/>
      <c r="F270" s="4"/>
      <c r="G270" s="2">
        <f t="shared" si="24"/>
        <v>8.897</v>
      </c>
      <c r="H270" s="11" t="str">
        <f t="shared" si="25"/>
        <v>3.428E-2</v>
      </c>
      <c r="I270" s="2">
        <f t="shared" si="29"/>
        <v>46.1</v>
      </c>
      <c r="J270" s="4">
        <f t="shared" si="26"/>
        <v>8.897</v>
      </c>
      <c r="K270" s="9">
        <f t="shared" si="27"/>
        <v>5.59999999999998</v>
      </c>
      <c r="L270" s="1">
        <f t="shared" si="28"/>
        <v>-0.199999999999992</v>
      </c>
    </row>
    <row r="271" s="1" customFormat="1" spans="1:12">
      <c r="A271" s="2">
        <v>8.964</v>
      </c>
      <c r="B271" s="10" t="s">
        <v>81</v>
      </c>
      <c r="C271" s="4">
        <v>8.964</v>
      </c>
      <c r="D271" s="5">
        <v>46.1</v>
      </c>
      <c r="E271" s="4"/>
      <c r="F271" s="4"/>
      <c r="G271" s="2">
        <f t="shared" si="24"/>
        <v>8.93</v>
      </c>
      <c r="H271" s="11" t="str">
        <f t="shared" si="25"/>
        <v>3.426E-2</v>
      </c>
      <c r="I271" s="2">
        <f t="shared" si="29"/>
        <v>45.7</v>
      </c>
      <c r="J271" s="4">
        <f t="shared" si="26"/>
        <v>8.93</v>
      </c>
      <c r="K271" s="9">
        <f t="shared" si="27"/>
        <v>5.39999999999999</v>
      </c>
      <c r="L271" s="1">
        <f t="shared" si="28"/>
        <v>-0.199999999999992</v>
      </c>
    </row>
    <row r="272" s="1" customFormat="1" spans="1:12">
      <c r="A272" s="2">
        <v>8.997</v>
      </c>
      <c r="B272" s="10" t="s">
        <v>44</v>
      </c>
      <c r="C272" s="4">
        <v>8.997</v>
      </c>
      <c r="D272" s="5">
        <v>46.2</v>
      </c>
      <c r="E272" s="4"/>
      <c r="F272" s="4"/>
      <c r="G272" s="2">
        <f t="shared" si="24"/>
        <v>8.964</v>
      </c>
      <c r="H272" s="11" t="str">
        <f t="shared" si="25"/>
        <v>3.425E-2</v>
      </c>
      <c r="I272" s="2">
        <f t="shared" si="29"/>
        <v>46.2</v>
      </c>
      <c r="J272" s="4">
        <f t="shared" si="26"/>
        <v>8.964</v>
      </c>
      <c r="K272" s="9">
        <f t="shared" si="27"/>
        <v>5.30000000000003</v>
      </c>
      <c r="L272" s="1">
        <f t="shared" si="28"/>
        <v>-0.199999999999992</v>
      </c>
    </row>
    <row r="273" s="1" customFormat="1" spans="1:12">
      <c r="A273" s="2">
        <v>9.031</v>
      </c>
      <c r="B273" s="10" t="s">
        <v>242</v>
      </c>
      <c r="C273" s="4">
        <v>9.031</v>
      </c>
      <c r="D273" s="5">
        <v>46.5</v>
      </c>
      <c r="E273" s="4"/>
      <c r="F273" s="4"/>
      <c r="G273" s="2">
        <f t="shared" si="24"/>
        <v>8.997</v>
      </c>
      <c r="H273" s="11" t="str">
        <f t="shared" si="25"/>
        <v>3.422E-2</v>
      </c>
      <c r="I273" s="2">
        <f t="shared" si="29"/>
        <v>46.1</v>
      </c>
      <c r="J273" s="4">
        <f t="shared" si="26"/>
        <v>8.997</v>
      </c>
      <c r="K273" s="9">
        <f t="shared" si="27"/>
        <v>5</v>
      </c>
      <c r="L273" s="1">
        <f t="shared" si="28"/>
        <v>-0.199999999999992</v>
      </c>
    </row>
    <row r="274" s="1" customFormat="1" spans="1:12">
      <c r="A274" s="2">
        <v>9.064</v>
      </c>
      <c r="B274" s="10" t="s">
        <v>242</v>
      </c>
      <c r="C274" s="4">
        <v>9.064</v>
      </c>
      <c r="D274" s="5">
        <v>46.6</v>
      </c>
      <c r="E274" s="4"/>
      <c r="F274" s="4"/>
      <c r="G274" s="2">
        <f t="shared" si="24"/>
        <v>9.031</v>
      </c>
      <c r="H274" s="11" t="str">
        <f t="shared" si="25"/>
        <v>3.421E-2</v>
      </c>
      <c r="I274" s="2">
        <f t="shared" si="29"/>
        <v>46.2</v>
      </c>
      <c r="J274" s="4">
        <f t="shared" si="26"/>
        <v>9.031</v>
      </c>
      <c r="K274" s="9">
        <f t="shared" si="27"/>
        <v>4.89999999999997</v>
      </c>
      <c r="L274" s="1">
        <f t="shared" si="28"/>
        <v>-0.199999999999992</v>
      </c>
    </row>
    <row r="275" s="1" customFormat="1" spans="1:12">
      <c r="A275" s="2">
        <v>9.098</v>
      </c>
      <c r="B275" s="10" t="s">
        <v>118</v>
      </c>
      <c r="C275" s="4">
        <v>9.098</v>
      </c>
      <c r="D275" s="5">
        <v>46.1</v>
      </c>
      <c r="E275" s="4"/>
      <c r="F275" s="4"/>
      <c r="G275" s="2">
        <f t="shared" si="24"/>
        <v>9.064</v>
      </c>
      <c r="H275" s="11" t="str">
        <f t="shared" si="25"/>
        <v>3.421E-2</v>
      </c>
      <c r="I275" s="2">
        <f t="shared" si="29"/>
        <v>46.5</v>
      </c>
      <c r="J275" s="4">
        <f t="shared" si="26"/>
        <v>9.064</v>
      </c>
      <c r="K275" s="9">
        <f t="shared" si="27"/>
        <v>4.89999999999997</v>
      </c>
      <c r="L275" s="1">
        <f t="shared" si="28"/>
        <v>-0.199999999999992</v>
      </c>
    </row>
    <row r="276" s="1" customFormat="1" spans="1:12">
      <c r="A276" s="2">
        <v>9.131</v>
      </c>
      <c r="B276" s="10" t="s">
        <v>235</v>
      </c>
      <c r="C276" s="4">
        <v>9.131</v>
      </c>
      <c r="D276" s="5">
        <v>46.2</v>
      </c>
      <c r="E276" s="4"/>
      <c r="F276" s="4"/>
      <c r="G276" s="2">
        <f t="shared" si="24"/>
        <v>9.098</v>
      </c>
      <c r="H276" s="11" t="str">
        <f t="shared" si="25"/>
        <v>3.419E-2</v>
      </c>
      <c r="I276" s="2">
        <f t="shared" si="29"/>
        <v>46.6</v>
      </c>
      <c r="J276" s="4">
        <f t="shared" si="26"/>
        <v>9.098</v>
      </c>
      <c r="K276" s="9">
        <f t="shared" si="27"/>
        <v>4.69999999999998</v>
      </c>
      <c r="L276" s="1">
        <f t="shared" si="28"/>
        <v>-0.199999999999992</v>
      </c>
    </row>
    <row r="277" s="1" customFormat="1" spans="1:12">
      <c r="A277" s="2">
        <v>9.164</v>
      </c>
      <c r="B277" s="10" t="s">
        <v>118</v>
      </c>
      <c r="C277" s="4">
        <v>9.164</v>
      </c>
      <c r="D277" s="5">
        <v>46.1</v>
      </c>
      <c r="E277" s="4"/>
      <c r="F277" s="4"/>
      <c r="G277" s="2">
        <f t="shared" si="24"/>
        <v>9.131</v>
      </c>
      <c r="H277" s="11" t="str">
        <f t="shared" si="25"/>
        <v>3.420E-2</v>
      </c>
      <c r="I277" s="2">
        <f t="shared" si="29"/>
        <v>46.1</v>
      </c>
      <c r="J277" s="4">
        <f t="shared" si="26"/>
        <v>9.131</v>
      </c>
      <c r="K277" s="9">
        <f t="shared" si="27"/>
        <v>4.80000000000001</v>
      </c>
      <c r="L277" s="1">
        <f t="shared" si="28"/>
        <v>-0.199999999999992</v>
      </c>
    </row>
    <row r="278" s="1" customFormat="1" spans="1:12">
      <c r="A278" s="2">
        <v>9.198</v>
      </c>
      <c r="B278" s="10" t="s">
        <v>235</v>
      </c>
      <c r="C278" s="4">
        <v>9.198</v>
      </c>
      <c r="D278" s="5">
        <v>46.3</v>
      </c>
      <c r="E278" s="4"/>
      <c r="F278" s="4"/>
      <c r="G278" s="2">
        <f t="shared" si="24"/>
        <v>9.164</v>
      </c>
      <c r="H278" s="11" t="str">
        <f t="shared" si="25"/>
        <v>3.419E-2</v>
      </c>
      <c r="I278" s="2">
        <f t="shared" si="29"/>
        <v>46.2</v>
      </c>
      <c r="J278" s="4">
        <f t="shared" si="26"/>
        <v>9.164</v>
      </c>
      <c r="K278" s="9">
        <f t="shared" si="27"/>
        <v>4.69999999999998</v>
      </c>
      <c r="L278" s="1">
        <f t="shared" si="28"/>
        <v>-0.199999999999992</v>
      </c>
    </row>
    <row r="279" s="1" customFormat="1" spans="1:12">
      <c r="A279" s="2">
        <v>9.231</v>
      </c>
      <c r="B279" s="10" t="s">
        <v>118</v>
      </c>
      <c r="C279" s="4">
        <v>9.231</v>
      </c>
      <c r="D279" s="5">
        <v>46.2</v>
      </c>
      <c r="E279" s="4"/>
      <c r="F279" s="4"/>
      <c r="G279" s="2">
        <f t="shared" si="24"/>
        <v>9.198</v>
      </c>
      <c r="H279" s="11" t="str">
        <f t="shared" si="25"/>
        <v>3.420E-2</v>
      </c>
      <c r="I279" s="2">
        <f t="shared" si="29"/>
        <v>46.1</v>
      </c>
      <c r="J279" s="4">
        <f t="shared" si="26"/>
        <v>9.198</v>
      </c>
      <c r="K279" s="9">
        <f t="shared" si="27"/>
        <v>4.80000000000001</v>
      </c>
      <c r="L279" s="1">
        <f t="shared" si="28"/>
        <v>-0.199999999999992</v>
      </c>
    </row>
    <row r="280" s="1" customFormat="1" spans="1:12">
      <c r="A280" s="2">
        <v>9.265</v>
      </c>
      <c r="B280" s="10" t="s">
        <v>242</v>
      </c>
      <c r="C280" s="4">
        <v>9.265</v>
      </c>
      <c r="D280" s="5">
        <v>46</v>
      </c>
      <c r="E280" s="4"/>
      <c r="F280" s="4"/>
      <c r="G280" s="2">
        <f t="shared" si="24"/>
        <v>9.231</v>
      </c>
      <c r="H280" s="11" t="str">
        <f t="shared" si="25"/>
        <v>3.419E-2</v>
      </c>
      <c r="I280" s="2">
        <f t="shared" si="29"/>
        <v>46.3</v>
      </c>
      <c r="J280" s="4">
        <f t="shared" si="26"/>
        <v>9.231</v>
      </c>
      <c r="K280" s="9">
        <f t="shared" si="27"/>
        <v>4.69999999999998</v>
      </c>
      <c r="L280" s="1">
        <f t="shared" si="28"/>
        <v>-0.199999999999992</v>
      </c>
    </row>
    <row r="281" s="1" customFormat="1" spans="1:12">
      <c r="A281" s="2">
        <v>9.298</v>
      </c>
      <c r="B281" s="10" t="s">
        <v>242</v>
      </c>
      <c r="C281" s="4">
        <v>9.298</v>
      </c>
      <c r="D281" s="5">
        <v>46.1</v>
      </c>
      <c r="E281" s="4"/>
      <c r="F281" s="4"/>
      <c r="G281" s="2">
        <f t="shared" si="24"/>
        <v>9.265</v>
      </c>
      <c r="H281" s="11" t="str">
        <f t="shared" si="25"/>
        <v>3.421E-2</v>
      </c>
      <c r="I281" s="2">
        <f t="shared" si="29"/>
        <v>46.2</v>
      </c>
      <c r="J281" s="4">
        <f t="shared" si="26"/>
        <v>9.265</v>
      </c>
      <c r="K281" s="9">
        <f t="shared" si="27"/>
        <v>4.89999999999997</v>
      </c>
      <c r="L281" s="1">
        <f t="shared" si="28"/>
        <v>-0.199999999999992</v>
      </c>
    </row>
    <row r="282" s="1" customFormat="1" spans="1:12">
      <c r="A282" s="2">
        <v>9.332</v>
      </c>
      <c r="B282" s="10" t="s">
        <v>17</v>
      </c>
      <c r="C282" s="4">
        <v>9.332</v>
      </c>
      <c r="D282" s="5">
        <v>46.9</v>
      </c>
      <c r="E282" s="4"/>
      <c r="F282" s="4"/>
      <c r="G282" s="2">
        <f t="shared" si="24"/>
        <v>9.298</v>
      </c>
      <c r="H282" s="11" t="str">
        <f t="shared" si="25"/>
        <v>3.421E-2</v>
      </c>
      <c r="I282" s="2">
        <f t="shared" si="29"/>
        <v>46</v>
      </c>
      <c r="J282" s="4">
        <f t="shared" si="26"/>
        <v>9.298</v>
      </c>
      <c r="K282" s="9">
        <f t="shared" si="27"/>
        <v>4.89999999999997</v>
      </c>
      <c r="L282" s="1">
        <f t="shared" si="28"/>
        <v>-0.199999999999992</v>
      </c>
    </row>
    <row r="283" s="1" customFormat="1" spans="1:12">
      <c r="A283" s="2">
        <v>9.365</v>
      </c>
      <c r="B283" s="10" t="s">
        <v>81</v>
      </c>
      <c r="C283" s="4">
        <v>9.365</v>
      </c>
      <c r="D283" s="5">
        <v>46.1</v>
      </c>
      <c r="E283" s="4"/>
      <c r="F283" s="4"/>
      <c r="G283" s="2">
        <f t="shared" si="24"/>
        <v>9.332</v>
      </c>
      <c r="H283" s="11" t="str">
        <f t="shared" si="25"/>
        <v>3.423E-2</v>
      </c>
      <c r="I283" s="2">
        <f t="shared" si="29"/>
        <v>46.1</v>
      </c>
      <c r="J283" s="4">
        <f t="shared" si="26"/>
        <v>9.332</v>
      </c>
      <c r="K283" s="9">
        <f t="shared" si="27"/>
        <v>5.09999999999997</v>
      </c>
      <c r="L283" s="1">
        <f t="shared" si="28"/>
        <v>-0.199999999999992</v>
      </c>
    </row>
    <row r="284" s="1" customFormat="1" spans="1:12">
      <c r="A284" s="2">
        <v>9.399</v>
      </c>
      <c r="B284" s="10" t="s">
        <v>16</v>
      </c>
      <c r="C284" s="4">
        <v>9.399</v>
      </c>
      <c r="D284" s="5">
        <v>46.3</v>
      </c>
      <c r="E284" s="4"/>
      <c r="F284" s="4"/>
      <c r="G284" s="2">
        <f t="shared" si="24"/>
        <v>9.365</v>
      </c>
      <c r="H284" s="11" t="str">
        <f t="shared" si="25"/>
        <v>3.425E-2</v>
      </c>
      <c r="I284" s="2">
        <f t="shared" si="29"/>
        <v>46.9</v>
      </c>
      <c r="J284" s="4">
        <f t="shared" si="26"/>
        <v>9.365</v>
      </c>
      <c r="K284" s="9">
        <f t="shared" si="27"/>
        <v>5.30000000000003</v>
      </c>
      <c r="L284" s="1">
        <f t="shared" si="28"/>
        <v>-0.199999999999992</v>
      </c>
    </row>
    <row r="285" s="1" customFormat="1" spans="1:12">
      <c r="A285" s="2">
        <v>9.432</v>
      </c>
      <c r="B285" s="10" t="s">
        <v>19</v>
      </c>
      <c r="C285" s="4">
        <v>9.432</v>
      </c>
      <c r="D285" s="5">
        <v>46.4</v>
      </c>
      <c r="E285" s="4"/>
      <c r="F285" s="4"/>
      <c r="G285" s="2">
        <f t="shared" si="24"/>
        <v>9.399</v>
      </c>
      <c r="H285" s="11" t="str">
        <f t="shared" si="25"/>
        <v>3.426E-2</v>
      </c>
      <c r="I285" s="2">
        <f t="shared" si="29"/>
        <v>46.1</v>
      </c>
      <c r="J285" s="4">
        <f t="shared" si="26"/>
        <v>9.399</v>
      </c>
      <c r="K285" s="9">
        <f t="shared" si="27"/>
        <v>5.39999999999999</v>
      </c>
      <c r="L285" s="1">
        <f t="shared" si="28"/>
        <v>-0.199999999999992</v>
      </c>
    </row>
    <row r="286" s="1" customFormat="1" spans="1:12">
      <c r="A286" s="2">
        <v>9.466</v>
      </c>
      <c r="B286" s="10" t="s">
        <v>20</v>
      </c>
      <c r="C286" s="4">
        <v>9.466</v>
      </c>
      <c r="D286" s="5">
        <v>46.6</v>
      </c>
      <c r="E286" s="4"/>
      <c r="F286" s="4"/>
      <c r="G286" s="2">
        <f t="shared" si="24"/>
        <v>9.432</v>
      </c>
      <c r="H286" s="11" t="str">
        <f t="shared" si="25"/>
        <v>3.428E-2</v>
      </c>
      <c r="I286" s="2">
        <f t="shared" si="29"/>
        <v>46.3</v>
      </c>
      <c r="J286" s="4">
        <f t="shared" si="26"/>
        <v>9.432</v>
      </c>
      <c r="K286" s="9">
        <f t="shared" si="27"/>
        <v>5.59999999999998</v>
      </c>
      <c r="L286" s="1">
        <f t="shared" si="28"/>
        <v>-0.199999999999992</v>
      </c>
    </row>
    <row r="287" s="1" customFormat="1" spans="1:12">
      <c r="A287" s="2">
        <v>9.499</v>
      </c>
      <c r="B287" s="10" t="s">
        <v>11</v>
      </c>
      <c r="C287" s="4">
        <v>9.499</v>
      </c>
      <c r="D287" s="5">
        <v>46.5</v>
      </c>
      <c r="E287" s="4"/>
      <c r="F287" s="4"/>
      <c r="G287" s="2">
        <f t="shared" si="24"/>
        <v>9.466</v>
      </c>
      <c r="H287" s="11" t="str">
        <f t="shared" si="25"/>
        <v>3.430E-2</v>
      </c>
      <c r="I287" s="2">
        <f t="shared" si="29"/>
        <v>46.4</v>
      </c>
      <c r="J287" s="4">
        <f t="shared" si="26"/>
        <v>9.466</v>
      </c>
      <c r="K287" s="9">
        <f t="shared" si="27"/>
        <v>5.79999999999997</v>
      </c>
      <c r="L287" s="1">
        <f t="shared" si="28"/>
        <v>-0.199999999999992</v>
      </c>
    </row>
    <row r="288" s="1" customFormat="1" spans="1:12">
      <c r="A288" s="2">
        <v>9.532</v>
      </c>
      <c r="B288" s="10" t="s">
        <v>9</v>
      </c>
      <c r="C288" s="4">
        <v>9.532</v>
      </c>
      <c r="D288" s="5">
        <v>46.6</v>
      </c>
      <c r="E288" s="4"/>
      <c r="F288" s="4"/>
      <c r="G288" s="2">
        <f t="shared" si="24"/>
        <v>9.499</v>
      </c>
      <c r="H288" s="11" t="str">
        <f t="shared" si="25"/>
        <v>3.432E-2</v>
      </c>
      <c r="I288" s="2">
        <f t="shared" si="29"/>
        <v>46.6</v>
      </c>
      <c r="J288" s="4">
        <f t="shared" si="26"/>
        <v>9.499</v>
      </c>
      <c r="K288" s="9">
        <f t="shared" si="27"/>
        <v>6.00000000000003</v>
      </c>
      <c r="L288" s="1">
        <f t="shared" si="28"/>
        <v>-0.199999999999992</v>
      </c>
    </row>
    <row r="289" s="1" customFormat="1" spans="1:12">
      <c r="A289" s="2">
        <v>9.566</v>
      </c>
      <c r="B289" s="10" t="s">
        <v>12</v>
      </c>
      <c r="C289" s="4">
        <v>9.566</v>
      </c>
      <c r="D289" s="5">
        <v>46.6</v>
      </c>
      <c r="E289" s="4"/>
      <c r="F289" s="4"/>
      <c r="G289" s="2">
        <f t="shared" si="24"/>
        <v>9.532</v>
      </c>
      <c r="H289" s="11" t="str">
        <f t="shared" si="25"/>
        <v>3.433E-2</v>
      </c>
      <c r="I289" s="2">
        <f t="shared" si="29"/>
        <v>46.5</v>
      </c>
      <c r="J289" s="4">
        <f t="shared" si="26"/>
        <v>9.532</v>
      </c>
      <c r="K289" s="9">
        <f t="shared" si="27"/>
        <v>6.09999999999999</v>
      </c>
      <c r="L289" s="1">
        <f t="shared" si="28"/>
        <v>-0.199999999999992</v>
      </c>
    </row>
    <row r="290" s="1" customFormat="1" spans="1:12">
      <c r="A290" s="2">
        <v>9.599</v>
      </c>
      <c r="B290" s="10" t="s">
        <v>143</v>
      </c>
      <c r="C290" s="4">
        <v>9.599</v>
      </c>
      <c r="D290" s="5">
        <v>46.3</v>
      </c>
      <c r="E290" s="4"/>
      <c r="F290" s="4"/>
      <c r="G290" s="2">
        <f t="shared" si="24"/>
        <v>9.566</v>
      </c>
      <c r="H290" s="11" t="str">
        <f t="shared" si="25"/>
        <v>3.435E-2</v>
      </c>
      <c r="I290" s="2">
        <f t="shared" si="29"/>
        <v>46.6</v>
      </c>
      <c r="J290" s="4">
        <f t="shared" si="26"/>
        <v>9.566</v>
      </c>
      <c r="K290" s="9">
        <f t="shared" si="27"/>
        <v>6.29999999999999</v>
      </c>
      <c r="L290" s="1">
        <f t="shared" si="28"/>
        <v>-0.199999999999992</v>
      </c>
    </row>
    <row r="291" s="1" customFormat="1" spans="1:12">
      <c r="A291" s="2">
        <v>9.633</v>
      </c>
      <c r="B291" s="10" t="s">
        <v>21</v>
      </c>
      <c r="C291" s="4">
        <v>9.633</v>
      </c>
      <c r="D291" s="5">
        <v>46.1</v>
      </c>
      <c r="E291" s="4"/>
      <c r="F291" s="4"/>
      <c r="G291" s="2">
        <f t="shared" si="24"/>
        <v>9.599</v>
      </c>
      <c r="H291" s="11" t="str">
        <f t="shared" si="25"/>
        <v>3.436E-2</v>
      </c>
      <c r="I291" s="2">
        <f t="shared" si="29"/>
        <v>46.6</v>
      </c>
      <c r="J291" s="4">
        <f t="shared" si="26"/>
        <v>9.599</v>
      </c>
      <c r="K291" s="9">
        <f t="shared" si="27"/>
        <v>6.40000000000002</v>
      </c>
      <c r="L291" s="1">
        <f t="shared" si="28"/>
        <v>-0.199999999999992</v>
      </c>
    </row>
    <row r="292" s="1" customFormat="1" spans="1:12">
      <c r="A292" s="2">
        <v>9.666</v>
      </c>
      <c r="B292" s="10" t="s">
        <v>22</v>
      </c>
      <c r="C292" s="4">
        <v>9.666</v>
      </c>
      <c r="D292" s="5">
        <v>46.2</v>
      </c>
      <c r="E292" s="4"/>
      <c r="F292" s="4"/>
      <c r="G292" s="2">
        <f t="shared" si="24"/>
        <v>9.633</v>
      </c>
      <c r="H292" s="11" t="str">
        <f t="shared" si="25"/>
        <v>3.437E-2</v>
      </c>
      <c r="I292" s="2">
        <f t="shared" si="29"/>
        <v>46.3</v>
      </c>
      <c r="J292" s="4">
        <f t="shared" si="26"/>
        <v>9.633</v>
      </c>
      <c r="K292" s="9">
        <f t="shared" si="27"/>
        <v>6.49999999999998</v>
      </c>
      <c r="L292" s="1">
        <f t="shared" si="28"/>
        <v>-0.199999999999992</v>
      </c>
    </row>
    <row r="293" s="1" customFormat="1" spans="1:12">
      <c r="A293" s="2">
        <v>9.7</v>
      </c>
      <c r="B293" s="10" t="s">
        <v>43</v>
      </c>
      <c r="C293" s="4">
        <v>9.7</v>
      </c>
      <c r="D293" s="5">
        <v>46.3</v>
      </c>
      <c r="E293" s="4"/>
      <c r="F293" s="4"/>
      <c r="G293" s="2">
        <f t="shared" si="24"/>
        <v>9.666</v>
      </c>
      <c r="H293" s="11" t="str">
        <f t="shared" si="25"/>
        <v>3.439E-2</v>
      </c>
      <c r="I293" s="2">
        <f t="shared" si="29"/>
        <v>46.1</v>
      </c>
      <c r="J293" s="4">
        <f t="shared" si="26"/>
        <v>9.666</v>
      </c>
      <c r="K293" s="9">
        <f t="shared" si="27"/>
        <v>6.69999999999997</v>
      </c>
      <c r="L293" s="1">
        <f t="shared" si="28"/>
        <v>-0.199999999999992</v>
      </c>
    </row>
    <row r="294" s="1" customFormat="1" spans="1:12">
      <c r="A294" s="2">
        <v>9.733</v>
      </c>
      <c r="B294" s="10" t="s">
        <v>23</v>
      </c>
      <c r="C294" s="4">
        <v>9.733</v>
      </c>
      <c r="D294" s="5">
        <v>46</v>
      </c>
      <c r="E294" s="4"/>
      <c r="F294" s="4"/>
      <c r="G294" s="2">
        <f t="shared" si="24"/>
        <v>9.7</v>
      </c>
      <c r="H294" s="11" t="str">
        <f t="shared" si="25"/>
        <v>3.441E-2</v>
      </c>
      <c r="I294" s="2">
        <f t="shared" si="29"/>
        <v>46.2</v>
      </c>
      <c r="J294" s="4">
        <f t="shared" si="26"/>
        <v>9.7</v>
      </c>
      <c r="K294" s="9">
        <f t="shared" si="27"/>
        <v>6.90000000000003</v>
      </c>
      <c r="L294" s="1">
        <f t="shared" si="28"/>
        <v>-0.199999999999992</v>
      </c>
    </row>
    <row r="295" s="1" customFormat="1" spans="1:12">
      <c r="A295" s="2">
        <v>9.767</v>
      </c>
      <c r="B295" s="10" t="s">
        <v>23</v>
      </c>
      <c r="C295" s="4">
        <v>9.767</v>
      </c>
      <c r="D295" s="5">
        <v>46.4</v>
      </c>
      <c r="E295" s="4"/>
      <c r="F295" s="4"/>
      <c r="G295" s="2">
        <f t="shared" si="24"/>
        <v>9.733</v>
      </c>
      <c r="H295" s="11" t="str">
        <f t="shared" si="25"/>
        <v>3.442E-2</v>
      </c>
      <c r="I295" s="2">
        <f t="shared" si="29"/>
        <v>46.3</v>
      </c>
      <c r="J295" s="4">
        <f t="shared" si="26"/>
        <v>9.733</v>
      </c>
      <c r="K295" s="9">
        <f t="shared" si="27"/>
        <v>6.99999999999999</v>
      </c>
      <c r="L295" s="1">
        <f t="shared" si="28"/>
        <v>-0.199999999999992</v>
      </c>
    </row>
    <row r="296" s="1" customFormat="1" spans="1:12">
      <c r="A296" s="2">
        <v>9.8</v>
      </c>
      <c r="B296" s="10" t="s">
        <v>222</v>
      </c>
      <c r="C296" s="4">
        <v>9.8</v>
      </c>
      <c r="D296" s="5">
        <v>46.5</v>
      </c>
      <c r="E296" s="4"/>
      <c r="F296" s="4"/>
      <c r="G296" s="2">
        <f t="shared" si="24"/>
        <v>9.767</v>
      </c>
      <c r="H296" s="11" t="str">
        <f t="shared" si="25"/>
        <v>3.442E-2</v>
      </c>
      <c r="I296" s="2">
        <f t="shared" si="29"/>
        <v>46</v>
      </c>
      <c r="J296" s="4">
        <f t="shared" si="26"/>
        <v>9.767</v>
      </c>
      <c r="K296" s="9">
        <f t="shared" si="27"/>
        <v>6.99999999999999</v>
      </c>
      <c r="L296" s="1">
        <f t="shared" si="28"/>
        <v>-0.199999999999992</v>
      </c>
    </row>
    <row r="297" s="1" customFormat="1" spans="1:12">
      <c r="A297" s="2">
        <v>9.833</v>
      </c>
      <c r="B297" s="10" t="s">
        <v>222</v>
      </c>
      <c r="C297" s="4">
        <v>9.833</v>
      </c>
      <c r="D297" s="5">
        <v>46.1</v>
      </c>
      <c r="E297" s="4"/>
      <c r="F297" s="4"/>
      <c r="G297" s="2">
        <f t="shared" si="24"/>
        <v>9.8</v>
      </c>
      <c r="H297" s="11" t="str">
        <f t="shared" si="25"/>
        <v>3.443E-2</v>
      </c>
      <c r="I297" s="2">
        <f t="shared" si="29"/>
        <v>46.4</v>
      </c>
      <c r="J297" s="4">
        <f t="shared" si="26"/>
        <v>9.8</v>
      </c>
      <c r="K297" s="9">
        <f t="shared" si="27"/>
        <v>7.10000000000002</v>
      </c>
      <c r="L297" s="1">
        <f t="shared" si="28"/>
        <v>-0.199999999999992</v>
      </c>
    </row>
    <row r="298" s="1" customFormat="1" spans="1:12">
      <c r="A298" s="2">
        <v>9.867</v>
      </c>
      <c r="B298" s="10" t="s">
        <v>222</v>
      </c>
      <c r="C298" s="4">
        <v>9.867</v>
      </c>
      <c r="D298" s="5">
        <v>46.3</v>
      </c>
      <c r="E298" s="4"/>
      <c r="F298" s="4"/>
      <c r="G298" s="2">
        <f t="shared" si="24"/>
        <v>9.833</v>
      </c>
      <c r="H298" s="11" t="str">
        <f t="shared" si="25"/>
        <v>3.443E-2</v>
      </c>
      <c r="I298" s="2">
        <f t="shared" si="29"/>
        <v>46.5</v>
      </c>
      <c r="J298" s="4">
        <f t="shared" si="26"/>
        <v>9.833</v>
      </c>
      <c r="K298" s="9">
        <f t="shared" si="27"/>
        <v>7.10000000000002</v>
      </c>
      <c r="L298" s="1">
        <f t="shared" si="28"/>
        <v>-0.199999999999992</v>
      </c>
    </row>
    <row r="299" s="1" customFormat="1" spans="1:12">
      <c r="A299" s="2">
        <v>9.9</v>
      </c>
      <c r="B299" s="10" t="s">
        <v>23</v>
      </c>
      <c r="C299" s="4">
        <v>9.9</v>
      </c>
      <c r="D299" s="5">
        <v>46.6</v>
      </c>
      <c r="E299" s="4"/>
      <c r="F299" s="4"/>
      <c r="G299" s="2">
        <f t="shared" si="24"/>
        <v>9.867</v>
      </c>
      <c r="H299" s="11" t="str">
        <f t="shared" si="25"/>
        <v>3.443E-2</v>
      </c>
      <c r="I299" s="2">
        <f t="shared" si="29"/>
        <v>46.1</v>
      </c>
      <c r="J299" s="4">
        <f t="shared" si="26"/>
        <v>9.867</v>
      </c>
      <c r="K299" s="9">
        <f t="shared" si="27"/>
        <v>7.10000000000002</v>
      </c>
      <c r="L299" s="1">
        <f t="shared" si="28"/>
        <v>-0.199999999999992</v>
      </c>
    </row>
    <row r="300" s="1" customFormat="1" spans="1:12">
      <c r="A300" s="2">
        <v>9.934</v>
      </c>
      <c r="B300" s="10" t="s">
        <v>58</v>
      </c>
      <c r="C300" s="4">
        <v>9.934</v>
      </c>
      <c r="D300" s="5">
        <v>46.3</v>
      </c>
      <c r="E300" s="4"/>
      <c r="F300" s="4"/>
      <c r="G300" s="2">
        <f t="shared" si="24"/>
        <v>9.9</v>
      </c>
      <c r="H300" s="11" t="str">
        <f t="shared" si="25"/>
        <v>3.442E-2</v>
      </c>
      <c r="I300" s="2">
        <f t="shared" si="29"/>
        <v>46.3</v>
      </c>
      <c r="J300" s="4">
        <f t="shared" si="26"/>
        <v>9.9</v>
      </c>
      <c r="K300" s="9">
        <f t="shared" si="27"/>
        <v>6.99999999999999</v>
      </c>
      <c r="L300" s="1">
        <f t="shared" si="28"/>
        <v>-0.199999999999992</v>
      </c>
    </row>
    <row r="301" s="1" customFormat="1" spans="1:12">
      <c r="A301" s="2">
        <v>9.967</v>
      </c>
      <c r="B301" s="10" t="s">
        <v>58</v>
      </c>
      <c r="C301" s="4">
        <v>9.967</v>
      </c>
      <c r="D301" s="5">
        <v>46.1</v>
      </c>
      <c r="E301" s="4"/>
      <c r="F301" s="4"/>
      <c r="G301" s="2">
        <f t="shared" si="24"/>
        <v>9.934</v>
      </c>
      <c r="H301" s="11" t="str">
        <f t="shared" si="25"/>
        <v>3.440E-2</v>
      </c>
      <c r="I301" s="2">
        <f t="shared" si="29"/>
        <v>46.6</v>
      </c>
      <c r="J301" s="4">
        <f t="shared" si="26"/>
        <v>9.934</v>
      </c>
      <c r="K301" s="9">
        <f t="shared" si="27"/>
        <v>6.8</v>
      </c>
      <c r="L301" s="1">
        <f t="shared" si="28"/>
        <v>-0.199999999999992</v>
      </c>
    </row>
    <row r="302" s="1" customFormat="1" spans="1:12">
      <c r="A302" s="2">
        <v>10.001</v>
      </c>
      <c r="B302" s="10" t="s">
        <v>236</v>
      </c>
      <c r="C302" s="4">
        <v>10.001</v>
      </c>
      <c r="D302" s="5">
        <v>46.5</v>
      </c>
      <c r="E302" s="4"/>
      <c r="F302" s="4"/>
      <c r="G302" s="2">
        <f t="shared" si="24"/>
        <v>9.967</v>
      </c>
      <c r="H302" s="11" t="str">
        <f t="shared" si="25"/>
        <v>3.440E-2</v>
      </c>
      <c r="I302" s="2">
        <f t="shared" si="29"/>
        <v>46.3</v>
      </c>
      <c r="J302" s="4">
        <f t="shared" si="26"/>
        <v>9.967</v>
      </c>
      <c r="K302" s="9">
        <f t="shared" si="27"/>
        <v>6.8</v>
      </c>
      <c r="L302" s="1">
        <f t="shared" si="28"/>
        <v>-0.199999999999992</v>
      </c>
    </row>
    <row r="303" s="1" customFormat="1" spans="1:12">
      <c r="A303" s="2">
        <v>10.034</v>
      </c>
      <c r="B303" s="10" t="s">
        <v>21</v>
      </c>
      <c r="C303" s="4">
        <v>10.034</v>
      </c>
      <c r="D303" s="5">
        <v>46.8</v>
      </c>
      <c r="E303" s="4"/>
      <c r="F303" s="4"/>
      <c r="G303" s="2">
        <f t="shared" si="24"/>
        <v>10.001</v>
      </c>
      <c r="H303" s="11" t="str">
        <f t="shared" si="25"/>
        <v>3.438E-2</v>
      </c>
      <c r="I303" s="2">
        <f t="shared" si="29"/>
        <v>46.1</v>
      </c>
      <c r="J303" s="4">
        <f t="shared" si="26"/>
        <v>10.001</v>
      </c>
      <c r="K303" s="9">
        <f t="shared" si="27"/>
        <v>6.60000000000001</v>
      </c>
      <c r="L303" s="1">
        <f t="shared" si="28"/>
        <v>-0.199999999999992</v>
      </c>
    </row>
    <row r="304" s="1" customFormat="1" spans="1:12">
      <c r="A304" s="2">
        <v>10.068</v>
      </c>
      <c r="B304" s="10" t="s">
        <v>12</v>
      </c>
      <c r="C304" s="4">
        <v>10.068</v>
      </c>
      <c r="D304" s="5">
        <v>46.2</v>
      </c>
      <c r="E304" s="4"/>
      <c r="F304" s="4"/>
      <c r="G304" s="2">
        <f t="shared" si="24"/>
        <v>10.034</v>
      </c>
      <c r="H304" s="11" t="str">
        <f t="shared" si="25"/>
        <v>3.437E-2</v>
      </c>
      <c r="I304" s="2">
        <f t="shared" si="29"/>
        <v>46.5</v>
      </c>
      <c r="J304" s="4">
        <f t="shared" si="26"/>
        <v>10.034</v>
      </c>
      <c r="K304" s="9">
        <f t="shared" si="27"/>
        <v>6.49999999999998</v>
      </c>
      <c r="L304" s="1">
        <f t="shared" si="28"/>
        <v>-0.199999999999992</v>
      </c>
    </row>
    <row r="305" s="1" customFormat="1" spans="1:12">
      <c r="A305" s="2">
        <v>10.101</v>
      </c>
      <c r="B305" s="10" t="s">
        <v>9</v>
      </c>
      <c r="C305" s="4">
        <v>10.101</v>
      </c>
      <c r="D305" s="5">
        <v>46.2</v>
      </c>
      <c r="E305" s="4"/>
      <c r="F305" s="4"/>
      <c r="G305" s="2">
        <f t="shared" si="24"/>
        <v>10.068</v>
      </c>
      <c r="H305" s="11" t="str">
        <f t="shared" si="25"/>
        <v>3.435E-2</v>
      </c>
      <c r="I305" s="2">
        <f t="shared" si="29"/>
        <v>46.8</v>
      </c>
      <c r="J305" s="4">
        <f t="shared" si="26"/>
        <v>10.068</v>
      </c>
      <c r="K305" s="9">
        <f t="shared" si="27"/>
        <v>6.29999999999999</v>
      </c>
      <c r="L305" s="1">
        <f t="shared" si="28"/>
        <v>-0.199999999999992</v>
      </c>
    </row>
    <row r="306" s="1" customFormat="1" spans="1:12">
      <c r="A306" s="2">
        <v>10.134</v>
      </c>
      <c r="B306" s="10" t="s">
        <v>11</v>
      </c>
      <c r="C306" s="4">
        <v>10.134</v>
      </c>
      <c r="D306" s="5">
        <v>46.1</v>
      </c>
      <c r="E306" s="4"/>
      <c r="F306" s="4"/>
      <c r="G306" s="2">
        <f t="shared" si="24"/>
        <v>10.101</v>
      </c>
      <c r="H306" s="11" t="str">
        <f t="shared" si="25"/>
        <v>3.433E-2</v>
      </c>
      <c r="I306" s="2">
        <f t="shared" si="29"/>
        <v>46.2</v>
      </c>
      <c r="J306" s="4">
        <f t="shared" si="26"/>
        <v>10.101</v>
      </c>
      <c r="K306" s="9">
        <f t="shared" si="27"/>
        <v>6.09999999999999</v>
      </c>
      <c r="L306" s="1">
        <f t="shared" si="28"/>
        <v>-0.199999999999992</v>
      </c>
    </row>
    <row r="307" s="1" customFormat="1" spans="1:12">
      <c r="A307" s="2">
        <v>10.168</v>
      </c>
      <c r="B307" s="10" t="s">
        <v>14</v>
      </c>
      <c r="C307" s="4">
        <v>10.168</v>
      </c>
      <c r="D307" s="5">
        <v>46.3</v>
      </c>
      <c r="E307" s="4"/>
      <c r="F307" s="4"/>
      <c r="G307" s="2">
        <f t="shared" si="24"/>
        <v>10.134</v>
      </c>
      <c r="H307" s="11" t="str">
        <f t="shared" si="25"/>
        <v>3.432E-2</v>
      </c>
      <c r="I307" s="2">
        <f t="shared" si="29"/>
        <v>46.2</v>
      </c>
      <c r="J307" s="4">
        <f t="shared" si="26"/>
        <v>10.134</v>
      </c>
      <c r="K307" s="9">
        <f t="shared" si="27"/>
        <v>6.00000000000003</v>
      </c>
      <c r="L307" s="1">
        <f t="shared" si="28"/>
        <v>-0.199999999999992</v>
      </c>
    </row>
    <row r="308" s="1" customFormat="1" spans="1:12">
      <c r="A308" s="2">
        <v>10.201</v>
      </c>
      <c r="B308" s="10" t="s">
        <v>14</v>
      </c>
      <c r="C308" s="4">
        <v>10.201</v>
      </c>
      <c r="D308" s="5">
        <v>46.2</v>
      </c>
      <c r="E308" s="4"/>
      <c r="F308" s="4"/>
      <c r="G308" s="2">
        <f t="shared" si="24"/>
        <v>10.168</v>
      </c>
      <c r="H308" s="11" t="str">
        <f t="shared" si="25"/>
        <v>3.429E-2</v>
      </c>
      <c r="I308" s="2">
        <f t="shared" si="29"/>
        <v>46.1</v>
      </c>
      <c r="J308" s="4">
        <f t="shared" si="26"/>
        <v>10.168</v>
      </c>
      <c r="K308" s="9">
        <f t="shared" si="27"/>
        <v>5.70000000000001</v>
      </c>
      <c r="L308" s="1">
        <f t="shared" si="28"/>
        <v>-0.199999999999992</v>
      </c>
    </row>
    <row r="309" s="1" customFormat="1" spans="1:12">
      <c r="A309" s="2">
        <v>10.235</v>
      </c>
      <c r="B309" s="10" t="s">
        <v>15</v>
      </c>
      <c r="C309" s="4">
        <v>10.235</v>
      </c>
      <c r="D309" s="5">
        <v>46.6</v>
      </c>
      <c r="E309" s="4"/>
      <c r="F309" s="4"/>
      <c r="G309" s="2">
        <f t="shared" si="24"/>
        <v>10.201</v>
      </c>
      <c r="H309" s="11" t="str">
        <f t="shared" si="25"/>
        <v>3.429E-2</v>
      </c>
      <c r="I309" s="2">
        <f t="shared" si="29"/>
        <v>46.3</v>
      </c>
      <c r="J309" s="4">
        <f t="shared" si="26"/>
        <v>10.201</v>
      </c>
      <c r="K309" s="9">
        <f t="shared" si="27"/>
        <v>5.70000000000001</v>
      </c>
      <c r="L309" s="1">
        <f t="shared" si="28"/>
        <v>-0.199999999999992</v>
      </c>
    </row>
    <row r="310" s="1" customFormat="1" spans="1:12">
      <c r="A310" s="2">
        <v>10.268</v>
      </c>
      <c r="B310" s="10" t="s">
        <v>18</v>
      </c>
      <c r="C310" s="4">
        <v>10.268</v>
      </c>
      <c r="D310" s="5">
        <v>46</v>
      </c>
      <c r="E310" s="4"/>
      <c r="F310" s="4"/>
      <c r="G310" s="2">
        <f t="shared" si="24"/>
        <v>10.235</v>
      </c>
      <c r="H310" s="11" t="str">
        <f t="shared" si="25"/>
        <v>3.427E-2</v>
      </c>
      <c r="I310" s="2">
        <f t="shared" si="29"/>
        <v>46.2</v>
      </c>
      <c r="J310" s="4">
        <f t="shared" si="26"/>
        <v>10.235</v>
      </c>
      <c r="K310" s="9">
        <f t="shared" si="27"/>
        <v>5.50000000000002</v>
      </c>
      <c r="L310" s="1">
        <f t="shared" si="28"/>
        <v>-0.199999999999992</v>
      </c>
    </row>
    <row r="311" s="1" customFormat="1" spans="1:12">
      <c r="A311" s="2">
        <v>10.302</v>
      </c>
      <c r="B311" s="10" t="s">
        <v>17</v>
      </c>
      <c r="C311" s="4">
        <v>10.302</v>
      </c>
      <c r="D311" s="5">
        <v>46.2</v>
      </c>
      <c r="E311" s="4"/>
      <c r="F311" s="4"/>
      <c r="G311" s="2">
        <f t="shared" si="24"/>
        <v>10.268</v>
      </c>
      <c r="H311" s="11" t="str">
        <f t="shared" si="25"/>
        <v>3.424E-2</v>
      </c>
      <c r="I311" s="2">
        <f t="shared" si="29"/>
        <v>46.6</v>
      </c>
      <c r="J311" s="4">
        <f t="shared" si="26"/>
        <v>10.268</v>
      </c>
      <c r="K311" s="9">
        <f t="shared" si="27"/>
        <v>5.2</v>
      </c>
      <c r="L311" s="1">
        <f t="shared" si="28"/>
        <v>-0.199999999999992</v>
      </c>
    </row>
    <row r="312" s="1" customFormat="1" spans="1:12">
      <c r="A312" s="2">
        <v>10.335</v>
      </c>
      <c r="B312" s="10" t="s">
        <v>242</v>
      </c>
      <c r="C312" s="4">
        <v>10.335</v>
      </c>
      <c r="D312" s="5">
        <v>46.1</v>
      </c>
      <c r="E312" s="4"/>
      <c r="F312" s="4"/>
      <c r="G312" s="2">
        <f t="shared" si="24"/>
        <v>10.302</v>
      </c>
      <c r="H312" s="11" t="str">
        <f t="shared" si="25"/>
        <v>3.423E-2</v>
      </c>
      <c r="I312" s="2">
        <f t="shared" si="29"/>
        <v>46</v>
      </c>
      <c r="J312" s="4">
        <f t="shared" si="26"/>
        <v>10.302</v>
      </c>
      <c r="K312" s="9">
        <f t="shared" si="27"/>
        <v>5.09999999999997</v>
      </c>
      <c r="L312" s="1">
        <f t="shared" si="28"/>
        <v>-0.199999999999992</v>
      </c>
    </row>
    <row r="313" s="1" customFormat="1" spans="1:12">
      <c r="A313" s="2">
        <v>10.369</v>
      </c>
      <c r="B313" s="10" t="s">
        <v>235</v>
      </c>
      <c r="C313" s="4">
        <v>10.369</v>
      </c>
      <c r="D313" s="5">
        <v>46.3</v>
      </c>
      <c r="E313" s="4"/>
      <c r="F313" s="4"/>
      <c r="G313" s="2">
        <f t="shared" si="24"/>
        <v>10.335</v>
      </c>
      <c r="H313" s="11" t="str">
        <f t="shared" si="25"/>
        <v>3.421E-2</v>
      </c>
      <c r="I313" s="2">
        <f t="shared" si="29"/>
        <v>46.2</v>
      </c>
      <c r="J313" s="4">
        <f t="shared" si="26"/>
        <v>10.335</v>
      </c>
      <c r="K313" s="9">
        <f t="shared" si="27"/>
        <v>4.89999999999997</v>
      </c>
      <c r="L313" s="1">
        <f t="shared" si="28"/>
        <v>-0.199999999999992</v>
      </c>
    </row>
    <row r="314" s="1" customFormat="1" spans="1:12">
      <c r="A314" s="2">
        <v>10.402</v>
      </c>
      <c r="B314" s="10" t="s">
        <v>118</v>
      </c>
      <c r="C314" s="4">
        <v>10.402</v>
      </c>
      <c r="D314" s="5">
        <v>46.1</v>
      </c>
      <c r="E314" s="4"/>
      <c r="F314" s="4"/>
      <c r="G314" s="2">
        <f t="shared" si="24"/>
        <v>10.369</v>
      </c>
      <c r="H314" s="11" t="str">
        <f t="shared" si="25"/>
        <v>3.420E-2</v>
      </c>
      <c r="I314" s="2">
        <f t="shared" si="29"/>
        <v>46.1</v>
      </c>
      <c r="J314" s="4">
        <f t="shared" si="26"/>
        <v>10.369</v>
      </c>
      <c r="K314" s="9">
        <f t="shared" si="27"/>
        <v>4.80000000000001</v>
      </c>
      <c r="L314" s="1">
        <f t="shared" si="28"/>
        <v>-0.199999999999992</v>
      </c>
    </row>
    <row r="315" s="1" customFormat="1" spans="1:12">
      <c r="A315" s="2">
        <v>10.435</v>
      </c>
      <c r="B315" s="10" t="s">
        <v>118</v>
      </c>
      <c r="C315" s="4">
        <v>10.435</v>
      </c>
      <c r="D315" s="5">
        <v>46.3</v>
      </c>
      <c r="E315" s="4"/>
      <c r="F315" s="4"/>
      <c r="G315" s="2">
        <f t="shared" si="24"/>
        <v>10.402</v>
      </c>
      <c r="H315" s="11" t="str">
        <f t="shared" si="25"/>
        <v>3.419E-2</v>
      </c>
      <c r="I315" s="2">
        <f t="shared" si="29"/>
        <v>46.3</v>
      </c>
      <c r="J315" s="4">
        <f t="shared" si="26"/>
        <v>10.402</v>
      </c>
      <c r="K315" s="9">
        <f t="shared" si="27"/>
        <v>4.69999999999998</v>
      </c>
      <c r="L315" s="1">
        <f t="shared" si="28"/>
        <v>-0.199999999999992</v>
      </c>
    </row>
    <row r="316" s="1" customFormat="1" spans="1:12">
      <c r="A316" s="2">
        <v>10.469</v>
      </c>
      <c r="B316" s="10" t="s">
        <v>249</v>
      </c>
      <c r="C316" s="4">
        <v>10.469</v>
      </c>
      <c r="D316" s="5">
        <v>45.9</v>
      </c>
      <c r="E316" s="4"/>
      <c r="F316" s="4"/>
      <c r="G316" s="2">
        <f t="shared" si="24"/>
        <v>10.435</v>
      </c>
      <c r="H316" s="11" t="str">
        <f t="shared" si="25"/>
        <v>3.419E-2</v>
      </c>
      <c r="I316" s="2">
        <f t="shared" si="29"/>
        <v>46.1</v>
      </c>
      <c r="J316" s="4">
        <f t="shared" si="26"/>
        <v>10.435</v>
      </c>
      <c r="K316" s="9">
        <f t="shared" si="27"/>
        <v>4.69999999999998</v>
      </c>
      <c r="L316" s="1">
        <f t="shared" si="28"/>
        <v>-0.199999999999992</v>
      </c>
    </row>
    <row r="317" s="1" customFormat="1" spans="1:12">
      <c r="A317" s="2">
        <v>10.502</v>
      </c>
      <c r="B317" s="10" t="s">
        <v>118</v>
      </c>
      <c r="C317" s="4">
        <v>10.502</v>
      </c>
      <c r="D317" s="5">
        <v>46.7</v>
      </c>
      <c r="E317" s="4"/>
      <c r="F317" s="4"/>
      <c r="G317" s="2">
        <f t="shared" si="24"/>
        <v>10.469</v>
      </c>
      <c r="H317" s="11" t="str">
        <f t="shared" si="25"/>
        <v>3.417E-2</v>
      </c>
      <c r="I317" s="2">
        <f t="shared" si="29"/>
        <v>46.3</v>
      </c>
      <c r="J317" s="4">
        <f t="shared" si="26"/>
        <v>10.469</v>
      </c>
      <c r="K317" s="9">
        <f t="shared" si="27"/>
        <v>4.49999999999999</v>
      </c>
      <c r="L317" s="1">
        <f t="shared" si="28"/>
        <v>-0.199999999999992</v>
      </c>
    </row>
    <row r="318" s="1" customFormat="1" spans="1:12">
      <c r="A318" s="2">
        <v>10.536</v>
      </c>
      <c r="B318" s="10" t="s">
        <v>249</v>
      </c>
      <c r="C318" s="4">
        <v>10.536</v>
      </c>
      <c r="D318" s="5">
        <v>46.3</v>
      </c>
      <c r="E318" s="4"/>
      <c r="F318" s="4"/>
      <c r="G318" s="2">
        <f t="shared" si="24"/>
        <v>10.502</v>
      </c>
      <c r="H318" s="11" t="str">
        <f t="shared" si="25"/>
        <v>3.419E-2</v>
      </c>
      <c r="I318" s="2">
        <f t="shared" si="29"/>
        <v>45.9</v>
      </c>
      <c r="J318" s="4">
        <f t="shared" si="26"/>
        <v>10.502</v>
      </c>
      <c r="K318" s="9">
        <f t="shared" si="27"/>
        <v>4.69999999999998</v>
      </c>
      <c r="L318" s="1">
        <f t="shared" si="28"/>
        <v>-0.199999999999992</v>
      </c>
    </row>
    <row r="319" s="1" customFormat="1" spans="1:12">
      <c r="A319" s="2">
        <v>10.569</v>
      </c>
      <c r="B319" s="10" t="s">
        <v>118</v>
      </c>
      <c r="C319" s="4">
        <v>10.569</v>
      </c>
      <c r="D319" s="5">
        <v>46.4</v>
      </c>
      <c r="E319" s="4"/>
      <c r="F319" s="4"/>
      <c r="G319" s="2">
        <f t="shared" si="24"/>
        <v>10.536</v>
      </c>
      <c r="H319" s="11" t="str">
        <f t="shared" si="25"/>
        <v>3.417E-2</v>
      </c>
      <c r="I319" s="2">
        <f t="shared" si="29"/>
        <v>46.7</v>
      </c>
      <c r="J319" s="4">
        <f t="shared" si="26"/>
        <v>10.536</v>
      </c>
      <c r="K319" s="9">
        <f t="shared" si="27"/>
        <v>4.49999999999999</v>
      </c>
      <c r="L319" s="1">
        <f t="shared" si="28"/>
        <v>-0.199999999999992</v>
      </c>
    </row>
    <row r="320" s="1" customFormat="1" spans="1:12">
      <c r="A320" s="2">
        <v>10.603</v>
      </c>
      <c r="B320" s="10" t="s">
        <v>242</v>
      </c>
      <c r="C320" s="4">
        <v>10.603</v>
      </c>
      <c r="D320" s="5">
        <v>46</v>
      </c>
      <c r="E320" s="4"/>
      <c r="F320" s="4"/>
      <c r="G320" s="2">
        <f t="shared" si="24"/>
        <v>10.569</v>
      </c>
      <c r="H320" s="11" t="str">
        <f t="shared" si="25"/>
        <v>3.419E-2</v>
      </c>
      <c r="I320" s="2">
        <f t="shared" si="29"/>
        <v>46.3</v>
      </c>
      <c r="J320" s="4">
        <f t="shared" si="26"/>
        <v>10.569</v>
      </c>
      <c r="K320" s="9">
        <f t="shared" si="27"/>
        <v>4.69999999999998</v>
      </c>
      <c r="L320" s="1">
        <f t="shared" si="28"/>
        <v>-0.199999999999992</v>
      </c>
    </row>
    <row r="321" s="1" customFormat="1" spans="1:12">
      <c r="A321" s="2">
        <v>10.636</v>
      </c>
      <c r="B321" s="10" t="s">
        <v>242</v>
      </c>
      <c r="C321" s="4">
        <v>10.636</v>
      </c>
      <c r="D321" s="5">
        <v>46.7</v>
      </c>
      <c r="E321" s="4"/>
      <c r="F321" s="4"/>
      <c r="G321" s="2">
        <f t="shared" si="24"/>
        <v>10.603</v>
      </c>
      <c r="H321" s="11" t="str">
        <f t="shared" si="25"/>
        <v>3.421E-2</v>
      </c>
      <c r="I321" s="2">
        <f t="shared" si="29"/>
        <v>46.4</v>
      </c>
      <c r="J321" s="4">
        <f t="shared" si="26"/>
        <v>10.603</v>
      </c>
      <c r="K321" s="9">
        <f t="shared" si="27"/>
        <v>4.89999999999997</v>
      </c>
      <c r="L321" s="1">
        <f t="shared" si="28"/>
        <v>-0.199999999999992</v>
      </c>
    </row>
    <row r="322" s="1" customFormat="1" spans="1:12">
      <c r="A322" s="2">
        <v>10.67</v>
      </c>
      <c r="B322" s="10" t="s">
        <v>18</v>
      </c>
      <c r="C322" s="4">
        <v>10.67</v>
      </c>
      <c r="D322" s="5">
        <v>46</v>
      </c>
      <c r="E322" s="4"/>
      <c r="F322" s="4"/>
      <c r="G322" s="2">
        <f t="shared" si="24"/>
        <v>10.636</v>
      </c>
      <c r="H322" s="11" t="str">
        <f t="shared" si="25"/>
        <v>3.421E-2</v>
      </c>
      <c r="I322" s="2">
        <f t="shared" si="29"/>
        <v>46</v>
      </c>
      <c r="J322" s="4">
        <f t="shared" si="26"/>
        <v>10.636</v>
      </c>
      <c r="K322" s="9">
        <f t="shared" si="27"/>
        <v>4.89999999999997</v>
      </c>
      <c r="L322" s="1">
        <f t="shared" si="28"/>
        <v>-0.199999999999992</v>
      </c>
    </row>
    <row r="323" s="1" customFormat="1" spans="1:12">
      <c r="A323" s="2">
        <v>10.703</v>
      </c>
      <c r="B323" s="10" t="s">
        <v>81</v>
      </c>
      <c r="C323" s="4">
        <v>10.703</v>
      </c>
      <c r="D323" s="5">
        <v>46.3</v>
      </c>
      <c r="E323" s="4"/>
      <c r="F323" s="4"/>
      <c r="G323" s="2">
        <f t="shared" si="24"/>
        <v>10.67</v>
      </c>
      <c r="H323" s="11" t="str">
        <f t="shared" si="25"/>
        <v>3.424E-2</v>
      </c>
      <c r="I323" s="2">
        <f t="shared" si="29"/>
        <v>46.7</v>
      </c>
      <c r="J323" s="4">
        <f t="shared" si="26"/>
        <v>10.67</v>
      </c>
      <c r="K323" s="9">
        <f t="shared" si="27"/>
        <v>5.2</v>
      </c>
      <c r="L323" s="1">
        <f t="shared" si="28"/>
        <v>-0.199999999999992</v>
      </c>
    </row>
    <row r="324" s="1" customFormat="1" spans="1:12">
      <c r="A324" s="2">
        <v>10.736</v>
      </c>
      <c r="B324" s="10" t="s">
        <v>15</v>
      </c>
      <c r="C324" s="4">
        <v>10.736</v>
      </c>
      <c r="D324" s="5">
        <v>46.6</v>
      </c>
      <c r="E324" s="4"/>
      <c r="F324" s="4"/>
      <c r="G324" s="2">
        <f t="shared" ref="G324:G334" si="30">A323</f>
        <v>10.703</v>
      </c>
      <c r="H324" s="11" t="str">
        <f t="shared" ref="H324:H334" si="31">B323</f>
        <v>3.425E-2</v>
      </c>
      <c r="I324" s="2">
        <f t="shared" si="29"/>
        <v>46</v>
      </c>
      <c r="J324" s="4">
        <f t="shared" ref="J324:J334" si="32">G324</f>
        <v>10.703</v>
      </c>
      <c r="K324" s="9">
        <f t="shared" ref="K324:K334" si="33">(H324-$H$4)*10000</f>
        <v>5.30000000000003</v>
      </c>
      <c r="L324" s="1">
        <f t="shared" ref="L324:L334" si="34">IF(I324&lt;230,MIN(K:K),MAX(K:K))</f>
        <v>-0.199999999999992</v>
      </c>
    </row>
    <row r="325" s="1" customFormat="1" spans="1:12">
      <c r="A325" s="2">
        <v>10.77</v>
      </c>
      <c r="B325" s="10" t="s">
        <v>20</v>
      </c>
      <c r="C325" s="4">
        <v>10.77</v>
      </c>
      <c r="D325" s="5">
        <v>46.2</v>
      </c>
      <c r="E325" s="4"/>
      <c r="F325" s="4"/>
      <c r="G325" s="2">
        <f t="shared" si="30"/>
        <v>10.736</v>
      </c>
      <c r="H325" s="11" t="str">
        <f t="shared" si="31"/>
        <v>3.427E-2</v>
      </c>
      <c r="I325" s="2">
        <f t="shared" ref="I325:I334" si="35">D323</f>
        <v>46.3</v>
      </c>
      <c r="J325" s="4">
        <f t="shared" si="32"/>
        <v>10.736</v>
      </c>
      <c r="K325" s="9">
        <f t="shared" si="33"/>
        <v>5.50000000000002</v>
      </c>
      <c r="L325" s="1">
        <f t="shared" si="34"/>
        <v>-0.199999999999992</v>
      </c>
    </row>
    <row r="326" s="1" customFormat="1" spans="1:12">
      <c r="A326" s="2">
        <v>10.803</v>
      </c>
      <c r="B326" s="10" t="s">
        <v>13</v>
      </c>
      <c r="C326" s="4">
        <v>10.803</v>
      </c>
      <c r="D326" s="5">
        <v>46.3</v>
      </c>
      <c r="E326" s="4"/>
      <c r="F326" s="4"/>
      <c r="G326" s="2">
        <f t="shared" si="30"/>
        <v>10.77</v>
      </c>
      <c r="H326" s="11" t="str">
        <f t="shared" si="31"/>
        <v>3.430E-2</v>
      </c>
      <c r="I326" s="2">
        <f t="shared" si="35"/>
        <v>46.6</v>
      </c>
      <c r="J326" s="4">
        <f t="shared" si="32"/>
        <v>10.77</v>
      </c>
      <c r="K326" s="9">
        <f t="shared" si="33"/>
        <v>5.79999999999997</v>
      </c>
      <c r="L326" s="1">
        <f t="shared" si="34"/>
        <v>-0.199999999999992</v>
      </c>
    </row>
    <row r="327" s="1" customFormat="1" spans="1:12">
      <c r="A327" s="2">
        <v>10.837</v>
      </c>
      <c r="B327" s="10" t="s">
        <v>9</v>
      </c>
      <c r="C327" s="4">
        <v>10.837</v>
      </c>
      <c r="D327" s="5">
        <v>46.2</v>
      </c>
      <c r="E327" s="4"/>
      <c r="F327" s="4"/>
      <c r="G327" s="2">
        <f t="shared" si="30"/>
        <v>10.803</v>
      </c>
      <c r="H327" s="11" t="str">
        <f t="shared" si="31"/>
        <v>3.431E-2</v>
      </c>
      <c r="I327" s="2">
        <f t="shared" si="35"/>
        <v>46.2</v>
      </c>
      <c r="J327" s="4">
        <f t="shared" si="32"/>
        <v>10.803</v>
      </c>
      <c r="K327" s="9">
        <f t="shared" si="33"/>
        <v>5.9</v>
      </c>
      <c r="L327" s="1">
        <f t="shared" si="34"/>
        <v>-0.199999999999992</v>
      </c>
    </row>
    <row r="328" s="1" customFormat="1" spans="1:12">
      <c r="A328" s="2">
        <v>10.87</v>
      </c>
      <c r="B328" s="10" t="s">
        <v>12</v>
      </c>
      <c r="C328" s="4">
        <v>10.87</v>
      </c>
      <c r="D328" s="5">
        <v>46.9</v>
      </c>
      <c r="E328" s="4"/>
      <c r="F328" s="4"/>
      <c r="G328" s="2">
        <f t="shared" si="30"/>
        <v>10.837</v>
      </c>
      <c r="H328" s="11" t="str">
        <f t="shared" si="31"/>
        <v>3.433E-2</v>
      </c>
      <c r="I328" s="2">
        <f t="shared" si="35"/>
        <v>46.3</v>
      </c>
      <c r="J328" s="4">
        <f t="shared" si="32"/>
        <v>10.837</v>
      </c>
      <c r="K328" s="9">
        <f t="shared" si="33"/>
        <v>6.09999999999999</v>
      </c>
      <c r="L328" s="1">
        <f t="shared" si="34"/>
        <v>-0.199999999999992</v>
      </c>
    </row>
    <row r="329" s="1" customFormat="1" spans="1:12">
      <c r="A329" s="2">
        <v>10.904</v>
      </c>
      <c r="B329" s="10" t="s">
        <v>12</v>
      </c>
      <c r="C329" s="4">
        <v>10.904</v>
      </c>
      <c r="D329" s="5">
        <v>46.3</v>
      </c>
      <c r="E329" s="4"/>
      <c r="F329" s="4"/>
      <c r="G329" s="2">
        <f t="shared" si="30"/>
        <v>10.87</v>
      </c>
      <c r="H329" s="11" t="str">
        <f t="shared" si="31"/>
        <v>3.435E-2</v>
      </c>
      <c r="I329" s="2">
        <f t="shared" si="35"/>
        <v>46.2</v>
      </c>
      <c r="J329" s="4">
        <f t="shared" si="32"/>
        <v>10.87</v>
      </c>
      <c r="K329" s="9">
        <f t="shared" si="33"/>
        <v>6.29999999999999</v>
      </c>
      <c r="L329" s="1">
        <f t="shared" si="34"/>
        <v>-0.199999999999992</v>
      </c>
    </row>
    <row r="330" s="1" customFormat="1" spans="1:12">
      <c r="A330" s="2">
        <v>10.937</v>
      </c>
      <c r="B330" s="10" t="s">
        <v>143</v>
      </c>
      <c r="C330" s="4">
        <v>10.937</v>
      </c>
      <c r="D330" s="5">
        <v>46.2</v>
      </c>
      <c r="E330" s="4"/>
      <c r="F330" s="4"/>
      <c r="G330" s="2">
        <f t="shared" si="30"/>
        <v>10.904</v>
      </c>
      <c r="H330" s="11" t="str">
        <f t="shared" si="31"/>
        <v>3.435E-2</v>
      </c>
      <c r="I330" s="2">
        <f t="shared" si="35"/>
        <v>46.9</v>
      </c>
      <c r="J330" s="4">
        <f t="shared" si="32"/>
        <v>10.904</v>
      </c>
      <c r="K330" s="9">
        <f t="shared" si="33"/>
        <v>6.29999999999999</v>
      </c>
      <c r="L330" s="1">
        <f t="shared" si="34"/>
        <v>-0.199999999999992</v>
      </c>
    </row>
    <row r="331" s="1" customFormat="1" spans="1:12">
      <c r="A331" s="2">
        <v>10.971</v>
      </c>
      <c r="B331" s="10" t="s">
        <v>236</v>
      </c>
      <c r="C331" s="4">
        <v>10.971</v>
      </c>
      <c r="D331" s="5">
        <v>46.3</v>
      </c>
      <c r="E331" s="4"/>
      <c r="F331" s="4"/>
      <c r="G331" s="2">
        <f t="shared" si="30"/>
        <v>10.937</v>
      </c>
      <c r="H331" s="11" t="str">
        <f t="shared" si="31"/>
        <v>3.436E-2</v>
      </c>
      <c r="I331" s="2">
        <f t="shared" si="35"/>
        <v>46.3</v>
      </c>
      <c r="J331" s="4">
        <f t="shared" si="32"/>
        <v>10.937</v>
      </c>
      <c r="K331" s="9">
        <f t="shared" si="33"/>
        <v>6.40000000000002</v>
      </c>
      <c r="L331" s="1">
        <f t="shared" si="34"/>
        <v>-0.199999999999992</v>
      </c>
    </row>
    <row r="332" s="1" customFormat="1" spans="1:12">
      <c r="A332" s="2">
        <v>11.004</v>
      </c>
      <c r="B332" s="10" t="s">
        <v>58</v>
      </c>
      <c r="C332" s="4">
        <v>11.004</v>
      </c>
      <c r="D332" s="5">
        <v>46.6</v>
      </c>
      <c r="E332" s="4"/>
      <c r="F332" s="4"/>
      <c r="G332" s="2">
        <f t="shared" si="30"/>
        <v>10.971</v>
      </c>
      <c r="H332" s="11" t="str">
        <f t="shared" si="31"/>
        <v>3.438E-2</v>
      </c>
      <c r="I332" s="2">
        <f t="shared" si="35"/>
        <v>46.2</v>
      </c>
      <c r="J332" s="4">
        <f t="shared" si="32"/>
        <v>10.971</v>
      </c>
      <c r="K332" s="9">
        <f t="shared" si="33"/>
        <v>6.60000000000001</v>
      </c>
      <c r="L332" s="1">
        <f t="shared" si="34"/>
        <v>-0.199999999999992</v>
      </c>
    </row>
    <row r="333" s="1" customFormat="1" spans="1:12">
      <c r="A333" s="2">
        <v>11.038</v>
      </c>
      <c r="B333" s="10" t="s">
        <v>58</v>
      </c>
      <c r="C333" s="4">
        <v>11.038</v>
      </c>
      <c r="D333" s="5">
        <v>46.3</v>
      </c>
      <c r="E333" s="4"/>
      <c r="F333" s="4"/>
      <c r="G333" s="2">
        <f t="shared" si="30"/>
        <v>11.004</v>
      </c>
      <c r="H333" s="11" t="str">
        <f t="shared" si="31"/>
        <v>3.440E-2</v>
      </c>
      <c r="I333" s="2">
        <f t="shared" si="35"/>
        <v>46.3</v>
      </c>
      <c r="J333" s="4">
        <f t="shared" si="32"/>
        <v>11.004</v>
      </c>
      <c r="K333" s="9">
        <f t="shared" si="33"/>
        <v>6.8</v>
      </c>
      <c r="L333" s="1">
        <f t="shared" si="34"/>
        <v>-0.199999999999992</v>
      </c>
    </row>
    <row r="334" s="1" customFormat="1" spans="1:12">
      <c r="A334" s="2">
        <v>11.071</v>
      </c>
      <c r="B334" s="10" t="s">
        <v>222</v>
      </c>
      <c r="C334" s="4">
        <v>11.071</v>
      </c>
      <c r="D334" s="5">
        <v>46.6</v>
      </c>
      <c r="E334" s="4"/>
      <c r="F334" s="4"/>
      <c r="G334" s="2">
        <f t="shared" si="30"/>
        <v>11.038</v>
      </c>
      <c r="H334" s="11" t="str">
        <f t="shared" si="31"/>
        <v>3.440E-2</v>
      </c>
      <c r="I334" s="2">
        <f t="shared" si="35"/>
        <v>46.6</v>
      </c>
      <c r="J334" s="4">
        <f t="shared" si="32"/>
        <v>11.038</v>
      </c>
      <c r="K334" s="9">
        <f t="shared" si="33"/>
        <v>6.8</v>
      </c>
      <c r="L334" s="1">
        <f t="shared" si="34"/>
        <v>-0.199999999999992</v>
      </c>
    </row>
    <row r="335" spans="1:12">
      <c r="A335" s="2">
        <v>11.104</v>
      </c>
      <c r="B335" s="10" t="s">
        <v>23</v>
      </c>
      <c r="C335" s="4">
        <v>11.104</v>
      </c>
      <c r="D335" s="4">
        <v>46.5</v>
      </c>
      <c r="G335" s="2">
        <f t="shared" ref="G335:G366" si="36">A334</f>
        <v>11.071</v>
      </c>
      <c r="H335" s="11" t="str">
        <f t="shared" ref="H335:H366" si="37">B334</f>
        <v>3.443E-2</v>
      </c>
      <c r="I335" s="2">
        <f t="shared" ref="I335:I366" si="38">D333</f>
        <v>46.3</v>
      </c>
      <c r="J335" s="4">
        <f t="shared" ref="J335:J366" si="39">G335</f>
        <v>11.071</v>
      </c>
      <c r="K335" s="9">
        <f t="shared" ref="K335:K366" si="40">(H335-$H$4)*10000</f>
        <v>7.10000000000002</v>
      </c>
      <c r="L335" s="1">
        <f t="shared" ref="L335:L366" si="41">IF(I335&lt;230,MIN(K:K),MAX(K:K))</f>
        <v>-0.199999999999992</v>
      </c>
    </row>
    <row r="336" spans="1:12">
      <c r="A336" s="2">
        <v>11.138</v>
      </c>
      <c r="B336" s="10" t="s">
        <v>43</v>
      </c>
      <c r="C336" s="4">
        <v>11.138</v>
      </c>
      <c r="D336" s="4">
        <v>46.4</v>
      </c>
      <c r="G336" s="2">
        <f t="shared" si="36"/>
        <v>11.104</v>
      </c>
      <c r="H336" s="11" t="str">
        <f t="shared" si="37"/>
        <v>3.442E-2</v>
      </c>
      <c r="I336" s="2">
        <f t="shared" si="38"/>
        <v>46.6</v>
      </c>
      <c r="J336" s="4">
        <f t="shared" si="39"/>
        <v>11.104</v>
      </c>
      <c r="K336" s="9">
        <f t="shared" si="40"/>
        <v>6.99999999999999</v>
      </c>
      <c r="L336" s="1">
        <f t="shared" si="41"/>
        <v>-0.199999999999992</v>
      </c>
    </row>
    <row r="337" spans="1:12">
      <c r="A337" s="2">
        <v>11.171</v>
      </c>
      <c r="B337" s="10" t="s">
        <v>23</v>
      </c>
      <c r="C337" s="4">
        <v>11.171</v>
      </c>
      <c r="D337" s="4">
        <v>45.5</v>
      </c>
      <c r="G337" s="2">
        <f t="shared" si="36"/>
        <v>11.138</v>
      </c>
      <c r="H337" s="11" t="str">
        <f t="shared" si="37"/>
        <v>3.441E-2</v>
      </c>
      <c r="I337" s="2">
        <f t="shared" si="38"/>
        <v>46.5</v>
      </c>
      <c r="J337" s="4">
        <f t="shared" si="39"/>
        <v>11.138</v>
      </c>
      <c r="K337" s="9">
        <f t="shared" si="40"/>
        <v>6.90000000000003</v>
      </c>
      <c r="L337" s="1">
        <f t="shared" si="41"/>
        <v>-0.199999999999992</v>
      </c>
    </row>
    <row r="338" spans="1:12">
      <c r="A338" s="2">
        <v>11.205</v>
      </c>
      <c r="B338" s="10" t="s">
        <v>23</v>
      </c>
      <c r="C338" s="4">
        <v>11.205</v>
      </c>
      <c r="D338" s="4">
        <v>46.8</v>
      </c>
      <c r="G338" s="2">
        <f t="shared" si="36"/>
        <v>11.171</v>
      </c>
      <c r="H338" s="11" t="str">
        <f t="shared" si="37"/>
        <v>3.442E-2</v>
      </c>
      <c r="I338" s="2">
        <f t="shared" si="38"/>
        <v>46.4</v>
      </c>
      <c r="J338" s="4">
        <f t="shared" si="39"/>
        <v>11.171</v>
      </c>
      <c r="K338" s="9">
        <f t="shared" si="40"/>
        <v>6.99999999999999</v>
      </c>
      <c r="L338" s="1">
        <f t="shared" si="41"/>
        <v>-0.199999999999992</v>
      </c>
    </row>
    <row r="339" spans="1:12">
      <c r="A339" s="2">
        <v>11.238</v>
      </c>
      <c r="B339" s="10" t="s">
        <v>22</v>
      </c>
      <c r="C339" s="4">
        <v>11.238</v>
      </c>
      <c r="D339" s="4">
        <v>45.8</v>
      </c>
      <c r="G339" s="2">
        <f t="shared" si="36"/>
        <v>11.205</v>
      </c>
      <c r="H339" s="11" t="str">
        <f t="shared" si="37"/>
        <v>3.442E-2</v>
      </c>
      <c r="I339" s="2">
        <f t="shared" si="38"/>
        <v>45.5</v>
      </c>
      <c r="J339" s="4">
        <f t="shared" si="39"/>
        <v>11.205</v>
      </c>
      <c r="K339" s="9">
        <f t="shared" si="40"/>
        <v>6.99999999999999</v>
      </c>
      <c r="L339" s="1">
        <f t="shared" si="41"/>
        <v>-0.199999999999992</v>
      </c>
    </row>
    <row r="340" spans="1:12">
      <c r="A340" s="2">
        <v>11.272</v>
      </c>
      <c r="B340" s="10" t="s">
        <v>236</v>
      </c>
      <c r="C340" s="4">
        <v>11.272</v>
      </c>
      <c r="D340" s="4">
        <v>45.9</v>
      </c>
      <c r="G340" s="2">
        <f t="shared" si="36"/>
        <v>11.238</v>
      </c>
      <c r="H340" s="11" t="str">
        <f t="shared" si="37"/>
        <v>3.439E-2</v>
      </c>
      <c r="I340" s="2">
        <f t="shared" si="38"/>
        <v>46.8</v>
      </c>
      <c r="J340" s="4">
        <f t="shared" si="39"/>
        <v>11.238</v>
      </c>
      <c r="K340" s="9">
        <f t="shared" si="40"/>
        <v>6.69999999999997</v>
      </c>
      <c r="L340" s="1">
        <f t="shared" si="41"/>
        <v>-0.199999999999992</v>
      </c>
    </row>
    <row r="341" spans="1:12">
      <c r="A341" s="2">
        <v>11.305</v>
      </c>
      <c r="B341" s="10" t="s">
        <v>21</v>
      </c>
      <c r="C341" s="4">
        <v>11.305</v>
      </c>
      <c r="D341" s="4">
        <v>46.1</v>
      </c>
      <c r="G341" s="2">
        <f t="shared" si="36"/>
        <v>11.272</v>
      </c>
      <c r="H341" s="11" t="str">
        <f t="shared" si="37"/>
        <v>3.438E-2</v>
      </c>
      <c r="I341" s="2">
        <f t="shared" si="38"/>
        <v>45.8</v>
      </c>
      <c r="J341" s="4">
        <f t="shared" si="39"/>
        <v>11.272</v>
      </c>
      <c r="K341" s="9">
        <f t="shared" si="40"/>
        <v>6.60000000000001</v>
      </c>
      <c r="L341" s="1">
        <f t="shared" si="41"/>
        <v>-0.199999999999992</v>
      </c>
    </row>
    <row r="342" spans="1:12">
      <c r="A342" s="2">
        <v>11.339</v>
      </c>
      <c r="B342" s="10" t="s">
        <v>143</v>
      </c>
      <c r="C342" s="4">
        <v>11.339</v>
      </c>
      <c r="D342" s="4">
        <v>46.4</v>
      </c>
      <c r="G342" s="2">
        <f t="shared" si="36"/>
        <v>11.305</v>
      </c>
      <c r="H342" s="11" t="str">
        <f t="shared" si="37"/>
        <v>3.437E-2</v>
      </c>
      <c r="I342" s="2">
        <f t="shared" si="38"/>
        <v>45.9</v>
      </c>
      <c r="J342" s="4">
        <f t="shared" si="39"/>
        <v>11.305</v>
      </c>
      <c r="K342" s="9">
        <f t="shared" si="40"/>
        <v>6.49999999999998</v>
      </c>
      <c r="L342" s="1">
        <f t="shared" si="41"/>
        <v>-0.199999999999992</v>
      </c>
    </row>
    <row r="343" spans="1:12">
      <c r="A343" s="2">
        <v>11.372</v>
      </c>
      <c r="B343" s="10" t="s">
        <v>12</v>
      </c>
      <c r="C343" s="4">
        <v>11.372</v>
      </c>
      <c r="D343" s="4">
        <v>46.3</v>
      </c>
      <c r="G343" s="2">
        <f t="shared" si="36"/>
        <v>11.339</v>
      </c>
      <c r="H343" s="11" t="str">
        <f t="shared" si="37"/>
        <v>3.436E-2</v>
      </c>
      <c r="I343" s="2">
        <f t="shared" si="38"/>
        <v>46.1</v>
      </c>
      <c r="J343" s="4">
        <f t="shared" si="39"/>
        <v>11.339</v>
      </c>
      <c r="K343" s="9">
        <f t="shared" si="40"/>
        <v>6.40000000000002</v>
      </c>
      <c r="L343" s="1">
        <f t="shared" si="41"/>
        <v>-0.199999999999992</v>
      </c>
    </row>
    <row r="344" spans="1:12">
      <c r="A344" s="2">
        <v>11.405</v>
      </c>
      <c r="B344" s="10" t="s">
        <v>9</v>
      </c>
      <c r="C344" s="4">
        <v>11.405</v>
      </c>
      <c r="D344" s="4">
        <v>46.5</v>
      </c>
      <c r="G344" s="2">
        <f t="shared" si="36"/>
        <v>11.372</v>
      </c>
      <c r="H344" s="11" t="str">
        <f t="shared" si="37"/>
        <v>3.435E-2</v>
      </c>
      <c r="I344" s="2">
        <f t="shared" si="38"/>
        <v>46.4</v>
      </c>
      <c r="J344" s="4">
        <f t="shared" si="39"/>
        <v>11.372</v>
      </c>
      <c r="K344" s="9">
        <f t="shared" si="40"/>
        <v>6.29999999999999</v>
      </c>
      <c r="L344" s="1">
        <f t="shared" si="41"/>
        <v>-0.199999999999992</v>
      </c>
    </row>
    <row r="345" spans="1:12">
      <c r="A345" s="2">
        <v>11.439</v>
      </c>
      <c r="B345" s="10" t="s">
        <v>13</v>
      </c>
      <c r="C345" s="4">
        <v>11.439</v>
      </c>
      <c r="D345" s="4">
        <v>46.6</v>
      </c>
      <c r="G345" s="2">
        <f t="shared" si="36"/>
        <v>11.405</v>
      </c>
      <c r="H345" s="11" t="str">
        <f t="shared" si="37"/>
        <v>3.433E-2</v>
      </c>
      <c r="I345" s="2">
        <f t="shared" si="38"/>
        <v>46.3</v>
      </c>
      <c r="J345" s="4">
        <f t="shared" si="39"/>
        <v>11.405</v>
      </c>
      <c r="K345" s="9">
        <f t="shared" si="40"/>
        <v>6.09999999999999</v>
      </c>
      <c r="L345" s="1">
        <f t="shared" si="41"/>
        <v>-0.199999999999992</v>
      </c>
    </row>
    <row r="346" spans="1:12">
      <c r="A346" s="2">
        <v>11.472</v>
      </c>
      <c r="B346" s="10" t="s">
        <v>20</v>
      </c>
      <c r="C346" s="4">
        <v>11.472</v>
      </c>
      <c r="D346" s="4">
        <v>46.6</v>
      </c>
      <c r="G346" s="2">
        <f t="shared" si="36"/>
        <v>11.439</v>
      </c>
      <c r="H346" s="11" t="str">
        <f t="shared" si="37"/>
        <v>3.431E-2</v>
      </c>
      <c r="I346" s="2">
        <f t="shared" si="38"/>
        <v>46.5</v>
      </c>
      <c r="J346" s="4">
        <f t="shared" si="39"/>
        <v>11.439</v>
      </c>
      <c r="K346" s="9">
        <f t="shared" si="40"/>
        <v>5.9</v>
      </c>
      <c r="L346" s="1">
        <f t="shared" si="41"/>
        <v>-0.199999999999992</v>
      </c>
    </row>
    <row r="347" spans="1:12">
      <c r="A347" s="2">
        <v>11.506</v>
      </c>
      <c r="B347" s="10" t="s">
        <v>15</v>
      </c>
      <c r="C347" s="4">
        <v>11.506</v>
      </c>
      <c r="D347" s="4">
        <v>46.2</v>
      </c>
      <c r="G347" s="2">
        <f t="shared" si="36"/>
        <v>11.472</v>
      </c>
      <c r="H347" s="11" t="str">
        <f t="shared" si="37"/>
        <v>3.430E-2</v>
      </c>
      <c r="I347" s="2">
        <f t="shared" si="38"/>
        <v>46.6</v>
      </c>
      <c r="J347" s="4">
        <f t="shared" si="39"/>
        <v>11.472</v>
      </c>
      <c r="K347" s="9">
        <f t="shared" si="40"/>
        <v>5.79999999999997</v>
      </c>
      <c r="L347" s="1">
        <f t="shared" si="41"/>
        <v>-0.199999999999992</v>
      </c>
    </row>
    <row r="348" spans="1:12">
      <c r="A348" s="2">
        <v>11.539</v>
      </c>
      <c r="B348" s="10" t="s">
        <v>81</v>
      </c>
      <c r="C348" s="4">
        <v>11.539</v>
      </c>
      <c r="D348" s="4">
        <v>45.9</v>
      </c>
      <c r="G348" s="2">
        <f t="shared" si="36"/>
        <v>11.506</v>
      </c>
      <c r="H348" s="11" t="str">
        <f t="shared" si="37"/>
        <v>3.427E-2</v>
      </c>
      <c r="I348" s="2">
        <f t="shared" si="38"/>
        <v>46.6</v>
      </c>
      <c r="J348" s="4">
        <f t="shared" si="39"/>
        <v>11.506</v>
      </c>
      <c r="K348" s="9">
        <f t="shared" si="40"/>
        <v>5.50000000000002</v>
      </c>
      <c r="L348" s="1">
        <f t="shared" si="41"/>
        <v>-0.199999999999992</v>
      </c>
    </row>
    <row r="349" spans="1:12">
      <c r="A349" s="2">
        <v>11.573</v>
      </c>
      <c r="B349" s="10" t="s">
        <v>18</v>
      </c>
      <c r="C349" s="4">
        <v>11.573</v>
      </c>
      <c r="D349" s="4">
        <v>46.1</v>
      </c>
      <c r="G349" s="2">
        <f t="shared" si="36"/>
        <v>11.539</v>
      </c>
      <c r="H349" s="11" t="str">
        <f t="shared" si="37"/>
        <v>3.425E-2</v>
      </c>
      <c r="I349" s="2">
        <f t="shared" si="38"/>
        <v>46.2</v>
      </c>
      <c r="J349" s="4">
        <f t="shared" si="39"/>
        <v>11.539</v>
      </c>
      <c r="K349" s="9">
        <f t="shared" si="40"/>
        <v>5.30000000000003</v>
      </c>
      <c r="L349" s="1">
        <f t="shared" si="41"/>
        <v>-0.199999999999992</v>
      </c>
    </row>
    <row r="350" spans="1:12">
      <c r="A350" s="2">
        <v>11.606</v>
      </c>
      <c r="B350" s="10" t="s">
        <v>44</v>
      </c>
      <c r="C350" s="4">
        <v>11.606</v>
      </c>
      <c r="D350" s="4">
        <v>46.2</v>
      </c>
      <c r="G350" s="2">
        <f t="shared" si="36"/>
        <v>11.573</v>
      </c>
      <c r="H350" s="11" t="str">
        <f t="shared" si="37"/>
        <v>3.424E-2</v>
      </c>
      <c r="I350" s="2">
        <f t="shared" si="38"/>
        <v>45.9</v>
      </c>
      <c r="J350" s="4">
        <f t="shared" si="39"/>
        <v>11.573</v>
      </c>
      <c r="K350" s="9">
        <f t="shared" si="40"/>
        <v>5.2</v>
      </c>
      <c r="L350" s="1">
        <f t="shared" si="41"/>
        <v>-0.199999999999992</v>
      </c>
    </row>
    <row r="351" spans="1:12">
      <c r="A351" s="2">
        <v>11.64</v>
      </c>
      <c r="B351" s="10" t="s">
        <v>235</v>
      </c>
      <c r="C351" s="4">
        <v>11.64</v>
      </c>
      <c r="D351" s="4">
        <v>46.4</v>
      </c>
      <c r="G351" s="2">
        <f t="shared" si="36"/>
        <v>11.606</v>
      </c>
      <c r="H351" s="11" t="str">
        <f t="shared" si="37"/>
        <v>3.422E-2</v>
      </c>
      <c r="I351" s="2">
        <f t="shared" si="38"/>
        <v>46.1</v>
      </c>
      <c r="J351" s="4">
        <f t="shared" si="39"/>
        <v>11.606</v>
      </c>
      <c r="K351" s="9">
        <f t="shared" si="40"/>
        <v>5</v>
      </c>
      <c r="L351" s="1">
        <f t="shared" si="41"/>
        <v>-0.199999999999992</v>
      </c>
    </row>
    <row r="352" spans="1:12">
      <c r="A352" s="2">
        <v>11.673</v>
      </c>
      <c r="B352" s="10" t="s">
        <v>235</v>
      </c>
      <c r="C352" s="4">
        <v>11.673</v>
      </c>
      <c r="D352" s="4">
        <v>46.2</v>
      </c>
      <c r="G352" s="2">
        <f t="shared" si="36"/>
        <v>11.64</v>
      </c>
      <c r="H352" s="11" t="str">
        <f t="shared" si="37"/>
        <v>3.420E-2</v>
      </c>
      <c r="I352" s="2">
        <f t="shared" si="38"/>
        <v>46.2</v>
      </c>
      <c r="J352" s="4">
        <f t="shared" si="39"/>
        <v>11.64</v>
      </c>
      <c r="K352" s="9">
        <f t="shared" si="40"/>
        <v>4.80000000000001</v>
      </c>
      <c r="L352" s="1">
        <f t="shared" si="41"/>
        <v>-0.199999999999992</v>
      </c>
    </row>
    <row r="353" spans="1:12">
      <c r="A353" s="2">
        <v>11.706</v>
      </c>
      <c r="B353" s="10" t="s">
        <v>235</v>
      </c>
      <c r="C353" s="4">
        <v>11.706</v>
      </c>
      <c r="D353" s="4">
        <v>46.5</v>
      </c>
      <c r="G353" s="2">
        <f t="shared" si="36"/>
        <v>11.673</v>
      </c>
      <c r="H353" s="11" t="str">
        <f t="shared" si="37"/>
        <v>3.420E-2</v>
      </c>
      <c r="I353" s="2">
        <f t="shared" si="38"/>
        <v>46.4</v>
      </c>
      <c r="J353" s="4">
        <f t="shared" si="39"/>
        <v>11.673</v>
      </c>
      <c r="K353" s="9">
        <f t="shared" si="40"/>
        <v>4.80000000000001</v>
      </c>
      <c r="L353" s="1">
        <f t="shared" si="41"/>
        <v>-0.199999999999992</v>
      </c>
    </row>
    <row r="354" spans="1:12">
      <c r="A354" s="2">
        <v>11.74</v>
      </c>
      <c r="B354" s="10" t="s">
        <v>118</v>
      </c>
      <c r="C354" s="4">
        <v>11.74</v>
      </c>
      <c r="D354" s="4">
        <v>46.1</v>
      </c>
      <c r="G354" s="2">
        <f t="shared" si="36"/>
        <v>11.706</v>
      </c>
      <c r="H354" s="11" t="str">
        <f t="shared" si="37"/>
        <v>3.420E-2</v>
      </c>
      <c r="I354" s="2">
        <f t="shared" si="38"/>
        <v>46.2</v>
      </c>
      <c r="J354" s="4">
        <f t="shared" si="39"/>
        <v>11.706</v>
      </c>
      <c r="K354" s="9">
        <f t="shared" si="40"/>
        <v>4.80000000000001</v>
      </c>
      <c r="L354" s="1">
        <f t="shared" si="41"/>
        <v>-0.199999999999992</v>
      </c>
    </row>
    <row r="355" spans="1:12">
      <c r="A355" s="2">
        <v>11.773</v>
      </c>
      <c r="B355" s="10" t="s">
        <v>142</v>
      </c>
      <c r="C355" s="4">
        <v>11.773</v>
      </c>
      <c r="D355" s="4">
        <v>46.1</v>
      </c>
      <c r="G355" s="2">
        <f t="shared" si="36"/>
        <v>11.74</v>
      </c>
      <c r="H355" s="11" t="str">
        <f t="shared" si="37"/>
        <v>3.419E-2</v>
      </c>
      <c r="I355" s="2">
        <f t="shared" si="38"/>
        <v>46.5</v>
      </c>
      <c r="J355" s="4">
        <f t="shared" si="39"/>
        <v>11.74</v>
      </c>
      <c r="K355" s="9">
        <f t="shared" si="40"/>
        <v>4.69999999999998</v>
      </c>
      <c r="L355" s="1">
        <f t="shared" si="41"/>
        <v>-0.199999999999992</v>
      </c>
    </row>
    <row r="356" spans="1:12">
      <c r="A356" s="2">
        <v>11.807</v>
      </c>
      <c r="B356" s="10" t="s">
        <v>142</v>
      </c>
      <c r="C356" s="4">
        <v>11.807</v>
      </c>
      <c r="D356" s="4">
        <v>46</v>
      </c>
      <c r="G356" s="2">
        <f t="shared" si="36"/>
        <v>11.773</v>
      </c>
      <c r="H356" s="11" t="str">
        <f t="shared" si="37"/>
        <v>3.418E-2</v>
      </c>
      <c r="I356" s="2">
        <f t="shared" si="38"/>
        <v>46.1</v>
      </c>
      <c r="J356" s="4">
        <f t="shared" si="39"/>
        <v>11.773</v>
      </c>
      <c r="K356" s="9">
        <f t="shared" si="40"/>
        <v>4.60000000000002</v>
      </c>
      <c r="L356" s="1">
        <f t="shared" si="41"/>
        <v>-0.199999999999992</v>
      </c>
    </row>
    <row r="357" spans="1:12">
      <c r="A357" s="2">
        <v>11.84</v>
      </c>
      <c r="B357" s="10" t="s">
        <v>238</v>
      </c>
      <c r="C357" s="4">
        <v>11.84</v>
      </c>
      <c r="D357" s="4">
        <v>46.6</v>
      </c>
      <c r="G357" s="2">
        <f t="shared" si="36"/>
        <v>11.807</v>
      </c>
      <c r="H357" s="11" t="str">
        <f t="shared" si="37"/>
        <v>3.418E-2</v>
      </c>
      <c r="I357" s="2">
        <f t="shared" si="38"/>
        <v>46.1</v>
      </c>
      <c r="J357" s="4">
        <f t="shared" si="39"/>
        <v>11.807</v>
      </c>
      <c r="K357" s="9">
        <f t="shared" si="40"/>
        <v>4.60000000000002</v>
      </c>
      <c r="L357" s="1">
        <f t="shared" si="41"/>
        <v>-0.199999999999992</v>
      </c>
    </row>
    <row r="358" spans="1:12">
      <c r="A358" s="2">
        <v>11.874</v>
      </c>
      <c r="B358" s="10" t="s">
        <v>230</v>
      </c>
      <c r="C358" s="4">
        <v>11.874</v>
      </c>
      <c r="D358" s="4">
        <v>46.2</v>
      </c>
      <c r="G358" s="2">
        <f t="shared" si="36"/>
        <v>11.84</v>
      </c>
      <c r="H358" s="11" t="str">
        <f t="shared" si="37"/>
        <v>3.416E-2</v>
      </c>
      <c r="I358" s="2">
        <f t="shared" si="38"/>
        <v>46</v>
      </c>
      <c r="J358" s="4">
        <f t="shared" si="39"/>
        <v>11.84</v>
      </c>
      <c r="K358" s="9">
        <f t="shared" si="40"/>
        <v>4.40000000000003</v>
      </c>
      <c r="L358" s="1">
        <f t="shared" si="41"/>
        <v>-0.199999999999992</v>
      </c>
    </row>
    <row r="359" spans="1:12">
      <c r="A359" s="2">
        <v>11.907</v>
      </c>
      <c r="B359" s="10" t="s">
        <v>229</v>
      </c>
      <c r="C359" s="4">
        <v>11.907</v>
      </c>
      <c r="D359" s="4">
        <v>45.7</v>
      </c>
      <c r="G359" s="2">
        <f t="shared" si="36"/>
        <v>11.874</v>
      </c>
      <c r="H359" s="11" t="str">
        <f t="shared" si="37"/>
        <v>3.409E-2</v>
      </c>
      <c r="I359" s="2">
        <f t="shared" si="38"/>
        <v>46.6</v>
      </c>
      <c r="J359" s="4">
        <f t="shared" si="39"/>
        <v>11.874</v>
      </c>
      <c r="K359" s="9">
        <f t="shared" si="40"/>
        <v>3.70000000000002</v>
      </c>
      <c r="L359" s="1">
        <f t="shared" si="41"/>
        <v>-0.199999999999992</v>
      </c>
    </row>
    <row r="360" spans="1:12">
      <c r="A360" s="2">
        <v>11.941</v>
      </c>
      <c r="B360" s="10" t="s">
        <v>88</v>
      </c>
      <c r="C360" s="4">
        <v>11.941</v>
      </c>
      <c r="D360" s="4">
        <v>46.2</v>
      </c>
      <c r="G360" s="2">
        <f t="shared" si="36"/>
        <v>11.907</v>
      </c>
      <c r="H360" s="11" t="str">
        <f t="shared" si="37"/>
        <v>3.405E-2</v>
      </c>
      <c r="I360" s="2">
        <f t="shared" si="38"/>
        <v>46.2</v>
      </c>
      <c r="J360" s="4">
        <f t="shared" si="39"/>
        <v>11.907</v>
      </c>
      <c r="K360" s="9">
        <f t="shared" si="40"/>
        <v>3.29999999999997</v>
      </c>
      <c r="L360" s="1">
        <f t="shared" si="41"/>
        <v>-0.199999999999992</v>
      </c>
    </row>
    <row r="361" spans="1:12">
      <c r="A361" s="2">
        <v>11.974</v>
      </c>
      <c r="B361" s="10" t="s">
        <v>88</v>
      </c>
      <c r="C361" s="4">
        <v>11.974</v>
      </c>
      <c r="D361" s="4">
        <v>46.3</v>
      </c>
      <c r="G361" s="2">
        <f t="shared" si="36"/>
        <v>11.941</v>
      </c>
      <c r="H361" s="11" t="str">
        <f t="shared" si="37"/>
        <v>3.403E-2</v>
      </c>
      <c r="I361" s="2">
        <f t="shared" si="38"/>
        <v>45.7</v>
      </c>
      <c r="J361" s="4">
        <f t="shared" si="39"/>
        <v>11.941</v>
      </c>
      <c r="K361" s="9">
        <f t="shared" si="40"/>
        <v>3.09999999999998</v>
      </c>
      <c r="L361" s="1">
        <f t="shared" si="41"/>
        <v>-0.199999999999992</v>
      </c>
    </row>
    <row r="362" spans="1:12">
      <c r="A362" s="2">
        <v>12.007</v>
      </c>
      <c r="B362" s="10" t="s">
        <v>56</v>
      </c>
      <c r="C362" s="4">
        <v>12.007</v>
      </c>
      <c r="D362" s="4">
        <v>46</v>
      </c>
      <c r="G362" s="2">
        <f t="shared" si="36"/>
        <v>11.974</v>
      </c>
      <c r="H362" s="11" t="str">
        <f t="shared" si="37"/>
        <v>3.403E-2</v>
      </c>
      <c r="I362" s="2">
        <f t="shared" si="38"/>
        <v>46.2</v>
      </c>
      <c r="J362" s="4">
        <f t="shared" si="39"/>
        <v>11.974</v>
      </c>
      <c r="K362" s="9">
        <f t="shared" si="40"/>
        <v>3.09999999999998</v>
      </c>
      <c r="L362" s="1">
        <f t="shared" si="41"/>
        <v>-0.199999999999992</v>
      </c>
    </row>
    <row r="363" spans="1:12">
      <c r="A363" s="2">
        <v>12.041</v>
      </c>
      <c r="B363" s="10" t="s">
        <v>88</v>
      </c>
      <c r="C363" s="4">
        <v>12.041</v>
      </c>
      <c r="D363" s="4">
        <v>45.8</v>
      </c>
      <c r="G363" s="2">
        <f t="shared" si="36"/>
        <v>12.007</v>
      </c>
      <c r="H363" s="11" t="str">
        <f t="shared" si="37"/>
        <v>3.402E-2</v>
      </c>
      <c r="I363" s="2">
        <f t="shared" si="38"/>
        <v>46.3</v>
      </c>
      <c r="J363" s="4">
        <f t="shared" si="39"/>
        <v>12.007</v>
      </c>
      <c r="K363" s="9">
        <f t="shared" si="40"/>
        <v>3.00000000000002</v>
      </c>
      <c r="L363" s="1">
        <f t="shared" si="41"/>
        <v>-0.199999999999992</v>
      </c>
    </row>
    <row r="364" spans="1:12">
      <c r="A364" s="2">
        <v>12.074</v>
      </c>
      <c r="B364" s="10" t="s">
        <v>234</v>
      </c>
      <c r="C364" s="4">
        <v>12.074</v>
      </c>
      <c r="D364" s="4">
        <v>46.3</v>
      </c>
      <c r="G364" s="2">
        <f t="shared" si="36"/>
        <v>12.041</v>
      </c>
      <c r="H364" s="11" t="str">
        <f t="shared" si="37"/>
        <v>3.403E-2</v>
      </c>
      <c r="I364" s="2">
        <f t="shared" si="38"/>
        <v>46</v>
      </c>
      <c r="J364" s="4">
        <f t="shared" si="39"/>
        <v>12.041</v>
      </c>
      <c r="K364" s="9">
        <f t="shared" si="40"/>
        <v>3.09999999999998</v>
      </c>
      <c r="L364" s="1">
        <f t="shared" si="41"/>
        <v>-0.199999999999992</v>
      </c>
    </row>
    <row r="365" spans="1:12">
      <c r="A365" s="2">
        <v>12.108</v>
      </c>
      <c r="B365" s="10" t="s">
        <v>229</v>
      </c>
      <c r="C365" s="4">
        <v>12.108</v>
      </c>
      <c r="D365" s="4">
        <v>45.9</v>
      </c>
      <c r="G365" s="2">
        <f t="shared" si="36"/>
        <v>12.074</v>
      </c>
      <c r="H365" s="11" t="str">
        <f t="shared" si="37"/>
        <v>3.404E-2</v>
      </c>
      <c r="I365" s="2">
        <f t="shared" si="38"/>
        <v>45.8</v>
      </c>
      <c r="J365" s="4">
        <f t="shared" si="39"/>
        <v>12.074</v>
      </c>
      <c r="K365" s="9">
        <f t="shared" si="40"/>
        <v>3.20000000000001</v>
      </c>
      <c r="L365" s="1">
        <f t="shared" si="41"/>
        <v>-0.199999999999992</v>
      </c>
    </row>
    <row r="366" spans="1:12">
      <c r="A366" s="2">
        <v>12.141</v>
      </c>
      <c r="B366" s="10" t="s">
        <v>228</v>
      </c>
      <c r="C366" s="4">
        <v>12.141</v>
      </c>
      <c r="D366" s="4">
        <v>46.5</v>
      </c>
      <c r="G366" s="2">
        <f t="shared" si="36"/>
        <v>12.108</v>
      </c>
      <c r="H366" s="11" t="str">
        <f t="shared" si="37"/>
        <v>3.405E-2</v>
      </c>
      <c r="I366" s="2">
        <f t="shared" si="38"/>
        <v>46.3</v>
      </c>
      <c r="J366" s="4">
        <f t="shared" si="39"/>
        <v>12.108</v>
      </c>
      <c r="K366" s="9">
        <f t="shared" si="40"/>
        <v>3.29999999999997</v>
      </c>
      <c r="L366" s="1">
        <f t="shared" si="41"/>
        <v>-0.199999999999992</v>
      </c>
    </row>
    <row r="367" spans="1:12">
      <c r="A367" s="2">
        <v>12.175</v>
      </c>
      <c r="B367" s="10" t="s">
        <v>228</v>
      </c>
      <c r="C367" s="4">
        <v>12.175</v>
      </c>
      <c r="D367" s="4">
        <v>46.4</v>
      </c>
      <c r="G367" s="2">
        <f t="shared" ref="G367:G385" si="42">A366</f>
        <v>12.141</v>
      </c>
      <c r="H367" s="11" t="str">
        <f t="shared" ref="H367:H385" si="43">B366</f>
        <v>3.407E-2</v>
      </c>
      <c r="I367" s="2">
        <f t="shared" ref="I367:I385" si="44">D365</f>
        <v>45.9</v>
      </c>
      <c r="J367" s="4">
        <f t="shared" ref="J367:J385" si="45">G367</f>
        <v>12.141</v>
      </c>
      <c r="K367" s="9">
        <f t="shared" ref="K367:K385" si="46">(H367-$H$4)*10000</f>
        <v>3.50000000000003</v>
      </c>
      <c r="L367" s="1">
        <f t="shared" ref="L367:L385" si="47">IF(I367&lt;230,MIN(K:K),MAX(K:K))</f>
        <v>-0.199999999999992</v>
      </c>
    </row>
    <row r="368" spans="1:12">
      <c r="A368" s="2">
        <v>12.208</v>
      </c>
      <c r="B368" s="10" t="s">
        <v>230</v>
      </c>
      <c r="C368" s="4">
        <v>12.208</v>
      </c>
      <c r="D368" s="4">
        <v>46.3</v>
      </c>
      <c r="G368" s="2">
        <f t="shared" si="42"/>
        <v>12.175</v>
      </c>
      <c r="H368" s="11" t="str">
        <f t="shared" si="43"/>
        <v>3.407E-2</v>
      </c>
      <c r="I368" s="2">
        <f t="shared" si="44"/>
        <v>46.5</v>
      </c>
      <c r="J368" s="4">
        <f t="shared" si="45"/>
        <v>12.175</v>
      </c>
      <c r="K368" s="9">
        <f t="shared" si="46"/>
        <v>3.50000000000003</v>
      </c>
      <c r="L368" s="1">
        <f t="shared" si="47"/>
        <v>-0.199999999999992</v>
      </c>
    </row>
    <row r="369" spans="1:12">
      <c r="A369" s="2">
        <v>12.242</v>
      </c>
      <c r="B369" s="10" t="s">
        <v>269</v>
      </c>
      <c r="C369" s="4">
        <v>12.242</v>
      </c>
      <c r="D369" s="4">
        <v>46.4</v>
      </c>
      <c r="G369" s="2">
        <f t="shared" si="42"/>
        <v>12.208</v>
      </c>
      <c r="H369" s="11" t="str">
        <f t="shared" si="43"/>
        <v>3.409E-2</v>
      </c>
      <c r="I369" s="2">
        <f t="shared" si="44"/>
        <v>46.4</v>
      </c>
      <c r="J369" s="4">
        <f t="shared" si="45"/>
        <v>12.208</v>
      </c>
      <c r="K369" s="9">
        <f t="shared" si="46"/>
        <v>3.70000000000002</v>
      </c>
      <c r="L369" s="1">
        <f t="shared" si="47"/>
        <v>-0.199999999999992</v>
      </c>
    </row>
    <row r="370" spans="1:12">
      <c r="A370" s="2">
        <v>12.275</v>
      </c>
      <c r="B370" s="10" t="s">
        <v>244</v>
      </c>
      <c r="C370" s="4">
        <v>12.275</v>
      </c>
      <c r="D370" s="4">
        <v>46.3</v>
      </c>
      <c r="G370" s="2">
        <f t="shared" si="42"/>
        <v>12.242</v>
      </c>
      <c r="H370" s="11" t="str">
        <f t="shared" si="43"/>
        <v>3.410E-2</v>
      </c>
      <c r="I370" s="2">
        <f t="shared" si="44"/>
        <v>46.3</v>
      </c>
      <c r="J370" s="4">
        <f t="shared" si="45"/>
        <v>12.242</v>
      </c>
      <c r="K370" s="9">
        <f t="shared" si="46"/>
        <v>3.79999999999998</v>
      </c>
      <c r="L370" s="1">
        <f t="shared" si="47"/>
        <v>-0.199999999999992</v>
      </c>
    </row>
    <row r="371" spans="1:12">
      <c r="A371" s="2">
        <v>12.309</v>
      </c>
      <c r="B371" s="10" t="s">
        <v>57</v>
      </c>
      <c r="C371" s="4">
        <v>12.309</v>
      </c>
      <c r="D371" s="4">
        <v>46.1</v>
      </c>
      <c r="G371" s="2">
        <f t="shared" si="42"/>
        <v>12.275</v>
      </c>
      <c r="H371" s="11" t="str">
        <f t="shared" si="43"/>
        <v>3.411E-2</v>
      </c>
      <c r="I371" s="2">
        <f t="shared" si="44"/>
        <v>46.4</v>
      </c>
      <c r="J371" s="4">
        <f t="shared" si="45"/>
        <v>12.275</v>
      </c>
      <c r="K371" s="9">
        <f t="shared" si="46"/>
        <v>3.90000000000001</v>
      </c>
      <c r="L371" s="1">
        <f t="shared" si="47"/>
        <v>-0.199999999999992</v>
      </c>
    </row>
    <row r="372" spans="1:12">
      <c r="A372" s="2">
        <v>12.342</v>
      </c>
      <c r="B372" s="10" t="s">
        <v>57</v>
      </c>
      <c r="C372" s="4">
        <v>12.342</v>
      </c>
      <c r="D372" s="4">
        <v>46</v>
      </c>
      <c r="G372" s="2">
        <f t="shared" si="42"/>
        <v>12.309</v>
      </c>
      <c r="H372" s="11" t="str">
        <f t="shared" si="43"/>
        <v>3.413E-2</v>
      </c>
      <c r="I372" s="2">
        <f t="shared" si="44"/>
        <v>46.3</v>
      </c>
      <c r="J372" s="4">
        <f t="shared" si="45"/>
        <v>12.309</v>
      </c>
      <c r="K372" s="9">
        <f t="shared" si="46"/>
        <v>4.10000000000001</v>
      </c>
      <c r="L372" s="1">
        <f t="shared" si="47"/>
        <v>-0.199999999999992</v>
      </c>
    </row>
    <row r="373" spans="1:12">
      <c r="A373" s="2">
        <v>12.375</v>
      </c>
      <c r="B373" s="10" t="s">
        <v>45</v>
      </c>
      <c r="C373" s="4">
        <v>12.375</v>
      </c>
      <c r="D373" s="4">
        <v>45.8</v>
      </c>
      <c r="G373" s="2">
        <f t="shared" si="42"/>
        <v>12.342</v>
      </c>
      <c r="H373" s="11" t="str">
        <f t="shared" si="43"/>
        <v>3.413E-2</v>
      </c>
      <c r="I373" s="2">
        <f t="shared" si="44"/>
        <v>46.1</v>
      </c>
      <c r="J373" s="4">
        <f t="shared" si="45"/>
        <v>12.342</v>
      </c>
      <c r="K373" s="9">
        <f t="shared" si="46"/>
        <v>4.10000000000001</v>
      </c>
      <c r="L373" s="1">
        <f t="shared" si="47"/>
        <v>-0.199999999999992</v>
      </c>
    </row>
    <row r="374" spans="1:12">
      <c r="A374" s="2">
        <v>12.409</v>
      </c>
      <c r="B374" s="10" t="s">
        <v>45</v>
      </c>
      <c r="C374" s="4">
        <v>12.409</v>
      </c>
      <c r="D374" s="4">
        <v>46.5</v>
      </c>
      <c r="G374" s="2">
        <f t="shared" si="42"/>
        <v>12.375</v>
      </c>
      <c r="H374" s="11" t="str">
        <f t="shared" si="43"/>
        <v>3.415E-2</v>
      </c>
      <c r="I374" s="2">
        <f t="shared" si="44"/>
        <v>46</v>
      </c>
      <c r="J374" s="4">
        <f t="shared" si="45"/>
        <v>12.375</v>
      </c>
      <c r="K374" s="9">
        <f t="shared" si="46"/>
        <v>4.3</v>
      </c>
      <c r="L374" s="1">
        <f t="shared" si="47"/>
        <v>-0.199999999999992</v>
      </c>
    </row>
    <row r="375" spans="1:12">
      <c r="A375" s="2">
        <v>12.442</v>
      </c>
      <c r="B375" s="10" t="s">
        <v>45</v>
      </c>
      <c r="C375" s="4">
        <v>12.442</v>
      </c>
      <c r="D375" s="4">
        <v>45.9</v>
      </c>
      <c r="G375" s="2">
        <f t="shared" si="42"/>
        <v>12.409</v>
      </c>
      <c r="H375" s="11" t="str">
        <f t="shared" si="43"/>
        <v>3.415E-2</v>
      </c>
      <c r="I375" s="2">
        <f t="shared" si="44"/>
        <v>45.8</v>
      </c>
      <c r="J375" s="4">
        <f t="shared" si="45"/>
        <v>12.409</v>
      </c>
      <c r="K375" s="9">
        <f t="shared" si="46"/>
        <v>4.3</v>
      </c>
      <c r="L375" s="1">
        <f t="shared" si="47"/>
        <v>-0.199999999999992</v>
      </c>
    </row>
    <row r="376" spans="1:12">
      <c r="A376" s="2">
        <v>12.476</v>
      </c>
      <c r="B376" s="10" t="s">
        <v>45</v>
      </c>
      <c r="C376" s="4">
        <v>12.476</v>
      </c>
      <c r="D376" s="4">
        <v>46.3</v>
      </c>
      <c r="G376" s="2">
        <f t="shared" si="42"/>
        <v>12.442</v>
      </c>
      <c r="H376" s="11" t="str">
        <f t="shared" si="43"/>
        <v>3.415E-2</v>
      </c>
      <c r="I376" s="2">
        <f t="shared" si="44"/>
        <v>46.5</v>
      </c>
      <c r="J376" s="4">
        <f t="shared" si="45"/>
        <v>12.442</v>
      </c>
      <c r="K376" s="9">
        <f t="shared" si="46"/>
        <v>4.3</v>
      </c>
      <c r="L376" s="1">
        <f t="shared" si="47"/>
        <v>-0.199999999999992</v>
      </c>
    </row>
    <row r="377" spans="1:12">
      <c r="A377" s="2">
        <v>12.509</v>
      </c>
      <c r="B377" s="10" t="s">
        <v>82</v>
      </c>
      <c r="C377" s="4">
        <v>12.509</v>
      </c>
      <c r="D377" s="4">
        <v>46</v>
      </c>
      <c r="G377" s="2">
        <f t="shared" si="42"/>
        <v>12.476</v>
      </c>
      <c r="H377" s="11" t="str">
        <f t="shared" si="43"/>
        <v>3.415E-2</v>
      </c>
      <c r="I377" s="2">
        <f t="shared" si="44"/>
        <v>45.9</v>
      </c>
      <c r="J377" s="4">
        <f t="shared" si="45"/>
        <v>12.476</v>
      </c>
      <c r="K377" s="9">
        <f t="shared" si="46"/>
        <v>4.3</v>
      </c>
      <c r="L377" s="1">
        <f t="shared" si="47"/>
        <v>-0.199999999999992</v>
      </c>
    </row>
    <row r="378" spans="1:12">
      <c r="A378" s="2">
        <v>12.543</v>
      </c>
      <c r="B378" s="10" t="s">
        <v>82</v>
      </c>
      <c r="C378" s="4">
        <v>12.543</v>
      </c>
      <c r="D378" s="4">
        <v>46.3</v>
      </c>
      <c r="G378" s="2">
        <f t="shared" si="42"/>
        <v>12.509</v>
      </c>
      <c r="H378" s="11" t="str">
        <f t="shared" si="43"/>
        <v>3.414E-2</v>
      </c>
      <c r="I378" s="2">
        <f t="shared" si="44"/>
        <v>46.3</v>
      </c>
      <c r="J378" s="4">
        <f t="shared" si="45"/>
        <v>12.509</v>
      </c>
      <c r="K378" s="9">
        <f t="shared" si="46"/>
        <v>4.19999999999997</v>
      </c>
      <c r="L378" s="1">
        <f t="shared" si="47"/>
        <v>-0.199999999999992</v>
      </c>
    </row>
    <row r="379" spans="1:12">
      <c r="A379" s="2">
        <v>12.576</v>
      </c>
      <c r="B379" s="10" t="s">
        <v>244</v>
      </c>
      <c r="C379" s="4">
        <v>12.576</v>
      </c>
      <c r="D379" s="4">
        <v>45.9</v>
      </c>
      <c r="G379" s="2">
        <f t="shared" si="42"/>
        <v>12.543</v>
      </c>
      <c r="H379" s="11" t="str">
        <f t="shared" si="43"/>
        <v>3.414E-2</v>
      </c>
      <c r="I379" s="2">
        <f t="shared" si="44"/>
        <v>46</v>
      </c>
      <c r="J379" s="4">
        <f t="shared" si="45"/>
        <v>12.543</v>
      </c>
      <c r="K379" s="9">
        <f t="shared" si="46"/>
        <v>4.19999999999997</v>
      </c>
      <c r="L379" s="1">
        <f t="shared" si="47"/>
        <v>-0.199999999999992</v>
      </c>
    </row>
    <row r="380" spans="1:12">
      <c r="A380" s="2">
        <v>12.61</v>
      </c>
      <c r="B380" s="10" t="s">
        <v>244</v>
      </c>
      <c r="C380" s="4">
        <v>12.61</v>
      </c>
      <c r="D380" s="4">
        <v>46</v>
      </c>
      <c r="G380" s="2">
        <f t="shared" si="42"/>
        <v>12.576</v>
      </c>
      <c r="H380" s="11" t="str">
        <f t="shared" si="43"/>
        <v>3.411E-2</v>
      </c>
      <c r="I380" s="2">
        <f t="shared" si="44"/>
        <v>46.3</v>
      </c>
      <c r="J380" s="4">
        <f t="shared" si="45"/>
        <v>12.576</v>
      </c>
      <c r="K380" s="9">
        <f t="shared" si="46"/>
        <v>3.90000000000001</v>
      </c>
      <c r="L380" s="1">
        <f t="shared" si="47"/>
        <v>-0.199999999999992</v>
      </c>
    </row>
    <row r="381" spans="1:12">
      <c r="A381" s="2">
        <v>12.643</v>
      </c>
      <c r="B381" s="10" t="s">
        <v>230</v>
      </c>
      <c r="C381" s="4">
        <v>12.643</v>
      </c>
      <c r="D381" s="4">
        <v>46.1</v>
      </c>
      <c r="G381" s="2">
        <f t="shared" si="42"/>
        <v>12.61</v>
      </c>
      <c r="H381" s="11" t="str">
        <f t="shared" si="43"/>
        <v>3.411E-2</v>
      </c>
      <c r="I381" s="2">
        <f t="shared" si="44"/>
        <v>45.9</v>
      </c>
      <c r="J381" s="4">
        <f t="shared" si="45"/>
        <v>12.61</v>
      </c>
      <c r="K381" s="9">
        <f t="shared" si="46"/>
        <v>3.90000000000001</v>
      </c>
      <c r="L381" s="1">
        <f t="shared" si="47"/>
        <v>-0.199999999999992</v>
      </c>
    </row>
    <row r="382" spans="1:12">
      <c r="A382" s="2">
        <v>12.676</v>
      </c>
      <c r="B382" s="10" t="s">
        <v>228</v>
      </c>
      <c r="C382" s="4">
        <v>12.676</v>
      </c>
      <c r="D382" s="4">
        <v>46</v>
      </c>
      <c r="G382" s="2">
        <f t="shared" si="42"/>
        <v>12.643</v>
      </c>
      <c r="H382" s="11" t="str">
        <f t="shared" si="43"/>
        <v>3.409E-2</v>
      </c>
      <c r="I382" s="2">
        <f t="shared" si="44"/>
        <v>46</v>
      </c>
      <c r="J382" s="4">
        <f t="shared" si="45"/>
        <v>12.643</v>
      </c>
      <c r="K382" s="9">
        <f t="shared" si="46"/>
        <v>3.70000000000002</v>
      </c>
      <c r="L382" s="1">
        <f t="shared" si="47"/>
        <v>-0.199999999999992</v>
      </c>
    </row>
    <row r="383" spans="1:12">
      <c r="A383" s="2">
        <v>12.71</v>
      </c>
      <c r="B383" s="10" t="s">
        <v>116</v>
      </c>
      <c r="C383" s="4">
        <v>12.71</v>
      </c>
      <c r="D383" s="4">
        <v>46</v>
      </c>
      <c r="G383" s="2">
        <f t="shared" si="42"/>
        <v>12.676</v>
      </c>
      <c r="H383" s="11" t="str">
        <f t="shared" si="43"/>
        <v>3.407E-2</v>
      </c>
      <c r="I383" s="2">
        <f t="shared" si="44"/>
        <v>46.1</v>
      </c>
      <c r="J383" s="4">
        <f t="shared" si="45"/>
        <v>12.676</v>
      </c>
      <c r="K383" s="9">
        <f t="shared" si="46"/>
        <v>3.50000000000003</v>
      </c>
      <c r="L383" s="1">
        <f t="shared" si="47"/>
        <v>-0.199999999999992</v>
      </c>
    </row>
    <row r="384" spans="1:12">
      <c r="A384" s="2">
        <v>12.743</v>
      </c>
      <c r="B384" s="10" t="s">
        <v>229</v>
      </c>
      <c r="C384" s="4">
        <v>12.743</v>
      </c>
      <c r="D384" s="4">
        <v>46.7</v>
      </c>
      <c r="G384" s="2">
        <f t="shared" si="42"/>
        <v>12.71</v>
      </c>
      <c r="H384" s="11" t="str">
        <f t="shared" si="43"/>
        <v>3.406E-2</v>
      </c>
      <c r="I384" s="2">
        <f t="shared" si="44"/>
        <v>46</v>
      </c>
      <c r="J384" s="4">
        <f t="shared" si="45"/>
        <v>12.71</v>
      </c>
      <c r="K384" s="9">
        <f t="shared" si="46"/>
        <v>3.4</v>
      </c>
      <c r="L384" s="1">
        <f t="shared" si="47"/>
        <v>-0.199999999999992</v>
      </c>
    </row>
    <row r="385" spans="1:12">
      <c r="A385" s="2">
        <v>12.777</v>
      </c>
      <c r="B385" s="10" t="s">
        <v>88</v>
      </c>
      <c r="C385" s="4">
        <v>12.777</v>
      </c>
      <c r="D385" s="4">
        <v>46.1</v>
      </c>
      <c r="G385" s="2">
        <f t="shared" si="42"/>
        <v>12.743</v>
      </c>
      <c r="H385" s="11" t="str">
        <f t="shared" si="43"/>
        <v>3.405E-2</v>
      </c>
      <c r="I385" s="2">
        <f t="shared" si="44"/>
        <v>46</v>
      </c>
      <c r="J385" s="4">
        <f t="shared" si="45"/>
        <v>12.743</v>
      </c>
      <c r="K385" s="9">
        <f t="shared" si="46"/>
        <v>3.29999999999997</v>
      </c>
      <c r="L385" s="1">
        <f t="shared" si="47"/>
        <v>-0.199999999999992</v>
      </c>
    </row>
    <row r="386" spans="1:12">
      <c r="A386" s="2">
        <v>12.81</v>
      </c>
      <c r="B386" s="10" t="s">
        <v>46</v>
      </c>
      <c r="C386" s="4">
        <v>12.81</v>
      </c>
      <c r="D386" s="4">
        <v>46.6</v>
      </c>
      <c r="G386" s="2">
        <f t="shared" ref="G386:G401" si="48">A385</f>
        <v>12.777</v>
      </c>
      <c r="H386" s="11" t="str">
        <f t="shared" ref="H386:H401" si="49">B385</f>
        <v>3.403E-2</v>
      </c>
      <c r="I386" s="2">
        <f t="shared" ref="I386:I401" si="50">D384</f>
        <v>46.7</v>
      </c>
      <c r="J386" s="4">
        <f t="shared" ref="J386:J401" si="51">G386</f>
        <v>12.777</v>
      </c>
      <c r="K386" s="9">
        <f t="shared" ref="K386:K401" si="52">(H386-$H$4)*10000</f>
        <v>3.09999999999998</v>
      </c>
      <c r="L386" s="1">
        <f t="shared" ref="L386:L401" si="53">IF(I386&lt;230,MIN(K:K),MAX(K:K))</f>
        <v>-0.199999999999992</v>
      </c>
    </row>
    <row r="387" spans="1:12">
      <c r="A387" s="2">
        <v>12.844</v>
      </c>
      <c r="B387" s="10" t="s">
        <v>245</v>
      </c>
      <c r="C387" s="4">
        <v>12.844</v>
      </c>
      <c r="D387" s="4">
        <v>46.8</v>
      </c>
      <c r="G387" s="2">
        <f t="shared" si="48"/>
        <v>12.81</v>
      </c>
      <c r="H387" s="11" t="str">
        <f t="shared" si="49"/>
        <v>3.401E-2</v>
      </c>
      <c r="I387" s="2">
        <f t="shared" si="50"/>
        <v>46.1</v>
      </c>
      <c r="J387" s="4">
        <f t="shared" si="51"/>
        <v>12.81</v>
      </c>
      <c r="K387" s="9">
        <f t="shared" si="52"/>
        <v>2.89999999999999</v>
      </c>
      <c r="L387" s="1">
        <f t="shared" si="53"/>
        <v>-0.199999999999992</v>
      </c>
    </row>
    <row r="388" spans="1:12">
      <c r="A388" s="2">
        <v>12.877</v>
      </c>
      <c r="B388" s="10" t="s">
        <v>484</v>
      </c>
      <c r="C388" s="4">
        <v>12.877</v>
      </c>
      <c r="D388" s="4">
        <v>46.5</v>
      </c>
      <c r="G388" s="2">
        <f t="shared" si="48"/>
        <v>12.844</v>
      </c>
      <c r="H388" s="11" t="str">
        <f t="shared" si="49"/>
        <v>3.398E-2</v>
      </c>
      <c r="I388" s="2">
        <f t="shared" si="50"/>
        <v>46.6</v>
      </c>
      <c r="J388" s="4">
        <f t="shared" si="51"/>
        <v>12.844</v>
      </c>
      <c r="K388" s="9">
        <f t="shared" si="52"/>
        <v>2.60000000000003</v>
      </c>
      <c r="L388" s="1">
        <f t="shared" si="53"/>
        <v>-0.199999999999992</v>
      </c>
    </row>
    <row r="389" spans="1:12">
      <c r="A389" s="2">
        <v>12.911</v>
      </c>
      <c r="B389" s="10" t="s">
        <v>115</v>
      </c>
      <c r="C389" s="4">
        <v>12.911</v>
      </c>
      <c r="D389" s="4">
        <v>45.8</v>
      </c>
      <c r="G389" s="2">
        <f t="shared" si="48"/>
        <v>12.877</v>
      </c>
      <c r="H389" s="11" t="str">
        <f t="shared" si="49"/>
        <v>3.397E-2</v>
      </c>
      <c r="I389" s="2">
        <f t="shared" si="50"/>
        <v>46.8</v>
      </c>
      <c r="J389" s="4">
        <f t="shared" si="51"/>
        <v>12.877</v>
      </c>
      <c r="K389" s="9">
        <f t="shared" si="52"/>
        <v>2.5</v>
      </c>
      <c r="L389" s="1">
        <f t="shared" si="53"/>
        <v>-0.199999999999992</v>
      </c>
    </row>
    <row r="390" spans="1:12">
      <c r="A390" s="2">
        <v>12.944</v>
      </c>
      <c r="B390" s="10" t="s">
        <v>47</v>
      </c>
      <c r="C390" s="4">
        <v>12.944</v>
      </c>
      <c r="D390" s="4">
        <v>46.2</v>
      </c>
      <c r="G390" s="2">
        <f t="shared" si="48"/>
        <v>12.911</v>
      </c>
      <c r="H390" s="11" t="str">
        <f t="shared" si="49"/>
        <v>3.396E-2</v>
      </c>
      <c r="I390" s="2">
        <f t="shared" si="50"/>
        <v>46.5</v>
      </c>
      <c r="J390" s="4">
        <f t="shared" si="51"/>
        <v>12.911</v>
      </c>
      <c r="K390" s="9">
        <f t="shared" si="52"/>
        <v>2.39999999999997</v>
      </c>
      <c r="L390" s="1">
        <f t="shared" si="53"/>
        <v>-0.199999999999992</v>
      </c>
    </row>
    <row r="391" spans="1:12">
      <c r="A391" s="2">
        <v>12.977</v>
      </c>
      <c r="B391" s="10" t="s">
        <v>47</v>
      </c>
      <c r="C391" s="4">
        <v>12.977</v>
      </c>
      <c r="D391" s="4">
        <v>46.7</v>
      </c>
      <c r="G391" s="2">
        <f t="shared" si="48"/>
        <v>12.944</v>
      </c>
      <c r="H391" s="11" t="str">
        <f t="shared" si="49"/>
        <v>3.394E-2</v>
      </c>
      <c r="I391" s="2">
        <f t="shared" si="50"/>
        <v>45.8</v>
      </c>
      <c r="J391" s="4">
        <f t="shared" si="51"/>
        <v>12.944</v>
      </c>
      <c r="K391" s="9">
        <f t="shared" si="52"/>
        <v>2.19999999999998</v>
      </c>
      <c r="L391" s="1">
        <f t="shared" si="53"/>
        <v>-0.199999999999992</v>
      </c>
    </row>
    <row r="392" spans="1:12">
      <c r="A392" s="2">
        <v>13.011</v>
      </c>
      <c r="B392" s="10" t="s">
        <v>114</v>
      </c>
      <c r="C392" s="4">
        <v>13.011</v>
      </c>
      <c r="D392" s="4">
        <v>46.3</v>
      </c>
      <c r="G392" s="2">
        <f t="shared" si="48"/>
        <v>12.977</v>
      </c>
      <c r="H392" s="11" t="str">
        <f t="shared" si="49"/>
        <v>3.394E-2</v>
      </c>
      <c r="I392" s="2">
        <f t="shared" si="50"/>
        <v>46.2</v>
      </c>
      <c r="J392" s="4">
        <f t="shared" si="51"/>
        <v>12.977</v>
      </c>
      <c r="K392" s="9">
        <f t="shared" si="52"/>
        <v>2.19999999999998</v>
      </c>
      <c r="L392" s="1">
        <f t="shared" si="53"/>
        <v>-0.199999999999992</v>
      </c>
    </row>
    <row r="393" spans="1:12">
      <c r="A393" s="2">
        <v>13.044</v>
      </c>
      <c r="B393" s="10" t="s">
        <v>114</v>
      </c>
      <c r="C393" s="4">
        <v>13.044</v>
      </c>
      <c r="D393" s="4">
        <v>45.7</v>
      </c>
      <c r="G393" s="2">
        <f t="shared" si="48"/>
        <v>13.011</v>
      </c>
      <c r="H393" s="11" t="str">
        <f t="shared" si="49"/>
        <v>3.392E-2</v>
      </c>
      <c r="I393" s="2">
        <f t="shared" si="50"/>
        <v>46.7</v>
      </c>
      <c r="J393" s="4">
        <f t="shared" si="51"/>
        <v>13.011</v>
      </c>
      <c r="K393" s="9">
        <f t="shared" si="52"/>
        <v>1.99999999999999</v>
      </c>
      <c r="L393" s="1">
        <f t="shared" si="53"/>
        <v>-0.199999999999992</v>
      </c>
    </row>
    <row r="394" spans="1:12">
      <c r="A394" s="2">
        <v>13.078</v>
      </c>
      <c r="B394" s="10" t="s">
        <v>48</v>
      </c>
      <c r="C394" s="4">
        <v>13.078</v>
      </c>
      <c r="D394" s="4">
        <v>46.3</v>
      </c>
      <c r="G394" s="2">
        <f t="shared" si="48"/>
        <v>13.044</v>
      </c>
      <c r="H394" s="11" t="str">
        <f t="shared" si="49"/>
        <v>3.392E-2</v>
      </c>
      <c r="I394" s="2">
        <f t="shared" si="50"/>
        <v>46.3</v>
      </c>
      <c r="J394" s="4">
        <f t="shared" si="51"/>
        <v>13.044</v>
      </c>
      <c r="K394" s="9">
        <f t="shared" si="52"/>
        <v>1.99999999999999</v>
      </c>
      <c r="L394" s="1">
        <f t="shared" si="53"/>
        <v>-0.199999999999992</v>
      </c>
    </row>
    <row r="395" spans="1:12">
      <c r="A395" s="2">
        <v>13.111</v>
      </c>
      <c r="B395" s="10" t="s">
        <v>113</v>
      </c>
      <c r="C395" s="4">
        <v>13.111</v>
      </c>
      <c r="D395" s="4">
        <v>46.6</v>
      </c>
      <c r="G395" s="2">
        <f t="shared" si="48"/>
        <v>13.078</v>
      </c>
      <c r="H395" s="11" t="str">
        <f t="shared" si="49"/>
        <v>3.390E-2</v>
      </c>
      <c r="I395" s="2">
        <f t="shared" si="50"/>
        <v>45.7</v>
      </c>
      <c r="J395" s="4">
        <f t="shared" si="51"/>
        <v>13.078</v>
      </c>
      <c r="K395" s="9">
        <f t="shared" si="52"/>
        <v>1.8</v>
      </c>
      <c r="L395" s="1">
        <f t="shared" si="53"/>
        <v>-0.199999999999992</v>
      </c>
    </row>
    <row r="396" spans="1:12">
      <c r="A396" s="2">
        <v>13.145</v>
      </c>
      <c r="B396" s="10" t="s">
        <v>112</v>
      </c>
      <c r="C396" s="4">
        <v>13.145</v>
      </c>
      <c r="D396" s="4">
        <v>46.5</v>
      </c>
      <c r="G396" s="2">
        <f t="shared" si="48"/>
        <v>13.111</v>
      </c>
      <c r="H396" s="11" t="str">
        <f t="shared" si="49"/>
        <v>3.389E-2</v>
      </c>
      <c r="I396" s="2">
        <f t="shared" si="50"/>
        <v>46.3</v>
      </c>
      <c r="J396" s="4">
        <f t="shared" si="51"/>
        <v>13.111</v>
      </c>
      <c r="K396" s="9">
        <f t="shared" si="52"/>
        <v>1.70000000000003</v>
      </c>
      <c r="L396" s="1">
        <f t="shared" si="53"/>
        <v>-0.199999999999992</v>
      </c>
    </row>
    <row r="397" spans="1:12">
      <c r="A397" s="2">
        <v>13.178</v>
      </c>
      <c r="B397" s="10" t="s">
        <v>114</v>
      </c>
      <c r="C397" s="4">
        <v>13.178</v>
      </c>
      <c r="D397" s="4">
        <v>46.4</v>
      </c>
      <c r="G397" s="2">
        <f t="shared" si="48"/>
        <v>13.145</v>
      </c>
      <c r="H397" s="11" t="str">
        <f t="shared" si="49"/>
        <v>3.391E-2</v>
      </c>
      <c r="I397" s="2">
        <f t="shared" si="50"/>
        <v>46.6</v>
      </c>
      <c r="J397" s="4">
        <f t="shared" si="51"/>
        <v>13.145</v>
      </c>
      <c r="K397" s="9">
        <f t="shared" si="52"/>
        <v>1.90000000000003</v>
      </c>
      <c r="L397" s="1">
        <f t="shared" si="53"/>
        <v>-0.199999999999992</v>
      </c>
    </row>
    <row r="398" spans="1:12">
      <c r="A398" s="2">
        <v>13.212</v>
      </c>
      <c r="B398" s="10" t="s">
        <v>114</v>
      </c>
      <c r="C398" s="4">
        <v>13.212</v>
      </c>
      <c r="D398" s="4">
        <v>46.1</v>
      </c>
      <c r="G398" s="2">
        <f t="shared" si="48"/>
        <v>13.178</v>
      </c>
      <c r="H398" s="11" t="str">
        <f t="shared" si="49"/>
        <v>3.392E-2</v>
      </c>
      <c r="I398" s="2">
        <f t="shared" si="50"/>
        <v>46.5</v>
      </c>
      <c r="J398" s="4">
        <f t="shared" si="51"/>
        <v>13.178</v>
      </c>
      <c r="K398" s="9">
        <f t="shared" si="52"/>
        <v>1.99999999999999</v>
      </c>
      <c r="L398" s="1">
        <f t="shared" si="53"/>
        <v>-0.199999999999992</v>
      </c>
    </row>
    <row r="399" spans="1:12">
      <c r="A399" s="2">
        <v>13.245</v>
      </c>
      <c r="B399" s="10" t="s">
        <v>84</v>
      </c>
      <c r="C399" s="4">
        <v>13.245</v>
      </c>
      <c r="D399" s="4">
        <v>46.1</v>
      </c>
      <c r="G399" s="2">
        <f t="shared" si="48"/>
        <v>13.212</v>
      </c>
      <c r="H399" s="11" t="str">
        <f t="shared" si="49"/>
        <v>3.392E-2</v>
      </c>
      <c r="I399" s="2">
        <f t="shared" si="50"/>
        <v>46.4</v>
      </c>
      <c r="J399" s="4">
        <f t="shared" si="51"/>
        <v>13.212</v>
      </c>
      <c r="K399" s="9">
        <f t="shared" si="52"/>
        <v>1.99999999999999</v>
      </c>
      <c r="L399" s="1">
        <f t="shared" si="53"/>
        <v>-0.199999999999992</v>
      </c>
    </row>
    <row r="400" spans="1:12">
      <c r="A400" s="2">
        <v>13.278</v>
      </c>
      <c r="B400" s="10" t="s">
        <v>111</v>
      </c>
      <c r="C400" s="4">
        <v>13.278</v>
      </c>
      <c r="D400" s="4">
        <v>46.1</v>
      </c>
      <c r="G400" s="2">
        <f t="shared" si="48"/>
        <v>13.245</v>
      </c>
      <c r="H400" s="11" t="str">
        <f t="shared" si="49"/>
        <v>3.393E-2</v>
      </c>
      <c r="I400" s="2">
        <f t="shared" si="50"/>
        <v>46.1</v>
      </c>
      <c r="J400" s="4">
        <f t="shared" si="51"/>
        <v>13.245</v>
      </c>
      <c r="K400" s="9">
        <f t="shared" si="52"/>
        <v>2.10000000000002</v>
      </c>
      <c r="L400" s="1">
        <f t="shared" si="53"/>
        <v>-0.199999999999992</v>
      </c>
    </row>
    <row r="401" spans="7:12">
      <c r="G401" s="2">
        <f t="shared" si="48"/>
        <v>13.278</v>
      </c>
      <c r="H401" s="11" t="str">
        <f t="shared" si="49"/>
        <v>3.395E-2</v>
      </c>
      <c r="I401" s="2">
        <f t="shared" si="50"/>
        <v>46.1</v>
      </c>
      <c r="J401" s="4">
        <f t="shared" si="51"/>
        <v>13.278</v>
      </c>
      <c r="K401" s="9">
        <f t="shared" si="52"/>
        <v>2.30000000000001</v>
      </c>
      <c r="L401" s="1">
        <f t="shared" si="53"/>
        <v>-0.199999999999992</v>
      </c>
    </row>
  </sheetData>
  <mergeCells count="2">
    <mergeCell ref="G1:I1"/>
    <mergeCell ref="J1:L1"/>
  </mergeCells>
  <conditionalFormatting sqref="C$1:C$1048576">
    <cfRule type="cellIs" dxfId="0" priority="7" operator="greaterThan">
      <formula>250</formula>
    </cfRule>
    <cfRule type="cellIs" dxfId="0" priority="5" operator="greaterThan">
      <formula>248</formula>
    </cfRule>
    <cfRule type="cellIs" dxfId="0" priority="4" operator="greaterThan">
      <formula>230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401">
    <cfRule type="cellIs" dxfId="0" priority="3" operator="greaterThan">
      <formula>250</formula>
    </cfRule>
    <cfRule type="cellIs" dxfId="0" priority="2" operator="greaterThan">
      <formula>248</formula>
    </cfRule>
    <cfRule type="cellIs" dxfId="0" priority="1" operator="greaterThan">
      <formula>230</formula>
    </cfRule>
  </conditionalFormatting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1"/>
  <sheetViews>
    <sheetView workbookViewId="0">
      <selection activeCell="A362" sqref="$A362:$XFD400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4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0.033</v>
      </c>
      <c r="B3" s="10" t="s">
        <v>485</v>
      </c>
      <c r="C3" s="4">
        <v>0.033</v>
      </c>
      <c r="D3" s="5">
        <v>43.9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0.067</v>
      </c>
      <c r="B4" s="10" t="s">
        <v>485</v>
      </c>
      <c r="C4" s="4">
        <v>0.067</v>
      </c>
      <c r="D4" s="5">
        <v>43.7</v>
      </c>
      <c r="E4" s="4"/>
      <c r="F4" s="4"/>
      <c r="G4" s="2">
        <f t="shared" ref="G4:G67" si="0">A3</f>
        <v>0.033</v>
      </c>
      <c r="H4" s="11" t="str">
        <f t="shared" ref="H4:H67" si="1">B3</f>
        <v>2.992E-2</v>
      </c>
      <c r="I4" s="2">
        <f>D3</f>
        <v>43.9</v>
      </c>
      <c r="J4" s="4">
        <f t="shared" ref="J4:J67" si="2">G4</f>
        <v>0.033</v>
      </c>
      <c r="K4" s="9">
        <f t="shared" ref="K4:K67" si="3">(H4-$H$4)*10000</f>
        <v>0</v>
      </c>
      <c r="L4" s="1">
        <f t="shared" ref="L4:L67" si="4">IF(I4&lt;230,MIN(K:K),MAX(K:K))</f>
        <v>-4.59999999999999</v>
      </c>
    </row>
    <row r="5" s="1" customFormat="1" spans="1:12">
      <c r="A5" s="2">
        <v>0.1</v>
      </c>
      <c r="B5" s="10" t="s">
        <v>486</v>
      </c>
      <c r="C5" s="4">
        <v>0.1</v>
      </c>
      <c r="D5" s="5">
        <v>44.5</v>
      </c>
      <c r="E5" s="4"/>
      <c r="F5" s="4"/>
      <c r="G5" s="2">
        <f t="shared" si="0"/>
        <v>0.067</v>
      </c>
      <c r="H5" s="11" t="str">
        <f t="shared" si="1"/>
        <v>2.992E-2</v>
      </c>
      <c r="I5" s="2">
        <f t="shared" ref="I5:I68" si="5">D4</f>
        <v>43.7</v>
      </c>
      <c r="J5" s="4">
        <f t="shared" si="2"/>
        <v>0.067</v>
      </c>
      <c r="K5" s="9">
        <f t="shared" si="3"/>
        <v>0</v>
      </c>
      <c r="L5" s="1">
        <f t="shared" si="4"/>
        <v>-4.59999999999999</v>
      </c>
    </row>
    <row r="6" s="1" customFormat="1" spans="1:12">
      <c r="A6" s="2">
        <v>0.134</v>
      </c>
      <c r="B6" s="10" t="s">
        <v>485</v>
      </c>
      <c r="C6" s="4">
        <v>0.134</v>
      </c>
      <c r="D6" s="5">
        <v>44</v>
      </c>
      <c r="E6" s="4"/>
      <c r="F6" s="4"/>
      <c r="G6" s="2">
        <f t="shared" si="0"/>
        <v>0.1</v>
      </c>
      <c r="H6" s="11" t="str">
        <f t="shared" si="1"/>
        <v>2.991E-2</v>
      </c>
      <c r="I6" s="2">
        <f t="shared" si="5"/>
        <v>44.5</v>
      </c>
      <c r="J6" s="4">
        <f t="shared" si="2"/>
        <v>0.1</v>
      </c>
      <c r="K6" s="9">
        <f t="shared" si="3"/>
        <v>-0.0999999999999959</v>
      </c>
      <c r="L6" s="1">
        <f t="shared" si="4"/>
        <v>-4.59999999999999</v>
      </c>
    </row>
    <row r="7" s="1" customFormat="1" spans="1:12">
      <c r="A7" s="2">
        <v>0.167</v>
      </c>
      <c r="B7" s="10" t="s">
        <v>486</v>
      </c>
      <c r="C7" s="4">
        <v>0.167</v>
      </c>
      <c r="D7" s="5">
        <v>44.2</v>
      </c>
      <c r="E7" s="4"/>
      <c r="F7" s="4"/>
      <c r="G7" s="2">
        <f t="shared" si="0"/>
        <v>0.134</v>
      </c>
      <c r="H7" s="11" t="str">
        <f t="shared" si="1"/>
        <v>2.992E-2</v>
      </c>
      <c r="I7" s="2">
        <f t="shared" si="5"/>
        <v>44</v>
      </c>
      <c r="J7" s="4">
        <f t="shared" si="2"/>
        <v>0.134</v>
      </c>
      <c r="K7" s="9">
        <f t="shared" si="3"/>
        <v>0</v>
      </c>
      <c r="L7" s="1">
        <f t="shared" si="4"/>
        <v>-4.59999999999999</v>
      </c>
    </row>
    <row r="8" s="1" customFormat="1" spans="1:12">
      <c r="A8" s="2">
        <v>0.201</v>
      </c>
      <c r="B8" s="10" t="s">
        <v>485</v>
      </c>
      <c r="C8" s="4">
        <v>0.201</v>
      </c>
      <c r="D8" s="5">
        <v>44.3</v>
      </c>
      <c r="E8" s="4"/>
      <c r="F8" s="4"/>
      <c r="G8" s="2">
        <f t="shared" si="0"/>
        <v>0.167</v>
      </c>
      <c r="H8" s="11" t="str">
        <f t="shared" si="1"/>
        <v>2.991E-2</v>
      </c>
      <c r="I8" s="2">
        <f t="shared" si="5"/>
        <v>44.2</v>
      </c>
      <c r="J8" s="4">
        <f t="shared" si="2"/>
        <v>0.167</v>
      </c>
      <c r="K8" s="9">
        <f t="shared" si="3"/>
        <v>-0.0999999999999959</v>
      </c>
      <c r="L8" s="1">
        <f t="shared" si="4"/>
        <v>-4.59999999999999</v>
      </c>
    </row>
    <row r="9" s="1" customFormat="1" spans="1:12">
      <c r="A9" s="2">
        <v>0.234</v>
      </c>
      <c r="B9" s="10" t="s">
        <v>486</v>
      </c>
      <c r="C9" s="4">
        <v>0.234</v>
      </c>
      <c r="D9" s="5">
        <v>43.6</v>
      </c>
      <c r="E9" s="4"/>
      <c r="F9" s="4"/>
      <c r="G9" s="2">
        <f t="shared" si="0"/>
        <v>0.201</v>
      </c>
      <c r="H9" s="11" t="str">
        <f t="shared" si="1"/>
        <v>2.992E-2</v>
      </c>
      <c r="I9" s="2">
        <f t="shared" si="5"/>
        <v>44.3</v>
      </c>
      <c r="J9" s="4">
        <f t="shared" si="2"/>
        <v>0.201</v>
      </c>
      <c r="K9" s="9">
        <f t="shared" si="3"/>
        <v>0</v>
      </c>
      <c r="L9" s="1">
        <f t="shared" si="4"/>
        <v>-4.59999999999999</v>
      </c>
    </row>
    <row r="10" s="1" customFormat="1" spans="1:12">
      <c r="A10" s="2">
        <v>0.267</v>
      </c>
      <c r="B10" s="10" t="s">
        <v>485</v>
      </c>
      <c r="C10" s="4">
        <v>0.267</v>
      </c>
      <c r="D10" s="5">
        <v>43.7</v>
      </c>
      <c r="E10" s="4"/>
      <c r="F10" s="4"/>
      <c r="G10" s="2">
        <f t="shared" si="0"/>
        <v>0.234</v>
      </c>
      <c r="H10" s="11" t="str">
        <f t="shared" si="1"/>
        <v>2.991E-2</v>
      </c>
      <c r="I10" s="2">
        <f t="shared" si="5"/>
        <v>43.6</v>
      </c>
      <c r="J10" s="4">
        <f t="shared" si="2"/>
        <v>0.234</v>
      </c>
      <c r="K10" s="9">
        <f t="shared" si="3"/>
        <v>-0.0999999999999959</v>
      </c>
      <c r="L10" s="1">
        <f t="shared" si="4"/>
        <v>-4.59999999999999</v>
      </c>
    </row>
    <row r="11" s="1" customFormat="1" spans="1:12">
      <c r="A11" s="2">
        <v>0.301</v>
      </c>
      <c r="B11" s="10" t="s">
        <v>485</v>
      </c>
      <c r="C11" s="4">
        <v>0.301</v>
      </c>
      <c r="D11" s="5">
        <v>44.6</v>
      </c>
      <c r="E11" s="4"/>
      <c r="F11" s="4"/>
      <c r="G11" s="2">
        <f t="shared" si="0"/>
        <v>0.267</v>
      </c>
      <c r="H11" s="11" t="str">
        <f t="shared" si="1"/>
        <v>2.992E-2</v>
      </c>
      <c r="I11" s="2">
        <f t="shared" si="5"/>
        <v>43.7</v>
      </c>
      <c r="J11" s="4">
        <f t="shared" si="2"/>
        <v>0.267</v>
      </c>
      <c r="K11" s="9">
        <f t="shared" si="3"/>
        <v>0</v>
      </c>
      <c r="L11" s="1">
        <f t="shared" si="4"/>
        <v>-4.59999999999999</v>
      </c>
    </row>
    <row r="12" s="1" customFormat="1" spans="1:12">
      <c r="A12" s="2">
        <v>0.334</v>
      </c>
      <c r="B12" s="10" t="s">
        <v>485</v>
      </c>
      <c r="C12" s="4">
        <v>0.334</v>
      </c>
      <c r="D12" s="5">
        <v>44.7</v>
      </c>
      <c r="E12" s="4"/>
      <c r="F12" s="4"/>
      <c r="G12" s="2">
        <f t="shared" si="0"/>
        <v>0.301</v>
      </c>
      <c r="H12" s="11" t="str">
        <f t="shared" si="1"/>
        <v>2.992E-2</v>
      </c>
      <c r="I12" s="2">
        <f t="shared" si="5"/>
        <v>44.6</v>
      </c>
      <c r="J12" s="4">
        <f t="shared" si="2"/>
        <v>0.301</v>
      </c>
      <c r="K12" s="9">
        <f t="shared" si="3"/>
        <v>0</v>
      </c>
      <c r="L12" s="1">
        <f t="shared" si="4"/>
        <v>-4.59999999999999</v>
      </c>
    </row>
    <row r="13" s="1" customFormat="1" spans="1:12">
      <c r="A13" s="2">
        <v>0.368</v>
      </c>
      <c r="B13" s="10" t="s">
        <v>485</v>
      </c>
      <c r="C13" s="4">
        <v>0.368</v>
      </c>
      <c r="D13" s="5">
        <v>44.8</v>
      </c>
      <c r="E13" s="4"/>
      <c r="F13" s="4"/>
      <c r="G13" s="2">
        <f t="shared" si="0"/>
        <v>0.334</v>
      </c>
      <c r="H13" s="11" t="str">
        <f t="shared" si="1"/>
        <v>2.992E-2</v>
      </c>
      <c r="I13" s="2">
        <f t="shared" si="5"/>
        <v>44.7</v>
      </c>
      <c r="J13" s="4">
        <f t="shared" si="2"/>
        <v>0.334</v>
      </c>
      <c r="K13" s="9">
        <f t="shared" si="3"/>
        <v>0</v>
      </c>
      <c r="L13" s="1">
        <f t="shared" si="4"/>
        <v>-4.59999999999999</v>
      </c>
    </row>
    <row r="14" s="1" customFormat="1" spans="1:12">
      <c r="A14" s="2">
        <v>0.401</v>
      </c>
      <c r="B14" s="10" t="s">
        <v>485</v>
      </c>
      <c r="C14" s="4">
        <v>0.401</v>
      </c>
      <c r="D14" s="5">
        <v>43.8</v>
      </c>
      <c r="E14" s="4"/>
      <c r="F14" s="4"/>
      <c r="G14" s="2">
        <f t="shared" si="0"/>
        <v>0.368</v>
      </c>
      <c r="H14" s="11" t="str">
        <f t="shared" si="1"/>
        <v>2.992E-2</v>
      </c>
      <c r="I14" s="2">
        <f t="shared" si="5"/>
        <v>44.8</v>
      </c>
      <c r="J14" s="4">
        <f t="shared" si="2"/>
        <v>0.368</v>
      </c>
      <c r="K14" s="9">
        <f t="shared" si="3"/>
        <v>0</v>
      </c>
      <c r="L14" s="1">
        <f t="shared" si="4"/>
        <v>-4.59999999999999</v>
      </c>
    </row>
    <row r="15" s="1" customFormat="1" spans="1:12">
      <c r="A15" s="2">
        <v>0.435</v>
      </c>
      <c r="B15" s="10" t="s">
        <v>485</v>
      </c>
      <c r="C15" s="4">
        <v>0.435</v>
      </c>
      <c r="D15" s="5">
        <v>44</v>
      </c>
      <c r="E15" s="4"/>
      <c r="F15" s="4"/>
      <c r="G15" s="2">
        <f t="shared" si="0"/>
        <v>0.401</v>
      </c>
      <c r="H15" s="11" t="str">
        <f t="shared" si="1"/>
        <v>2.992E-2</v>
      </c>
      <c r="I15" s="2">
        <f t="shared" si="5"/>
        <v>43.8</v>
      </c>
      <c r="J15" s="4">
        <f t="shared" si="2"/>
        <v>0.401</v>
      </c>
      <c r="K15" s="9">
        <f t="shared" si="3"/>
        <v>0</v>
      </c>
      <c r="L15" s="1">
        <f t="shared" si="4"/>
        <v>-4.59999999999999</v>
      </c>
    </row>
    <row r="16" s="1" customFormat="1" spans="1:12">
      <c r="A16" s="2">
        <v>0.468</v>
      </c>
      <c r="B16" s="10" t="s">
        <v>485</v>
      </c>
      <c r="C16" s="4">
        <v>0.468</v>
      </c>
      <c r="D16" s="5">
        <v>44.3</v>
      </c>
      <c r="E16" s="4"/>
      <c r="F16" s="4"/>
      <c r="G16" s="2">
        <f t="shared" si="0"/>
        <v>0.435</v>
      </c>
      <c r="H16" s="11" t="str">
        <f t="shared" si="1"/>
        <v>2.992E-2</v>
      </c>
      <c r="I16" s="2">
        <f t="shared" si="5"/>
        <v>44</v>
      </c>
      <c r="J16" s="4">
        <f t="shared" si="2"/>
        <v>0.435</v>
      </c>
      <c r="K16" s="9">
        <f t="shared" si="3"/>
        <v>0</v>
      </c>
      <c r="L16" s="1">
        <f t="shared" si="4"/>
        <v>-4.59999999999999</v>
      </c>
    </row>
    <row r="17" s="1" customFormat="1" spans="1:12">
      <c r="A17" s="2">
        <v>0.501</v>
      </c>
      <c r="B17" s="10" t="s">
        <v>485</v>
      </c>
      <c r="C17" s="4">
        <v>0.501</v>
      </c>
      <c r="D17" s="5">
        <v>44.2</v>
      </c>
      <c r="E17" s="4"/>
      <c r="F17" s="4"/>
      <c r="G17" s="2">
        <f t="shared" si="0"/>
        <v>0.468</v>
      </c>
      <c r="H17" s="11" t="str">
        <f t="shared" si="1"/>
        <v>2.992E-2</v>
      </c>
      <c r="I17" s="2">
        <f t="shared" si="5"/>
        <v>44.3</v>
      </c>
      <c r="J17" s="4">
        <f t="shared" si="2"/>
        <v>0.468</v>
      </c>
      <c r="K17" s="9">
        <f t="shared" si="3"/>
        <v>0</v>
      </c>
      <c r="L17" s="1">
        <f t="shared" si="4"/>
        <v>-4.59999999999999</v>
      </c>
    </row>
    <row r="18" s="1" customFormat="1" spans="1:12">
      <c r="A18" s="2">
        <v>0.535</v>
      </c>
      <c r="B18" s="10" t="s">
        <v>485</v>
      </c>
      <c r="C18" s="4">
        <v>0.535</v>
      </c>
      <c r="D18" s="5">
        <v>44.3</v>
      </c>
      <c r="E18" s="4"/>
      <c r="F18" s="4"/>
      <c r="G18" s="2">
        <f t="shared" si="0"/>
        <v>0.501</v>
      </c>
      <c r="H18" s="11" t="str">
        <f t="shared" si="1"/>
        <v>2.992E-2</v>
      </c>
      <c r="I18" s="2">
        <f t="shared" si="5"/>
        <v>44.2</v>
      </c>
      <c r="J18" s="4">
        <f t="shared" si="2"/>
        <v>0.501</v>
      </c>
      <c r="K18" s="9">
        <f t="shared" si="3"/>
        <v>0</v>
      </c>
      <c r="L18" s="1">
        <f t="shared" si="4"/>
        <v>-4.59999999999999</v>
      </c>
    </row>
    <row r="19" s="1" customFormat="1" spans="1:12">
      <c r="A19" s="2">
        <v>0.568</v>
      </c>
      <c r="B19" s="10" t="s">
        <v>485</v>
      </c>
      <c r="C19" s="4">
        <v>0.568</v>
      </c>
      <c r="D19" s="5">
        <v>44</v>
      </c>
      <c r="E19" s="4"/>
      <c r="F19" s="4"/>
      <c r="G19" s="2">
        <f t="shared" si="0"/>
        <v>0.535</v>
      </c>
      <c r="H19" s="11" t="str">
        <f t="shared" si="1"/>
        <v>2.992E-2</v>
      </c>
      <c r="I19" s="2">
        <f t="shared" si="5"/>
        <v>44.3</v>
      </c>
      <c r="J19" s="4">
        <f t="shared" si="2"/>
        <v>0.535</v>
      </c>
      <c r="K19" s="9">
        <f t="shared" si="3"/>
        <v>0</v>
      </c>
      <c r="L19" s="1">
        <f t="shared" si="4"/>
        <v>-4.59999999999999</v>
      </c>
    </row>
    <row r="20" s="1" customFormat="1" spans="1:12">
      <c r="A20" s="2">
        <v>0.602</v>
      </c>
      <c r="B20" s="10" t="s">
        <v>485</v>
      </c>
      <c r="C20" s="4">
        <v>0.602</v>
      </c>
      <c r="D20" s="5">
        <v>44.1</v>
      </c>
      <c r="E20" s="4"/>
      <c r="F20" s="4"/>
      <c r="G20" s="2">
        <f t="shared" si="0"/>
        <v>0.568</v>
      </c>
      <c r="H20" s="11" t="str">
        <f t="shared" si="1"/>
        <v>2.992E-2</v>
      </c>
      <c r="I20" s="2">
        <f t="shared" si="5"/>
        <v>44</v>
      </c>
      <c r="J20" s="4">
        <f t="shared" si="2"/>
        <v>0.568</v>
      </c>
      <c r="K20" s="9">
        <f t="shared" si="3"/>
        <v>0</v>
      </c>
      <c r="L20" s="1">
        <f t="shared" si="4"/>
        <v>-4.59999999999999</v>
      </c>
    </row>
    <row r="21" s="1" customFormat="1" spans="1:12">
      <c r="A21" s="2">
        <v>0.635</v>
      </c>
      <c r="B21" s="10" t="s">
        <v>485</v>
      </c>
      <c r="C21" s="4">
        <v>0.635</v>
      </c>
      <c r="D21" s="5">
        <v>44.4</v>
      </c>
      <c r="E21" s="4"/>
      <c r="F21" s="4"/>
      <c r="G21" s="2">
        <f t="shared" si="0"/>
        <v>0.602</v>
      </c>
      <c r="H21" s="11" t="str">
        <f t="shared" si="1"/>
        <v>2.992E-2</v>
      </c>
      <c r="I21" s="2">
        <f t="shared" si="5"/>
        <v>44.1</v>
      </c>
      <c r="J21" s="4">
        <f t="shared" si="2"/>
        <v>0.602</v>
      </c>
      <c r="K21" s="9">
        <f t="shared" si="3"/>
        <v>0</v>
      </c>
      <c r="L21" s="1">
        <f t="shared" si="4"/>
        <v>-4.59999999999999</v>
      </c>
    </row>
    <row r="22" s="1" customFormat="1" spans="1:12">
      <c r="A22" s="2">
        <v>0.669</v>
      </c>
      <c r="B22" s="10" t="s">
        <v>485</v>
      </c>
      <c r="C22" s="4">
        <v>0.669</v>
      </c>
      <c r="D22" s="5">
        <v>44.5</v>
      </c>
      <c r="E22" s="4"/>
      <c r="F22" s="4"/>
      <c r="G22" s="2">
        <f t="shared" si="0"/>
        <v>0.635</v>
      </c>
      <c r="H22" s="11" t="str">
        <f t="shared" si="1"/>
        <v>2.992E-2</v>
      </c>
      <c r="I22" s="2">
        <f t="shared" si="5"/>
        <v>44.4</v>
      </c>
      <c r="J22" s="4">
        <f t="shared" si="2"/>
        <v>0.635</v>
      </c>
      <c r="K22" s="9">
        <f t="shared" si="3"/>
        <v>0</v>
      </c>
      <c r="L22" s="1">
        <f t="shared" si="4"/>
        <v>-4.59999999999999</v>
      </c>
    </row>
    <row r="23" s="1" customFormat="1" spans="1:12">
      <c r="A23" s="2">
        <v>0.702</v>
      </c>
      <c r="B23" s="10" t="s">
        <v>485</v>
      </c>
      <c r="C23" s="4">
        <v>0.702</v>
      </c>
      <c r="D23" s="5">
        <v>44.3</v>
      </c>
      <c r="E23" s="4"/>
      <c r="F23" s="4"/>
      <c r="G23" s="2">
        <f t="shared" si="0"/>
        <v>0.669</v>
      </c>
      <c r="H23" s="11" t="str">
        <f t="shared" si="1"/>
        <v>2.992E-2</v>
      </c>
      <c r="I23" s="2">
        <f t="shared" si="5"/>
        <v>44.5</v>
      </c>
      <c r="J23" s="4">
        <f t="shared" si="2"/>
        <v>0.669</v>
      </c>
      <c r="K23" s="9">
        <f t="shared" si="3"/>
        <v>0</v>
      </c>
      <c r="L23" s="1">
        <f t="shared" si="4"/>
        <v>-4.59999999999999</v>
      </c>
    </row>
    <row r="24" s="1" customFormat="1" spans="1:12">
      <c r="A24" s="2">
        <v>0.735</v>
      </c>
      <c r="B24" s="10" t="s">
        <v>485</v>
      </c>
      <c r="C24" s="4">
        <v>0.735</v>
      </c>
      <c r="D24" s="5">
        <v>45.1</v>
      </c>
      <c r="E24" s="4"/>
      <c r="F24" s="4"/>
      <c r="G24" s="2">
        <f t="shared" si="0"/>
        <v>0.702</v>
      </c>
      <c r="H24" s="11" t="str">
        <f t="shared" si="1"/>
        <v>2.992E-2</v>
      </c>
      <c r="I24" s="2">
        <f t="shared" si="5"/>
        <v>44.3</v>
      </c>
      <c r="J24" s="4">
        <f t="shared" si="2"/>
        <v>0.702</v>
      </c>
      <c r="K24" s="9">
        <f t="shared" si="3"/>
        <v>0</v>
      </c>
      <c r="L24" s="1">
        <f t="shared" si="4"/>
        <v>-4.59999999999999</v>
      </c>
    </row>
    <row r="25" s="1" customFormat="1" spans="1:12">
      <c r="A25" s="2">
        <v>0.769</v>
      </c>
      <c r="B25" s="10" t="s">
        <v>485</v>
      </c>
      <c r="C25" s="4">
        <v>0.769</v>
      </c>
      <c r="D25" s="5">
        <v>44.6</v>
      </c>
      <c r="E25" s="4"/>
      <c r="F25" s="4"/>
      <c r="G25" s="2">
        <f t="shared" si="0"/>
        <v>0.735</v>
      </c>
      <c r="H25" s="11" t="str">
        <f t="shared" si="1"/>
        <v>2.992E-2</v>
      </c>
      <c r="I25" s="2">
        <f t="shared" si="5"/>
        <v>45.1</v>
      </c>
      <c r="J25" s="4">
        <f t="shared" si="2"/>
        <v>0.735</v>
      </c>
      <c r="K25" s="9">
        <f t="shared" si="3"/>
        <v>0</v>
      </c>
      <c r="L25" s="1">
        <f t="shared" si="4"/>
        <v>-4.59999999999999</v>
      </c>
    </row>
    <row r="26" s="1" customFormat="1" spans="1:12">
      <c r="A26" s="2">
        <v>0.802</v>
      </c>
      <c r="B26" s="10" t="s">
        <v>485</v>
      </c>
      <c r="C26" s="4">
        <v>0.802</v>
      </c>
      <c r="D26" s="5">
        <v>44.6</v>
      </c>
      <c r="E26" s="4"/>
      <c r="F26" s="4"/>
      <c r="G26" s="2">
        <f t="shared" si="0"/>
        <v>0.769</v>
      </c>
      <c r="H26" s="11" t="str">
        <f t="shared" si="1"/>
        <v>2.992E-2</v>
      </c>
      <c r="I26" s="2">
        <f t="shared" si="5"/>
        <v>44.6</v>
      </c>
      <c r="J26" s="4">
        <f t="shared" si="2"/>
        <v>0.769</v>
      </c>
      <c r="K26" s="9">
        <f t="shared" si="3"/>
        <v>0</v>
      </c>
      <c r="L26" s="1">
        <f t="shared" si="4"/>
        <v>-4.59999999999999</v>
      </c>
    </row>
    <row r="27" s="1" customFormat="1" spans="1:12">
      <c r="A27" s="2">
        <v>0.836</v>
      </c>
      <c r="B27" s="10" t="s">
        <v>486</v>
      </c>
      <c r="C27" s="4">
        <v>0.836</v>
      </c>
      <c r="D27" s="5">
        <v>44.2</v>
      </c>
      <c r="E27" s="4"/>
      <c r="F27" s="4"/>
      <c r="G27" s="2">
        <f t="shared" si="0"/>
        <v>0.802</v>
      </c>
      <c r="H27" s="11" t="str">
        <f t="shared" si="1"/>
        <v>2.992E-2</v>
      </c>
      <c r="I27" s="2">
        <f t="shared" si="5"/>
        <v>44.6</v>
      </c>
      <c r="J27" s="4">
        <f t="shared" si="2"/>
        <v>0.802</v>
      </c>
      <c r="K27" s="9">
        <f t="shared" si="3"/>
        <v>0</v>
      </c>
      <c r="L27" s="1">
        <f t="shared" si="4"/>
        <v>-4.59999999999999</v>
      </c>
    </row>
    <row r="28" s="1" customFormat="1" spans="1:12">
      <c r="A28" s="2">
        <v>0.869</v>
      </c>
      <c r="B28" s="10" t="s">
        <v>485</v>
      </c>
      <c r="C28" s="4">
        <v>0.869</v>
      </c>
      <c r="D28" s="5">
        <v>44.1</v>
      </c>
      <c r="E28" s="4"/>
      <c r="F28" s="4"/>
      <c r="G28" s="2">
        <f t="shared" si="0"/>
        <v>0.836</v>
      </c>
      <c r="H28" s="11" t="str">
        <f t="shared" si="1"/>
        <v>2.991E-2</v>
      </c>
      <c r="I28" s="2">
        <f t="shared" si="5"/>
        <v>44.2</v>
      </c>
      <c r="J28" s="4">
        <f t="shared" si="2"/>
        <v>0.836</v>
      </c>
      <c r="K28" s="9">
        <f t="shared" si="3"/>
        <v>-0.0999999999999959</v>
      </c>
      <c r="L28" s="1">
        <f t="shared" si="4"/>
        <v>-4.59999999999999</v>
      </c>
    </row>
    <row r="29" s="1" customFormat="1" spans="1:12">
      <c r="A29" s="2">
        <v>0.903</v>
      </c>
      <c r="B29" s="10" t="s">
        <v>485</v>
      </c>
      <c r="C29" s="4">
        <v>0.903</v>
      </c>
      <c r="D29" s="5">
        <v>44.1</v>
      </c>
      <c r="E29" s="4"/>
      <c r="F29" s="4"/>
      <c r="G29" s="2">
        <f t="shared" si="0"/>
        <v>0.869</v>
      </c>
      <c r="H29" s="11" t="str">
        <f t="shared" si="1"/>
        <v>2.992E-2</v>
      </c>
      <c r="I29" s="2">
        <f t="shared" si="5"/>
        <v>44.1</v>
      </c>
      <c r="J29" s="4">
        <f t="shared" si="2"/>
        <v>0.869</v>
      </c>
      <c r="K29" s="9">
        <f t="shared" si="3"/>
        <v>0</v>
      </c>
      <c r="L29" s="1">
        <f t="shared" si="4"/>
        <v>-4.59999999999999</v>
      </c>
    </row>
    <row r="30" s="1" customFormat="1" spans="1:12">
      <c r="A30" s="2">
        <v>0.936</v>
      </c>
      <c r="B30" s="10" t="s">
        <v>485</v>
      </c>
      <c r="C30" s="4">
        <v>0.936</v>
      </c>
      <c r="D30" s="5">
        <v>44</v>
      </c>
      <c r="E30" s="4"/>
      <c r="F30" s="4"/>
      <c r="G30" s="2">
        <f t="shared" si="0"/>
        <v>0.903</v>
      </c>
      <c r="H30" s="11" t="str">
        <f t="shared" si="1"/>
        <v>2.992E-2</v>
      </c>
      <c r="I30" s="2">
        <f t="shared" si="5"/>
        <v>44.1</v>
      </c>
      <c r="J30" s="4">
        <f t="shared" si="2"/>
        <v>0.903</v>
      </c>
      <c r="K30" s="9">
        <f t="shared" si="3"/>
        <v>0</v>
      </c>
      <c r="L30" s="1">
        <f t="shared" si="4"/>
        <v>-4.59999999999999</v>
      </c>
    </row>
    <row r="31" s="1" customFormat="1" spans="1:12">
      <c r="A31" s="2">
        <v>0.969</v>
      </c>
      <c r="B31" s="10" t="s">
        <v>485</v>
      </c>
      <c r="C31" s="4">
        <v>0.969</v>
      </c>
      <c r="D31" s="5">
        <v>44.2</v>
      </c>
      <c r="E31" s="4"/>
      <c r="F31" s="4"/>
      <c r="G31" s="2">
        <f t="shared" si="0"/>
        <v>0.936</v>
      </c>
      <c r="H31" s="11" t="str">
        <f t="shared" si="1"/>
        <v>2.992E-2</v>
      </c>
      <c r="I31" s="2">
        <f t="shared" si="5"/>
        <v>44</v>
      </c>
      <c r="J31" s="4">
        <f t="shared" si="2"/>
        <v>0.936</v>
      </c>
      <c r="K31" s="9">
        <f t="shared" si="3"/>
        <v>0</v>
      </c>
      <c r="L31" s="1">
        <f t="shared" si="4"/>
        <v>-4.59999999999999</v>
      </c>
    </row>
    <row r="32" s="1" customFormat="1" spans="1:12">
      <c r="A32" s="2">
        <v>1.003</v>
      </c>
      <c r="B32" s="10" t="s">
        <v>485</v>
      </c>
      <c r="C32" s="4">
        <v>1.003</v>
      </c>
      <c r="D32" s="5">
        <v>44.5</v>
      </c>
      <c r="E32" s="4"/>
      <c r="F32" s="4"/>
      <c r="G32" s="2">
        <f t="shared" si="0"/>
        <v>0.969</v>
      </c>
      <c r="H32" s="11" t="str">
        <f t="shared" si="1"/>
        <v>2.992E-2</v>
      </c>
      <c r="I32" s="2">
        <f t="shared" si="5"/>
        <v>44.2</v>
      </c>
      <c r="J32" s="4">
        <f t="shared" si="2"/>
        <v>0.969</v>
      </c>
      <c r="K32" s="9">
        <f t="shared" si="3"/>
        <v>0</v>
      </c>
      <c r="L32" s="1">
        <f t="shared" si="4"/>
        <v>-4.59999999999999</v>
      </c>
    </row>
    <row r="33" s="1" customFormat="1" spans="1:12">
      <c r="A33" s="2">
        <v>1.036</v>
      </c>
      <c r="B33" s="10" t="s">
        <v>485</v>
      </c>
      <c r="C33" s="4">
        <v>1.036</v>
      </c>
      <c r="D33" s="5">
        <v>44</v>
      </c>
      <c r="E33" s="4"/>
      <c r="F33" s="4"/>
      <c r="G33" s="2">
        <f t="shared" si="0"/>
        <v>1.003</v>
      </c>
      <c r="H33" s="11" t="str">
        <f t="shared" si="1"/>
        <v>2.992E-2</v>
      </c>
      <c r="I33" s="2">
        <f t="shared" si="5"/>
        <v>44.5</v>
      </c>
      <c r="J33" s="4">
        <f t="shared" si="2"/>
        <v>1.003</v>
      </c>
      <c r="K33" s="9">
        <f t="shared" si="3"/>
        <v>0</v>
      </c>
      <c r="L33" s="1">
        <f t="shared" si="4"/>
        <v>-4.59999999999999</v>
      </c>
    </row>
    <row r="34" s="1" customFormat="1" spans="1:12">
      <c r="A34" s="2">
        <v>1.07</v>
      </c>
      <c r="B34" s="10" t="s">
        <v>485</v>
      </c>
      <c r="C34" s="4">
        <v>1.07</v>
      </c>
      <c r="D34" s="5">
        <v>44.8</v>
      </c>
      <c r="E34" s="4"/>
      <c r="F34" s="4"/>
      <c r="G34" s="2">
        <f t="shared" si="0"/>
        <v>1.036</v>
      </c>
      <c r="H34" s="11" t="str">
        <f t="shared" si="1"/>
        <v>2.992E-2</v>
      </c>
      <c r="I34" s="2">
        <f t="shared" si="5"/>
        <v>44</v>
      </c>
      <c r="J34" s="4">
        <f t="shared" si="2"/>
        <v>1.036</v>
      </c>
      <c r="K34" s="9">
        <f t="shared" si="3"/>
        <v>0</v>
      </c>
      <c r="L34" s="1">
        <f t="shared" si="4"/>
        <v>-4.59999999999999</v>
      </c>
    </row>
    <row r="35" s="1" customFormat="1" spans="1:12">
      <c r="A35" s="2">
        <v>1.103</v>
      </c>
      <c r="B35" s="10" t="s">
        <v>485</v>
      </c>
      <c r="C35" s="4">
        <v>1.103</v>
      </c>
      <c r="D35" s="5">
        <v>44.2</v>
      </c>
      <c r="E35" s="4"/>
      <c r="F35" s="4"/>
      <c r="G35" s="2">
        <f t="shared" si="0"/>
        <v>1.07</v>
      </c>
      <c r="H35" s="11" t="str">
        <f t="shared" si="1"/>
        <v>2.992E-2</v>
      </c>
      <c r="I35" s="2">
        <f t="shared" si="5"/>
        <v>44.8</v>
      </c>
      <c r="J35" s="4">
        <f t="shared" si="2"/>
        <v>1.07</v>
      </c>
      <c r="K35" s="9">
        <f t="shared" si="3"/>
        <v>0</v>
      </c>
      <c r="L35" s="1">
        <f t="shared" si="4"/>
        <v>-4.59999999999999</v>
      </c>
    </row>
    <row r="36" s="1" customFormat="1" spans="1:12">
      <c r="A36" s="2">
        <v>1.137</v>
      </c>
      <c r="B36" s="10" t="s">
        <v>485</v>
      </c>
      <c r="C36" s="4">
        <v>1.137</v>
      </c>
      <c r="D36" s="5">
        <v>44.4</v>
      </c>
      <c r="E36" s="4"/>
      <c r="F36" s="4"/>
      <c r="G36" s="2">
        <f t="shared" si="0"/>
        <v>1.103</v>
      </c>
      <c r="H36" s="11" t="str">
        <f t="shared" si="1"/>
        <v>2.992E-2</v>
      </c>
      <c r="I36" s="2">
        <f t="shared" si="5"/>
        <v>44.2</v>
      </c>
      <c r="J36" s="4">
        <f t="shared" si="2"/>
        <v>1.103</v>
      </c>
      <c r="K36" s="9">
        <f t="shared" si="3"/>
        <v>0</v>
      </c>
      <c r="L36" s="1">
        <f t="shared" si="4"/>
        <v>-4.59999999999999</v>
      </c>
    </row>
    <row r="37" s="1" customFormat="1" spans="1:12">
      <c r="A37" s="2">
        <v>1.17</v>
      </c>
      <c r="B37" s="10" t="s">
        <v>486</v>
      </c>
      <c r="C37" s="4">
        <v>1.17</v>
      </c>
      <c r="D37" s="5">
        <v>43.9</v>
      </c>
      <c r="E37" s="4"/>
      <c r="F37" s="4"/>
      <c r="G37" s="2">
        <f t="shared" si="0"/>
        <v>1.137</v>
      </c>
      <c r="H37" s="11" t="str">
        <f t="shared" si="1"/>
        <v>2.992E-2</v>
      </c>
      <c r="I37" s="2">
        <f t="shared" si="5"/>
        <v>44.4</v>
      </c>
      <c r="J37" s="4">
        <f t="shared" si="2"/>
        <v>1.137</v>
      </c>
      <c r="K37" s="9">
        <f t="shared" si="3"/>
        <v>0</v>
      </c>
      <c r="L37" s="1">
        <f t="shared" si="4"/>
        <v>-4.59999999999999</v>
      </c>
    </row>
    <row r="38" s="1" customFormat="1" spans="1:12">
      <c r="A38" s="2">
        <v>1.204</v>
      </c>
      <c r="B38" s="10" t="s">
        <v>487</v>
      </c>
      <c r="C38" s="4">
        <v>1.204</v>
      </c>
      <c r="D38" s="5">
        <v>43.8</v>
      </c>
      <c r="E38" s="4"/>
      <c r="F38" s="4"/>
      <c r="G38" s="2">
        <f t="shared" si="0"/>
        <v>1.17</v>
      </c>
      <c r="H38" s="11" t="str">
        <f t="shared" si="1"/>
        <v>2.991E-2</v>
      </c>
      <c r="I38" s="2">
        <f t="shared" si="5"/>
        <v>43.9</v>
      </c>
      <c r="J38" s="4">
        <f t="shared" si="2"/>
        <v>1.17</v>
      </c>
      <c r="K38" s="9">
        <f t="shared" si="3"/>
        <v>-0.0999999999999959</v>
      </c>
      <c r="L38" s="1">
        <f t="shared" si="4"/>
        <v>-4.59999999999999</v>
      </c>
    </row>
    <row r="39" s="1" customFormat="1" spans="1:12">
      <c r="A39" s="2">
        <v>1.237</v>
      </c>
      <c r="B39" s="10" t="s">
        <v>485</v>
      </c>
      <c r="C39" s="4">
        <v>1.237</v>
      </c>
      <c r="D39" s="5">
        <v>44.7</v>
      </c>
      <c r="E39" s="4"/>
      <c r="F39" s="4"/>
      <c r="G39" s="2">
        <f t="shared" si="0"/>
        <v>1.204</v>
      </c>
      <c r="H39" s="11" t="str">
        <f t="shared" si="1"/>
        <v>2.993E-2</v>
      </c>
      <c r="I39" s="2">
        <f t="shared" si="5"/>
        <v>43.8</v>
      </c>
      <c r="J39" s="4">
        <f t="shared" si="2"/>
        <v>1.204</v>
      </c>
      <c r="K39" s="9">
        <f t="shared" si="3"/>
        <v>0.0999999999999959</v>
      </c>
      <c r="L39" s="1">
        <f t="shared" si="4"/>
        <v>-4.59999999999999</v>
      </c>
    </row>
    <row r="40" s="1" customFormat="1" spans="1:12">
      <c r="A40" s="2">
        <v>1.27</v>
      </c>
      <c r="B40" s="10" t="s">
        <v>485</v>
      </c>
      <c r="C40" s="4">
        <v>1.27</v>
      </c>
      <c r="D40" s="5">
        <v>44.1</v>
      </c>
      <c r="E40" s="4"/>
      <c r="F40" s="4"/>
      <c r="G40" s="2">
        <f t="shared" si="0"/>
        <v>1.237</v>
      </c>
      <c r="H40" s="11" t="str">
        <f t="shared" si="1"/>
        <v>2.992E-2</v>
      </c>
      <c r="I40" s="2">
        <f t="shared" si="5"/>
        <v>44.7</v>
      </c>
      <c r="J40" s="4">
        <f t="shared" si="2"/>
        <v>1.237</v>
      </c>
      <c r="K40" s="9">
        <f t="shared" si="3"/>
        <v>0</v>
      </c>
      <c r="L40" s="1">
        <f t="shared" si="4"/>
        <v>-4.59999999999999</v>
      </c>
    </row>
    <row r="41" s="1" customFormat="1" spans="1:12">
      <c r="A41" s="2">
        <v>1.304</v>
      </c>
      <c r="B41" s="10" t="s">
        <v>485</v>
      </c>
      <c r="C41" s="4">
        <v>1.304</v>
      </c>
      <c r="D41" s="5">
        <v>44.3</v>
      </c>
      <c r="E41" s="4"/>
      <c r="F41" s="4"/>
      <c r="G41" s="2">
        <f t="shared" si="0"/>
        <v>1.27</v>
      </c>
      <c r="H41" s="11" t="str">
        <f t="shared" si="1"/>
        <v>2.992E-2</v>
      </c>
      <c r="I41" s="2">
        <f t="shared" si="5"/>
        <v>44.1</v>
      </c>
      <c r="J41" s="4">
        <f t="shared" si="2"/>
        <v>1.27</v>
      </c>
      <c r="K41" s="9">
        <f t="shared" si="3"/>
        <v>0</v>
      </c>
      <c r="L41" s="1">
        <f t="shared" si="4"/>
        <v>-4.59999999999999</v>
      </c>
    </row>
    <row r="42" s="1" customFormat="1" spans="1:12">
      <c r="A42" s="2">
        <v>1.337</v>
      </c>
      <c r="B42" s="10" t="s">
        <v>485</v>
      </c>
      <c r="C42" s="4">
        <v>1.337</v>
      </c>
      <c r="D42" s="5">
        <v>44</v>
      </c>
      <c r="E42" s="4"/>
      <c r="F42" s="4"/>
      <c r="G42" s="2">
        <f t="shared" si="0"/>
        <v>1.304</v>
      </c>
      <c r="H42" s="11" t="str">
        <f t="shared" si="1"/>
        <v>2.992E-2</v>
      </c>
      <c r="I42" s="2">
        <f t="shared" si="5"/>
        <v>44.3</v>
      </c>
      <c r="J42" s="4">
        <f t="shared" si="2"/>
        <v>1.304</v>
      </c>
      <c r="K42" s="9">
        <f t="shared" si="3"/>
        <v>0</v>
      </c>
      <c r="L42" s="1">
        <f t="shared" si="4"/>
        <v>-4.59999999999999</v>
      </c>
    </row>
    <row r="43" s="1" customFormat="1" spans="1:12">
      <c r="A43" s="2">
        <v>1.371</v>
      </c>
      <c r="B43" s="10" t="s">
        <v>485</v>
      </c>
      <c r="C43" s="4">
        <v>1.371</v>
      </c>
      <c r="D43" s="5">
        <v>43.4</v>
      </c>
      <c r="E43" s="4"/>
      <c r="F43" s="4"/>
      <c r="G43" s="2">
        <f t="shared" si="0"/>
        <v>1.337</v>
      </c>
      <c r="H43" s="11" t="str">
        <f t="shared" si="1"/>
        <v>2.992E-2</v>
      </c>
      <c r="I43" s="2">
        <f t="shared" si="5"/>
        <v>44</v>
      </c>
      <c r="J43" s="4">
        <f t="shared" si="2"/>
        <v>1.337</v>
      </c>
      <c r="K43" s="9">
        <f t="shared" si="3"/>
        <v>0</v>
      </c>
      <c r="L43" s="1">
        <f t="shared" si="4"/>
        <v>-4.59999999999999</v>
      </c>
    </row>
    <row r="44" s="1" customFormat="1" spans="1:12">
      <c r="A44" s="2">
        <v>1.404</v>
      </c>
      <c r="B44" s="10" t="s">
        <v>487</v>
      </c>
      <c r="C44" s="4">
        <v>1.404</v>
      </c>
      <c r="D44" s="5">
        <v>44.6</v>
      </c>
      <c r="E44" s="4"/>
      <c r="F44" s="4"/>
      <c r="G44" s="2">
        <f t="shared" si="0"/>
        <v>1.371</v>
      </c>
      <c r="H44" s="11" t="str">
        <f t="shared" si="1"/>
        <v>2.992E-2</v>
      </c>
      <c r="I44" s="2">
        <f t="shared" si="5"/>
        <v>43.4</v>
      </c>
      <c r="J44" s="4">
        <f t="shared" si="2"/>
        <v>1.371</v>
      </c>
      <c r="K44" s="9">
        <f t="shared" si="3"/>
        <v>0</v>
      </c>
      <c r="L44" s="1">
        <f t="shared" si="4"/>
        <v>-4.59999999999999</v>
      </c>
    </row>
    <row r="45" s="1" customFormat="1" spans="1:12">
      <c r="A45" s="2">
        <v>1.438</v>
      </c>
      <c r="B45" s="10" t="s">
        <v>485</v>
      </c>
      <c r="C45" s="4">
        <v>1.438</v>
      </c>
      <c r="D45" s="5">
        <v>44.1</v>
      </c>
      <c r="E45" s="4"/>
      <c r="F45" s="4"/>
      <c r="G45" s="2">
        <f t="shared" si="0"/>
        <v>1.404</v>
      </c>
      <c r="H45" s="11" t="str">
        <f t="shared" si="1"/>
        <v>2.993E-2</v>
      </c>
      <c r="I45" s="2">
        <f t="shared" si="5"/>
        <v>44.6</v>
      </c>
      <c r="J45" s="4">
        <f t="shared" si="2"/>
        <v>1.404</v>
      </c>
      <c r="K45" s="9">
        <f t="shared" si="3"/>
        <v>0.0999999999999959</v>
      </c>
      <c r="L45" s="1">
        <f t="shared" si="4"/>
        <v>-4.59999999999999</v>
      </c>
    </row>
    <row r="46" s="1" customFormat="1" spans="1:12">
      <c r="A46" s="2">
        <v>1.471</v>
      </c>
      <c r="B46" s="10" t="s">
        <v>485</v>
      </c>
      <c r="C46" s="4">
        <v>1.471</v>
      </c>
      <c r="D46" s="5">
        <v>44.3</v>
      </c>
      <c r="E46" s="4"/>
      <c r="F46" s="4"/>
      <c r="G46" s="2">
        <f t="shared" si="0"/>
        <v>1.438</v>
      </c>
      <c r="H46" s="11" t="str">
        <f t="shared" si="1"/>
        <v>2.992E-2</v>
      </c>
      <c r="I46" s="2">
        <f t="shared" si="5"/>
        <v>44.1</v>
      </c>
      <c r="J46" s="4">
        <f t="shared" si="2"/>
        <v>1.438</v>
      </c>
      <c r="K46" s="9">
        <f t="shared" si="3"/>
        <v>0</v>
      </c>
      <c r="L46" s="1">
        <f t="shared" si="4"/>
        <v>-4.59999999999999</v>
      </c>
    </row>
    <row r="47" s="1" customFormat="1" spans="1:12">
      <c r="A47" s="2">
        <v>1.504</v>
      </c>
      <c r="B47" s="10" t="s">
        <v>485</v>
      </c>
      <c r="C47" s="4">
        <v>1.504</v>
      </c>
      <c r="D47" s="5">
        <v>44.3</v>
      </c>
      <c r="E47" s="4"/>
      <c r="F47" s="4"/>
      <c r="G47" s="2">
        <f t="shared" si="0"/>
        <v>1.471</v>
      </c>
      <c r="H47" s="11" t="str">
        <f t="shared" si="1"/>
        <v>2.992E-2</v>
      </c>
      <c r="I47" s="2">
        <f t="shared" si="5"/>
        <v>44.3</v>
      </c>
      <c r="J47" s="4">
        <f t="shared" si="2"/>
        <v>1.471</v>
      </c>
      <c r="K47" s="9">
        <f t="shared" si="3"/>
        <v>0</v>
      </c>
      <c r="L47" s="1">
        <f t="shared" si="4"/>
        <v>-4.59999999999999</v>
      </c>
    </row>
    <row r="48" s="1" customFormat="1" spans="1:12">
      <c r="A48" s="2">
        <v>1.538</v>
      </c>
      <c r="B48" s="10" t="s">
        <v>485</v>
      </c>
      <c r="C48" s="4">
        <v>1.538</v>
      </c>
      <c r="D48" s="5">
        <v>44.1</v>
      </c>
      <c r="E48" s="4"/>
      <c r="F48" s="4"/>
      <c r="G48" s="2">
        <f t="shared" si="0"/>
        <v>1.504</v>
      </c>
      <c r="H48" s="11" t="str">
        <f t="shared" si="1"/>
        <v>2.992E-2</v>
      </c>
      <c r="I48" s="2">
        <f t="shared" si="5"/>
        <v>44.3</v>
      </c>
      <c r="J48" s="4">
        <f t="shared" si="2"/>
        <v>1.504</v>
      </c>
      <c r="K48" s="9">
        <f t="shared" si="3"/>
        <v>0</v>
      </c>
      <c r="L48" s="1">
        <f t="shared" si="4"/>
        <v>-4.59999999999999</v>
      </c>
    </row>
    <row r="49" s="1" customFormat="1" spans="1:12">
      <c r="A49" s="2">
        <v>1.571</v>
      </c>
      <c r="B49" s="10" t="s">
        <v>487</v>
      </c>
      <c r="C49" s="4">
        <v>1.571</v>
      </c>
      <c r="D49" s="5">
        <v>44.3</v>
      </c>
      <c r="E49" s="4"/>
      <c r="F49" s="4"/>
      <c r="G49" s="2">
        <f t="shared" si="0"/>
        <v>1.538</v>
      </c>
      <c r="H49" s="11" t="str">
        <f t="shared" si="1"/>
        <v>2.992E-2</v>
      </c>
      <c r="I49" s="2">
        <f t="shared" si="5"/>
        <v>44.1</v>
      </c>
      <c r="J49" s="4">
        <f t="shared" si="2"/>
        <v>1.538</v>
      </c>
      <c r="K49" s="9">
        <f t="shared" si="3"/>
        <v>0</v>
      </c>
      <c r="L49" s="1">
        <f t="shared" si="4"/>
        <v>-4.59999999999999</v>
      </c>
    </row>
    <row r="50" s="1" customFormat="1" spans="1:12">
      <c r="A50" s="2">
        <v>1.605</v>
      </c>
      <c r="B50" s="10" t="s">
        <v>485</v>
      </c>
      <c r="C50" s="4">
        <v>1.605</v>
      </c>
      <c r="D50" s="5">
        <v>44.2</v>
      </c>
      <c r="E50" s="4"/>
      <c r="F50" s="4"/>
      <c r="G50" s="2">
        <f t="shared" si="0"/>
        <v>1.571</v>
      </c>
      <c r="H50" s="11" t="str">
        <f t="shared" si="1"/>
        <v>2.993E-2</v>
      </c>
      <c r="I50" s="2">
        <f t="shared" si="5"/>
        <v>44.3</v>
      </c>
      <c r="J50" s="4">
        <f t="shared" si="2"/>
        <v>1.571</v>
      </c>
      <c r="K50" s="9">
        <f t="shared" si="3"/>
        <v>0.0999999999999959</v>
      </c>
      <c r="L50" s="1">
        <f t="shared" si="4"/>
        <v>-4.59999999999999</v>
      </c>
    </row>
    <row r="51" s="1" customFormat="1" spans="1:12">
      <c r="A51" s="2">
        <v>1.638</v>
      </c>
      <c r="B51" s="10" t="s">
        <v>485</v>
      </c>
      <c r="C51" s="4">
        <v>1.638</v>
      </c>
      <c r="D51" s="5">
        <v>44</v>
      </c>
      <c r="E51" s="4"/>
      <c r="F51" s="4"/>
      <c r="G51" s="2">
        <f t="shared" si="0"/>
        <v>1.605</v>
      </c>
      <c r="H51" s="11" t="str">
        <f t="shared" si="1"/>
        <v>2.992E-2</v>
      </c>
      <c r="I51" s="2">
        <f t="shared" si="5"/>
        <v>44.2</v>
      </c>
      <c r="J51" s="4">
        <f t="shared" si="2"/>
        <v>1.605</v>
      </c>
      <c r="K51" s="9">
        <f t="shared" si="3"/>
        <v>0</v>
      </c>
      <c r="L51" s="1">
        <f t="shared" si="4"/>
        <v>-4.59999999999999</v>
      </c>
    </row>
    <row r="52" s="1" customFormat="1" spans="1:12">
      <c r="A52" s="2">
        <v>1.672</v>
      </c>
      <c r="B52" s="10" t="s">
        <v>487</v>
      </c>
      <c r="C52" s="4">
        <v>1.672</v>
      </c>
      <c r="D52" s="5">
        <v>44.7</v>
      </c>
      <c r="E52" s="4"/>
      <c r="F52" s="4"/>
      <c r="G52" s="2">
        <f t="shared" si="0"/>
        <v>1.638</v>
      </c>
      <c r="H52" s="11" t="str">
        <f t="shared" si="1"/>
        <v>2.992E-2</v>
      </c>
      <c r="I52" s="2">
        <f t="shared" si="5"/>
        <v>44</v>
      </c>
      <c r="J52" s="4">
        <f t="shared" si="2"/>
        <v>1.638</v>
      </c>
      <c r="K52" s="9">
        <f t="shared" si="3"/>
        <v>0</v>
      </c>
      <c r="L52" s="1">
        <f t="shared" si="4"/>
        <v>-4.59999999999999</v>
      </c>
    </row>
    <row r="53" s="1" customFormat="1" spans="1:12">
      <c r="A53" s="2">
        <v>1.705</v>
      </c>
      <c r="B53" s="10" t="s">
        <v>485</v>
      </c>
      <c r="C53" s="4">
        <v>1.705</v>
      </c>
      <c r="D53" s="5">
        <v>44.8</v>
      </c>
      <c r="E53" s="4"/>
      <c r="F53" s="4"/>
      <c r="G53" s="2">
        <f t="shared" si="0"/>
        <v>1.672</v>
      </c>
      <c r="H53" s="11" t="str">
        <f t="shared" si="1"/>
        <v>2.993E-2</v>
      </c>
      <c r="I53" s="2">
        <f t="shared" si="5"/>
        <v>44.7</v>
      </c>
      <c r="J53" s="4">
        <f t="shared" si="2"/>
        <v>1.672</v>
      </c>
      <c r="K53" s="9">
        <f t="shared" si="3"/>
        <v>0.0999999999999959</v>
      </c>
      <c r="L53" s="1">
        <f t="shared" si="4"/>
        <v>-4.59999999999999</v>
      </c>
    </row>
    <row r="54" s="1" customFormat="1" spans="1:12">
      <c r="A54" s="2">
        <v>1.738</v>
      </c>
      <c r="B54" s="10" t="s">
        <v>485</v>
      </c>
      <c r="C54" s="4">
        <v>1.738</v>
      </c>
      <c r="D54" s="5">
        <v>44.3</v>
      </c>
      <c r="E54" s="4"/>
      <c r="F54" s="4"/>
      <c r="G54" s="2">
        <f t="shared" si="0"/>
        <v>1.705</v>
      </c>
      <c r="H54" s="11" t="str">
        <f t="shared" si="1"/>
        <v>2.992E-2</v>
      </c>
      <c r="I54" s="2">
        <f t="shared" si="5"/>
        <v>44.8</v>
      </c>
      <c r="J54" s="4">
        <f t="shared" si="2"/>
        <v>1.705</v>
      </c>
      <c r="K54" s="9">
        <f t="shared" si="3"/>
        <v>0</v>
      </c>
      <c r="L54" s="1">
        <f t="shared" si="4"/>
        <v>-4.59999999999999</v>
      </c>
    </row>
    <row r="55" s="1" customFormat="1" spans="1:12">
      <c r="A55" s="2">
        <v>1.772</v>
      </c>
      <c r="B55" s="10" t="s">
        <v>485</v>
      </c>
      <c r="C55" s="4">
        <v>1.772</v>
      </c>
      <c r="D55" s="5">
        <v>44.7</v>
      </c>
      <c r="E55" s="4"/>
      <c r="F55" s="4"/>
      <c r="G55" s="2">
        <f t="shared" si="0"/>
        <v>1.738</v>
      </c>
      <c r="H55" s="11" t="str">
        <f t="shared" si="1"/>
        <v>2.992E-2</v>
      </c>
      <c r="I55" s="2">
        <f t="shared" si="5"/>
        <v>44.3</v>
      </c>
      <c r="J55" s="4">
        <f t="shared" si="2"/>
        <v>1.738</v>
      </c>
      <c r="K55" s="9">
        <f t="shared" si="3"/>
        <v>0</v>
      </c>
      <c r="L55" s="1">
        <f t="shared" si="4"/>
        <v>-4.59999999999999</v>
      </c>
    </row>
    <row r="56" s="1" customFormat="1" spans="1:12">
      <c r="A56" s="2">
        <v>1.805</v>
      </c>
      <c r="B56" s="10" t="s">
        <v>485</v>
      </c>
      <c r="C56" s="4">
        <v>1.805</v>
      </c>
      <c r="D56" s="5">
        <v>44.1</v>
      </c>
      <c r="E56" s="4"/>
      <c r="F56" s="4"/>
      <c r="G56" s="2">
        <f t="shared" si="0"/>
        <v>1.772</v>
      </c>
      <c r="H56" s="11" t="str">
        <f t="shared" si="1"/>
        <v>2.992E-2</v>
      </c>
      <c r="I56" s="2">
        <f t="shared" si="5"/>
        <v>44.7</v>
      </c>
      <c r="J56" s="4">
        <f t="shared" si="2"/>
        <v>1.772</v>
      </c>
      <c r="K56" s="9">
        <f t="shared" si="3"/>
        <v>0</v>
      </c>
      <c r="L56" s="1">
        <f t="shared" si="4"/>
        <v>-4.59999999999999</v>
      </c>
    </row>
    <row r="57" s="1" customFormat="1" spans="1:12">
      <c r="A57" s="2">
        <v>1.839</v>
      </c>
      <c r="B57" s="10" t="s">
        <v>485</v>
      </c>
      <c r="C57" s="4">
        <v>1.839</v>
      </c>
      <c r="D57" s="5">
        <v>44.2</v>
      </c>
      <c r="E57" s="4"/>
      <c r="F57" s="4"/>
      <c r="G57" s="2">
        <f t="shared" si="0"/>
        <v>1.805</v>
      </c>
      <c r="H57" s="11" t="str">
        <f t="shared" si="1"/>
        <v>2.992E-2</v>
      </c>
      <c r="I57" s="2">
        <f t="shared" si="5"/>
        <v>44.1</v>
      </c>
      <c r="J57" s="4">
        <f t="shared" si="2"/>
        <v>1.805</v>
      </c>
      <c r="K57" s="9">
        <f t="shared" si="3"/>
        <v>0</v>
      </c>
      <c r="L57" s="1">
        <f t="shared" si="4"/>
        <v>-4.59999999999999</v>
      </c>
    </row>
    <row r="58" s="1" customFormat="1" spans="1:12">
      <c r="A58" s="2">
        <v>1.872</v>
      </c>
      <c r="B58" s="10" t="s">
        <v>485</v>
      </c>
      <c r="C58" s="4">
        <v>1.872</v>
      </c>
      <c r="D58" s="5">
        <v>43.8</v>
      </c>
      <c r="E58" s="4"/>
      <c r="F58" s="4"/>
      <c r="G58" s="2">
        <f t="shared" si="0"/>
        <v>1.839</v>
      </c>
      <c r="H58" s="11" t="str">
        <f t="shared" si="1"/>
        <v>2.992E-2</v>
      </c>
      <c r="I58" s="2">
        <f t="shared" si="5"/>
        <v>44.2</v>
      </c>
      <c r="J58" s="4">
        <f t="shared" si="2"/>
        <v>1.839</v>
      </c>
      <c r="K58" s="9">
        <f t="shared" si="3"/>
        <v>0</v>
      </c>
      <c r="L58" s="1">
        <f t="shared" si="4"/>
        <v>-4.59999999999999</v>
      </c>
    </row>
    <row r="59" s="1" customFormat="1" spans="1:12">
      <c r="A59" s="2">
        <v>1.906</v>
      </c>
      <c r="B59" s="10" t="s">
        <v>485</v>
      </c>
      <c r="C59" s="4">
        <v>1.906</v>
      </c>
      <c r="D59" s="5">
        <v>44</v>
      </c>
      <c r="E59" s="4"/>
      <c r="F59" s="4"/>
      <c r="G59" s="2">
        <f t="shared" si="0"/>
        <v>1.872</v>
      </c>
      <c r="H59" s="11" t="str">
        <f t="shared" si="1"/>
        <v>2.992E-2</v>
      </c>
      <c r="I59" s="2">
        <f t="shared" si="5"/>
        <v>43.8</v>
      </c>
      <c r="J59" s="4">
        <f t="shared" si="2"/>
        <v>1.872</v>
      </c>
      <c r="K59" s="9">
        <f t="shared" si="3"/>
        <v>0</v>
      </c>
      <c r="L59" s="1">
        <f t="shared" si="4"/>
        <v>-4.59999999999999</v>
      </c>
    </row>
    <row r="60" s="1" customFormat="1" spans="1:12">
      <c r="A60" s="2">
        <v>1.939</v>
      </c>
      <c r="B60" s="10" t="s">
        <v>485</v>
      </c>
      <c r="C60" s="4">
        <v>1.939</v>
      </c>
      <c r="D60" s="5">
        <v>44.2</v>
      </c>
      <c r="E60" s="4"/>
      <c r="F60" s="4"/>
      <c r="G60" s="2">
        <f t="shared" si="0"/>
        <v>1.906</v>
      </c>
      <c r="H60" s="11" t="str">
        <f t="shared" si="1"/>
        <v>2.992E-2</v>
      </c>
      <c r="I60" s="2">
        <f t="shared" si="5"/>
        <v>44</v>
      </c>
      <c r="J60" s="4">
        <f t="shared" si="2"/>
        <v>1.906</v>
      </c>
      <c r="K60" s="9">
        <f t="shared" si="3"/>
        <v>0</v>
      </c>
      <c r="L60" s="1">
        <f t="shared" si="4"/>
        <v>-4.59999999999999</v>
      </c>
    </row>
    <row r="61" s="1" customFormat="1" spans="1:12">
      <c r="A61" s="2">
        <v>1.972</v>
      </c>
      <c r="B61" s="10" t="s">
        <v>485</v>
      </c>
      <c r="C61" s="4">
        <v>1.972</v>
      </c>
      <c r="D61" s="5">
        <v>43.9</v>
      </c>
      <c r="E61" s="4"/>
      <c r="F61" s="4"/>
      <c r="G61" s="2">
        <f t="shared" si="0"/>
        <v>1.939</v>
      </c>
      <c r="H61" s="11" t="str">
        <f t="shared" si="1"/>
        <v>2.992E-2</v>
      </c>
      <c r="I61" s="2">
        <f t="shared" si="5"/>
        <v>44.2</v>
      </c>
      <c r="J61" s="4">
        <f t="shared" si="2"/>
        <v>1.939</v>
      </c>
      <c r="K61" s="9">
        <f t="shared" si="3"/>
        <v>0</v>
      </c>
      <c r="L61" s="1">
        <f t="shared" si="4"/>
        <v>-4.59999999999999</v>
      </c>
    </row>
    <row r="62" s="1" customFormat="1" spans="1:12">
      <c r="A62" s="2">
        <v>2.006</v>
      </c>
      <c r="B62" s="10" t="s">
        <v>486</v>
      </c>
      <c r="C62" s="4">
        <v>2.006</v>
      </c>
      <c r="D62" s="5">
        <v>44.1</v>
      </c>
      <c r="E62" s="4"/>
      <c r="F62" s="4"/>
      <c r="G62" s="2">
        <f t="shared" si="0"/>
        <v>1.972</v>
      </c>
      <c r="H62" s="11" t="str">
        <f t="shared" si="1"/>
        <v>2.992E-2</v>
      </c>
      <c r="I62" s="2">
        <f t="shared" si="5"/>
        <v>43.9</v>
      </c>
      <c r="J62" s="4">
        <f t="shared" si="2"/>
        <v>1.972</v>
      </c>
      <c r="K62" s="9">
        <f t="shared" si="3"/>
        <v>0</v>
      </c>
      <c r="L62" s="1">
        <f t="shared" si="4"/>
        <v>-4.59999999999999</v>
      </c>
    </row>
    <row r="63" s="1" customFormat="1" spans="1:12">
      <c r="A63" s="2">
        <v>2.039</v>
      </c>
      <c r="B63" s="10" t="s">
        <v>485</v>
      </c>
      <c r="C63" s="4">
        <v>2.039</v>
      </c>
      <c r="D63" s="5">
        <v>43.8</v>
      </c>
      <c r="E63" s="4"/>
      <c r="F63" s="4"/>
      <c r="G63" s="2">
        <f t="shared" si="0"/>
        <v>2.006</v>
      </c>
      <c r="H63" s="11" t="str">
        <f t="shared" si="1"/>
        <v>2.991E-2</v>
      </c>
      <c r="I63" s="2">
        <f t="shared" si="5"/>
        <v>44.1</v>
      </c>
      <c r="J63" s="4">
        <f t="shared" si="2"/>
        <v>2.006</v>
      </c>
      <c r="K63" s="9">
        <f t="shared" si="3"/>
        <v>-0.0999999999999959</v>
      </c>
      <c r="L63" s="1">
        <f t="shared" si="4"/>
        <v>-4.59999999999999</v>
      </c>
    </row>
    <row r="64" s="1" customFormat="1" spans="1:12">
      <c r="A64" s="2">
        <v>2.073</v>
      </c>
      <c r="B64" s="10" t="s">
        <v>485</v>
      </c>
      <c r="C64" s="4">
        <v>2.073</v>
      </c>
      <c r="D64" s="5">
        <v>44.6</v>
      </c>
      <c r="E64" s="4"/>
      <c r="F64" s="4"/>
      <c r="G64" s="2">
        <f t="shared" si="0"/>
        <v>2.039</v>
      </c>
      <c r="H64" s="11" t="str">
        <f t="shared" si="1"/>
        <v>2.992E-2</v>
      </c>
      <c r="I64" s="2">
        <f t="shared" si="5"/>
        <v>43.8</v>
      </c>
      <c r="J64" s="4">
        <f t="shared" si="2"/>
        <v>2.039</v>
      </c>
      <c r="K64" s="9">
        <f t="shared" si="3"/>
        <v>0</v>
      </c>
      <c r="L64" s="1">
        <f t="shared" si="4"/>
        <v>-4.59999999999999</v>
      </c>
    </row>
    <row r="65" s="1" customFormat="1" spans="1:12">
      <c r="A65" s="2">
        <v>2.106</v>
      </c>
      <c r="B65" s="10" t="s">
        <v>487</v>
      </c>
      <c r="C65" s="4">
        <v>2.106</v>
      </c>
      <c r="D65" s="5">
        <v>44.4</v>
      </c>
      <c r="E65" s="4"/>
      <c r="F65" s="4"/>
      <c r="G65" s="2">
        <f t="shared" si="0"/>
        <v>2.073</v>
      </c>
      <c r="H65" s="11" t="str">
        <f t="shared" si="1"/>
        <v>2.992E-2</v>
      </c>
      <c r="I65" s="2">
        <f t="shared" si="5"/>
        <v>44.6</v>
      </c>
      <c r="J65" s="4">
        <f t="shared" si="2"/>
        <v>2.073</v>
      </c>
      <c r="K65" s="9">
        <f t="shared" si="3"/>
        <v>0</v>
      </c>
      <c r="L65" s="1">
        <f t="shared" si="4"/>
        <v>-4.59999999999999</v>
      </c>
    </row>
    <row r="66" s="1" customFormat="1" spans="1:12">
      <c r="A66" s="2">
        <v>2.14</v>
      </c>
      <c r="B66" s="10" t="s">
        <v>485</v>
      </c>
      <c r="C66" s="4">
        <v>2.14</v>
      </c>
      <c r="D66" s="5">
        <v>44.1</v>
      </c>
      <c r="E66" s="4"/>
      <c r="F66" s="4"/>
      <c r="G66" s="2">
        <f t="shared" si="0"/>
        <v>2.106</v>
      </c>
      <c r="H66" s="11" t="str">
        <f t="shared" si="1"/>
        <v>2.993E-2</v>
      </c>
      <c r="I66" s="2">
        <f t="shared" si="5"/>
        <v>44.4</v>
      </c>
      <c r="J66" s="4">
        <f t="shared" si="2"/>
        <v>2.106</v>
      </c>
      <c r="K66" s="9">
        <f t="shared" si="3"/>
        <v>0.0999999999999959</v>
      </c>
      <c r="L66" s="1">
        <f t="shared" si="4"/>
        <v>-4.59999999999999</v>
      </c>
    </row>
    <row r="67" s="1" customFormat="1" spans="1:12">
      <c r="A67" s="2">
        <v>2.173</v>
      </c>
      <c r="B67" s="10" t="s">
        <v>485</v>
      </c>
      <c r="C67" s="4">
        <v>2.173</v>
      </c>
      <c r="D67" s="5">
        <v>44.2</v>
      </c>
      <c r="E67" s="4"/>
      <c r="F67" s="4"/>
      <c r="G67" s="2">
        <f t="shared" si="0"/>
        <v>2.14</v>
      </c>
      <c r="H67" s="11" t="str">
        <f t="shared" si="1"/>
        <v>2.992E-2</v>
      </c>
      <c r="I67" s="2">
        <f t="shared" si="5"/>
        <v>44.1</v>
      </c>
      <c r="J67" s="4">
        <f t="shared" si="2"/>
        <v>2.14</v>
      </c>
      <c r="K67" s="9">
        <f t="shared" si="3"/>
        <v>0</v>
      </c>
      <c r="L67" s="1">
        <f t="shared" si="4"/>
        <v>-4.59999999999999</v>
      </c>
    </row>
    <row r="68" s="1" customFormat="1" spans="1:12">
      <c r="A68" s="2">
        <v>2.206</v>
      </c>
      <c r="B68" s="10" t="s">
        <v>485</v>
      </c>
      <c r="C68" s="4">
        <v>2.206</v>
      </c>
      <c r="D68" s="5">
        <v>44.5</v>
      </c>
      <c r="E68" s="4"/>
      <c r="F68" s="4"/>
      <c r="G68" s="2">
        <f t="shared" ref="G68:G131" si="6">A67</f>
        <v>2.173</v>
      </c>
      <c r="H68" s="11" t="str">
        <f t="shared" ref="H68:H131" si="7">B67</f>
        <v>2.992E-2</v>
      </c>
      <c r="I68" s="2">
        <f t="shared" si="5"/>
        <v>44.2</v>
      </c>
      <c r="J68" s="4">
        <f t="shared" ref="J68:J131" si="8">G68</f>
        <v>2.173</v>
      </c>
      <c r="K68" s="9">
        <f t="shared" ref="K68:K131" si="9">(H68-$H$4)*10000</f>
        <v>0</v>
      </c>
      <c r="L68" s="1">
        <f t="shared" ref="L68:L131" si="10">IF(I68&lt;230,MIN(K:K),MAX(K:K))</f>
        <v>-4.59999999999999</v>
      </c>
    </row>
    <row r="69" s="1" customFormat="1" spans="1:12">
      <c r="A69" s="2">
        <v>2.24</v>
      </c>
      <c r="B69" s="10" t="s">
        <v>485</v>
      </c>
      <c r="C69" s="4">
        <v>2.24</v>
      </c>
      <c r="D69" s="5">
        <v>43.9</v>
      </c>
      <c r="E69" s="4"/>
      <c r="F69" s="4"/>
      <c r="G69" s="2">
        <f t="shared" si="6"/>
        <v>2.206</v>
      </c>
      <c r="H69" s="11" t="str">
        <f t="shared" si="7"/>
        <v>2.992E-2</v>
      </c>
      <c r="I69" s="2">
        <f t="shared" ref="I69:I132" si="11">D68</f>
        <v>44.5</v>
      </c>
      <c r="J69" s="4">
        <f t="shared" si="8"/>
        <v>2.206</v>
      </c>
      <c r="K69" s="9">
        <f t="shared" si="9"/>
        <v>0</v>
      </c>
      <c r="L69" s="1">
        <f t="shared" si="10"/>
        <v>-4.59999999999999</v>
      </c>
    </row>
    <row r="70" s="1" customFormat="1" spans="1:12">
      <c r="A70" s="2">
        <v>2.273</v>
      </c>
      <c r="B70" s="10" t="s">
        <v>485</v>
      </c>
      <c r="C70" s="4">
        <v>2.273</v>
      </c>
      <c r="D70" s="5">
        <v>44.1</v>
      </c>
      <c r="E70" s="4"/>
      <c r="F70" s="4"/>
      <c r="G70" s="2">
        <f t="shared" si="6"/>
        <v>2.24</v>
      </c>
      <c r="H70" s="11" t="str">
        <f t="shared" si="7"/>
        <v>2.992E-2</v>
      </c>
      <c r="I70" s="2">
        <f t="shared" si="11"/>
        <v>43.9</v>
      </c>
      <c r="J70" s="4">
        <f t="shared" si="8"/>
        <v>2.24</v>
      </c>
      <c r="K70" s="9">
        <f t="shared" si="9"/>
        <v>0</v>
      </c>
      <c r="L70" s="1">
        <f t="shared" si="10"/>
        <v>-4.59999999999999</v>
      </c>
    </row>
    <row r="71" s="1" customFormat="1" spans="1:12">
      <c r="A71" s="2">
        <v>2.307</v>
      </c>
      <c r="B71" s="10" t="s">
        <v>485</v>
      </c>
      <c r="C71" s="4">
        <v>2.307</v>
      </c>
      <c r="D71" s="5">
        <v>44.2</v>
      </c>
      <c r="E71" s="4"/>
      <c r="F71" s="4"/>
      <c r="G71" s="2">
        <f t="shared" si="6"/>
        <v>2.273</v>
      </c>
      <c r="H71" s="11" t="str">
        <f t="shared" si="7"/>
        <v>2.992E-2</v>
      </c>
      <c r="I71" s="2">
        <f t="shared" si="11"/>
        <v>44.1</v>
      </c>
      <c r="J71" s="4">
        <f t="shared" si="8"/>
        <v>2.273</v>
      </c>
      <c r="K71" s="9">
        <f t="shared" si="9"/>
        <v>0</v>
      </c>
      <c r="L71" s="1">
        <f t="shared" si="10"/>
        <v>-4.59999999999999</v>
      </c>
    </row>
    <row r="72" s="1" customFormat="1" spans="1:12">
      <c r="A72" s="2">
        <v>2.34</v>
      </c>
      <c r="B72" s="10" t="s">
        <v>485</v>
      </c>
      <c r="C72" s="4">
        <v>2.34</v>
      </c>
      <c r="D72" s="5">
        <v>44.5</v>
      </c>
      <c r="E72" s="4"/>
      <c r="F72" s="4"/>
      <c r="G72" s="2">
        <f t="shared" si="6"/>
        <v>2.307</v>
      </c>
      <c r="H72" s="11" t="str">
        <f t="shared" si="7"/>
        <v>2.992E-2</v>
      </c>
      <c r="I72" s="2">
        <f t="shared" si="11"/>
        <v>44.2</v>
      </c>
      <c r="J72" s="4">
        <f t="shared" si="8"/>
        <v>2.307</v>
      </c>
      <c r="K72" s="9">
        <f t="shared" si="9"/>
        <v>0</v>
      </c>
      <c r="L72" s="1">
        <f t="shared" si="10"/>
        <v>-4.59999999999999</v>
      </c>
    </row>
    <row r="73" s="1" customFormat="1" spans="1:12">
      <c r="A73" s="2">
        <v>2.374</v>
      </c>
      <c r="B73" s="10" t="s">
        <v>486</v>
      </c>
      <c r="C73" s="4">
        <v>2.374</v>
      </c>
      <c r="D73" s="5">
        <v>44</v>
      </c>
      <c r="E73" s="4"/>
      <c r="F73" s="4"/>
      <c r="G73" s="2">
        <f t="shared" si="6"/>
        <v>2.34</v>
      </c>
      <c r="H73" s="11" t="str">
        <f t="shared" si="7"/>
        <v>2.992E-2</v>
      </c>
      <c r="I73" s="2">
        <f t="shared" si="11"/>
        <v>44.5</v>
      </c>
      <c r="J73" s="4">
        <f t="shared" si="8"/>
        <v>2.34</v>
      </c>
      <c r="K73" s="9">
        <f t="shared" si="9"/>
        <v>0</v>
      </c>
      <c r="L73" s="1">
        <f t="shared" si="10"/>
        <v>-4.59999999999999</v>
      </c>
    </row>
    <row r="74" s="1" customFormat="1" spans="1:12">
      <c r="A74" s="2">
        <v>2.407</v>
      </c>
      <c r="B74" s="10" t="s">
        <v>485</v>
      </c>
      <c r="C74" s="4">
        <v>2.407</v>
      </c>
      <c r="D74" s="5">
        <v>44.3</v>
      </c>
      <c r="E74" s="4"/>
      <c r="F74" s="4"/>
      <c r="G74" s="2">
        <f t="shared" si="6"/>
        <v>2.374</v>
      </c>
      <c r="H74" s="11" t="str">
        <f t="shared" si="7"/>
        <v>2.991E-2</v>
      </c>
      <c r="I74" s="2">
        <f t="shared" si="11"/>
        <v>44</v>
      </c>
      <c r="J74" s="4">
        <f t="shared" si="8"/>
        <v>2.374</v>
      </c>
      <c r="K74" s="9">
        <f t="shared" si="9"/>
        <v>-0.0999999999999959</v>
      </c>
      <c r="L74" s="1">
        <f t="shared" si="10"/>
        <v>-4.59999999999999</v>
      </c>
    </row>
    <row r="75" s="1" customFormat="1" spans="1:12">
      <c r="A75" s="2">
        <v>2.44</v>
      </c>
      <c r="B75" s="10" t="s">
        <v>485</v>
      </c>
      <c r="C75" s="4">
        <v>2.44</v>
      </c>
      <c r="D75" s="5">
        <v>44.6</v>
      </c>
      <c r="E75" s="4"/>
      <c r="F75" s="4"/>
      <c r="G75" s="2">
        <f t="shared" si="6"/>
        <v>2.407</v>
      </c>
      <c r="H75" s="11" t="str">
        <f t="shared" si="7"/>
        <v>2.992E-2</v>
      </c>
      <c r="I75" s="2">
        <f t="shared" si="11"/>
        <v>44.3</v>
      </c>
      <c r="J75" s="4">
        <f t="shared" si="8"/>
        <v>2.407</v>
      </c>
      <c r="K75" s="9">
        <f t="shared" si="9"/>
        <v>0</v>
      </c>
      <c r="L75" s="1">
        <f t="shared" si="10"/>
        <v>-4.59999999999999</v>
      </c>
    </row>
    <row r="76" s="1" customFormat="1" spans="1:12">
      <c r="A76" s="2">
        <v>2.474</v>
      </c>
      <c r="B76" s="10" t="s">
        <v>485</v>
      </c>
      <c r="C76" s="4">
        <v>2.474</v>
      </c>
      <c r="D76" s="5">
        <v>241.9</v>
      </c>
      <c r="E76" s="4"/>
      <c r="F76" s="4"/>
      <c r="G76" s="2">
        <f t="shared" si="6"/>
        <v>2.44</v>
      </c>
      <c r="H76" s="11" t="str">
        <f t="shared" si="7"/>
        <v>2.992E-2</v>
      </c>
      <c r="I76" s="2">
        <f t="shared" si="11"/>
        <v>44.6</v>
      </c>
      <c r="J76" s="4">
        <f t="shared" si="8"/>
        <v>2.44</v>
      </c>
      <c r="K76" s="9">
        <f t="shared" si="9"/>
        <v>0</v>
      </c>
      <c r="L76" s="1">
        <f t="shared" si="10"/>
        <v>-4.59999999999999</v>
      </c>
    </row>
    <row r="77" s="1" customFormat="1" spans="1:12">
      <c r="A77" s="2">
        <v>2.507</v>
      </c>
      <c r="B77" s="10" t="s">
        <v>486</v>
      </c>
      <c r="C77" s="4">
        <v>2.507</v>
      </c>
      <c r="D77" s="5">
        <v>253.7</v>
      </c>
      <c r="E77" s="4"/>
      <c r="F77" s="4"/>
      <c r="G77" s="2">
        <f t="shared" si="6"/>
        <v>2.474</v>
      </c>
      <c r="H77" s="11" t="str">
        <f t="shared" si="7"/>
        <v>2.992E-2</v>
      </c>
      <c r="I77" s="2">
        <f t="shared" si="11"/>
        <v>241.9</v>
      </c>
      <c r="J77" s="4">
        <f t="shared" si="8"/>
        <v>2.474</v>
      </c>
      <c r="K77" s="9">
        <f t="shared" si="9"/>
        <v>0</v>
      </c>
      <c r="L77" s="1">
        <f t="shared" si="10"/>
        <v>1.00000000000003</v>
      </c>
    </row>
    <row r="78" s="1" customFormat="1" spans="1:12">
      <c r="A78" s="2">
        <v>2.541</v>
      </c>
      <c r="B78" s="10" t="s">
        <v>485</v>
      </c>
      <c r="C78" s="4">
        <v>2.541</v>
      </c>
      <c r="D78" s="5">
        <v>253.7</v>
      </c>
      <c r="E78" s="4"/>
      <c r="F78" s="4"/>
      <c r="G78" s="2">
        <f t="shared" si="6"/>
        <v>2.507</v>
      </c>
      <c r="H78" s="11" t="str">
        <f t="shared" si="7"/>
        <v>2.991E-2</v>
      </c>
      <c r="I78" s="2">
        <f t="shared" si="11"/>
        <v>253.7</v>
      </c>
      <c r="J78" s="4">
        <f t="shared" si="8"/>
        <v>2.507</v>
      </c>
      <c r="K78" s="9">
        <f t="shared" si="9"/>
        <v>-0.0999999999999959</v>
      </c>
      <c r="L78" s="1">
        <f t="shared" si="10"/>
        <v>1.00000000000003</v>
      </c>
    </row>
    <row r="79" s="1" customFormat="1" spans="1:12">
      <c r="A79" s="2">
        <v>2.574</v>
      </c>
      <c r="B79" s="10" t="s">
        <v>485</v>
      </c>
      <c r="C79" s="4">
        <v>2.574</v>
      </c>
      <c r="D79" s="5">
        <v>253.8</v>
      </c>
      <c r="E79" s="4"/>
      <c r="F79" s="4"/>
      <c r="G79" s="2">
        <f t="shared" si="6"/>
        <v>2.541</v>
      </c>
      <c r="H79" s="11" t="str">
        <f t="shared" si="7"/>
        <v>2.992E-2</v>
      </c>
      <c r="I79" s="2">
        <f t="shared" si="11"/>
        <v>253.7</v>
      </c>
      <c r="J79" s="4">
        <f t="shared" si="8"/>
        <v>2.541</v>
      </c>
      <c r="K79" s="9">
        <f t="shared" si="9"/>
        <v>0</v>
      </c>
      <c r="L79" s="1">
        <f t="shared" si="10"/>
        <v>1.00000000000003</v>
      </c>
    </row>
    <row r="80" s="1" customFormat="1" spans="1:12">
      <c r="A80" s="2">
        <v>2.608</v>
      </c>
      <c r="B80" s="10" t="s">
        <v>485</v>
      </c>
      <c r="C80" s="4">
        <v>2.608</v>
      </c>
      <c r="D80" s="5">
        <v>253.8</v>
      </c>
      <c r="E80" s="4"/>
      <c r="F80" s="4"/>
      <c r="G80" s="2">
        <f t="shared" si="6"/>
        <v>2.574</v>
      </c>
      <c r="H80" s="11" t="str">
        <f t="shared" si="7"/>
        <v>2.992E-2</v>
      </c>
      <c r="I80" s="2">
        <f t="shared" si="11"/>
        <v>253.8</v>
      </c>
      <c r="J80" s="4">
        <f t="shared" si="8"/>
        <v>2.574</v>
      </c>
      <c r="K80" s="9">
        <f t="shared" si="9"/>
        <v>0</v>
      </c>
      <c r="L80" s="1">
        <f t="shared" si="10"/>
        <v>1.00000000000003</v>
      </c>
    </row>
    <row r="81" s="1" customFormat="1" spans="1:12">
      <c r="A81" s="2">
        <v>2.641</v>
      </c>
      <c r="B81" s="10" t="s">
        <v>487</v>
      </c>
      <c r="C81" s="4">
        <v>2.641</v>
      </c>
      <c r="D81" s="5">
        <v>253.8</v>
      </c>
      <c r="E81" s="4"/>
      <c r="F81" s="4"/>
      <c r="G81" s="2">
        <f t="shared" si="6"/>
        <v>2.608</v>
      </c>
      <c r="H81" s="11" t="str">
        <f t="shared" si="7"/>
        <v>2.992E-2</v>
      </c>
      <c r="I81" s="2">
        <f t="shared" si="11"/>
        <v>253.8</v>
      </c>
      <c r="J81" s="4">
        <f t="shared" si="8"/>
        <v>2.608</v>
      </c>
      <c r="K81" s="9">
        <f t="shared" si="9"/>
        <v>0</v>
      </c>
      <c r="L81" s="1">
        <f t="shared" si="10"/>
        <v>1.00000000000003</v>
      </c>
    </row>
    <row r="82" s="1" customFormat="1" spans="1:12">
      <c r="A82" s="2">
        <v>2.674</v>
      </c>
      <c r="B82" s="10" t="s">
        <v>487</v>
      </c>
      <c r="C82" s="4">
        <v>2.674</v>
      </c>
      <c r="D82" s="5">
        <v>253.8</v>
      </c>
      <c r="E82" s="4"/>
      <c r="F82" s="4"/>
      <c r="G82" s="2">
        <f t="shared" si="6"/>
        <v>2.641</v>
      </c>
      <c r="H82" s="11" t="str">
        <f t="shared" si="7"/>
        <v>2.993E-2</v>
      </c>
      <c r="I82" s="2">
        <f t="shared" si="11"/>
        <v>253.8</v>
      </c>
      <c r="J82" s="4">
        <f t="shared" si="8"/>
        <v>2.641</v>
      </c>
      <c r="K82" s="9">
        <f t="shared" si="9"/>
        <v>0.0999999999999959</v>
      </c>
      <c r="L82" s="1">
        <f t="shared" si="10"/>
        <v>1.00000000000003</v>
      </c>
    </row>
    <row r="83" s="1" customFormat="1" spans="1:12">
      <c r="A83" s="2">
        <v>2.708</v>
      </c>
      <c r="B83" s="10" t="s">
        <v>488</v>
      </c>
      <c r="C83" s="4">
        <v>2.708</v>
      </c>
      <c r="D83" s="5">
        <v>253.8</v>
      </c>
      <c r="E83" s="4"/>
      <c r="F83" s="4"/>
      <c r="G83" s="2">
        <f t="shared" si="6"/>
        <v>2.674</v>
      </c>
      <c r="H83" s="11" t="str">
        <f t="shared" si="7"/>
        <v>2.993E-2</v>
      </c>
      <c r="I83" s="2">
        <f t="shared" si="11"/>
        <v>253.8</v>
      </c>
      <c r="J83" s="4">
        <f t="shared" si="8"/>
        <v>2.674</v>
      </c>
      <c r="K83" s="9">
        <f t="shared" si="9"/>
        <v>0.0999999999999959</v>
      </c>
      <c r="L83" s="1">
        <f t="shared" si="10"/>
        <v>1.00000000000003</v>
      </c>
    </row>
    <row r="84" s="1" customFormat="1" spans="1:12">
      <c r="A84" s="2">
        <v>2.741</v>
      </c>
      <c r="B84" s="10" t="s">
        <v>489</v>
      </c>
      <c r="C84" s="4">
        <v>2.741</v>
      </c>
      <c r="D84" s="5">
        <v>253.8</v>
      </c>
      <c r="E84" s="4"/>
      <c r="F84" s="4"/>
      <c r="G84" s="2">
        <f t="shared" si="6"/>
        <v>2.708</v>
      </c>
      <c r="H84" s="11" t="str">
        <f t="shared" si="7"/>
        <v>2.995E-2</v>
      </c>
      <c r="I84" s="2">
        <f t="shared" si="11"/>
        <v>253.8</v>
      </c>
      <c r="J84" s="4">
        <f t="shared" si="8"/>
        <v>2.708</v>
      </c>
      <c r="K84" s="9">
        <f t="shared" si="9"/>
        <v>0.300000000000022</v>
      </c>
      <c r="L84" s="1">
        <f t="shared" si="10"/>
        <v>1.00000000000003</v>
      </c>
    </row>
    <row r="85" s="1" customFormat="1" spans="1:12">
      <c r="A85" s="2">
        <v>2.775</v>
      </c>
      <c r="B85" s="10" t="s">
        <v>489</v>
      </c>
      <c r="C85" s="4">
        <v>2.775</v>
      </c>
      <c r="D85" s="5">
        <v>253.8</v>
      </c>
      <c r="E85" s="4"/>
      <c r="F85" s="4"/>
      <c r="G85" s="2">
        <f t="shared" si="6"/>
        <v>2.741</v>
      </c>
      <c r="H85" s="11" t="str">
        <f t="shared" si="7"/>
        <v>2.997E-2</v>
      </c>
      <c r="I85" s="2">
        <f t="shared" si="11"/>
        <v>253.8</v>
      </c>
      <c r="J85" s="4">
        <f t="shared" si="8"/>
        <v>2.741</v>
      </c>
      <c r="K85" s="9">
        <f t="shared" si="9"/>
        <v>0.500000000000014</v>
      </c>
      <c r="L85" s="1">
        <f t="shared" si="10"/>
        <v>1.00000000000003</v>
      </c>
    </row>
    <row r="86" s="1" customFormat="1" spans="1:12">
      <c r="A86" s="2">
        <v>2.808</v>
      </c>
      <c r="B86" s="10" t="s">
        <v>490</v>
      </c>
      <c r="C86" s="4">
        <v>2.808</v>
      </c>
      <c r="D86" s="5">
        <v>253.8</v>
      </c>
      <c r="E86" s="4"/>
      <c r="F86" s="4"/>
      <c r="G86" s="2">
        <f t="shared" si="6"/>
        <v>2.775</v>
      </c>
      <c r="H86" s="11" t="str">
        <f t="shared" si="7"/>
        <v>2.997E-2</v>
      </c>
      <c r="I86" s="2">
        <f t="shared" si="11"/>
        <v>253.8</v>
      </c>
      <c r="J86" s="4">
        <f t="shared" si="8"/>
        <v>2.775</v>
      </c>
      <c r="K86" s="9">
        <f t="shared" si="9"/>
        <v>0.500000000000014</v>
      </c>
      <c r="L86" s="1">
        <f t="shared" si="10"/>
        <v>1.00000000000003</v>
      </c>
    </row>
    <row r="87" s="1" customFormat="1" spans="1:12">
      <c r="A87" s="2">
        <v>2.842</v>
      </c>
      <c r="B87" s="10" t="s">
        <v>491</v>
      </c>
      <c r="C87" s="4">
        <v>2.842</v>
      </c>
      <c r="D87" s="5">
        <v>253.8</v>
      </c>
      <c r="E87" s="4"/>
      <c r="F87" s="4"/>
      <c r="G87" s="2">
        <f t="shared" si="6"/>
        <v>2.808</v>
      </c>
      <c r="H87" s="11" t="str">
        <f t="shared" si="7"/>
        <v>2.998E-2</v>
      </c>
      <c r="I87" s="2">
        <f t="shared" si="11"/>
        <v>253.8</v>
      </c>
      <c r="J87" s="4">
        <f t="shared" si="8"/>
        <v>2.808</v>
      </c>
      <c r="K87" s="9">
        <f t="shared" si="9"/>
        <v>0.60000000000001</v>
      </c>
      <c r="L87" s="1">
        <f t="shared" si="10"/>
        <v>1.00000000000003</v>
      </c>
    </row>
    <row r="88" s="1" customFormat="1" spans="1:12">
      <c r="A88" s="2">
        <v>2.875</v>
      </c>
      <c r="B88" s="10" t="s">
        <v>491</v>
      </c>
      <c r="C88" s="4">
        <v>2.875</v>
      </c>
      <c r="D88" s="5">
        <v>248.2</v>
      </c>
      <c r="E88" s="4"/>
      <c r="F88" s="4"/>
      <c r="G88" s="2">
        <f t="shared" si="6"/>
        <v>2.842</v>
      </c>
      <c r="H88" s="11" t="str">
        <f t="shared" si="7"/>
        <v>2.999E-2</v>
      </c>
      <c r="I88" s="2">
        <f t="shared" si="11"/>
        <v>253.8</v>
      </c>
      <c r="J88" s="4">
        <f t="shared" si="8"/>
        <v>2.842</v>
      </c>
      <c r="K88" s="9">
        <f t="shared" si="9"/>
        <v>0.700000000000006</v>
      </c>
      <c r="L88" s="1">
        <f t="shared" si="10"/>
        <v>1.00000000000003</v>
      </c>
    </row>
    <row r="89" s="1" customFormat="1" spans="1:12">
      <c r="A89" s="2">
        <v>2.908</v>
      </c>
      <c r="B89" s="10" t="s">
        <v>492</v>
      </c>
      <c r="C89" s="4">
        <v>2.908</v>
      </c>
      <c r="D89" s="5">
        <v>43.5</v>
      </c>
      <c r="E89" s="4"/>
      <c r="F89" s="4"/>
      <c r="G89" s="2">
        <f t="shared" si="6"/>
        <v>2.875</v>
      </c>
      <c r="H89" s="11" t="str">
        <f t="shared" si="7"/>
        <v>2.999E-2</v>
      </c>
      <c r="I89" s="2">
        <f t="shared" si="11"/>
        <v>248.2</v>
      </c>
      <c r="J89" s="4">
        <f t="shared" si="8"/>
        <v>2.875</v>
      </c>
      <c r="K89" s="9">
        <f t="shared" si="9"/>
        <v>0.700000000000006</v>
      </c>
      <c r="L89" s="1">
        <f t="shared" si="10"/>
        <v>1.00000000000003</v>
      </c>
    </row>
    <row r="90" s="1" customFormat="1" spans="1:12">
      <c r="A90" s="2">
        <v>2.942</v>
      </c>
      <c r="B90" s="10" t="s">
        <v>491</v>
      </c>
      <c r="C90" s="4">
        <v>2.942</v>
      </c>
      <c r="D90" s="5">
        <v>44.4</v>
      </c>
      <c r="E90" s="4"/>
      <c r="F90" s="4"/>
      <c r="G90" s="2">
        <f t="shared" si="6"/>
        <v>2.908</v>
      </c>
      <c r="H90" s="11" t="str">
        <f t="shared" si="7"/>
        <v>3.000E-2</v>
      </c>
      <c r="I90" s="2">
        <f t="shared" si="11"/>
        <v>43.5</v>
      </c>
      <c r="J90" s="4">
        <f t="shared" si="8"/>
        <v>2.908</v>
      </c>
      <c r="K90" s="9">
        <f t="shared" si="9"/>
        <v>0.800000000000002</v>
      </c>
      <c r="L90" s="1">
        <f t="shared" si="10"/>
        <v>-4.59999999999999</v>
      </c>
    </row>
    <row r="91" s="1" customFormat="1" spans="1:12">
      <c r="A91" s="2">
        <v>2.975</v>
      </c>
      <c r="B91" s="10" t="s">
        <v>491</v>
      </c>
      <c r="C91" s="4">
        <v>2.975</v>
      </c>
      <c r="D91" s="5">
        <v>44.2</v>
      </c>
      <c r="E91" s="4"/>
      <c r="F91" s="4"/>
      <c r="G91" s="2">
        <f t="shared" si="6"/>
        <v>2.942</v>
      </c>
      <c r="H91" s="11" t="str">
        <f t="shared" si="7"/>
        <v>2.999E-2</v>
      </c>
      <c r="I91" s="2">
        <f t="shared" si="11"/>
        <v>44.4</v>
      </c>
      <c r="J91" s="4">
        <f t="shared" si="8"/>
        <v>2.942</v>
      </c>
      <c r="K91" s="9">
        <f t="shared" si="9"/>
        <v>0.700000000000006</v>
      </c>
      <c r="L91" s="1">
        <f t="shared" si="10"/>
        <v>-4.59999999999999</v>
      </c>
    </row>
    <row r="92" s="1" customFormat="1" spans="1:12">
      <c r="A92" s="2">
        <v>3.009</v>
      </c>
      <c r="B92" s="10" t="s">
        <v>489</v>
      </c>
      <c r="C92" s="4">
        <v>3.009</v>
      </c>
      <c r="D92" s="5">
        <v>44.1</v>
      </c>
      <c r="E92" s="4"/>
      <c r="F92" s="4"/>
      <c r="G92" s="2">
        <f t="shared" si="6"/>
        <v>2.975</v>
      </c>
      <c r="H92" s="11" t="str">
        <f t="shared" si="7"/>
        <v>2.999E-2</v>
      </c>
      <c r="I92" s="2">
        <f t="shared" si="11"/>
        <v>44.2</v>
      </c>
      <c r="J92" s="4">
        <f t="shared" si="8"/>
        <v>2.975</v>
      </c>
      <c r="K92" s="9">
        <f t="shared" si="9"/>
        <v>0.700000000000006</v>
      </c>
      <c r="L92" s="1">
        <f t="shared" si="10"/>
        <v>-4.59999999999999</v>
      </c>
    </row>
    <row r="93" s="1" customFormat="1" spans="1:12">
      <c r="A93" s="2">
        <v>3.042</v>
      </c>
      <c r="B93" s="10" t="s">
        <v>493</v>
      </c>
      <c r="C93" s="4">
        <v>3.042</v>
      </c>
      <c r="D93" s="5">
        <v>44.2</v>
      </c>
      <c r="E93" s="4"/>
      <c r="F93" s="4"/>
      <c r="G93" s="2">
        <f t="shared" si="6"/>
        <v>3.009</v>
      </c>
      <c r="H93" s="11" t="str">
        <f t="shared" si="7"/>
        <v>2.997E-2</v>
      </c>
      <c r="I93" s="2">
        <f t="shared" si="11"/>
        <v>44.1</v>
      </c>
      <c r="J93" s="4">
        <f t="shared" si="8"/>
        <v>3.009</v>
      </c>
      <c r="K93" s="9">
        <f t="shared" si="9"/>
        <v>0.500000000000014</v>
      </c>
      <c r="L93" s="1">
        <f t="shared" si="10"/>
        <v>-4.59999999999999</v>
      </c>
    </row>
    <row r="94" s="1" customFormat="1" spans="1:12">
      <c r="A94" s="2">
        <v>3.076</v>
      </c>
      <c r="B94" s="10" t="s">
        <v>485</v>
      </c>
      <c r="C94" s="4">
        <v>3.076</v>
      </c>
      <c r="D94" s="5">
        <v>44.1</v>
      </c>
      <c r="E94" s="4"/>
      <c r="F94" s="4"/>
      <c r="G94" s="2">
        <f t="shared" si="6"/>
        <v>3.042</v>
      </c>
      <c r="H94" s="11" t="str">
        <f t="shared" si="7"/>
        <v>2.996E-2</v>
      </c>
      <c r="I94" s="2">
        <f t="shared" si="11"/>
        <v>44.2</v>
      </c>
      <c r="J94" s="4">
        <f t="shared" si="8"/>
        <v>3.042</v>
      </c>
      <c r="K94" s="9">
        <f t="shared" si="9"/>
        <v>0.400000000000018</v>
      </c>
      <c r="L94" s="1">
        <f t="shared" si="10"/>
        <v>-4.59999999999999</v>
      </c>
    </row>
    <row r="95" s="1" customFormat="1" spans="1:12">
      <c r="A95" s="2">
        <v>3.109</v>
      </c>
      <c r="B95" s="10" t="s">
        <v>494</v>
      </c>
      <c r="C95" s="4">
        <v>3.109</v>
      </c>
      <c r="D95" s="5">
        <v>44.2</v>
      </c>
      <c r="E95" s="4"/>
      <c r="F95" s="4"/>
      <c r="G95" s="2">
        <f t="shared" si="6"/>
        <v>3.076</v>
      </c>
      <c r="H95" s="11" t="str">
        <f t="shared" si="7"/>
        <v>2.992E-2</v>
      </c>
      <c r="I95" s="2">
        <f t="shared" si="11"/>
        <v>44.1</v>
      </c>
      <c r="J95" s="4">
        <f t="shared" si="8"/>
        <v>3.076</v>
      </c>
      <c r="K95" s="9">
        <f t="shared" si="9"/>
        <v>0</v>
      </c>
      <c r="L95" s="1">
        <f t="shared" si="10"/>
        <v>-4.59999999999999</v>
      </c>
    </row>
    <row r="96" s="1" customFormat="1" spans="1:12">
      <c r="A96" s="2">
        <v>3.142</v>
      </c>
      <c r="B96" s="10" t="s">
        <v>495</v>
      </c>
      <c r="C96" s="4">
        <v>3.142</v>
      </c>
      <c r="D96" s="5">
        <v>44.8</v>
      </c>
      <c r="E96" s="4"/>
      <c r="F96" s="4"/>
      <c r="G96" s="2">
        <f t="shared" si="6"/>
        <v>3.109</v>
      </c>
      <c r="H96" s="11" t="str">
        <f t="shared" si="7"/>
        <v>2.990E-2</v>
      </c>
      <c r="I96" s="2">
        <f t="shared" si="11"/>
        <v>44.2</v>
      </c>
      <c r="J96" s="4">
        <f t="shared" si="8"/>
        <v>3.109</v>
      </c>
      <c r="K96" s="9">
        <f t="shared" si="9"/>
        <v>-0.199999999999992</v>
      </c>
      <c r="L96" s="1">
        <f t="shared" si="10"/>
        <v>-4.59999999999999</v>
      </c>
    </row>
    <row r="97" s="1" customFormat="1" spans="1:12">
      <c r="A97" s="2">
        <v>3.176</v>
      </c>
      <c r="B97" s="10" t="s">
        <v>496</v>
      </c>
      <c r="C97" s="4">
        <v>3.176</v>
      </c>
      <c r="D97" s="5">
        <v>44.2</v>
      </c>
      <c r="E97" s="4"/>
      <c r="F97" s="4"/>
      <c r="G97" s="2">
        <f t="shared" si="6"/>
        <v>3.142</v>
      </c>
      <c r="H97" s="11" t="str">
        <f t="shared" si="7"/>
        <v>2.987E-2</v>
      </c>
      <c r="I97" s="2">
        <f t="shared" si="11"/>
        <v>44.8</v>
      </c>
      <c r="J97" s="4">
        <f t="shared" si="8"/>
        <v>3.142</v>
      </c>
      <c r="K97" s="9">
        <f t="shared" si="9"/>
        <v>-0.49999999999998</v>
      </c>
      <c r="L97" s="1">
        <f t="shared" si="10"/>
        <v>-4.59999999999999</v>
      </c>
    </row>
    <row r="98" s="1" customFormat="1" spans="1:12">
      <c r="A98" s="2">
        <v>3.209</v>
      </c>
      <c r="B98" s="10" t="s">
        <v>497</v>
      </c>
      <c r="C98" s="4">
        <v>3.209</v>
      </c>
      <c r="D98" s="5">
        <v>44.7</v>
      </c>
      <c r="E98" s="4"/>
      <c r="F98" s="4"/>
      <c r="G98" s="2">
        <f t="shared" si="6"/>
        <v>3.176</v>
      </c>
      <c r="H98" s="11" t="str">
        <f t="shared" si="7"/>
        <v>2.985E-2</v>
      </c>
      <c r="I98" s="2">
        <f t="shared" si="11"/>
        <v>44.2</v>
      </c>
      <c r="J98" s="4">
        <f t="shared" si="8"/>
        <v>3.176</v>
      </c>
      <c r="K98" s="9">
        <f t="shared" si="9"/>
        <v>-0.699999999999972</v>
      </c>
      <c r="L98" s="1">
        <f t="shared" si="10"/>
        <v>-4.59999999999999</v>
      </c>
    </row>
    <row r="99" s="1" customFormat="1" spans="1:12">
      <c r="A99" s="2">
        <v>3.243</v>
      </c>
      <c r="B99" s="10" t="s">
        <v>498</v>
      </c>
      <c r="C99" s="4">
        <v>3.243</v>
      </c>
      <c r="D99" s="5">
        <v>44.7</v>
      </c>
      <c r="E99" s="4"/>
      <c r="F99" s="4"/>
      <c r="G99" s="2">
        <f t="shared" si="6"/>
        <v>3.209</v>
      </c>
      <c r="H99" s="11" t="str">
        <f t="shared" si="7"/>
        <v>2.982E-2</v>
      </c>
      <c r="I99" s="2">
        <f t="shared" si="11"/>
        <v>44.7</v>
      </c>
      <c r="J99" s="4">
        <f t="shared" si="8"/>
        <v>3.209</v>
      </c>
      <c r="K99" s="9">
        <f t="shared" si="9"/>
        <v>-0.999999999999994</v>
      </c>
      <c r="L99" s="1">
        <f t="shared" si="10"/>
        <v>-4.59999999999999</v>
      </c>
    </row>
    <row r="100" s="1" customFormat="1" spans="1:12">
      <c r="A100" s="2">
        <v>3.276</v>
      </c>
      <c r="B100" s="10" t="s">
        <v>499</v>
      </c>
      <c r="C100" s="4">
        <v>3.276</v>
      </c>
      <c r="D100" s="5">
        <v>252.5</v>
      </c>
      <c r="E100" s="4"/>
      <c r="F100" s="4"/>
      <c r="G100" s="2">
        <f t="shared" si="6"/>
        <v>3.243</v>
      </c>
      <c r="H100" s="11" t="str">
        <f t="shared" si="7"/>
        <v>2.980E-2</v>
      </c>
      <c r="I100" s="2">
        <f t="shared" si="11"/>
        <v>44.7</v>
      </c>
      <c r="J100" s="4">
        <f t="shared" si="8"/>
        <v>3.243</v>
      </c>
      <c r="K100" s="9">
        <f t="shared" si="9"/>
        <v>-1.19999999999999</v>
      </c>
      <c r="L100" s="1">
        <f t="shared" si="10"/>
        <v>-4.59999999999999</v>
      </c>
    </row>
    <row r="101" s="1" customFormat="1" spans="1:12">
      <c r="A101" s="2">
        <v>3.31</v>
      </c>
      <c r="B101" s="10" t="s">
        <v>499</v>
      </c>
      <c r="C101" s="4">
        <v>3.31</v>
      </c>
      <c r="D101" s="5">
        <v>253.7</v>
      </c>
      <c r="E101" s="4"/>
      <c r="F101" s="4"/>
      <c r="G101" s="2">
        <f t="shared" si="6"/>
        <v>3.276</v>
      </c>
      <c r="H101" s="11" t="str">
        <f t="shared" si="7"/>
        <v>2.978E-2</v>
      </c>
      <c r="I101" s="2">
        <f t="shared" si="11"/>
        <v>252.5</v>
      </c>
      <c r="J101" s="4">
        <f t="shared" si="8"/>
        <v>3.276</v>
      </c>
      <c r="K101" s="9">
        <f t="shared" si="9"/>
        <v>-1.39999999999998</v>
      </c>
      <c r="L101" s="1">
        <f t="shared" si="10"/>
        <v>1.00000000000003</v>
      </c>
    </row>
    <row r="102" s="1" customFormat="1" spans="1:12">
      <c r="A102" s="2">
        <v>3.343</v>
      </c>
      <c r="B102" s="10" t="s">
        <v>499</v>
      </c>
      <c r="C102" s="4">
        <v>3.343</v>
      </c>
      <c r="D102" s="5">
        <v>253.7</v>
      </c>
      <c r="E102" s="4"/>
      <c r="F102" s="4"/>
      <c r="G102" s="2">
        <f t="shared" si="6"/>
        <v>3.31</v>
      </c>
      <c r="H102" s="11" t="str">
        <f t="shared" si="7"/>
        <v>2.978E-2</v>
      </c>
      <c r="I102" s="2">
        <f t="shared" si="11"/>
        <v>253.7</v>
      </c>
      <c r="J102" s="4">
        <f t="shared" si="8"/>
        <v>3.31</v>
      </c>
      <c r="K102" s="9">
        <f t="shared" si="9"/>
        <v>-1.39999999999998</v>
      </c>
      <c r="L102" s="1">
        <f t="shared" si="10"/>
        <v>1.00000000000003</v>
      </c>
    </row>
    <row r="103" s="1" customFormat="1" spans="1:12">
      <c r="A103" s="2">
        <v>3.376</v>
      </c>
      <c r="B103" s="10" t="s">
        <v>499</v>
      </c>
      <c r="C103" s="4">
        <v>3.376</v>
      </c>
      <c r="D103" s="5">
        <v>253.7</v>
      </c>
      <c r="E103" s="4"/>
      <c r="F103" s="4"/>
      <c r="G103" s="2">
        <f t="shared" si="6"/>
        <v>3.343</v>
      </c>
      <c r="H103" s="11" t="str">
        <f t="shared" si="7"/>
        <v>2.978E-2</v>
      </c>
      <c r="I103" s="2">
        <f t="shared" si="11"/>
        <v>253.7</v>
      </c>
      <c r="J103" s="4">
        <f t="shared" si="8"/>
        <v>3.343</v>
      </c>
      <c r="K103" s="9">
        <f t="shared" si="9"/>
        <v>-1.39999999999998</v>
      </c>
      <c r="L103" s="1">
        <f t="shared" si="10"/>
        <v>1.00000000000003</v>
      </c>
    </row>
    <row r="104" s="1" customFormat="1" spans="1:12">
      <c r="A104" s="2">
        <v>3.41</v>
      </c>
      <c r="B104" s="10" t="s">
        <v>499</v>
      </c>
      <c r="C104" s="4">
        <v>3.41</v>
      </c>
      <c r="D104" s="5">
        <v>253.8</v>
      </c>
      <c r="E104" s="4"/>
      <c r="F104" s="4"/>
      <c r="G104" s="2">
        <f t="shared" si="6"/>
        <v>3.376</v>
      </c>
      <c r="H104" s="11" t="str">
        <f t="shared" si="7"/>
        <v>2.978E-2</v>
      </c>
      <c r="I104" s="2">
        <f t="shared" si="11"/>
        <v>253.7</v>
      </c>
      <c r="J104" s="4">
        <f t="shared" si="8"/>
        <v>3.376</v>
      </c>
      <c r="K104" s="9">
        <f t="shared" si="9"/>
        <v>-1.39999999999998</v>
      </c>
      <c r="L104" s="1">
        <f t="shared" si="10"/>
        <v>1.00000000000003</v>
      </c>
    </row>
    <row r="105" s="1" customFormat="1" spans="1:12">
      <c r="A105" s="2">
        <v>3.443</v>
      </c>
      <c r="B105" s="10" t="s">
        <v>498</v>
      </c>
      <c r="C105" s="4">
        <v>3.443</v>
      </c>
      <c r="D105" s="5">
        <v>253.7</v>
      </c>
      <c r="E105" s="4"/>
      <c r="F105" s="4"/>
      <c r="G105" s="2">
        <f t="shared" si="6"/>
        <v>3.41</v>
      </c>
      <c r="H105" s="11" t="str">
        <f t="shared" si="7"/>
        <v>2.978E-2</v>
      </c>
      <c r="I105" s="2">
        <f t="shared" si="11"/>
        <v>253.8</v>
      </c>
      <c r="J105" s="4">
        <f t="shared" si="8"/>
        <v>3.41</v>
      </c>
      <c r="K105" s="9">
        <f t="shared" si="9"/>
        <v>-1.39999999999998</v>
      </c>
      <c r="L105" s="1">
        <f t="shared" si="10"/>
        <v>1.00000000000003</v>
      </c>
    </row>
    <row r="106" s="1" customFormat="1" spans="1:12">
      <c r="A106" s="2">
        <v>3.477</v>
      </c>
      <c r="B106" s="10" t="s">
        <v>497</v>
      </c>
      <c r="C106" s="4">
        <v>3.477</v>
      </c>
      <c r="D106" s="5">
        <v>253.8</v>
      </c>
      <c r="E106" s="4"/>
      <c r="F106" s="4"/>
      <c r="G106" s="2">
        <f t="shared" si="6"/>
        <v>3.443</v>
      </c>
      <c r="H106" s="11" t="str">
        <f t="shared" si="7"/>
        <v>2.980E-2</v>
      </c>
      <c r="I106" s="2">
        <f t="shared" si="11"/>
        <v>253.7</v>
      </c>
      <c r="J106" s="4">
        <f t="shared" si="8"/>
        <v>3.443</v>
      </c>
      <c r="K106" s="9">
        <f t="shared" si="9"/>
        <v>-1.19999999999999</v>
      </c>
      <c r="L106" s="1">
        <f t="shared" si="10"/>
        <v>1.00000000000003</v>
      </c>
    </row>
    <row r="107" s="1" customFormat="1" spans="1:12">
      <c r="A107" s="2">
        <v>3.51</v>
      </c>
      <c r="B107" s="10" t="s">
        <v>500</v>
      </c>
      <c r="C107" s="4">
        <v>3.51</v>
      </c>
      <c r="D107" s="5">
        <v>253.8</v>
      </c>
      <c r="E107" s="4"/>
      <c r="F107" s="4"/>
      <c r="G107" s="2">
        <f t="shared" si="6"/>
        <v>3.477</v>
      </c>
      <c r="H107" s="11" t="str">
        <f t="shared" si="7"/>
        <v>2.982E-2</v>
      </c>
      <c r="I107" s="2">
        <f t="shared" si="11"/>
        <v>253.8</v>
      </c>
      <c r="J107" s="4">
        <f t="shared" si="8"/>
        <v>3.477</v>
      </c>
      <c r="K107" s="9">
        <f t="shared" si="9"/>
        <v>-0.999999999999994</v>
      </c>
      <c r="L107" s="1">
        <f t="shared" si="10"/>
        <v>1.00000000000003</v>
      </c>
    </row>
    <row r="108" s="1" customFormat="1" spans="1:12">
      <c r="A108" s="2">
        <v>3.544</v>
      </c>
      <c r="B108" s="10" t="s">
        <v>501</v>
      </c>
      <c r="C108" s="4">
        <v>3.544</v>
      </c>
      <c r="D108" s="5">
        <v>253.8</v>
      </c>
      <c r="E108" s="4"/>
      <c r="F108" s="4"/>
      <c r="G108" s="2">
        <f t="shared" si="6"/>
        <v>3.51</v>
      </c>
      <c r="H108" s="11" t="str">
        <f t="shared" si="7"/>
        <v>2.984E-2</v>
      </c>
      <c r="I108" s="2">
        <f t="shared" si="11"/>
        <v>253.8</v>
      </c>
      <c r="J108" s="4">
        <f t="shared" si="8"/>
        <v>3.51</v>
      </c>
      <c r="K108" s="9">
        <f t="shared" si="9"/>
        <v>-0.800000000000002</v>
      </c>
      <c r="L108" s="1">
        <f t="shared" si="10"/>
        <v>1.00000000000003</v>
      </c>
    </row>
    <row r="109" s="1" customFormat="1" spans="1:12">
      <c r="A109" s="2">
        <v>3.577</v>
      </c>
      <c r="B109" s="10" t="s">
        <v>502</v>
      </c>
      <c r="C109" s="4">
        <v>3.577</v>
      </c>
      <c r="D109" s="5">
        <v>253.8</v>
      </c>
      <c r="E109" s="4"/>
      <c r="F109" s="4"/>
      <c r="G109" s="2">
        <f t="shared" si="6"/>
        <v>3.544</v>
      </c>
      <c r="H109" s="11" t="str">
        <f t="shared" si="7"/>
        <v>2.986E-2</v>
      </c>
      <c r="I109" s="2">
        <f t="shared" si="11"/>
        <v>253.8</v>
      </c>
      <c r="J109" s="4">
        <f t="shared" si="8"/>
        <v>3.544</v>
      </c>
      <c r="K109" s="9">
        <f t="shared" si="9"/>
        <v>-0.599999999999976</v>
      </c>
      <c r="L109" s="1">
        <f t="shared" si="10"/>
        <v>1.00000000000003</v>
      </c>
    </row>
    <row r="110" s="1" customFormat="1" spans="1:12">
      <c r="A110" s="2">
        <v>3.611</v>
      </c>
      <c r="B110" s="10" t="s">
        <v>486</v>
      </c>
      <c r="C110" s="4">
        <v>3.611</v>
      </c>
      <c r="D110" s="5">
        <v>253.7</v>
      </c>
      <c r="E110" s="4"/>
      <c r="F110" s="4"/>
      <c r="G110" s="2">
        <f t="shared" si="6"/>
        <v>3.577</v>
      </c>
      <c r="H110" s="11" t="str">
        <f t="shared" si="7"/>
        <v>2.988E-2</v>
      </c>
      <c r="I110" s="2">
        <f t="shared" si="11"/>
        <v>253.8</v>
      </c>
      <c r="J110" s="4">
        <f t="shared" si="8"/>
        <v>3.577</v>
      </c>
      <c r="K110" s="9">
        <f t="shared" si="9"/>
        <v>-0.399999999999984</v>
      </c>
      <c r="L110" s="1">
        <f t="shared" si="10"/>
        <v>1.00000000000003</v>
      </c>
    </row>
    <row r="111" s="1" customFormat="1" spans="1:12">
      <c r="A111" s="2">
        <v>3.644</v>
      </c>
      <c r="B111" s="10" t="s">
        <v>487</v>
      </c>
      <c r="C111" s="4">
        <v>3.644</v>
      </c>
      <c r="D111" s="5">
        <v>253.7</v>
      </c>
      <c r="E111" s="4"/>
      <c r="F111" s="4"/>
      <c r="G111" s="2">
        <f t="shared" si="6"/>
        <v>3.611</v>
      </c>
      <c r="H111" s="11" t="str">
        <f t="shared" si="7"/>
        <v>2.991E-2</v>
      </c>
      <c r="I111" s="2">
        <f t="shared" si="11"/>
        <v>253.7</v>
      </c>
      <c r="J111" s="4">
        <f t="shared" si="8"/>
        <v>3.611</v>
      </c>
      <c r="K111" s="9">
        <f t="shared" si="9"/>
        <v>-0.0999999999999959</v>
      </c>
      <c r="L111" s="1">
        <f t="shared" si="10"/>
        <v>1.00000000000003</v>
      </c>
    </row>
    <row r="112" s="1" customFormat="1" spans="1:12">
      <c r="A112" s="2">
        <v>3.677</v>
      </c>
      <c r="B112" s="10" t="s">
        <v>503</v>
      </c>
      <c r="C112" s="4">
        <v>3.677</v>
      </c>
      <c r="D112" s="5">
        <v>251.6</v>
      </c>
      <c r="E112" s="4"/>
      <c r="F112" s="4"/>
      <c r="G112" s="2">
        <f t="shared" si="6"/>
        <v>3.644</v>
      </c>
      <c r="H112" s="11" t="str">
        <f t="shared" si="7"/>
        <v>2.993E-2</v>
      </c>
      <c r="I112" s="2">
        <f t="shared" si="11"/>
        <v>253.7</v>
      </c>
      <c r="J112" s="4">
        <f t="shared" si="8"/>
        <v>3.644</v>
      </c>
      <c r="K112" s="9">
        <f t="shared" si="9"/>
        <v>0.0999999999999959</v>
      </c>
      <c r="L112" s="1">
        <f t="shared" si="10"/>
        <v>1.00000000000003</v>
      </c>
    </row>
    <row r="113" s="1" customFormat="1" spans="1:12">
      <c r="A113" s="2">
        <v>3.711</v>
      </c>
      <c r="B113" s="10" t="s">
        <v>493</v>
      </c>
      <c r="C113" s="4">
        <v>3.711</v>
      </c>
      <c r="D113" s="5">
        <v>44.3</v>
      </c>
      <c r="E113" s="4"/>
      <c r="F113" s="4"/>
      <c r="G113" s="2">
        <f t="shared" si="6"/>
        <v>3.677</v>
      </c>
      <c r="H113" s="11" t="str">
        <f t="shared" si="7"/>
        <v>2.994E-2</v>
      </c>
      <c r="I113" s="2">
        <f t="shared" si="11"/>
        <v>251.6</v>
      </c>
      <c r="J113" s="4">
        <f t="shared" si="8"/>
        <v>3.677</v>
      </c>
      <c r="K113" s="9">
        <f t="shared" si="9"/>
        <v>0.200000000000027</v>
      </c>
      <c r="L113" s="1">
        <f t="shared" si="10"/>
        <v>1.00000000000003</v>
      </c>
    </row>
    <row r="114" s="1" customFormat="1" spans="1:12">
      <c r="A114" s="2">
        <v>3.744</v>
      </c>
      <c r="B114" s="10" t="s">
        <v>491</v>
      </c>
      <c r="C114" s="4">
        <v>3.744</v>
      </c>
      <c r="D114" s="5">
        <v>44.3</v>
      </c>
      <c r="E114" s="4"/>
      <c r="F114" s="4"/>
      <c r="G114" s="2">
        <f t="shared" si="6"/>
        <v>3.711</v>
      </c>
      <c r="H114" s="11" t="str">
        <f t="shared" si="7"/>
        <v>2.996E-2</v>
      </c>
      <c r="I114" s="2">
        <f t="shared" si="11"/>
        <v>44.3</v>
      </c>
      <c r="J114" s="4">
        <f t="shared" si="8"/>
        <v>3.711</v>
      </c>
      <c r="K114" s="9">
        <f t="shared" si="9"/>
        <v>0.400000000000018</v>
      </c>
      <c r="L114" s="1">
        <f t="shared" si="10"/>
        <v>-4.59999999999999</v>
      </c>
    </row>
    <row r="115" s="1" customFormat="1" spans="1:12">
      <c r="A115" s="2">
        <v>3.778</v>
      </c>
      <c r="B115" s="10" t="s">
        <v>492</v>
      </c>
      <c r="C115" s="4">
        <v>3.778</v>
      </c>
      <c r="D115" s="5">
        <v>44</v>
      </c>
      <c r="E115" s="4"/>
      <c r="F115" s="4"/>
      <c r="G115" s="2">
        <f t="shared" si="6"/>
        <v>3.744</v>
      </c>
      <c r="H115" s="11" t="str">
        <f t="shared" si="7"/>
        <v>2.999E-2</v>
      </c>
      <c r="I115" s="2">
        <f t="shared" si="11"/>
        <v>44.3</v>
      </c>
      <c r="J115" s="4">
        <f t="shared" si="8"/>
        <v>3.744</v>
      </c>
      <c r="K115" s="9">
        <f t="shared" si="9"/>
        <v>0.700000000000006</v>
      </c>
      <c r="L115" s="1">
        <f t="shared" si="10"/>
        <v>-4.59999999999999</v>
      </c>
    </row>
    <row r="116" s="1" customFormat="1" spans="1:12">
      <c r="A116" s="2">
        <v>3.811</v>
      </c>
      <c r="B116" s="10" t="s">
        <v>504</v>
      </c>
      <c r="C116" s="4">
        <v>3.811</v>
      </c>
      <c r="D116" s="5">
        <v>44.4</v>
      </c>
      <c r="E116" s="4"/>
      <c r="F116" s="4"/>
      <c r="G116" s="2">
        <f t="shared" si="6"/>
        <v>3.778</v>
      </c>
      <c r="H116" s="11" t="str">
        <f t="shared" si="7"/>
        <v>3.000E-2</v>
      </c>
      <c r="I116" s="2">
        <f t="shared" si="11"/>
        <v>44</v>
      </c>
      <c r="J116" s="4">
        <f t="shared" si="8"/>
        <v>3.778</v>
      </c>
      <c r="K116" s="9">
        <f t="shared" si="9"/>
        <v>0.800000000000002</v>
      </c>
      <c r="L116" s="1">
        <f t="shared" si="10"/>
        <v>-4.59999999999999</v>
      </c>
    </row>
    <row r="117" s="1" customFormat="1" spans="1:12">
      <c r="A117" s="2">
        <v>3.845</v>
      </c>
      <c r="B117" s="10" t="s">
        <v>505</v>
      </c>
      <c r="C117" s="4">
        <v>3.845</v>
      </c>
      <c r="D117" s="5">
        <v>43.8</v>
      </c>
      <c r="E117" s="4"/>
      <c r="F117" s="4"/>
      <c r="G117" s="2">
        <f t="shared" si="6"/>
        <v>3.811</v>
      </c>
      <c r="H117" s="11" t="str">
        <f t="shared" si="7"/>
        <v>3.002E-2</v>
      </c>
      <c r="I117" s="2">
        <f t="shared" si="11"/>
        <v>44.4</v>
      </c>
      <c r="J117" s="4">
        <f t="shared" si="8"/>
        <v>3.811</v>
      </c>
      <c r="K117" s="9">
        <f t="shared" si="9"/>
        <v>1.00000000000003</v>
      </c>
      <c r="L117" s="1">
        <f t="shared" si="10"/>
        <v>-4.59999999999999</v>
      </c>
    </row>
    <row r="118" s="1" customFormat="1" spans="1:12">
      <c r="A118" s="2">
        <v>3.878</v>
      </c>
      <c r="B118" s="10" t="s">
        <v>505</v>
      </c>
      <c r="C118" s="4">
        <v>3.878</v>
      </c>
      <c r="D118" s="5">
        <v>44.4</v>
      </c>
      <c r="E118" s="4"/>
      <c r="F118" s="4"/>
      <c r="G118" s="2">
        <f t="shared" si="6"/>
        <v>3.845</v>
      </c>
      <c r="H118" s="11" t="str">
        <f t="shared" si="7"/>
        <v>3.001E-2</v>
      </c>
      <c r="I118" s="2">
        <f t="shared" si="11"/>
        <v>43.8</v>
      </c>
      <c r="J118" s="4">
        <f t="shared" si="8"/>
        <v>3.845</v>
      </c>
      <c r="K118" s="9">
        <f t="shared" si="9"/>
        <v>0.899999999999998</v>
      </c>
      <c r="L118" s="1">
        <f t="shared" si="10"/>
        <v>-4.59999999999999</v>
      </c>
    </row>
    <row r="119" s="1" customFormat="1" spans="1:12">
      <c r="A119" s="2">
        <v>3.911</v>
      </c>
      <c r="B119" s="10" t="s">
        <v>505</v>
      </c>
      <c r="C119" s="4">
        <v>3.911</v>
      </c>
      <c r="D119" s="5">
        <v>43.7</v>
      </c>
      <c r="E119" s="4"/>
      <c r="F119" s="4"/>
      <c r="G119" s="2">
        <f t="shared" si="6"/>
        <v>3.878</v>
      </c>
      <c r="H119" s="11" t="str">
        <f t="shared" si="7"/>
        <v>3.001E-2</v>
      </c>
      <c r="I119" s="2">
        <f t="shared" si="11"/>
        <v>44.4</v>
      </c>
      <c r="J119" s="4">
        <f t="shared" si="8"/>
        <v>3.878</v>
      </c>
      <c r="K119" s="9">
        <f t="shared" si="9"/>
        <v>0.899999999999998</v>
      </c>
      <c r="L119" s="1">
        <f t="shared" si="10"/>
        <v>-4.59999999999999</v>
      </c>
    </row>
    <row r="120" s="1" customFormat="1" spans="1:12">
      <c r="A120" s="2">
        <v>3.945</v>
      </c>
      <c r="B120" s="10" t="s">
        <v>491</v>
      </c>
      <c r="C120" s="4">
        <v>3.945</v>
      </c>
      <c r="D120" s="5">
        <v>44.2</v>
      </c>
      <c r="E120" s="4"/>
      <c r="F120" s="4"/>
      <c r="G120" s="2">
        <f t="shared" si="6"/>
        <v>3.911</v>
      </c>
      <c r="H120" s="11" t="str">
        <f t="shared" si="7"/>
        <v>3.001E-2</v>
      </c>
      <c r="I120" s="2">
        <f t="shared" si="11"/>
        <v>43.7</v>
      </c>
      <c r="J120" s="4">
        <f t="shared" si="8"/>
        <v>3.911</v>
      </c>
      <c r="K120" s="9">
        <f t="shared" si="9"/>
        <v>0.899999999999998</v>
      </c>
      <c r="L120" s="1">
        <f t="shared" si="10"/>
        <v>-4.59999999999999</v>
      </c>
    </row>
    <row r="121" s="1" customFormat="1" spans="1:12">
      <c r="A121" s="2">
        <v>3.978</v>
      </c>
      <c r="B121" s="10" t="s">
        <v>489</v>
      </c>
      <c r="C121" s="4">
        <v>3.978</v>
      </c>
      <c r="D121" s="5">
        <v>44.2</v>
      </c>
      <c r="E121" s="4"/>
      <c r="F121" s="4"/>
      <c r="G121" s="2">
        <f t="shared" si="6"/>
        <v>3.945</v>
      </c>
      <c r="H121" s="11" t="str">
        <f t="shared" si="7"/>
        <v>2.999E-2</v>
      </c>
      <c r="I121" s="2">
        <f t="shared" si="11"/>
        <v>44.2</v>
      </c>
      <c r="J121" s="4">
        <f t="shared" si="8"/>
        <v>3.945</v>
      </c>
      <c r="K121" s="9">
        <f t="shared" si="9"/>
        <v>0.700000000000006</v>
      </c>
      <c r="L121" s="1">
        <f t="shared" si="10"/>
        <v>-4.59999999999999</v>
      </c>
    </row>
    <row r="122" s="1" customFormat="1" spans="1:12">
      <c r="A122" s="2">
        <v>4.012</v>
      </c>
      <c r="B122" s="10" t="s">
        <v>488</v>
      </c>
      <c r="C122" s="4">
        <v>4.012</v>
      </c>
      <c r="D122" s="5">
        <v>44.8</v>
      </c>
      <c r="E122" s="4"/>
      <c r="F122" s="4"/>
      <c r="G122" s="2">
        <f t="shared" si="6"/>
        <v>3.978</v>
      </c>
      <c r="H122" s="11" t="str">
        <f t="shared" si="7"/>
        <v>2.997E-2</v>
      </c>
      <c r="I122" s="2">
        <f t="shared" si="11"/>
        <v>44.2</v>
      </c>
      <c r="J122" s="4">
        <f t="shared" si="8"/>
        <v>3.978</v>
      </c>
      <c r="K122" s="9">
        <f t="shared" si="9"/>
        <v>0.500000000000014</v>
      </c>
      <c r="L122" s="1">
        <f t="shared" si="10"/>
        <v>-4.59999999999999</v>
      </c>
    </row>
    <row r="123" s="1" customFormat="1" spans="1:12">
      <c r="A123" s="2">
        <v>4.045</v>
      </c>
      <c r="B123" s="10" t="s">
        <v>488</v>
      </c>
      <c r="C123" s="4">
        <v>4.045</v>
      </c>
      <c r="D123" s="5">
        <v>44.5</v>
      </c>
      <c r="E123" s="4"/>
      <c r="F123" s="4"/>
      <c r="G123" s="2">
        <f t="shared" si="6"/>
        <v>4.012</v>
      </c>
      <c r="H123" s="11" t="str">
        <f t="shared" si="7"/>
        <v>2.995E-2</v>
      </c>
      <c r="I123" s="2">
        <f t="shared" si="11"/>
        <v>44.8</v>
      </c>
      <c r="J123" s="4">
        <f t="shared" si="8"/>
        <v>4.012</v>
      </c>
      <c r="K123" s="9">
        <f t="shared" si="9"/>
        <v>0.300000000000022</v>
      </c>
      <c r="L123" s="1">
        <f t="shared" si="10"/>
        <v>-4.59999999999999</v>
      </c>
    </row>
    <row r="124" s="1" customFormat="1" spans="1:12">
      <c r="A124" s="2">
        <v>4.079</v>
      </c>
      <c r="B124" s="10" t="s">
        <v>485</v>
      </c>
      <c r="C124" s="4">
        <v>4.079</v>
      </c>
      <c r="D124" s="5">
        <v>249</v>
      </c>
      <c r="E124" s="4"/>
      <c r="F124" s="4"/>
      <c r="G124" s="2">
        <f t="shared" si="6"/>
        <v>4.045</v>
      </c>
      <c r="H124" s="11" t="str">
        <f t="shared" si="7"/>
        <v>2.995E-2</v>
      </c>
      <c r="I124" s="2">
        <f t="shared" si="11"/>
        <v>44.5</v>
      </c>
      <c r="J124" s="4">
        <f t="shared" si="8"/>
        <v>4.045</v>
      </c>
      <c r="K124" s="9">
        <f t="shared" si="9"/>
        <v>0.300000000000022</v>
      </c>
      <c r="L124" s="1">
        <f t="shared" si="10"/>
        <v>-4.59999999999999</v>
      </c>
    </row>
    <row r="125" s="1" customFormat="1" spans="1:12">
      <c r="A125" s="2">
        <v>4.112</v>
      </c>
      <c r="B125" s="10" t="s">
        <v>502</v>
      </c>
      <c r="C125" s="4">
        <v>4.112</v>
      </c>
      <c r="D125" s="5">
        <v>253.8</v>
      </c>
      <c r="E125" s="4"/>
      <c r="F125" s="4"/>
      <c r="G125" s="2">
        <f t="shared" si="6"/>
        <v>4.079</v>
      </c>
      <c r="H125" s="11" t="str">
        <f t="shared" si="7"/>
        <v>2.992E-2</v>
      </c>
      <c r="I125" s="2">
        <f t="shared" si="11"/>
        <v>249</v>
      </c>
      <c r="J125" s="4">
        <f t="shared" si="8"/>
        <v>4.079</v>
      </c>
      <c r="K125" s="9">
        <f t="shared" si="9"/>
        <v>0</v>
      </c>
      <c r="L125" s="1">
        <f t="shared" si="10"/>
        <v>1.00000000000003</v>
      </c>
    </row>
    <row r="126" s="1" customFormat="1" spans="1:12">
      <c r="A126" s="2">
        <v>4.145</v>
      </c>
      <c r="B126" s="10" t="s">
        <v>495</v>
      </c>
      <c r="C126" s="4">
        <v>4.145</v>
      </c>
      <c r="D126" s="5">
        <v>253.7</v>
      </c>
      <c r="E126" s="4"/>
      <c r="F126" s="4"/>
      <c r="G126" s="2">
        <f t="shared" si="6"/>
        <v>4.112</v>
      </c>
      <c r="H126" s="11" t="str">
        <f t="shared" si="7"/>
        <v>2.988E-2</v>
      </c>
      <c r="I126" s="2">
        <f t="shared" si="11"/>
        <v>253.8</v>
      </c>
      <c r="J126" s="4">
        <f t="shared" si="8"/>
        <v>4.112</v>
      </c>
      <c r="K126" s="9">
        <f t="shared" si="9"/>
        <v>-0.399999999999984</v>
      </c>
      <c r="L126" s="1">
        <f t="shared" si="10"/>
        <v>1.00000000000003</v>
      </c>
    </row>
    <row r="127" s="1" customFormat="1" spans="1:12">
      <c r="A127" s="2">
        <v>4.179</v>
      </c>
      <c r="B127" s="10" t="s">
        <v>506</v>
      </c>
      <c r="C127" s="4">
        <v>4.179</v>
      </c>
      <c r="D127" s="5">
        <v>253.7</v>
      </c>
      <c r="E127" s="4"/>
      <c r="F127" s="4"/>
      <c r="G127" s="2">
        <f t="shared" si="6"/>
        <v>4.145</v>
      </c>
      <c r="H127" s="11" t="str">
        <f t="shared" si="7"/>
        <v>2.987E-2</v>
      </c>
      <c r="I127" s="2">
        <f t="shared" si="11"/>
        <v>253.7</v>
      </c>
      <c r="J127" s="4">
        <f t="shared" si="8"/>
        <v>4.145</v>
      </c>
      <c r="K127" s="9">
        <f t="shared" si="9"/>
        <v>-0.49999999999998</v>
      </c>
      <c r="L127" s="1">
        <f t="shared" si="10"/>
        <v>1.00000000000003</v>
      </c>
    </row>
    <row r="128" s="1" customFormat="1" spans="1:12">
      <c r="A128" s="2">
        <v>4.212</v>
      </c>
      <c r="B128" s="10" t="s">
        <v>497</v>
      </c>
      <c r="C128" s="4">
        <v>4.212</v>
      </c>
      <c r="D128" s="5">
        <v>253.8</v>
      </c>
      <c r="E128" s="4"/>
      <c r="F128" s="4"/>
      <c r="G128" s="2">
        <f t="shared" si="6"/>
        <v>4.179</v>
      </c>
      <c r="H128" s="11" t="str">
        <f t="shared" si="7"/>
        <v>2.983E-2</v>
      </c>
      <c r="I128" s="2">
        <f t="shared" si="11"/>
        <v>253.7</v>
      </c>
      <c r="J128" s="4">
        <f t="shared" si="8"/>
        <v>4.179</v>
      </c>
      <c r="K128" s="9">
        <f t="shared" si="9"/>
        <v>-0.899999999999998</v>
      </c>
      <c r="L128" s="1">
        <f t="shared" si="10"/>
        <v>1.00000000000003</v>
      </c>
    </row>
    <row r="129" s="1" customFormat="1" spans="1:12">
      <c r="A129" s="2">
        <v>4.246</v>
      </c>
      <c r="B129" s="10" t="s">
        <v>506</v>
      </c>
      <c r="C129" s="4">
        <v>4.246</v>
      </c>
      <c r="D129" s="5">
        <v>253.8</v>
      </c>
      <c r="E129" s="4"/>
      <c r="F129" s="4"/>
      <c r="G129" s="2">
        <f t="shared" si="6"/>
        <v>4.212</v>
      </c>
      <c r="H129" s="11" t="str">
        <f t="shared" si="7"/>
        <v>2.982E-2</v>
      </c>
      <c r="I129" s="2">
        <f t="shared" si="11"/>
        <v>253.8</v>
      </c>
      <c r="J129" s="4">
        <f t="shared" si="8"/>
        <v>4.212</v>
      </c>
      <c r="K129" s="9">
        <f t="shared" si="9"/>
        <v>-0.999999999999994</v>
      </c>
      <c r="L129" s="1">
        <f t="shared" si="10"/>
        <v>1.00000000000003</v>
      </c>
    </row>
    <row r="130" s="1" customFormat="1" spans="1:12">
      <c r="A130" s="2">
        <v>4.279</v>
      </c>
      <c r="B130" s="10" t="s">
        <v>497</v>
      </c>
      <c r="C130" s="4">
        <v>4.279</v>
      </c>
      <c r="D130" s="5">
        <v>253.8</v>
      </c>
      <c r="E130" s="4"/>
      <c r="F130" s="4"/>
      <c r="G130" s="2">
        <f t="shared" si="6"/>
        <v>4.246</v>
      </c>
      <c r="H130" s="11" t="str">
        <f t="shared" si="7"/>
        <v>2.983E-2</v>
      </c>
      <c r="I130" s="2">
        <f t="shared" si="11"/>
        <v>253.8</v>
      </c>
      <c r="J130" s="4">
        <f t="shared" si="8"/>
        <v>4.246</v>
      </c>
      <c r="K130" s="9">
        <f t="shared" si="9"/>
        <v>-0.899999999999998</v>
      </c>
      <c r="L130" s="1">
        <f t="shared" si="10"/>
        <v>1.00000000000003</v>
      </c>
    </row>
    <row r="131" s="1" customFormat="1" spans="1:12">
      <c r="A131" s="2">
        <v>4.313</v>
      </c>
      <c r="B131" s="10" t="s">
        <v>507</v>
      </c>
      <c r="C131" s="4">
        <v>4.313</v>
      </c>
      <c r="D131" s="5">
        <v>253.7</v>
      </c>
      <c r="E131" s="4"/>
      <c r="F131" s="4"/>
      <c r="G131" s="2">
        <f t="shared" si="6"/>
        <v>4.279</v>
      </c>
      <c r="H131" s="11" t="str">
        <f t="shared" si="7"/>
        <v>2.982E-2</v>
      </c>
      <c r="I131" s="2">
        <f t="shared" si="11"/>
        <v>253.8</v>
      </c>
      <c r="J131" s="4">
        <f t="shared" si="8"/>
        <v>4.279</v>
      </c>
      <c r="K131" s="9">
        <f t="shared" si="9"/>
        <v>-0.999999999999994</v>
      </c>
      <c r="L131" s="1">
        <f t="shared" si="10"/>
        <v>1.00000000000003</v>
      </c>
    </row>
    <row r="132" s="1" customFormat="1" spans="1:12">
      <c r="A132" s="2">
        <v>4.346</v>
      </c>
      <c r="B132" s="10" t="s">
        <v>498</v>
      </c>
      <c r="C132" s="4">
        <v>4.346</v>
      </c>
      <c r="D132" s="5">
        <v>253.7</v>
      </c>
      <c r="E132" s="4"/>
      <c r="F132" s="4"/>
      <c r="G132" s="2">
        <f t="shared" ref="G132:G195" si="12">A131</f>
        <v>4.313</v>
      </c>
      <c r="H132" s="11" t="str">
        <f t="shared" ref="H132:H195" si="13">B131</f>
        <v>2.979E-2</v>
      </c>
      <c r="I132" s="2">
        <f t="shared" si="11"/>
        <v>253.7</v>
      </c>
      <c r="J132" s="4">
        <f t="shared" ref="J132:J195" si="14">G132</f>
        <v>4.313</v>
      </c>
      <c r="K132" s="9">
        <f t="shared" ref="K132:K195" si="15">(H132-$H$4)*10000</f>
        <v>-1.29999999999998</v>
      </c>
      <c r="L132" s="1">
        <f t="shared" ref="L132:L195" si="16">IF(I132&lt;230,MIN(K:K),MAX(K:K))</f>
        <v>1.00000000000003</v>
      </c>
    </row>
    <row r="133" s="1" customFormat="1" spans="1:12">
      <c r="A133" s="2">
        <v>4.379</v>
      </c>
      <c r="B133" s="10" t="s">
        <v>498</v>
      </c>
      <c r="C133" s="4">
        <v>4.379</v>
      </c>
      <c r="D133" s="5">
        <v>253.7</v>
      </c>
      <c r="E133" s="4"/>
      <c r="F133" s="4"/>
      <c r="G133" s="2">
        <f t="shared" si="12"/>
        <v>4.346</v>
      </c>
      <c r="H133" s="11" t="str">
        <f t="shared" si="13"/>
        <v>2.980E-2</v>
      </c>
      <c r="I133" s="2">
        <f t="shared" ref="I133:I196" si="17">D132</f>
        <v>253.7</v>
      </c>
      <c r="J133" s="4">
        <f t="shared" si="14"/>
        <v>4.346</v>
      </c>
      <c r="K133" s="9">
        <f t="shared" si="15"/>
        <v>-1.19999999999999</v>
      </c>
      <c r="L133" s="1">
        <f t="shared" si="16"/>
        <v>1.00000000000003</v>
      </c>
    </row>
    <row r="134" s="1" customFormat="1" spans="1:12">
      <c r="A134" s="2">
        <v>4.413</v>
      </c>
      <c r="B134" s="10" t="s">
        <v>498</v>
      </c>
      <c r="C134" s="4">
        <v>4.413</v>
      </c>
      <c r="D134" s="5">
        <v>253.8</v>
      </c>
      <c r="E134" s="4"/>
      <c r="F134" s="4"/>
      <c r="G134" s="2">
        <f t="shared" si="12"/>
        <v>4.379</v>
      </c>
      <c r="H134" s="11" t="str">
        <f t="shared" si="13"/>
        <v>2.980E-2</v>
      </c>
      <c r="I134" s="2">
        <f t="shared" si="17"/>
        <v>253.7</v>
      </c>
      <c r="J134" s="4">
        <f t="shared" si="14"/>
        <v>4.379</v>
      </c>
      <c r="K134" s="9">
        <f t="shared" si="15"/>
        <v>-1.19999999999999</v>
      </c>
      <c r="L134" s="1">
        <f t="shared" si="16"/>
        <v>1.00000000000003</v>
      </c>
    </row>
    <row r="135" s="1" customFormat="1" spans="1:12">
      <c r="A135" s="2">
        <v>4.446</v>
      </c>
      <c r="B135" s="10" t="s">
        <v>507</v>
      </c>
      <c r="C135" s="4">
        <v>4.446</v>
      </c>
      <c r="D135" s="5">
        <v>253.8</v>
      </c>
      <c r="E135" s="4"/>
      <c r="F135" s="4"/>
      <c r="G135" s="2">
        <f t="shared" si="12"/>
        <v>4.413</v>
      </c>
      <c r="H135" s="11" t="str">
        <f t="shared" si="13"/>
        <v>2.980E-2</v>
      </c>
      <c r="I135" s="2">
        <f t="shared" si="17"/>
        <v>253.8</v>
      </c>
      <c r="J135" s="4">
        <f t="shared" si="14"/>
        <v>4.413</v>
      </c>
      <c r="K135" s="9">
        <f t="shared" si="15"/>
        <v>-1.19999999999999</v>
      </c>
      <c r="L135" s="1">
        <f t="shared" si="16"/>
        <v>1.00000000000003</v>
      </c>
    </row>
    <row r="136" s="1" customFormat="1" spans="1:12">
      <c r="A136" s="2">
        <v>4.48</v>
      </c>
      <c r="B136" s="10" t="s">
        <v>498</v>
      </c>
      <c r="C136" s="4">
        <v>4.48</v>
      </c>
      <c r="D136" s="5">
        <v>253.4</v>
      </c>
      <c r="E136" s="4"/>
      <c r="F136" s="4"/>
      <c r="G136" s="2">
        <f t="shared" si="12"/>
        <v>4.446</v>
      </c>
      <c r="H136" s="11" t="str">
        <f t="shared" si="13"/>
        <v>2.979E-2</v>
      </c>
      <c r="I136" s="2">
        <f t="shared" si="17"/>
        <v>253.8</v>
      </c>
      <c r="J136" s="4">
        <f t="shared" si="14"/>
        <v>4.446</v>
      </c>
      <c r="K136" s="9">
        <f t="shared" si="15"/>
        <v>-1.29999999999998</v>
      </c>
      <c r="L136" s="1">
        <f t="shared" si="16"/>
        <v>1.00000000000003</v>
      </c>
    </row>
    <row r="137" s="1" customFormat="1" spans="1:12">
      <c r="A137" s="2">
        <v>4.513</v>
      </c>
      <c r="B137" s="10" t="s">
        <v>507</v>
      </c>
      <c r="C137" s="4">
        <v>4.513</v>
      </c>
      <c r="D137" s="5">
        <v>67.2</v>
      </c>
      <c r="E137" s="4"/>
      <c r="F137" s="4"/>
      <c r="G137" s="2">
        <f t="shared" si="12"/>
        <v>4.48</v>
      </c>
      <c r="H137" s="11" t="str">
        <f t="shared" si="13"/>
        <v>2.980E-2</v>
      </c>
      <c r="I137" s="2">
        <f t="shared" si="17"/>
        <v>253.4</v>
      </c>
      <c r="J137" s="4">
        <f t="shared" si="14"/>
        <v>4.48</v>
      </c>
      <c r="K137" s="9">
        <f t="shared" si="15"/>
        <v>-1.19999999999999</v>
      </c>
      <c r="L137" s="1">
        <f t="shared" si="16"/>
        <v>1.00000000000003</v>
      </c>
    </row>
    <row r="138" s="1" customFormat="1" spans="1:12">
      <c r="A138" s="2">
        <v>4.547</v>
      </c>
      <c r="B138" s="10" t="s">
        <v>498</v>
      </c>
      <c r="C138" s="4">
        <v>4.547</v>
      </c>
      <c r="D138" s="5">
        <v>65.8</v>
      </c>
      <c r="E138" s="4"/>
      <c r="F138" s="4"/>
      <c r="G138" s="2">
        <f t="shared" si="12"/>
        <v>4.513</v>
      </c>
      <c r="H138" s="11" t="str">
        <f t="shared" si="13"/>
        <v>2.979E-2</v>
      </c>
      <c r="I138" s="2">
        <f t="shared" si="17"/>
        <v>67.2</v>
      </c>
      <c r="J138" s="4">
        <f t="shared" si="14"/>
        <v>4.513</v>
      </c>
      <c r="K138" s="9">
        <f t="shared" si="15"/>
        <v>-1.29999999999998</v>
      </c>
      <c r="L138" s="1">
        <f t="shared" si="16"/>
        <v>-4.59999999999999</v>
      </c>
    </row>
    <row r="139" s="1" customFormat="1" spans="1:12">
      <c r="A139" s="2">
        <v>4.58</v>
      </c>
      <c r="B139" s="10" t="s">
        <v>507</v>
      </c>
      <c r="C139" s="4">
        <v>4.58</v>
      </c>
      <c r="D139" s="5">
        <v>64.6</v>
      </c>
      <c r="E139" s="4"/>
      <c r="F139" s="4"/>
      <c r="G139" s="2">
        <f t="shared" si="12"/>
        <v>4.547</v>
      </c>
      <c r="H139" s="11" t="str">
        <f t="shared" si="13"/>
        <v>2.980E-2</v>
      </c>
      <c r="I139" s="2">
        <f t="shared" si="17"/>
        <v>65.8</v>
      </c>
      <c r="J139" s="4">
        <f t="shared" si="14"/>
        <v>4.547</v>
      </c>
      <c r="K139" s="9">
        <f t="shared" si="15"/>
        <v>-1.19999999999999</v>
      </c>
      <c r="L139" s="1">
        <f t="shared" si="16"/>
        <v>-4.59999999999999</v>
      </c>
    </row>
    <row r="140" s="1" customFormat="1" spans="1:12">
      <c r="A140" s="2">
        <v>4.613</v>
      </c>
      <c r="B140" s="10" t="s">
        <v>507</v>
      </c>
      <c r="C140" s="4">
        <v>4.613</v>
      </c>
      <c r="D140" s="5">
        <v>64.2</v>
      </c>
      <c r="E140" s="4"/>
      <c r="F140" s="4"/>
      <c r="G140" s="2">
        <f t="shared" si="12"/>
        <v>4.58</v>
      </c>
      <c r="H140" s="11" t="str">
        <f t="shared" si="13"/>
        <v>2.979E-2</v>
      </c>
      <c r="I140" s="2">
        <f t="shared" si="17"/>
        <v>64.6</v>
      </c>
      <c r="J140" s="4">
        <f t="shared" si="14"/>
        <v>4.58</v>
      </c>
      <c r="K140" s="9">
        <f t="shared" si="15"/>
        <v>-1.29999999999998</v>
      </c>
      <c r="L140" s="1">
        <f t="shared" si="16"/>
        <v>-4.59999999999999</v>
      </c>
    </row>
    <row r="141" s="1" customFormat="1" spans="1:12">
      <c r="A141" s="2">
        <v>4.647</v>
      </c>
      <c r="B141" s="10" t="s">
        <v>499</v>
      </c>
      <c r="C141" s="4">
        <v>4.647</v>
      </c>
      <c r="D141" s="5">
        <v>63.2</v>
      </c>
      <c r="E141" s="4"/>
      <c r="F141" s="4"/>
      <c r="G141" s="2">
        <f t="shared" si="12"/>
        <v>4.613</v>
      </c>
      <c r="H141" s="11" t="str">
        <f t="shared" si="13"/>
        <v>2.979E-2</v>
      </c>
      <c r="I141" s="2">
        <f t="shared" si="17"/>
        <v>64.2</v>
      </c>
      <c r="J141" s="4">
        <f t="shared" si="14"/>
        <v>4.613</v>
      </c>
      <c r="K141" s="9">
        <f t="shared" si="15"/>
        <v>-1.29999999999998</v>
      </c>
      <c r="L141" s="1">
        <f t="shared" si="16"/>
        <v>-4.59999999999999</v>
      </c>
    </row>
    <row r="142" s="1" customFormat="1" spans="1:12">
      <c r="A142" s="2">
        <v>4.68</v>
      </c>
      <c r="B142" s="10" t="s">
        <v>508</v>
      </c>
      <c r="C142" s="4">
        <v>4.68</v>
      </c>
      <c r="D142" s="5">
        <v>62.6</v>
      </c>
      <c r="E142" s="4"/>
      <c r="F142" s="4"/>
      <c r="G142" s="2">
        <f t="shared" si="12"/>
        <v>4.647</v>
      </c>
      <c r="H142" s="11" t="str">
        <f t="shared" si="13"/>
        <v>2.978E-2</v>
      </c>
      <c r="I142" s="2">
        <f t="shared" si="17"/>
        <v>63.2</v>
      </c>
      <c r="J142" s="4">
        <f t="shared" si="14"/>
        <v>4.647</v>
      </c>
      <c r="K142" s="9">
        <f t="shared" si="15"/>
        <v>-1.39999999999998</v>
      </c>
      <c r="L142" s="1">
        <f t="shared" si="16"/>
        <v>-4.59999999999999</v>
      </c>
    </row>
    <row r="143" s="1" customFormat="1" spans="1:12">
      <c r="A143" s="2">
        <v>4.714</v>
      </c>
      <c r="B143" s="10" t="s">
        <v>508</v>
      </c>
      <c r="C143" s="4">
        <v>4.714</v>
      </c>
      <c r="D143" s="5">
        <v>61.6</v>
      </c>
      <c r="E143" s="4"/>
      <c r="F143" s="4"/>
      <c r="G143" s="2">
        <f t="shared" si="12"/>
        <v>4.68</v>
      </c>
      <c r="H143" s="11" t="str">
        <f t="shared" si="13"/>
        <v>2.977E-2</v>
      </c>
      <c r="I143" s="2">
        <f t="shared" si="17"/>
        <v>62.6</v>
      </c>
      <c r="J143" s="4">
        <f t="shared" si="14"/>
        <v>4.68</v>
      </c>
      <c r="K143" s="9">
        <f t="shared" si="15"/>
        <v>-1.49999999999997</v>
      </c>
      <c r="L143" s="1">
        <f t="shared" si="16"/>
        <v>-4.59999999999999</v>
      </c>
    </row>
    <row r="144" s="1" customFormat="1" spans="1:12">
      <c r="A144" s="2">
        <v>4.747</v>
      </c>
      <c r="B144" s="10" t="s">
        <v>509</v>
      </c>
      <c r="C144" s="4">
        <v>4.747</v>
      </c>
      <c r="D144" s="5">
        <v>61</v>
      </c>
      <c r="E144" s="4"/>
      <c r="F144" s="4"/>
      <c r="G144" s="2">
        <f t="shared" si="12"/>
        <v>4.714</v>
      </c>
      <c r="H144" s="11" t="str">
        <f t="shared" si="13"/>
        <v>2.977E-2</v>
      </c>
      <c r="I144" s="2">
        <f t="shared" si="17"/>
        <v>61.6</v>
      </c>
      <c r="J144" s="4">
        <f t="shared" si="14"/>
        <v>4.714</v>
      </c>
      <c r="K144" s="9">
        <f t="shared" si="15"/>
        <v>-1.49999999999997</v>
      </c>
      <c r="L144" s="1">
        <f t="shared" si="16"/>
        <v>-4.59999999999999</v>
      </c>
    </row>
    <row r="145" s="1" customFormat="1" spans="1:12">
      <c r="A145" s="2">
        <v>4.781</v>
      </c>
      <c r="B145" s="10" t="s">
        <v>510</v>
      </c>
      <c r="C145" s="4">
        <v>4.781</v>
      </c>
      <c r="D145" s="5">
        <v>60.6</v>
      </c>
      <c r="E145" s="4"/>
      <c r="F145" s="4"/>
      <c r="G145" s="2">
        <f t="shared" si="12"/>
        <v>4.747</v>
      </c>
      <c r="H145" s="11" t="str">
        <f t="shared" si="13"/>
        <v>2.964E-2</v>
      </c>
      <c r="I145" s="2">
        <f t="shared" si="17"/>
        <v>61</v>
      </c>
      <c r="J145" s="4">
        <f t="shared" si="14"/>
        <v>4.747</v>
      </c>
      <c r="K145" s="9">
        <f t="shared" si="15"/>
        <v>-2.79999999999999</v>
      </c>
      <c r="L145" s="1">
        <f t="shared" si="16"/>
        <v>-4.59999999999999</v>
      </c>
    </row>
    <row r="146" s="1" customFormat="1" spans="1:12">
      <c r="A146" s="2">
        <v>4.814</v>
      </c>
      <c r="B146" s="10" t="s">
        <v>511</v>
      </c>
      <c r="C146" s="4">
        <v>4.814</v>
      </c>
      <c r="D146" s="5">
        <v>59.5</v>
      </c>
      <c r="E146" s="4"/>
      <c r="F146" s="4"/>
      <c r="G146" s="2">
        <f t="shared" si="12"/>
        <v>4.781</v>
      </c>
      <c r="H146" s="11" t="str">
        <f t="shared" si="13"/>
        <v>2.958E-2</v>
      </c>
      <c r="I146" s="2">
        <f t="shared" si="17"/>
        <v>60.6</v>
      </c>
      <c r="J146" s="4">
        <f t="shared" si="14"/>
        <v>4.781</v>
      </c>
      <c r="K146" s="9">
        <f t="shared" si="15"/>
        <v>-3.4</v>
      </c>
      <c r="L146" s="1">
        <f t="shared" si="16"/>
        <v>-4.59999999999999</v>
      </c>
    </row>
    <row r="147" s="1" customFormat="1" spans="1:12">
      <c r="A147" s="2">
        <v>4.847</v>
      </c>
      <c r="B147" s="10" t="s">
        <v>512</v>
      </c>
      <c r="C147" s="4">
        <v>4.847</v>
      </c>
      <c r="D147" s="5">
        <v>59</v>
      </c>
      <c r="E147" s="4"/>
      <c r="F147" s="4"/>
      <c r="G147" s="2">
        <f t="shared" si="12"/>
        <v>4.814</v>
      </c>
      <c r="H147" s="11" t="str">
        <f t="shared" si="13"/>
        <v>2.953E-2</v>
      </c>
      <c r="I147" s="2">
        <f t="shared" si="17"/>
        <v>59.5</v>
      </c>
      <c r="J147" s="4">
        <f t="shared" si="14"/>
        <v>4.814</v>
      </c>
      <c r="K147" s="9">
        <f t="shared" si="15"/>
        <v>-3.89999999999998</v>
      </c>
      <c r="L147" s="1">
        <f t="shared" si="16"/>
        <v>-4.59999999999999</v>
      </c>
    </row>
    <row r="148" s="1" customFormat="1" spans="1:12">
      <c r="A148" s="2">
        <v>4.881</v>
      </c>
      <c r="B148" s="10" t="s">
        <v>513</v>
      </c>
      <c r="C148" s="4">
        <v>4.881</v>
      </c>
      <c r="D148" s="5">
        <v>58.4</v>
      </c>
      <c r="E148" s="4"/>
      <c r="F148" s="4"/>
      <c r="G148" s="2">
        <f t="shared" si="12"/>
        <v>4.847</v>
      </c>
      <c r="H148" s="11" t="str">
        <f t="shared" si="13"/>
        <v>2.951E-2</v>
      </c>
      <c r="I148" s="2">
        <f t="shared" si="17"/>
        <v>59</v>
      </c>
      <c r="J148" s="4">
        <f t="shared" si="14"/>
        <v>4.847</v>
      </c>
      <c r="K148" s="9">
        <f t="shared" si="15"/>
        <v>-4.09999999999997</v>
      </c>
      <c r="L148" s="1">
        <f t="shared" si="16"/>
        <v>-4.59999999999999</v>
      </c>
    </row>
    <row r="149" s="1" customFormat="1" spans="1:12">
      <c r="A149" s="2">
        <v>4.914</v>
      </c>
      <c r="B149" s="10" t="s">
        <v>513</v>
      </c>
      <c r="C149" s="4">
        <v>4.914</v>
      </c>
      <c r="D149" s="5">
        <v>57</v>
      </c>
      <c r="E149" s="4"/>
      <c r="F149" s="4"/>
      <c r="G149" s="2">
        <f t="shared" si="12"/>
        <v>4.881</v>
      </c>
      <c r="H149" s="11" t="str">
        <f t="shared" si="13"/>
        <v>2.950E-2</v>
      </c>
      <c r="I149" s="2">
        <f t="shared" si="17"/>
        <v>58.4</v>
      </c>
      <c r="J149" s="4">
        <f t="shared" si="14"/>
        <v>4.881</v>
      </c>
      <c r="K149" s="9">
        <f t="shared" si="15"/>
        <v>-4.2</v>
      </c>
      <c r="L149" s="1">
        <f t="shared" si="16"/>
        <v>-4.59999999999999</v>
      </c>
    </row>
    <row r="150" s="1" customFormat="1" spans="1:12">
      <c r="A150" s="2">
        <v>4.948</v>
      </c>
      <c r="B150" s="10" t="s">
        <v>514</v>
      </c>
      <c r="C150" s="4">
        <v>4.948</v>
      </c>
      <c r="D150" s="5">
        <v>57</v>
      </c>
      <c r="E150" s="4"/>
      <c r="F150" s="4"/>
      <c r="G150" s="2">
        <f t="shared" si="12"/>
        <v>4.914</v>
      </c>
      <c r="H150" s="11" t="str">
        <f t="shared" si="13"/>
        <v>2.950E-2</v>
      </c>
      <c r="I150" s="2">
        <f t="shared" si="17"/>
        <v>57</v>
      </c>
      <c r="J150" s="4">
        <f t="shared" si="14"/>
        <v>4.914</v>
      </c>
      <c r="K150" s="9">
        <f t="shared" si="15"/>
        <v>-4.2</v>
      </c>
      <c r="L150" s="1">
        <f t="shared" si="16"/>
        <v>-4.59999999999999</v>
      </c>
    </row>
    <row r="151" s="1" customFormat="1" spans="1:12">
      <c r="A151" s="2">
        <v>4.981</v>
      </c>
      <c r="B151" s="10" t="s">
        <v>513</v>
      </c>
      <c r="C151" s="4">
        <v>4.981</v>
      </c>
      <c r="D151" s="5">
        <v>55.9</v>
      </c>
      <c r="E151" s="4"/>
      <c r="F151" s="4"/>
      <c r="G151" s="2">
        <f t="shared" si="12"/>
        <v>4.948</v>
      </c>
      <c r="H151" s="11" t="str">
        <f t="shared" si="13"/>
        <v>2.948E-2</v>
      </c>
      <c r="I151" s="2">
        <f t="shared" si="17"/>
        <v>57</v>
      </c>
      <c r="J151" s="4">
        <f t="shared" si="14"/>
        <v>4.948</v>
      </c>
      <c r="K151" s="9">
        <f t="shared" si="15"/>
        <v>-4.39999999999999</v>
      </c>
      <c r="L151" s="1">
        <f t="shared" si="16"/>
        <v>-4.59999999999999</v>
      </c>
    </row>
    <row r="152" s="1" customFormat="1" spans="1:12">
      <c r="A152" s="2">
        <v>5.015</v>
      </c>
      <c r="B152" s="10" t="s">
        <v>512</v>
      </c>
      <c r="C152" s="4">
        <v>5.015</v>
      </c>
      <c r="D152" s="5">
        <v>55.5</v>
      </c>
      <c r="E152" s="4"/>
      <c r="F152" s="4"/>
      <c r="G152" s="2">
        <f t="shared" si="12"/>
        <v>4.981</v>
      </c>
      <c r="H152" s="11" t="str">
        <f t="shared" si="13"/>
        <v>2.950E-2</v>
      </c>
      <c r="I152" s="2">
        <f t="shared" si="17"/>
        <v>55.9</v>
      </c>
      <c r="J152" s="4">
        <f t="shared" si="14"/>
        <v>4.981</v>
      </c>
      <c r="K152" s="9">
        <f t="shared" si="15"/>
        <v>-4.2</v>
      </c>
      <c r="L152" s="1">
        <f t="shared" si="16"/>
        <v>-4.59999999999999</v>
      </c>
    </row>
    <row r="153" s="1" customFormat="1" spans="1:12">
      <c r="A153" s="2">
        <v>5.048</v>
      </c>
      <c r="B153" s="10" t="s">
        <v>515</v>
      </c>
      <c r="C153" s="4">
        <v>5.048</v>
      </c>
      <c r="D153" s="5">
        <v>54.5</v>
      </c>
      <c r="E153" s="4"/>
      <c r="F153" s="4"/>
      <c r="G153" s="2">
        <f t="shared" si="12"/>
        <v>5.015</v>
      </c>
      <c r="H153" s="11" t="str">
        <f t="shared" si="13"/>
        <v>2.951E-2</v>
      </c>
      <c r="I153" s="2">
        <f t="shared" si="17"/>
        <v>55.5</v>
      </c>
      <c r="J153" s="4">
        <f t="shared" si="14"/>
        <v>5.015</v>
      </c>
      <c r="K153" s="9">
        <f t="shared" si="15"/>
        <v>-4.09999999999997</v>
      </c>
      <c r="L153" s="1">
        <f t="shared" si="16"/>
        <v>-4.59999999999999</v>
      </c>
    </row>
    <row r="154" s="1" customFormat="1" spans="1:12">
      <c r="A154" s="2">
        <v>5.081</v>
      </c>
      <c r="B154" s="10" t="s">
        <v>516</v>
      </c>
      <c r="C154" s="4">
        <v>5.081</v>
      </c>
      <c r="D154" s="5">
        <v>54.6</v>
      </c>
      <c r="E154" s="4"/>
      <c r="F154" s="4"/>
      <c r="G154" s="2">
        <f t="shared" si="12"/>
        <v>5.048</v>
      </c>
      <c r="H154" s="11" t="str">
        <f t="shared" si="13"/>
        <v>2.954E-2</v>
      </c>
      <c r="I154" s="2">
        <f t="shared" si="17"/>
        <v>54.5</v>
      </c>
      <c r="J154" s="4">
        <f t="shared" si="14"/>
        <v>5.048</v>
      </c>
      <c r="K154" s="9">
        <f t="shared" si="15"/>
        <v>-3.79999999999998</v>
      </c>
      <c r="L154" s="1">
        <f t="shared" si="16"/>
        <v>-4.59999999999999</v>
      </c>
    </row>
    <row r="155" s="1" customFormat="1" spans="1:12">
      <c r="A155" s="2">
        <v>5.115</v>
      </c>
      <c r="B155" s="10" t="s">
        <v>517</v>
      </c>
      <c r="C155" s="4">
        <v>5.115</v>
      </c>
      <c r="D155" s="5">
        <v>53.4</v>
      </c>
      <c r="E155" s="4"/>
      <c r="F155" s="4"/>
      <c r="G155" s="2">
        <f t="shared" si="12"/>
        <v>5.081</v>
      </c>
      <c r="H155" s="11" t="str">
        <f t="shared" si="13"/>
        <v>2.955E-2</v>
      </c>
      <c r="I155" s="2">
        <f t="shared" si="17"/>
        <v>54.6</v>
      </c>
      <c r="J155" s="4">
        <f t="shared" si="14"/>
        <v>5.081</v>
      </c>
      <c r="K155" s="9">
        <f t="shared" si="15"/>
        <v>-3.69999999999999</v>
      </c>
      <c r="L155" s="1">
        <f t="shared" si="16"/>
        <v>-4.59999999999999</v>
      </c>
    </row>
    <row r="156" s="1" customFormat="1" spans="1:12">
      <c r="A156" s="2">
        <v>5.148</v>
      </c>
      <c r="B156" s="10" t="s">
        <v>510</v>
      </c>
      <c r="C156" s="4">
        <v>5.148</v>
      </c>
      <c r="D156" s="5">
        <v>52.4</v>
      </c>
      <c r="E156" s="4"/>
      <c r="F156" s="4"/>
      <c r="G156" s="2">
        <f t="shared" si="12"/>
        <v>5.115</v>
      </c>
      <c r="H156" s="11" t="str">
        <f t="shared" si="13"/>
        <v>2.956E-2</v>
      </c>
      <c r="I156" s="2">
        <f t="shared" si="17"/>
        <v>53.4</v>
      </c>
      <c r="J156" s="4">
        <f t="shared" si="14"/>
        <v>5.115</v>
      </c>
      <c r="K156" s="9">
        <f t="shared" si="15"/>
        <v>-3.59999999999999</v>
      </c>
      <c r="L156" s="1">
        <f t="shared" si="16"/>
        <v>-4.59999999999999</v>
      </c>
    </row>
    <row r="157" s="1" customFormat="1" spans="1:12">
      <c r="A157" s="2">
        <v>5.182</v>
      </c>
      <c r="B157" s="10" t="s">
        <v>518</v>
      </c>
      <c r="C157" s="4">
        <v>5.182</v>
      </c>
      <c r="D157" s="5">
        <v>52.1</v>
      </c>
      <c r="E157" s="4"/>
      <c r="F157" s="4"/>
      <c r="G157" s="2">
        <f t="shared" si="12"/>
        <v>5.148</v>
      </c>
      <c r="H157" s="11" t="str">
        <f t="shared" si="13"/>
        <v>2.958E-2</v>
      </c>
      <c r="I157" s="2">
        <f t="shared" si="17"/>
        <v>52.4</v>
      </c>
      <c r="J157" s="4">
        <f t="shared" si="14"/>
        <v>5.148</v>
      </c>
      <c r="K157" s="9">
        <f t="shared" si="15"/>
        <v>-3.4</v>
      </c>
      <c r="L157" s="1">
        <f t="shared" si="16"/>
        <v>-4.59999999999999</v>
      </c>
    </row>
    <row r="158" s="1" customFormat="1" spans="1:12">
      <c r="A158" s="2">
        <v>5.215</v>
      </c>
      <c r="B158" s="10" t="s">
        <v>519</v>
      </c>
      <c r="C158" s="4">
        <v>5.215</v>
      </c>
      <c r="D158" s="5">
        <v>51.5</v>
      </c>
      <c r="E158" s="4"/>
      <c r="F158" s="4"/>
      <c r="G158" s="2">
        <f t="shared" si="12"/>
        <v>5.182</v>
      </c>
      <c r="H158" s="11" t="str">
        <f t="shared" si="13"/>
        <v>2.959E-2</v>
      </c>
      <c r="I158" s="2">
        <f t="shared" si="17"/>
        <v>52.1</v>
      </c>
      <c r="J158" s="4">
        <f t="shared" si="14"/>
        <v>5.182</v>
      </c>
      <c r="K158" s="9">
        <f t="shared" si="15"/>
        <v>-3.29999999999997</v>
      </c>
      <c r="L158" s="1">
        <f t="shared" si="16"/>
        <v>-4.59999999999999</v>
      </c>
    </row>
    <row r="159" s="1" customFormat="1" spans="1:12">
      <c r="A159" s="2">
        <v>5.249</v>
      </c>
      <c r="B159" s="10" t="s">
        <v>520</v>
      </c>
      <c r="C159" s="4">
        <v>5.249</v>
      </c>
      <c r="D159" s="5">
        <v>51</v>
      </c>
      <c r="E159" s="4"/>
      <c r="F159" s="4"/>
      <c r="G159" s="2">
        <f t="shared" si="12"/>
        <v>5.215</v>
      </c>
      <c r="H159" s="11" t="str">
        <f t="shared" si="13"/>
        <v>2.960E-2</v>
      </c>
      <c r="I159" s="2">
        <f t="shared" si="17"/>
        <v>51.5</v>
      </c>
      <c r="J159" s="4">
        <f t="shared" si="14"/>
        <v>5.215</v>
      </c>
      <c r="K159" s="9">
        <f t="shared" si="15"/>
        <v>-3.19999999999997</v>
      </c>
      <c r="L159" s="1">
        <f t="shared" si="16"/>
        <v>-4.59999999999999</v>
      </c>
    </row>
    <row r="160" s="1" customFormat="1" spans="1:12">
      <c r="A160" s="2">
        <v>5.282</v>
      </c>
      <c r="B160" s="10" t="s">
        <v>509</v>
      </c>
      <c r="C160" s="4">
        <v>5.282</v>
      </c>
      <c r="D160" s="5">
        <v>51.2</v>
      </c>
      <c r="E160" s="4"/>
      <c r="F160" s="4"/>
      <c r="G160" s="2">
        <f t="shared" si="12"/>
        <v>5.249</v>
      </c>
      <c r="H160" s="11" t="str">
        <f t="shared" si="13"/>
        <v>2.962E-2</v>
      </c>
      <c r="I160" s="2">
        <f t="shared" si="17"/>
        <v>51</v>
      </c>
      <c r="J160" s="4">
        <f t="shared" si="14"/>
        <v>5.249</v>
      </c>
      <c r="K160" s="9">
        <f t="shared" si="15"/>
        <v>-2.99999999999998</v>
      </c>
      <c r="L160" s="1">
        <f t="shared" si="16"/>
        <v>-4.59999999999999</v>
      </c>
    </row>
    <row r="161" s="1" customFormat="1" spans="1:12">
      <c r="A161" s="2">
        <v>5.315</v>
      </c>
      <c r="B161" s="10" t="s">
        <v>521</v>
      </c>
      <c r="C161" s="4">
        <v>5.315</v>
      </c>
      <c r="D161" s="5">
        <v>50</v>
      </c>
      <c r="E161" s="4"/>
      <c r="F161" s="4"/>
      <c r="G161" s="2">
        <f t="shared" si="12"/>
        <v>5.282</v>
      </c>
      <c r="H161" s="11" t="str">
        <f t="shared" si="13"/>
        <v>2.964E-2</v>
      </c>
      <c r="I161" s="2">
        <f t="shared" si="17"/>
        <v>51.2</v>
      </c>
      <c r="J161" s="4">
        <f t="shared" si="14"/>
        <v>5.282</v>
      </c>
      <c r="K161" s="9">
        <f t="shared" si="15"/>
        <v>-2.79999999999999</v>
      </c>
      <c r="L161" s="1">
        <f t="shared" si="16"/>
        <v>-4.59999999999999</v>
      </c>
    </row>
    <row r="162" s="1" customFormat="1" spans="1:12">
      <c r="A162" s="2">
        <v>5.349</v>
      </c>
      <c r="B162" s="10" t="s">
        <v>522</v>
      </c>
      <c r="C162" s="4">
        <v>5.349</v>
      </c>
      <c r="D162" s="5">
        <v>49.7</v>
      </c>
      <c r="E162" s="4"/>
      <c r="F162" s="4"/>
      <c r="G162" s="2">
        <f t="shared" si="12"/>
        <v>5.315</v>
      </c>
      <c r="H162" s="11" t="str">
        <f t="shared" si="13"/>
        <v>2.966E-2</v>
      </c>
      <c r="I162" s="2">
        <f t="shared" si="17"/>
        <v>50</v>
      </c>
      <c r="J162" s="4">
        <f t="shared" si="14"/>
        <v>5.315</v>
      </c>
      <c r="K162" s="9">
        <f t="shared" si="15"/>
        <v>-2.6</v>
      </c>
      <c r="L162" s="1">
        <f t="shared" si="16"/>
        <v>-4.59999999999999</v>
      </c>
    </row>
    <row r="163" s="1" customFormat="1" spans="1:12">
      <c r="A163" s="2">
        <v>5.382</v>
      </c>
      <c r="B163" s="10" t="s">
        <v>523</v>
      </c>
      <c r="C163" s="4">
        <v>5.382</v>
      </c>
      <c r="D163" s="5">
        <v>49.2</v>
      </c>
      <c r="E163" s="4"/>
      <c r="F163" s="4"/>
      <c r="G163" s="2">
        <f t="shared" si="12"/>
        <v>5.349</v>
      </c>
      <c r="H163" s="11" t="str">
        <f t="shared" si="13"/>
        <v>2.967E-2</v>
      </c>
      <c r="I163" s="2">
        <f t="shared" si="17"/>
        <v>49.7</v>
      </c>
      <c r="J163" s="4">
        <f t="shared" si="14"/>
        <v>5.349</v>
      </c>
      <c r="K163" s="9">
        <f t="shared" si="15"/>
        <v>-2.5</v>
      </c>
      <c r="L163" s="1">
        <f t="shared" si="16"/>
        <v>-4.59999999999999</v>
      </c>
    </row>
    <row r="164" s="1" customFormat="1" spans="1:12">
      <c r="A164" s="2">
        <v>5.416</v>
      </c>
      <c r="B164" s="10" t="s">
        <v>524</v>
      </c>
      <c r="C164" s="4">
        <v>5.416</v>
      </c>
      <c r="D164" s="5">
        <v>49.2</v>
      </c>
      <c r="E164" s="4"/>
      <c r="F164" s="4"/>
      <c r="G164" s="2">
        <f t="shared" si="12"/>
        <v>5.382</v>
      </c>
      <c r="H164" s="11" t="str">
        <f t="shared" si="13"/>
        <v>2.968E-2</v>
      </c>
      <c r="I164" s="2">
        <f t="shared" si="17"/>
        <v>49.2</v>
      </c>
      <c r="J164" s="4">
        <f t="shared" si="14"/>
        <v>5.382</v>
      </c>
      <c r="K164" s="9">
        <f t="shared" si="15"/>
        <v>-2.39999999999997</v>
      </c>
      <c r="L164" s="1">
        <f t="shared" si="16"/>
        <v>-4.59999999999999</v>
      </c>
    </row>
    <row r="165" s="1" customFormat="1" spans="1:12">
      <c r="A165" s="2">
        <v>5.449</v>
      </c>
      <c r="B165" s="10" t="s">
        <v>524</v>
      </c>
      <c r="C165" s="4">
        <v>5.449</v>
      </c>
      <c r="D165" s="5">
        <v>48.3</v>
      </c>
      <c r="E165" s="4"/>
      <c r="F165" s="4"/>
      <c r="G165" s="2">
        <f t="shared" si="12"/>
        <v>5.416</v>
      </c>
      <c r="H165" s="11" t="str">
        <f t="shared" si="13"/>
        <v>2.969E-2</v>
      </c>
      <c r="I165" s="2">
        <f t="shared" si="17"/>
        <v>49.2</v>
      </c>
      <c r="J165" s="4">
        <f t="shared" si="14"/>
        <v>5.416</v>
      </c>
      <c r="K165" s="9">
        <f t="shared" si="15"/>
        <v>-2.29999999999998</v>
      </c>
      <c r="L165" s="1">
        <f t="shared" si="16"/>
        <v>-4.59999999999999</v>
      </c>
    </row>
    <row r="166" s="1" customFormat="1" spans="1:12">
      <c r="A166" s="2">
        <v>5.483</v>
      </c>
      <c r="B166" s="10" t="s">
        <v>525</v>
      </c>
      <c r="C166" s="4">
        <v>5.483</v>
      </c>
      <c r="D166" s="5">
        <v>48.1</v>
      </c>
      <c r="E166" s="4"/>
      <c r="F166" s="4"/>
      <c r="G166" s="2">
        <f t="shared" si="12"/>
        <v>5.449</v>
      </c>
      <c r="H166" s="11" t="str">
        <f t="shared" si="13"/>
        <v>2.969E-2</v>
      </c>
      <c r="I166" s="2">
        <f t="shared" si="17"/>
        <v>48.3</v>
      </c>
      <c r="J166" s="4">
        <f t="shared" si="14"/>
        <v>5.449</v>
      </c>
      <c r="K166" s="9">
        <f t="shared" si="15"/>
        <v>-2.29999999999998</v>
      </c>
      <c r="L166" s="1">
        <f t="shared" si="16"/>
        <v>-4.59999999999999</v>
      </c>
    </row>
    <row r="167" s="1" customFormat="1" spans="1:12">
      <c r="A167" s="2">
        <v>5.516</v>
      </c>
      <c r="B167" s="10" t="s">
        <v>525</v>
      </c>
      <c r="C167" s="4">
        <v>5.516</v>
      </c>
      <c r="D167" s="5">
        <v>47.9</v>
      </c>
      <c r="E167" s="4"/>
      <c r="F167" s="4"/>
      <c r="G167" s="2">
        <f t="shared" si="12"/>
        <v>5.483</v>
      </c>
      <c r="H167" s="11" t="str">
        <f t="shared" si="13"/>
        <v>2.971E-2</v>
      </c>
      <c r="I167" s="2">
        <f t="shared" si="17"/>
        <v>48.1</v>
      </c>
      <c r="J167" s="4">
        <f t="shared" si="14"/>
        <v>5.483</v>
      </c>
      <c r="K167" s="9">
        <f t="shared" si="15"/>
        <v>-2.09999999999998</v>
      </c>
      <c r="L167" s="1">
        <f t="shared" si="16"/>
        <v>-4.59999999999999</v>
      </c>
    </row>
    <row r="168" s="1" customFormat="1" spans="1:12">
      <c r="A168" s="2">
        <v>5.549</v>
      </c>
      <c r="B168" s="10" t="s">
        <v>526</v>
      </c>
      <c r="C168" s="4">
        <v>5.549</v>
      </c>
      <c r="D168" s="5">
        <v>47.8</v>
      </c>
      <c r="E168" s="4"/>
      <c r="F168" s="4"/>
      <c r="G168" s="2">
        <f t="shared" si="12"/>
        <v>5.516</v>
      </c>
      <c r="H168" s="11" t="str">
        <f t="shared" si="13"/>
        <v>2.971E-2</v>
      </c>
      <c r="I168" s="2">
        <f t="shared" si="17"/>
        <v>47.9</v>
      </c>
      <c r="J168" s="4">
        <f t="shared" si="14"/>
        <v>5.516</v>
      </c>
      <c r="K168" s="9">
        <f t="shared" si="15"/>
        <v>-2.09999999999998</v>
      </c>
      <c r="L168" s="1">
        <f t="shared" si="16"/>
        <v>-4.59999999999999</v>
      </c>
    </row>
    <row r="169" s="1" customFormat="1" spans="1:12">
      <c r="A169" s="2">
        <v>5.583</v>
      </c>
      <c r="B169" s="10" t="s">
        <v>524</v>
      </c>
      <c r="C169" s="4">
        <v>5.583</v>
      </c>
      <c r="D169" s="5">
        <v>47.2</v>
      </c>
      <c r="E169" s="4"/>
      <c r="F169" s="4"/>
      <c r="G169" s="2">
        <f t="shared" si="12"/>
        <v>5.549</v>
      </c>
      <c r="H169" s="11" t="str">
        <f t="shared" si="13"/>
        <v>2.970E-2</v>
      </c>
      <c r="I169" s="2">
        <f t="shared" si="17"/>
        <v>47.8</v>
      </c>
      <c r="J169" s="4">
        <f t="shared" si="14"/>
        <v>5.549</v>
      </c>
      <c r="K169" s="9">
        <f t="shared" si="15"/>
        <v>-2.19999999999998</v>
      </c>
      <c r="L169" s="1">
        <f t="shared" si="16"/>
        <v>-4.59999999999999</v>
      </c>
    </row>
    <row r="170" s="1" customFormat="1" spans="1:12">
      <c r="A170" s="2">
        <v>5.616</v>
      </c>
      <c r="B170" s="10" t="s">
        <v>524</v>
      </c>
      <c r="C170" s="4">
        <v>5.616</v>
      </c>
      <c r="D170" s="5">
        <v>46.6</v>
      </c>
      <c r="E170" s="4"/>
      <c r="F170" s="4"/>
      <c r="G170" s="2">
        <f t="shared" si="12"/>
        <v>5.583</v>
      </c>
      <c r="H170" s="11" t="str">
        <f t="shared" si="13"/>
        <v>2.969E-2</v>
      </c>
      <c r="I170" s="2">
        <f t="shared" si="17"/>
        <v>47.2</v>
      </c>
      <c r="J170" s="4">
        <f t="shared" si="14"/>
        <v>5.583</v>
      </c>
      <c r="K170" s="9">
        <f t="shared" si="15"/>
        <v>-2.29999999999998</v>
      </c>
      <c r="L170" s="1">
        <f t="shared" si="16"/>
        <v>-4.59999999999999</v>
      </c>
    </row>
    <row r="171" s="1" customFormat="1" spans="1:12">
      <c r="A171" s="2">
        <v>5.65</v>
      </c>
      <c r="B171" s="10" t="s">
        <v>523</v>
      </c>
      <c r="C171" s="4">
        <v>5.65</v>
      </c>
      <c r="D171" s="5">
        <v>46.3</v>
      </c>
      <c r="E171" s="4"/>
      <c r="F171" s="4"/>
      <c r="G171" s="2">
        <f t="shared" si="12"/>
        <v>5.616</v>
      </c>
      <c r="H171" s="11" t="str">
        <f t="shared" si="13"/>
        <v>2.969E-2</v>
      </c>
      <c r="I171" s="2">
        <f t="shared" si="17"/>
        <v>46.6</v>
      </c>
      <c r="J171" s="4">
        <f t="shared" si="14"/>
        <v>5.616</v>
      </c>
      <c r="K171" s="9">
        <f t="shared" si="15"/>
        <v>-2.29999999999998</v>
      </c>
      <c r="L171" s="1">
        <f t="shared" si="16"/>
        <v>-4.59999999999999</v>
      </c>
    </row>
    <row r="172" s="1" customFormat="1" spans="1:12">
      <c r="A172" s="2">
        <v>5.683</v>
      </c>
      <c r="B172" s="10" t="s">
        <v>523</v>
      </c>
      <c r="C172" s="4">
        <v>5.683</v>
      </c>
      <c r="D172" s="5">
        <v>46.6</v>
      </c>
      <c r="E172" s="4"/>
      <c r="F172" s="4"/>
      <c r="G172" s="2">
        <f t="shared" si="12"/>
        <v>5.65</v>
      </c>
      <c r="H172" s="11" t="str">
        <f t="shared" si="13"/>
        <v>2.968E-2</v>
      </c>
      <c r="I172" s="2">
        <f t="shared" si="17"/>
        <v>46.3</v>
      </c>
      <c r="J172" s="4">
        <f t="shared" si="14"/>
        <v>5.65</v>
      </c>
      <c r="K172" s="9">
        <f t="shared" si="15"/>
        <v>-2.39999999999997</v>
      </c>
      <c r="L172" s="1">
        <f t="shared" si="16"/>
        <v>-4.59999999999999</v>
      </c>
    </row>
    <row r="173" s="1" customFormat="1" spans="1:12">
      <c r="A173" s="2">
        <v>5.717</v>
      </c>
      <c r="B173" s="10" t="s">
        <v>521</v>
      </c>
      <c r="C173" s="4">
        <v>5.717</v>
      </c>
      <c r="D173" s="5">
        <v>45.3</v>
      </c>
      <c r="E173" s="4"/>
      <c r="F173" s="4"/>
      <c r="G173" s="2">
        <f t="shared" si="12"/>
        <v>5.683</v>
      </c>
      <c r="H173" s="11" t="str">
        <f t="shared" si="13"/>
        <v>2.968E-2</v>
      </c>
      <c r="I173" s="2">
        <f t="shared" si="17"/>
        <v>46.6</v>
      </c>
      <c r="J173" s="4">
        <f t="shared" si="14"/>
        <v>5.683</v>
      </c>
      <c r="K173" s="9">
        <f t="shared" si="15"/>
        <v>-2.39999999999997</v>
      </c>
      <c r="L173" s="1">
        <f t="shared" si="16"/>
        <v>-4.59999999999999</v>
      </c>
    </row>
    <row r="174" s="1" customFormat="1" spans="1:12">
      <c r="A174" s="2">
        <v>5.75</v>
      </c>
      <c r="B174" s="10" t="s">
        <v>527</v>
      </c>
      <c r="C174" s="4">
        <v>5.75</v>
      </c>
      <c r="D174" s="5">
        <v>45.8</v>
      </c>
      <c r="E174" s="4"/>
      <c r="F174" s="4"/>
      <c r="G174" s="2">
        <f t="shared" si="12"/>
        <v>5.717</v>
      </c>
      <c r="H174" s="11" t="str">
        <f t="shared" si="13"/>
        <v>2.966E-2</v>
      </c>
      <c r="I174" s="2">
        <f t="shared" si="17"/>
        <v>45.3</v>
      </c>
      <c r="J174" s="4">
        <f t="shared" si="14"/>
        <v>5.717</v>
      </c>
      <c r="K174" s="9">
        <f t="shared" si="15"/>
        <v>-2.6</v>
      </c>
      <c r="L174" s="1">
        <f t="shared" si="16"/>
        <v>-4.59999999999999</v>
      </c>
    </row>
    <row r="175" s="1" customFormat="1" spans="1:12">
      <c r="A175" s="2">
        <v>5.783</v>
      </c>
      <c r="B175" s="10" t="s">
        <v>528</v>
      </c>
      <c r="C175" s="4">
        <v>5.783</v>
      </c>
      <c r="D175" s="5">
        <v>45.7</v>
      </c>
      <c r="E175" s="4"/>
      <c r="F175" s="4"/>
      <c r="G175" s="2">
        <f t="shared" si="12"/>
        <v>5.75</v>
      </c>
      <c r="H175" s="11" t="str">
        <f t="shared" si="13"/>
        <v>2.965E-2</v>
      </c>
      <c r="I175" s="2">
        <f t="shared" si="17"/>
        <v>45.8</v>
      </c>
      <c r="J175" s="4">
        <f t="shared" si="14"/>
        <v>5.75</v>
      </c>
      <c r="K175" s="9">
        <f t="shared" si="15"/>
        <v>-2.69999999999999</v>
      </c>
      <c r="L175" s="1">
        <f t="shared" si="16"/>
        <v>-4.59999999999999</v>
      </c>
    </row>
    <row r="176" s="1" customFormat="1" spans="1:12">
      <c r="A176" s="2">
        <v>5.817</v>
      </c>
      <c r="B176" s="10" t="s">
        <v>520</v>
      </c>
      <c r="C176" s="4">
        <v>5.817</v>
      </c>
      <c r="D176" s="5">
        <v>45.3</v>
      </c>
      <c r="E176" s="4"/>
      <c r="F176" s="4"/>
      <c r="G176" s="2">
        <f t="shared" si="12"/>
        <v>5.783</v>
      </c>
      <c r="H176" s="11" t="str">
        <f t="shared" si="13"/>
        <v>2.963E-2</v>
      </c>
      <c r="I176" s="2">
        <f t="shared" si="17"/>
        <v>45.7</v>
      </c>
      <c r="J176" s="4">
        <f t="shared" si="14"/>
        <v>5.783</v>
      </c>
      <c r="K176" s="9">
        <f t="shared" si="15"/>
        <v>-2.89999999999999</v>
      </c>
      <c r="L176" s="1">
        <f t="shared" si="16"/>
        <v>-4.59999999999999</v>
      </c>
    </row>
    <row r="177" s="1" customFormat="1" spans="1:12">
      <c r="A177" s="2">
        <v>5.85</v>
      </c>
      <c r="B177" s="10" t="s">
        <v>519</v>
      </c>
      <c r="C177" s="4">
        <v>5.85</v>
      </c>
      <c r="D177" s="5">
        <v>45.3</v>
      </c>
      <c r="E177" s="4"/>
      <c r="F177" s="4"/>
      <c r="G177" s="2">
        <f t="shared" si="12"/>
        <v>5.817</v>
      </c>
      <c r="H177" s="11" t="str">
        <f t="shared" si="13"/>
        <v>2.962E-2</v>
      </c>
      <c r="I177" s="2">
        <f t="shared" si="17"/>
        <v>45.3</v>
      </c>
      <c r="J177" s="4">
        <f t="shared" si="14"/>
        <v>5.817</v>
      </c>
      <c r="K177" s="9">
        <f t="shared" si="15"/>
        <v>-2.99999999999998</v>
      </c>
      <c r="L177" s="1">
        <f t="shared" si="16"/>
        <v>-4.59999999999999</v>
      </c>
    </row>
    <row r="178" s="1" customFormat="1" spans="1:12">
      <c r="A178" s="2">
        <v>5.884</v>
      </c>
      <c r="B178" s="10" t="s">
        <v>518</v>
      </c>
      <c r="C178" s="4">
        <v>5.884</v>
      </c>
      <c r="D178" s="5">
        <v>44.9</v>
      </c>
      <c r="E178" s="4"/>
      <c r="F178" s="4"/>
      <c r="G178" s="2">
        <f t="shared" si="12"/>
        <v>5.85</v>
      </c>
      <c r="H178" s="11" t="str">
        <f t="shared" si="13"/>
        <v>2.960E-2</v>
      </c>
      <c r="I178" s="2">
        <f t="shared" si="17"/>
        <v>45.3</v>
      </c>
      <c r="J178" s="4">
        <f t="shared" si="14"/>
        <v>5.85</v>
      </c>
      <c r="K178" s="9">
        <f t="shared" si="15"/>
        <v>-3.19999999999997</v>
      </c>
      <c r="L178" s="1">
        <f t="shared" si="16"/>
        <v>-4.59999999999999</v>
      </c>
    </row>
    <row r="179" s="1" customFormat="1" spans="1:12">
      <c r="A179" s="2">
        <v>5.917</v>
      </c>
      <c r="B179" s="10" t="s">
        <v>517</v>
      </c>
      <c r="C179" s="4">
        <v>5.917</v>
      </c>
      <c r="D179" s="5">
        <v>44.7</v>
      </c>
      <c r="E179" s="4"/>
      <c r="F179" s="4"/>
      <c r="G179" s="2">
        <f t="shared" si="12"/>
        <v>5.884</v>
      </c>
      <c r="H179" s="11" t="str">
        <f t="shared" si="13"/>
        <v>2.959E-2</v>
      </c>
      <c r="I179" s="2">
        <f t="shared" si="17"/>
        <v>44.9</v>
      </c>
      <c r="J179" s="4">
        <f t="shared" si="14"/>
        <v>5.884</v>
      </c>
      <c r="K179" s="9">
        <f t="shared" si="15"/>
        <v>-3.29999999999997</v>
      </c>
      <c r="L179" s="1">
        <f t="shared" si="16"/>
        <v>-4.59999999999999</v>
      </c>
    </row>
    <row r="180" s="1" customFormat="1" spans="1:12">
      <c r="A180" s="2">
        <v>5.951</v>
      </c>
      <c r="B180" s="10" t="s">
        <v>516</v>
      </c>
      <c r="C180" s="4">
        <v>5.951</v>
      </c>
      <c r="D180" s="5">
        <v>44.9</v>
      </c>
      <c r="E180" s="4"/>
      <c r="F180" s="4"/>
      <c r="G180" s="2">
        <f t="shared" si="12"/>
        <v>5.917</v>
      </c>
      <c r="H180" s="11" t="str">
        <f t="shared" si="13"/>
        <v>2.956E-2</v>
      </c>
      <c r="I180" s="2">
        <f t="shared" si="17"/>
        <v>44.7</v>
      </c>
      <c r="J180" s="4">
        <f t="shared" si="14"/>
        <v>5.917</v>
      </c>
      <c r="K180" s="9">
        <f t="shared" si="15"/>
        <v>-3.59999999999999</v>
      </c>
      <c r="L180" s="1">
        <f t="shared" si="16"/>
        <v>-4.59999999999999</v>
      </c>
    </row>
    <row r="181" s="1" customFormat="1" spans="1:12">
      <c r="A181" s="2">
        <v>5.984</v>
      </c>
      <c r="B181" s="10" t="s">
        <v>511</v>
      </c>
      <c r="C181" s="4">
        <v>5.984</v>
      </c>
      <c r="D181" s="5">
        <v>44.5</v>
      </c>
      <c r="E181" s="4"/>
      <c r="F181" s="4"/>
      <c r="G181" s="2">
        <f t="shared" si="12"/>
        <v>5.951</v>
      </c>
      <c r="H181" s="11" t="str">
        <f t="shared" si="13"/>
        <v>2.955E-2</v>
      </c>
      <c r="I181" s="2">
        <f t="shared" si="17"/>
        <v>44.9</v>
      </c>
      <c r="J181" s="4">
        <f t="shared" si="14"/>
        <v>5.951</v>
      </c>
      <c r="K181" s="9">
        <f t="shared" si="15"/>
        <v>-3.69999999999999</v>
      </c>
      <c r="L181" s="1">
        <f t="shared" si="16"/>
        <v>-4.59999999999999</v>
      </c>
    </row>
    <row r="182" s="1" customFormat="1" spans="1:12">
      <c r="A182" s="2">
        <v>6.018</v>
      </c>
      <c r="B182" s="10" t="s">
        <v>512</v>
      </c>
      <c r="C182" s="4">
        <v>6.018</v>
      </c>
      <c r="D182" s="5">
        <v>44.5</v>
      </c>
      <c r="E182" s="4"/>
      <c r="F182" s="4"/>
      <c r="G182" s="2">
        <f t="shared" si="12"/>
        <v>5.984</v>
      </c>
      <c r="H182" s="11" t="str">
        <f t="shared" si="13"/>
        <v>2.953E-2</v>
      </c>
      <c r="I182" s="2">
        <f t="shared" si="17"/>
        <v>44.5</v>
      </c>
      <c r="J182" s="4">
        <f t="shared" si="14"/>
        <v>5.984</v>
      </c>
      <c r="K182" s="9">
        <f t="shared" si="15"/>
        <v>-3.89999999999998</v>
      </c>
      <c r="L182" s="1">
        <f t="shared" si="16"/>
        <v>-4.59999999999999</v>
      </c>
    </row>
    <row r="183" s="1" customFormat="1" spans="1:12">
      <c r="A183" s="2">
        <v>6.051</v>
      </c>
      <c r="B183" s="10" t="s">
        <v>529</v>
      </c>
      <c r="C183" s="4">
        <v>6.051</v>
      </c>
      <c r="D183" s="5">
        <v>44.3</v>
      </c>
      <c r="E183" s="4"/>
      <c r="F183" s="4"/>
      <c r="G183" s="2">
        <f t="shared" si="12"/>
        <v>6.018</v>
      </c>
      <c r="H183" s="11" t="str">
        <f t="shared" si="13"/>
        <v>2.951E-2</v>
      </c>
      <c r="I183" s="2">
        <f t="shared" si="17"/>
        <v>44.5</v>
      </c>
      <c r="J183" s="4">
        <f t="shared" si="14"/>
        <v>6.018</v>
      </c>
      <c r="K183" s="9">
        <f t="shared" si="15"/>
        <v>-4.09999999999997</v>
      </c>
      <c r="L183" s="1">
        <f t="shared" si="16"/>
        <v>-4.59999999999999</v>
      </c>
    </row>
    <row r="184" s="1" customFormat="1" spans="1:12">
      <c r="A184" s="2">
        <v>6.084</v>
      </c>
      <c r="B184" s="10" t="s">
        <v>514</v>
      </c>
      <c r="C184" s="4">
        <v>6.084</v>
      </c>
      <c r="D184" s="5">
        <v>44.6</v>
      </c>
      <c r="E184" s="4"/>
      <c r="F184" s="4"/>
      <c r="G184" s="2">
        <f t="shared" si="12"/>
        <v>6.051</v>
      </c>
      <c r="H184" s="11" t="str">
        <f t="shared" si="13"/>
        <v>2.949E-2</v>
      </c>
      <c r="I184" s="2">
        <f t="shared" si="17"/>
        <v>44.3</v>
      </c>
      <c r="J184" s="4">
        <f t="shared" si="14"/>
        <v>6.051</v>
      </c>
      <c r="K184" s="9">
        <f t="shared" si="15"/>
        <v>-4.3</v>
      </c>
      <c r="L184" s="1">
        <f t="shared" si="16"/>
        <v>-4.59999999999999</v>
      </c>
    </row>
    <row r="185" s="1" customFormat="1" spans="1:12">
      <c r="A185" s="2">
        <v>6.118</v>
      </c>
      <c r="B185" s="10" t="s">
        <v>530</v>
      </c>
      <c r="C185" s="4">
        <v>6.118</v>
      </c>
      <c r="D185" s="5">
        <v>44.4</v>
      </c>
      <c r="E185" s="4"/>
      <c r="F185" s="4"/>
      <c r="G185" s="2">
        <f t="shared" si="12"/>
        <v>6.084</v>
      </c>
      <c r="H185" s="11" t="str">
        <f t="shared" si="13"/>
        <v>2.948E-2</v>
      </c>
      <c r="I185" s="2">
        <f t="shared" si="17"/>
        <v>44.6</v>
      </c>
      <c r="J185" s="4">
        <f t="shared" si="14"/>
        <v>6.084</v>
      </c>
      <c r="K185" s="9">
        <f t="shared" si="15"/>
        <v>-4.39999999999999</v>
      </c>
      <c r="L185" s="1">
        <f t="shared" si="16"/>
        <v>-4.59999999999999</v>
      </c>
    </row>
    <row r="186" s="1" customFormat="1" spans="1:12">
      <c r="A186" s="2">
        <v>6.151</v>
      </c>
      <c r="B186" s="10" t="s">
        <v>514</v>
      </c>
      <c r="C186" s="4">
        <v>6.151</v>
      </c>
      <c r="D186" s="5">
        <v>44.4</v>
      </c>
      <c r="E186" s="4"/>
      <c r="F186" s="4"/>
      <c r="G186" s="2">
        <f t="shared" si="12"/>
        <v>6.118</v>
      </c>
      <c r="H186" s="11" t="str">
        <f t="shared" si="13"/>
        <v>2.947E-2</v>
      </c>
      <c r="I186" s="2">
        <f t="shared" si="17"/>
        <v>44.4</v>
      </c>
      <c r="J186" s="4">
        <f t="shared" si="14"/>
        <v>6.118</v>
      </c>
      <c r="K186" s="9">
        <f t="shared" si="15"/>
        <v>-4.49999999999999</v>
      </c>
      <c r="L186" s="1">
        <f t="shared" si="16"/>
        <v>-4.59999999999999</v>
      </c>
    </row>
    <row r="187" s="1" customFormat="1" spans="1:12">
      <c r="A187" s="2">
        <v>6.185</v>
      </c>
      <c r="B187" s="10" t="s">
        <v>531</v>
      </c>
      <c r="C187" s="4">
        <v>6.185</v>
      </c>
      <c r="D187" s="5">
        <v>44.5</v>
      </c>
      <c r="E187" s="4"/>
      <c r="F187" s="4"/>
      <c r="G187" s="2">
        <f t="shared" si="12"/>
        <v>6.151</v>
      </c>
      <c r="H187" s="11" t="str">
        <f t="shared" si="13"/>
        <v>2.948E-2</v>
      </c>
      <c r="I187" s="2">
        <f t="shared" si="17"/>
        <v>44.4</v>
      </c>
      <c r="J187" s="4">
        <f t="shared" si="14"/>
        <v>6.151</v>
      </c>
      <c r="K187" s="9">
        <f t="shared" si="15"/>
        <v>-4.39999999999999</v>
      </c>
      <c r="L187" s="1">
        <f t="shared" si="16"/>
        <v>-4.59999999999999</v>
      </c>
    </row>
    <row r="188" s="1" customFormat="1" spans="1:12">
      <c r="A188" s="2">
        <v>6.218</v>
      </c>
      <c r="B188" s="10" t="s">
        <v>530</v>
      </c>
      <c r="C188" s="4">
        <v>6.218</v>
      </c>
      <c r="D188" s="5">
        <v>44.9</v>
      </c>
      <c r="E188" s="4"/>
      <c r="F188" s="4"/>
      <c r="G188" s="2">
        <f t="shared" si="12"/>
        <v>6.185</v>
      </c>
      <c r="H188" s="11" t="str">
        <f t="shared" si="13"/>
        <v>2.946E-2</v>
      </c>
      <c r="I188" s="2">
        <f t="shared" si="17"/>
        <v>44.5</v>
      </c>
      <c r="J188" s="4">
        <f t="shared" si="14"/>
        <v>6.185</v>
      </c>
      <c r="K188" s="9">
        <f t="shared" si="15"/>
        <v>-4.59999999999999</v>
      </c>
      <c r="L188" s="1">
        <f t="shared" si="16"/>
        <v>-4.59999999999999</v>
      </c>
    </row>
    <row r="189" s="1" customFormat="1" spans="1:12">
      <c r="A189" s="2">
        <v>6.252</v>
      </c>
      <c r="B189" s="10" t="s">
        <v>529</v>
      </c>
      <c r="C189" s="4">
        <v>6.252</v>
      </c>
      <c r="D189" s="5">
        <v>44.3</v>
      </c>
      <c r="E189" s="4"/>
      <c r="F189" s="4"/>
      <c r="G189" s="2">
        <f t="shared" si="12"/>
        <v>6.218</v>
      </c>
      <c r="H189" s="11" t="str">
        <f t="shared" si="13"/>
        <v>2.947E-2</v>
      </c>
      <c r="I189" s="2">
        <f t="shared" si="17"/>
        <v>44.9</v>
      </c>
      <c r="J189" s="4">
        <f t="shared" si="14"/>
        <v>6.218</v>
      </c>
      <c r="K189" s="9">
        <f t="shared" si="15"/>
        <v>-4.49999999999999</v>
      </c>
      <c r="L189" s="1">
        <f t="shared" si="16"/>
        <v>-4.59999999999999</v>
      </c>
    </row>
    <row r="190" s="1" customFormat="1" spans="1:12">
      <c r="A190" s="2">
        <v>6.285</v>
      </c>
      <c r="B190" s="10" t="s">
        <v>514</v>
      </c>
      <c r="C190" s="4">
        <v>6.285</v>
      </c>
      <c r="D190" s="5">
        <v>44</v>
      </c>
      <c r="E190" s="4"/>
      <c r="F190" s="4"/>
      <c r="G190" s="2">
        <f t="shared" si="12"/>
        <v>6.252</v>
      </c>
      <c r="H190" s="11" t="str">
        <f t="shared" si="13"/>
        <v>2.949E-2</v>
      </c>
      <c r="I190" s="2">
        <f t="shared" si="17"/>
        <v>44.3</v>
      </c>
      <c r="J190" s="4">
        <f t="shared" si="14"/>
        <v>6.252</v>
      </c>
      <c r="K190" s="9">
        <f t="shared" si="15"/>
        <v>-4.3</v>
      </c>
      <c r="L190" s="1">
        <f t="shared" si="16"/>
        <v>-4.59999999999999</v>
      </c>
    </row>
    <row r="191" s="1" customFormat="1" spans="1:12">
      <c r="A191" s="2">
        <v>6.318</v>
      </c>
      <c r="B191" s="10" t="s">
        <v>513</v>
      </c>
      <c r="C191" s="4">
        <v>6.318</v>
      </c>
      <c r="D191" s="5">
        <v>44.1</v>
      </c>
      <c r="E191" s="4"/>
      <c r="F191" s="4"/>
      <c r="G191" s="2">
        <f t="shared" si="12"/>
        <v>6.285</v>
      </c>
      <c r="H191" s="11" t="str">
        <f t="shared" si="13"/>
        <v>2.948E-2</v>
      </c>
      <c r="I191" s="2">
        <f t="shared" si="17"/>
        <v>44</v>
      </c>
      <c r="J191" s="4">
        <f t="shared" si="14"/>
        <v>6.285</v>
      </c>
      <c r="K191" s="9">
        <f t="shared" si="15"/>
        <v>-4.39999999999999</v>
      </c>
      <c r="L191" s="1">
        <f t="shared" si="16"/>
        <v>-4.59999999999999</v>
      </c>
    </row>
    <row r="192" s="1" customFormat="1" spans="1:12">
      <c r="A192" s="2">
        <v>6.352</v>
      </c>
      <c r="B192" s="10" t="s">
        <v>532</v>
      </c>
      <c r="C192" s="4">
        <v>6.352</v>
      </c>
      <c r="D192" s="5">
        <v>44.2</v>
      </c>
      <c r="E192" s="4"/>
      <c r="F192" s="4"/>
      <c r="G192" s="2">
        <f t="shared" si="12"/>
        <v>6.318</v>
      </c>
      <c r="H192" s="11" t="str">
        <f t="shared" si="13"/>
        <v>2.950E-2</v>
      </c>
      <c r="I192" s="2">
        <f t="shared" si="17"/>
        <v>44.1</v>
      </c>
      <c r="J192" s="4">
        <f t="shared" si="14"/>
        <v>6.318</v>
      </c>
      <c r="K192" s="9">
        <f t="shared" si="15"/>
        <v>-4.2</v>
      </c>
      <c r="L192" s="1">
        <f t="shared" si="16"/>
        <v>-4.59999999999999</v>
      </c>
    </row>
    <row r="193" s="1" customFormat="1" spans="1:12">
      <c r="A193" s="2">
        <v>6.385</v>
      </c>
      <c r="B193" s="10" t="s">
        <v>532</v>
      </c>
      <c r="C193" s="4">
        <v>6.385</v>
      </c>
      <c r="D193" s="5">
        <v>43.9</v>
      </c>
      <c r="E193" s="4"/>
      <c r="F193" s="4"/>
      <c r="G193" s="2">
        <f t="shared" si="12"/>
        <v>6.352</v>
      </c>
      <c r="H193" s="11" t="str">
        <f t="shared" si="13"/>
        <v>2.952E-2</v>
      </c>
      <c r="I193" s="2">
        <f t="shared" si="17"/>
        <v>44.2</v>
      </c>
      <c r="J193" s="4">
        <f t="shared" si="14"/>
        <v>6.352</v>
      </c>
      <c r="K193" s="9">
        <f t="shared" si="15"/>
        <v>-3.99999999999998</v>
      </c>
      <c r="L193" s="1">
        <f t="shared" si="16"/>
        <v>-4.59999999999999</v>
      </c>
    </row>
    <row r="194" s="1" customFormat="1" spans="1:12">
      <c r="A194" s="2">
        <v>6.419</v>
      </c>
      <c r="B194" s="10" t="s">
        <v>516</v>
      </c>
      <c r="C194" s="4">
        <v>6.419</v>
      </c>
      <c r="D194" s="5">
        <v>43.8</v>
      </c>
      <c r="E194" s="4"/>
      <c r="F194" s="4"/>
      <c r="G194" s="2">
        <f t="shared" si="12"/>
        <v>6.385</v>
      </c>
      <c r="H194" s="11" t="str">
        <f t="shared" si="13"/>
        <v>2.952E-2</v>
      </c>
      <c r="I194" s="2">
        <f t="shared" si="17"/>
        <v>43.9</v>
      </c>
      <c r="J194" s="4">
        <f t="shared" si="14"/>
        <v>6.385</v>
      </c>
      <c r="K194" s="9">
        <f t="shared" si="15"/>
        <v>-3.99999999999998</v>
      </c>
      <c r="L194" s="1">
        <f t="shared" si="16"/>
        <v>-4.59999999999999</v>
      </c>
    </row>
    <row r="195" s="1" customFormat="1" spans="1:12">
      <c r="A195" s="2">
        <v>6.452</v>
      </c>
      <c r="B195" s="10" t="s">
        <v>533</v>
      </c>
      <c r="C195" s="4">
        <v>6.452</v>
      </c>
      <c r="D195" s="5">
        <v>43.9</v>
      </c>
      <c r="E195" s="4"/>
      <c r="F195" s="4"/>
      <c r="G195" s="2">
        <f t="shared" si="12"/>
        <v>6.419</v>
      </c>
      <c r="H195" s="11" t="str">
        <f t="shared" si="13"/>
        <v>2.955E-2</v>
      </c>
      <c r="I195" s="2">
        <f t="shared" si="17"/>
        <v>43.8</v>
      </c>
      <c r="J195" s="4">
        <f t="shared" si="14"/>
        <v>6.419</v>
      </c>
      <c r="K195" s="9">
        <f t="shared" si="15"/>
        <v>-3.69999999999999</v>
      </c>
      <c r="L195" s="1">
        <f t="shared" si="16"/>
        <v>-4.59999999999999</v>
      </c>
    </row>
    <row r="196" s="1" customFormat="1" spans="1:12">
      <c r="A196" s="2">
        <v>6.486</v>
      </c>
      <c r="B196" s="10" t="s">
        <v>510</v>
      </c>
      <c r="C196" s="4">
        <v>6.486</v>
      </c>
      <c r="D196" s="5">
        <v>44.2</v>
      </c>
      <c r="E196" s="4"/>
      <c r="F196" s="4"/>
      <c r="G196" s="2">
        <f t="shared" ref="G196:G259" si="18">A195</f>
        <v>6.452</v>
      </c>
      <c r="H196" s="11" t="str">
        <f t="shared" ref="H196:H259" si="19">B195</f>
        <v>2.957E-2</v>
      </c>
      <c r="I196" s="2">
        <f t="shared" si="17"/>
        <v>43.9</v>
      </c>
      <c r="J196" s="4">
        <f t="shared" ref="J196:J259" si="20">G196</f>
        <v>6.452</v>
      </c>
      <c r="K196" s="9">
        <f t="shared" ref="K196:K259" si="21">(H196-$H$4)*10000</f>
        <v>-3.5</v>
      </c>
      <c r="L196" s="1">
        <f t="shared" ref="L196:L259" si="22">IF(I196&lt;230,MIN(K:K),MAX(K:K))</f>
        <v>-4.59999999999999</v>
      </c>
    </row>
    <row r="197" s="1" customFormat="1" spans="1:12">
      <c r="A197" s="2">
        <v>6.519</v>
      </c>
      <c r="B197" s="10" t="s">
        <v>519</v>
      </c>
      <c r="C197" s="4">
        <v>6.519</v>
      </c>
      <c r="D197" s="5">
        <v>44.3</v>
      </c>
      <c r="E197" s="4"/>
      <c r="F197" s="4"/>
      <c r="G197" s="2">
        <f t="shared" si="18"/>
        <v>6.486</v>
      </c>
      <c r="H197" s="11" t="str">
        <f t="shared" si="19"/>
        <v>2.958E-2</v>
      </c>
      <c r="I197" s="2">
        <f t="shared" ref="I197:I260" si="23">D196</f>
        <v>44.2</v>
      </c>
      <c r="J197" s="4">
        <f t="shared" si="20"/>
        <v>6.486</v>
      </c>
      <c r="K197" s="9">
        <f t="shared" si="21"/>
        <v>-3.4</v>
      </c>
      <c r="L197" s="1">
        <f t="shared" si="22"/>
        <v>-4.59999999999999</v>
      </c>
    </row>
    <row r="198" s="1" customFormat="1" spans="1:12">
      <c r="A198" s="2">
        <v>6.552</v>
      </c>
      <c r="B198" s="10" t="s">
        <v>534</v>
      </c>
      <c r="C198" s="4">
        <v>6.552</v>
      </c>
      <c r="D198" s="5">
        <v>43.9</v>
      </c>
      <c r="E198" s="4"/>
      <c r="F198" s="4"/>
      <c r="G198" s="2">
        <f t="shared" si="18"/>
        <v>6.519</v>
      </c>
      <c r="H198" s="11" t="str">
        <f t="shared" si="19"/>
        <v>2.960E-2</v>
      </c>
      <c r="I198" s="2">
        <f t="shared" si="23"/>
        <v>44.3</v>
      </c>
      <c r="J198" s="4">
        <f t="shared" si="20"/>
        <v>6.519</v>
      </c>
      <c r="K198" s="9">
        <f t="shared" si="21"/>
        <v>-3.19999999999997</v>
      </c>
      <c r="L198" s="1">
        <f t="shared" si="22"/>
        <v>-4.59999999999999</v>
      </c>
    </row>
    <row r="199" s="1" customFormat="1" spans="1:12">
      <c r="A199" s="2">
        <v>6.586</v>
      </c>
      <c r="B199" s="10" t="s">
        <v>528</v>
      </c>
      <c r="C199" s="4">
        <v>6.586</v>
      </c>
      <c r="D199" s="5">
        <v>43.7</v>
      </c>
      <c r="E199" s="4"/>
      <c r="F199" s="4"/>
      <c r="G199" s="2">
        <f t="shared" si="18"/>
        <v>6.552</v>
      </c>
      <c r="H199" s="11" t="str">
        <f t="shared" si="19"/>
        <v>2.961E-2</v>
      </c>
      <c r="I199" s="2">
        <f t="shared" si="23"/>
        <v>43.9</v>
      </c>
      <c r="J199" s="4">
        <f t="shared" si="20"/>
        <v>6.552</v>
      </c>
      <c r="K199" s="9">
        <f t="shared" si="21"/>
        <v>-3.09999999999998</v>
      </c>
      <c r="L199" s="1">
        <f t="shared" si="22"/>
        <v>-4.59999999999999</v>
      </c>
    </row>
    <row r="200" s="1" customFormat="1" spans="1:12">
      <c r="A200" s="2">
        <v>6.619</v>
      </c>
      <c r="B200" s="10" t="s">
        <v>527</v>
      </c>
      <c r="C200" s="4">
        <v>6.619</v>
      </c>
      <c r="D200" s="5">
        <v>44.4</v>
      </c>
      <c r="E200" s="4"/>
      <c r="F200" s="4"/>
      <c r="G200" s="2">
        <f t="shared" si="18"/>
        <v>6.586</v>
      </c>
      <c r="H200" s="11" t="str">
        <f t="shared" si="19"/>
        <v>2.963E-2</v>
      </c>
      <c r="I200" s="2">
        <f t="shared" si="23"/>
        <v>43.7</v>
      </c>
      <c r="J200" s="4">
        <f t="shared" si="20"/>
        <v>6.586</v>
      </c>
      <c r="K200" s="9">
        <f t="shared" si="21"/>
        <v>-2.89999999999999</v>
      </c>
      <c r="L200" s="1">
        <f t="shared" si="22"/>
        <v>-4.59999999999999</v>
      </c>
    </row>
    <row r="201" s="1" customFormat="1" spans="1:12">
      <c r="A201" s="2">
        <v>6.653</v>
      </c>
      <c r="B201" s="10" t="s">
        <v>522</v>
      </c>
      <c r="C201" s="4">
        <v>6.653</v>
      </c>
      <c r="D201" s="5">
        <v>43.8</v>
      </c>
      <c r="E201" s="4"/>
      <c r="F201" s="4"/>
      <c r="G201" s="2">
        <f t="shared" si="18"/>
        <v>6.619</v>
      </c>
      <c r="H201" s="11" t="str">
        <f t="shared" si="19"/>
        <v>2.965E-2</v>
      </c>
      <c r="I201" s="2">
        <f t="shared" si="23"/>
        <v>44.4</v>
      </c>
      <c r="J201" s="4">
        <f t="shared" si="20"/>
        <v>6.619</v>
      </c>
      <c r="K201" s="9">
        <f t="shared" si="21"/>
        <v>-2.69999999999999</v>
      </c>
      <c r="L201" s="1">
        <f t="shared" si="22"/>
        <v>-4.59999999999999</v>
      </c>
    </row>
    <row r="202" s="1" customFormat="1" spans="1:12">
      <c r="A202" s="2">
        <v>6.686</v>
      </c>
      <c r="B202" s="10" t="s">
        <v>524</v>
      </c>
      <c r="C202" s="4">
        <v>6.686</v>
      </c>
      <c r="D202" s="5">
        <v>44.2</v>
      </c>
      <c r="E202" s="4"/>
      <c r="F202" s="4"/>
      <c r="G202" s="2">
        <f t="shared" si="18"/>
        <v>6.653</v>
      </c>
      <c r="H202" s="11" t="str">
        <f t="shared" si="19"/>
        <v>2.967E-2</v>
      </c>
      <c r="I202" s="2">
        <f t="shared" si="23"/>
        <v>43.8</v>
      </c>
      <c r="J202" s="4">
        <f t="shared" si="20"/>
        <v>6.653</v>
      </c>
      <c r="K202" s="9">
        <f t="shared" si="21"/>
        <v>-2.5</v>
      </c>
      <c r="L202" s="1">
        <f t="shared" si="22"/>
        <v>-4.59999999999999</v>
      </c>
    </row>
    <row r="203" s="1" customFormat="1" spans="1:12">
      <c r="A203" s="2">
        <v>6.72</v>
      </c>
      <c r="B203" s="10" t="s">
        <v>526</v>
      </c>
      <c r="C203" s="4">
        <v>6.72</v>
      </c>
      <c r="D203" s="5">
        <v>44.6</v>
      </c>
      <c r="E203" s="4"/>
      <c r="F203" s="4"/>
      <c r="G203" s="2">
        <f t="shared" si="18"/>
        <v>6.686</v>
      </c>
      <c r="H203" s="11" t="str">
        <f t="shared" si="19"/>
        <v>2.969E-2</v>
      </c>
      <c r="I203" s="2">
        <f t="shared" si="23"/>
        <v>44.2</v>
      </c>
      <c r="J203" s="4">
        <f t="shared" si="20"/>
        <v>6.686</v>
      </c>
      <c r="K203" s="9">
        <f t="shared" si="21"/>
        <v>-2.29999999999998</v>
      </c>
      <c r="L203" s="1">
        <f t="shared" si="22"/>
        <v>-4.59999999999999</v>
      </c>
    </row>
    <row r="204" s="1" customFormat="1" spans="1:12">
      <c r="A204" s="2">
        <v>6.753</v>
      </c>
      <c r="B204" s="10" t="s">
        <v>524</v>
      </c>
      <c r="C204" s="4">
        <v>6.753</v>
      </c>
      <c r="D204" s="5">
        <v>44.6</v>
      </c>
      <c r="E204" s="4"/>
      <c r="F204" s="4"/>
      <c r="G204" s="2">
        <f t="shared" si="18"/>
        <v>6.72</v>
      </c>
      <c r="H204" s="11" t="str">
        <f t="shared" si="19"/>
        <v>2.970E-2</v>
      </c>
      <c r="I204" s="2">
        <f t="shared" si="23"/>
        <v>44.6</v>
      </c>
      <c r="J204" s="4">
        <f t="shared" si="20"/>
        <v>6.72</v>
      </c>
      <c r="K204" s="9">
        <f t="shared" si="21"/>
        <v>-2.19999999999998</v>
      </c>
      <c r="L204" s="1">
        <f t="shared" si="22"/>
        <v>-4.59999999999999</v>
      </c>
    </row>
    <row r="205" s="1" customFormat="1" spans="1:12">
      <c r="A205" s="2">
        <v>6.786</v>
      </c>
      <c r="B205" s="10" t="s">
        <v>526</v>
      </c>
      <c r="C205" s="4">
        <v>6.786</v>
      </c>
      <c r="D205" s="5">
        <v>44.2</v>
      </c>
      <c r="E205" s="4"/>
      <c r="F205" s="4"/>
      <c r="G205" s="2">
        <f t="shared" si="18"/>
        <v>6.753</v>
      </c>
      <c r="H205" s="11" t="str">
        <f t="shared" si="19"/>
        <v>2.969E-2</v>
      </c>
      <c r="I205" s="2">
        <f t="shared" si="23"/>
        <v>44.6</v>
      </c>
      <c r="J205" s="4">
        <f t="shared" si="20"/>
        <v>6.753</v>
      </c>
      <c r="K205" s="9">
        <f t="shared" si="21"/>
        <v>-2.29999999999998</v>
      </c>
      <c r="L205" s="1">
        <f t="shared" si="22"/>
        <v>-4.59999999999999</v>
      </c>
    </row>
    <row r="206" s="1" customFormat="1" spans="1:12">
      <c r="A206" s="2">
        <v>6.82</v>
      </c>
      <c r="B206" s="10" t="s">
        <v>525</v>
      </c>
      <c r="C206" s="4">
        <v>6.82</v>
      </c>
      <c r="D206" s="5">
        <v>43.8</v>
      </c>
      <c r="E206" s="4"/>
      <c r="F206" s="4"/>
      <c r="G206" s="2">
        <f t="shared" si="18"/>
        <v>6.786</v>
      </c>
      <c r="H206" s="11" t="str">
        <f t="shared" si="19"/>
        <v>2.970E-2</v>
      </c>
      <c r="I206" s="2">
        <f t="shared" si="23"/>
        <v>44.2</v>
      </c>
      <c r="J206" s="4">
        <f t="shared" si="20"/>
        <v>6.786</v>
      </c>
      <c r="K206" s="9">
        <f t="shared" si="21"/>
        <v>-2.19999999999998</v>
      </c>
      <c r="L206" s="1">
        <f t="shared" si="22"/>
        <v>-4.59999999999999</v>
      </c>
    </row>
    <row r="207" s="1" customFormat="1" spans="1:12">
      <c r="A207" s="2">
        <v>6.853</v>
      </c>
      <c r="B207" s="10" t="s">
        <v>535</v>
      </c>
      <c r="C207" s="4">
        <v>6.853</v>
      </c>
      <c r="D207" s="5">
        <v>44.5</v>
      </c>
      <c r="E207" s="4"/>
      <c r="F207" s="4"/>
      <c r="G207" s="2">
        <f t="shared" si="18"/>
        <v>6.82</v>
      </c>
      <c r="H207" s="11" t="str">
        <f t="shared" si="19"/>
        <v>2.971E-2</v>
      </c>
      <c r="I207" s="2">
        <f t="shared" si="23"/>
        <v>43.8</v>
      </c>
      <c r="J207" s="4">
        <f t="shared" si="20"/>
        <v>6.82</v>
      </c>
      <c r="K207" s="9">
        <f t="shared" si="21"/>
        <v>-2.09999999999998</v>
      </c>
      <c r="L207" s="1">
        <f t="shared" si="22"/>
        <v>-4.59999999999999</v>
      </c>
    </row>
    <row r="208" s="1" customFormat="1" spans="1:12">
      <c r="A208" s="2">
        <v>6.887</v>
      </c>
      <c r="B208" s="10" t="s">
        <v>535</v>
      </c>
      <c r="C208" s="4">
        <v>6.887</v>
      </c>
      <c r="D208" s="5">
        <v>44.1</v>
      </c>
      <c r="E208" s="4"/>
      <c r="F208" s="4"/>
      <c r="G208" s="2">
        <f t="shared" si="18"/>
        <v>6.853</v>
      </c>
      <c r="H208" s="11" t="str">
        <f t="shared" si="19"/>
        <v>2.972E-2</v>
      </c>
      <c r="I208" s="2">
        <f t="shared" si="23"/>
        <v>44.5</v>
      </c>
      <c r="J208" s="4">
        <f t="shared" si="20"/>
        <v>6.853</v>
      </c>
      <c r="K208" s="9">
        <f t="shared" si="21"/>
        <v>-1.99999999999999</v>
      </c>
      <c r="L208" s="1">
        <f t="shared" si="22"/>
        <v>-4.59999999999999</v>
      </c>
    </row>
    <row r="209" s="1" customFormat="1" spans="1:12">
      <c r="A209" s="2">
        <v>6.92</v>
      </c>
      <c r="B209" s="10" t="s">
        <v>525</v>
      </c>
      <c r="C209" s="4">
        <v>6.92</v>
      </c>
      <c r="D209" s="5">
        <v>44.5</v>
      </c>
      <c r="E209" s="4"/>
      <c r="F209" s="4"/>
      <c r="G209" s="2">
        <f t="shared" si="18"/>
        <v>6.887</v>
      </c>
      <c r="H209" s="11" t="str">
        <f t="shared" si="19"/>
        <v>2.972E-2</v>
      </c>
      <c r="I209" s="2">
        <f t="shared" si="23"/>
        <v>44.1</v>
      </c>
      <c r="J209" s="4">
        <f t="shared" si="20"/>
        <v>6.887</v>
      </c>
      <c r="K209" s="9">
        <f t="shared" si="21"/>
        <v>-1.99999999999999</v>
      </c>
      <c r="L209" s="1">
        <f t="shared" si="22"/>
        <v>-4.59999999999999</v>
      </c>
    </row>
    <row r="210" s="1" customFormat="1" spans="1:12">
      <c r="A210" s="2">
        <v>6.954</v>
      </c>
      <c r="B210" s="10" t="s">
        <v>526</v>
      </c>
      <c r="C210" s="4">
        <v>6.954</v>
      </c>
      <c r="D210" s="5">
        <v>44.1</v>
      </c>
      <c r="E210" s="4"/>
      <c r="F210" s="4"/>
      <c r="G210" s="2">
        <f t="shared" si="18"/>
        <v>6.92</v>
      </c>
      <c r="H210" s="11" t="str">
        <f t="shared" si="19"/>
        <v>2.971E-2</v>
      </c>
      <c r="I210" s="2">
        <f t="shared" si="23"/>
        <v>44.5</v>
      </c>
      <c r="J210" s="4">
        <f t="shared" si="20"/>
        <v>6.92</v>
      </c>
      <c r="K210" s="9">
        <f t="shared" si="21"/>
        <v>-2.09999999999998</v>
      </c>
      <c r="L210" s="1">
        <f t="shared" si="22"/>
        <v>-4.59999999999999</v>
      </c>
    </row>
    <row r="211" s="1" customFormat="1" spans="1:12">
      <c r="A211" s="2">
        <v>6.987</v>
      </c>
      <c r="B211" s="10" t="s">
        <v>524</v>
      </c>
      <c r="C211" s="4">
        <v>6.987</v>
      </c>
      <c r="D211" s="5">
        <v>44.4</v>
      </c>
      <c r="E211" s="4"/>
      <c r="F211" s="4"/>
      <c r="G211" s="2">
        <f t="shared" si="18"/>
        <v>6.954</v>
      </c>
      <c r="H211" s="11" t="str">
        <f t="shared" si="19"/>
        <v>2.970E-2</v>
      </c>
      <c r="I211" s="2">
        <f t="shared" si="23"/>
        <v>44.1</v>
      </c>
      <c r="J211" s="4">
        <f t="shared" si="20"/>
        <v>6.954</v>
      </c>
      <c r="K211" s="9">
        <f t="shared" si="21"/>
        <v>-2.19999999999998</v>
      </c>
      <c r="L211" s="1">
        <f t="shared" si="22"/>
        <v>-4.59999999999999</v>
      </c>
    </row>
    <row r="212" s="1" customFormat="1" spans="1:12">
      <c r="A212" s="2">
        <v>7.02</v>
      </c>
      <c r="B212" s="10" t="s">
        <v>523</v>
      </c>
      <c r="C212" s="4">
        <v>7.02</v>
      </c>
      <c r="D212" s="5">
        <v>44.5</v>
      </c>
      <c r="E212" s="4"/>
      <c r="F212" s="4"/>
      <c r="G212" s="2">
        <f t="shared" si="18"/>
        <v>6.987</v>
      </c>
      <c r="H212" s="11" t="str">
        <f t="shared" si="19"/>
        <v>2.969E-2</v>
      </c>
      <c r="I212" s="2">
        <f t="shared" si="23"/>
        <v>44.4</v>
      </c>
      <c r="J212" s="4">
        <f t="shared" si="20"/>
        <v>6.987</v>
      </c>
      <c r="K212" s="9">
        <f t="shared" si="21"/>
        <v>-2.29999999999998</v>
      </c>
      <c r="L212" s="1">
        <f t="shared" si="22"/>
        <v>-4.59999999999999</v>
      </c>
    </row>
    <row r="213" s="1" customFormat="1" spans="1:12">
      <c r="A213" s="2">
        <v>7.054</v>
      </c>
      <c r="B213" s="10" t="s">
        <v>522</v>
      </c>
      <c r="C213" s="4">
        <v>7.054</v>
      </c>
      <c r="D213" s="5">
        <v>44.2</v>
      </c>
      <c r="E213" s="4"/>
      <c r="F213" s="4"/>
      <c r="G213" s="2">
        <f t="shared" si="18"/>
        <v>7.02</v>
      </c>
      <c r="H213" s="11" t="str">
        <f t="shared" si="19"/>
        <v>2.968E-2</v>
      </c>
      <c r="I213" s="2">
        <f t="shared" si="23"/>
        <v>44.5</v>
      </c>
      <c r="J213" s="4">
        <f t="shared" si="20"/>
        <v>7.02</v>
      </c>
      <c r="K213" s="9">
        <f t="shared" si="21"/>
        <v>-2.39999999999997</v>
      </c>
      <c r="L213" s="1">
        <f t="shared" si="22"/>
        <v>-4.59999999999999</v>
      </c>
    </row>
    <row r="214" s="1" customFormat="1" spans="1:12">
      <c r="A214" s="2">
        <v>7.087</v>
      </c>
      <c r="B214" s="10" t="s">
        <v>521</v>
      </c>
      <c r="C214" s="4">
        <v>7.087</v>
      </c>
      <c r="D214" s="5">
        <v>44.2</v>
      </c>
      <c r="E214" s="4"/>
      <c r="F214" s="4"/>
      <c r="G214" s="2">
        <f t="shared" si="18"/>
        <v>7.054</v>
      </c>
      <c r="H214" s="11" t="str">
        <f t="shared" si="19"/>
        <v>2.967E-2</v>
      </c>
      <c r="I214" s="2">
        <f t="shared" si="23"/>
        <v>44.2</v>
      </c>
      <c r="J214" s="4">
        <f t="shared" si="20"/>
        <v>7.054</v>
      </c>
      <c r="K214" s="9">
        <f t="shared" si="21"/>
        <v>-2.5</v>
      </c>
      <c r="L214" s="1">
        <f t="shared" si="22"/>
        <v>-4.59999999999999</v>
      </c>
    </row>
    <row r="215" s="1" customFormat="1" spans="1:12">
      <c r="A215" s="2">
        <v>7.121</v>
      </c>
      <c r="B215" s="10" t="s">
        <v>509</v>
      </c>
      <c r="C215" s="4">
        <v>7.121</v>
      </c>
      <c r="D215" s="5">
        <v>44.4</v>
      </c>
      <c r="E215" s="4"/>
      <c r="F215" s="4"/>
      <c r="G215" s="2">
        <f t="shared" si="18"/>
        <v>7.087</v>
      </c>
      <c r="H215" s="11" t="str">
        <f t="shared" si="19"/>
        <v>2.966E-2</v>
      </c>
      <c r="I215" s="2">
        <f t="shared" si="23"/>
        <v>44.2</v>
      </c>
      <c r="J215" s="4">
        <f t="shared" si="20"/>
        <v>7.087</v>
      </c>
      <c r="K215" s="9">
        <f t="shared" si="21"/>
        <v>-2.6</v>
      </c>
      <c r="L215" s="1">
        <f t="shared" si="22"/>
        <v>-4.59999999999999</v>
      </c>
    </row>
    <row r="216" s="1" customFormat="1" spans="1:12">
      <c r="A216" s="2">
        <v>7.154</v>
      </c>
      <c r="B216" s="10" t="s">
        <v>520</v>
      </c>
      <c r="C216" s="4">
        <v>7.154</v>
      </c>
      <c r="D216" s="5">
        <v>44.8</v>
      </c>
      <c r="E216" s="4"/>
      <c r="F216" s="4"/>
      <c r="G216" s="2">
        <f t="shared" si="18"/>
        <v>7.121</v>
      </c>
      <c r="H216" s="11" t="str">
        <f t="shared" si="19"/>
        <v>2.964E-2</v>
      </c>
      <c r="I216" s="2">
        <f t="shared" si="23"/>
        <v>44.4</v>
      </c>
      <c r="J216" s="4">
        <f t="shared" si="20"/>
        <v>7.121</v>
      </c>
      <c r="K216" s="9">
        <f t="shared" si="21"/>
        <v>-2.79999999999999</v>
      </c>
      <c r="L216" s="1">
        <f t="shared" si="22"/>
        <v>-4.59999999999999</v>
      </c>
    </row>
    <row r="217" s="1" customFormat="1" spans="1:12">
      <c r="A217" s="2">
        <v>7.188</v>
      </c>
      <c r="B217" s="10" t="s">
        <v>534</v>
      </c>
      <c r="C217" s="4">
        <v>7.188</v>
      </c>
      <c r="D217" s="5">
        <v>44.6</v>
      </c>
      <c r="E217" s="4"/>
      <c r="F217" s="4"/>
      <c r="G217" s="2">
        <f t="shared" si="18"/>
        <v>7.154</v>
      </c>
      <c r="H217" s="11" t="str">
        <f t="shared" si="19"/>
        <v>2.962E-2</v>
      </c>
      <c r="I217" s="2">
        <f t="shared" si="23"/>
        <v>44.8</v>
      </c>
      <c r="J217" s="4">
        <f t="shared" si="20"/>
        <v>7.154</v>
      </c>
      <c r="K217" s="9">
        <f t="shared" si="21"/>
        <v>-2.99999999999998</v>
      </c>
      <c r="L217" s="1">
        <f t="shared" si="22"/>
        <v>-4.59999999999999</v>
      </c>
    </row>
    <row r="218" s="1" customFormat="1" spans="1:12">
      <c r="A218" s="2">
        <v>7.221</v>
      </c>
      <c r="B218" s="10" t="s">
        <v>518</v>
      </c>
      <c r="C218" s="4">
        <v>7.221</v>
      </c>
      <c r="D218" s="5">
        <v>44.4</v>
      </c>
      <c r="E218" s="4"/>
      <c r="F218" s="4"/>
      <c r="G218" s="2">
        <f t="shared" si="18"/>
        <v>7.188</v>
      </c>
      <c r="H218" s="11" t="str">
        <f t="shared" si="19"/>
        <v>2.961E-2</v>
      </c>
      <c r="I218" s="2">
        <f t="shared" si="23"/>
        <v>44.6</v>
      </c>
      <c r="J218" s="4">
        <f t="shared" si="20"/>
        <v>7.188</v>
      </c>
      <c r="K218" s="9">
        <f t="shared" si="21"/>
        <v>-3.09999999999998</v>
      </c>
      <c r="L218" s="1">
        <f t="shared" si="22"/>
        <v>-4.59999999999999</v>
      </c>
    </row>
    <row r="219" s="1" customFormat="1" spans="1:12">
      <c r="A219" s="2">
        <v>7.254</v>
      </c>
      <c r="B219" s="10" t="s">
        <v>510</v>
      </c>
      <c r="C219" s="4">
        <v>7.254</v>
      </c>
      <c r="D219" s="5">
        <v>44.4</v>
      </c>
      <c r="E219" s="4"/>
      <c r="F219" s="4"/>
      <c r="G219" s="2">
        <f t="shared" si="18"/>
        <v>7.221</v>
      </c>
      <c r="H219" s="11" t="str">
        <f t="shared" si="19"/>
        <v>2.959E-2</v>
      </c>
      <c r="I219" s="2">
        <f t="shared" si="23"/>
        <v>44.4</v>
      </c>
      <c r="J219" s="4">
        <f t="shared" si="20"/>
        <v>7.221</v>
      </c>
      <c r="K219" s="9">
        <f t="shared" si="21"/>
        <v>-3.29999999999997</v>
      </c>
      <c r="L219" s="1">
        <f t="shared" si="22"/>
        <v>-4.59999999999999</v>
      </c>
    </row>
    <row r="220" s="1" customFormat="1" spans="1:12">
      <c r="A220" s="2">
        <v>7.288</v>
      </c>
      <c r="B220" s="10" t="s">
        <v>517</v>
      </c>
      <c r="C220" s="4">
        <v>7.288</v>
      </c>
      <c r="D220" s="5">
        <v>44.3</v>
      </c>
      <c r="E220" s="4"/>
      <c r="F220" s="4"/>
      <c r="G220" s="2">
        <f t="shared" si="18"/>
        <v>7.254</v>
      </c>
      <c r="H220" s="11" t="str">
        <f t="shared" si="19"/>
        <v>2.958E-2</v>
      </c>
      <c r="I220" s="2">
        <f t="shared" si="23"/>
        <v>44.4</v>
      </c>
      <c r="J220" s="4">
        <f t="shared" si="20"/>
        <v>7.254</v>
      </c>
      <c r="K220" s="9">
        <f t="shared" si="21"/>
        <v>-3.4</v>
      </c>
      <c r="L220" s="1">
        <f t="shared" si="22"/>
        <v>-4.59999999999999</v>
      </c>
    </row>
    <row r="221" s="1" customFormat="1" spans="1:12">
      <c r="A221" s="2">
        <v>7.321</v>
      </c>
      <c r="B221" s="10" t="s">
        <v>516</v>
      </c>
      <c r="C221" s="4">
        <v>7.321</v>
      </c>
      <c r="D221" s="5">
        <v>44.1</v>
      </c>
      <c r="E221" s="4"/>
      <c r="F221" s="4"/>
      <c r="G221" s="2">
        <f t="shared" si="18"/>
        <v>7.288</v>
      </c>
      <c r="H221" s="11" t="str">
        <f t="shared" si="19"/>
        <v>2.956E-2</v>
      </c>
      <c r="I221" s="2">
        <f t="shared" si="23"/>
        <v>44.3</v>
      </c>
      <c r="J221" s="4">
        <f t="shared" si="20"/>
        <v>7.288</v>
      </c>
      <c r="K221" s="9">
        <f t="shared" si="21"/>
        <v>-3.59999999999999</v>
      </c>
      <c r="L221" s="1">
        <f t="shared" si="22"/>
        <v>-4.59999999999999</v>
      </c>
    </row>
    <row r="222" s="1" customFormat="1" spans="1:12">
      <c r="A222" s="2">
        <v>7.355</v>
      </c>
      <c r="B222" s="10" t="s">
        <v>511</v>
      </c>
      <c r="C222" s="4">
        <v>7.355</v>
      </c>
      <c r="D222" s="5">
        <v>44.5</v>
      </c>
      <c r="E222" s="4"/>
      <c r="F222" s="4"/>
      <c r="G222" s="2">
        <f t="shared" si="18"/>
        <v>7.321</v>
      </c>
      <c r="H222" s="11" t="str">
        <f t="shared" si="19"/>
        <v>2.955E-2</v>
      </c>
      <c r="I222" s="2">
        <f t="shared" si="23"/>
        <v>44.1</v>
      </c>
      <c r="J222" s="4">
        <f t="shared" si="20"/>
        <v>7.321</v>
      </c>
      <c r="K222" s="9">
        <f t="shared" si="21"/>
        <v>-3.69999999999999</v>
      </c>
      <c r="L222" s="1">
        <f t="shared" si="22"/>
        <v>-4.59999999999999</v>
      </c>
    </row>
    <row r="223" s="1" customFormat="1" spans="1:12">
      <c r="A223" s="2">
        <v>7.388</v>
      </c>
      <c r="B223" s="10" t="s">
        <v>532</v>
      </c>
      <c r="C223" s="4">
        <v>7.388</v>
      </c>
      <c r="D223" s="5">
        <v>44.4</v>
      </c>
      <c r="E223" s="4"/>
      <c r="F223" s="4"/>
      <c r="G223" s="2">
        <f t="shared" si="18"/>
        <v>7.355</v>
      </c>
      <c r="H223" s="11" t="str">
        <f t="shared" si="19"/>
        <v>2.953E-2</v>
      </c>
      <c r="I223" s="2">
        <f t="shared" si="23"/>
        <v>44.5</v>
      </c>
      <c r="J223" s="4">
        <f t="shared" si="20"/>
        <v>7.355</v>
      </c>
      <c r="K223" s="9">
        <f t="shared" si="21"/>
        <v>-3.89999999999998</v>
      </c>
      <c r="L223" s="1">
        <f t="shared" si="22"/>
        <v>-4.59999999999999</v>
      </c>
    </row>
    <row r="224" s="1" customFormat="1" spans="1:12">
      <c r="A224" s="2">
        <v>7.422</v>
      </c>
      <c r="B224" s="10" t="s">
        <v>512</v>
      </c>
      <c r="C224" s="4">
        <v>7.422</v>
      </c>
      <c r="D224" s="5">
        <v>44.3</v>
      </c>
      <c r="E224" s="4"/>
      <c r="F224" s="4"/>
      <c r="G224" s="2">
        <f t="shared" si="18"/>
        <v>7.388</v>
      </c>
      <c r="H224" s="11" t="str">
        <f t="shared" si="19"/>
        <v>2.952E-2</v>
      </c>
      <c r="I224" s="2">
        <f t="shared" si="23"/>
        <v>44.4</v>
      </c>
      <c r="J224" s="4">
        <f t="shared" si="20"/>
        <v>7.388</v>
      </c>
      <c r="K224" s="9">
        <f t="shared" si="21"/>
        <v>-3.99999999999998</v>
      </c>
      <c r="L224" s="1">
        <f t="shared" si="22"/>
        <v>-4.59999999999999</v>
      </c>
    </row>
    <row r="225" s="1" customFormat="1" spans="1:12">
      <c r="A225" s="2">
        <v>7.455</v>
      </c>
      <c r="B225" s="10" t="s">
        <v>512</v>
      </c>
      <c r="C225" s="4">
        <v>7.455</v>
      </c>
      <c r="D225" s="5">
        <v>44.5</v>
      </c>
      <c r="E225" s="4"/>
      <c r="F225" s="4"/>
      <c r="G225" s="2">
        <f t="shared" si="18"/>
        <v>7.422</v>
      </c>
      <c r="H225" s="11" t="str">
        <f t="shared" si="19"/>
        <v>2.951E-2</v>
      </c>
      <c r="I225" s="2">
        <f t="shared" si="23"/>
        <v>44.3</v>
      </c>
      <c r="J225" s="4">
        <f t="shared" si="20"/>
        <v>7.422</v>
      </c>
      <c r="K225" s="9">
        <f t="shared" si="21"/>
        <v>-4.09999999999997</v>
      </c>
      <c r="L225" s="1">
        <f t="shared" si="22"/>
        <v>-4.59999999999999</v>
      </c>
    </row>
    <row r="226" s="1" customFormat="1" spans="1:12">
      <c r="A226" s="2">
        <v>7.488</v>
      </c>
      <c r="B226" s="10" t="s">
        <v>513</v>
      </c>
      <c r="C226" s="4">
        <v>7.488</v>
      </c>
      <c r="D226" s="5">
        <v>44.4</v>
      </c>
      <c r="E226" s="4"/>
      <c r="F226" s="4"/>
      <c r="G226" s="2">
        <f t="shared" si="18"/>
        <v>7.455</v>
      </c>
      <c r="H226" s="11" t="str">
        <f t="shared" si="19"/>
        <v>2.951E-2</v>
      </c>
      <c r="I226" s="2">
        <f t="shared" si="23"/>
        <v>44.5</v>
      </c>
      <c r="J226" s="4">
        <f t="shared" si="20"/>
        <v>7.455</v>
      </c>
      <c r="K226" s="9">
        <f t="shared" si="21"/>
        <v>-4.09999999999997</v>
      </c>
      <c r="L226" s="1">
        <f t="shared" si="22"/>
        <v>-4.59999999999999</v>
      </c>
    </row>
    <row r="227" s="1" customFormat="1" spans="1:12">
      <c r="A227" s="2">
        <v>7.522</v>
      </c>
      <c r="B227" s="10" t="s">
        <v>514</v>
      </c>
      <c r="C227" s="4">
        <v>7.522</v>
      </c>
      <c r="D227" s="5">
        <v>44.4</v>
      </c>
      <c r="E227" s="4"/>
      <c r="F227" s="4"/>
      <c r="G227" s="2">
        <f t="shared" si="18"/>
        <v>7.488</v>
      </c>
      <c r="H227" s="11" t="str">
        <f t="shared" si="19"/>
        <v>2.950E-2</v>
      </c>
      <c r="I227" s="2">
        <f t="shared" si="23"/>
        <v>44.4</v>
      </c>
      <c r="J227" s="4">
        <f t="shared" si="20"/>
        <v>7.488</v>
      </c>
      <c r="K227" s="9">
        <f t="shared" si="21"/>
        <v>-4.2</v>
      </c>
      <c r="L227" s="1">
        <f t="shared" si="22"/>
        <v>-4.59999999999999</v>
      </c>
    </row>
    <row r="228" s="1" customFormat="1" spans="1:12">
      <c r="A228" s="2">
        <v>7.555</v>
      </c>
      <c r="B228" s="10" t="s">
        <v>513</v>
      </c>
      <c r="C228" s="4">
        <v>7.555</v>
      </c>
      <c r="D228" s="5">
        <v>44.5</v>
      </c>
      <c r="E228" s="4"/>
      <c r="F228" s="4"/>
      <c r="G228" s="2">
        <f t="shared" si="18"/>
        <v>7.522</v>
      </c>
      <c r="H228" s="11" t="str">
        <f t="shared" si="19"/>
        <v>2.948E-2</v>
      </c>
      <c r="I228" s="2">
        <f t="shared" si="23"/>
        <v>44.4</v>
      </c>
      <c r="J228" s="4">
        <f t="shared" si="20"/>
        <v>7.522</v>
      </c>
      <c r="K228" s="9">
        <f t="shared" si="21"/>
        <v>-4.39999999999999</v>
      </c>
      <c r="L228" s="1">
        <f t="shared" si="22"/>
        <v>-4.59999999999999</v>
      </c>
    </row>
    <row r="229" s="1" customFormat="1" spans="1:12">
      <c r="A229" s="2">
        <v>7.589</v>
      </c>
      <c r="B229" s="10" t="s">
        <v>512</v>
      </c>
      <c r="C229" s="4">
        <v>7.589</v>
      </c>
      <c r="D229" s="5">
        <v>44.1</v>
      </c>
      <c r="E229" s="4"/>
      <c r="F229" s="4"/>
      <c r="G229" s="2">
        <f t="shared" si="18"/>
        <v>7.555</v>
      </c>
      <c r="H229" s="11" t="str">
        <f t="shared" si="19"/>
        <v>2.950E-2</v>
      </c>
      <c r="I229" s="2">
        <f t="shared" si="23"/>
        <v>44.5</v>
      </c>
      <c r="J229" s="4">
        <f t="shared" si="20"/>
        <v>7.555</v>
      </c>
      <c r="K229" s="9">
        <f t="shared" si="21"/>
        <v>-4.2</v>
      </c>
      <c r="L229" s="1">
        <f t="shared" si="22"/>
        <v>-4.59999999999999</v>
      </c>
    </row>
    <row r="230" s="1" customFormat="1" spans="1:12">
      <c r="A230" s="2">
        <v>7.622</v>
      </c>
      <c r="B230" s="10" t="s">
        <v>532</v>
      </c>
      <c r="C230" s="4">
        <v>7.622</v>
      </c>
      <c r="D230" s="5">
        <v>43.9</v>
      </c>
      <c r="E230" s="4"/>
      <c r="F230" s="4"/>
      <c r="G230" s="2">
        <f t="shared" si="18"/>
        <v>7.589</v>
      </c>
      <c r="H230" s="11" t="str">
        <f t="shared" si="19"/>
        <v>2.951E-2</v>
      </c>
      <c r="I230" s="2">
        <f t="shared" si="23"/>
        <v>44.1</v>
      </c>
      <c r="J230" s="4">
        <f t="shared" si="20"/>
        <v>7.589</v>
      </c>
      <c r="K230" s="9">
        <f t="shared" si="21"/>
        <v>-4.09999999999997</v>
      </c>
      <c r="L230" s="1">
        <f t="shared" si="22"/>
        <v>-4.59999999999999</v>
      </c>
    </row>
    <row r="231" s="1" customFormat="1" spans="1:12">
      <c r="A231" s="2">
        <v>7.656</v>
      </c>
      <c r="B231" s="10" t="s">
        <v>532</v>
      </c>
      <c r="C231" s="4">
        <v>7.656</v>
      </c>
      <c r="D231" s="5">
        <v>43.8</v>
      </c>
      <c r="E231" s="4"/>
      <c r="F231" s="4"/>
      <c r="G231" s="2">
        <f t="shared" si="18"/>
        <v>7.622</v>
      </c>
      <c r="H231" s="11" t="str">
        <f t="shared" si="19"/>
        <v>2.952E-2</v>
      </c>
      <c r="I231" s="2">
        <f t="shared" si="23"/>
        <v>43.9</v>
      </c>
      <c r="J231" s="4">
        <f t="shared" si="20"/>
        <v>7.622</v>
      </c>
      <c r="K231" s="9">
        <f t="shared" si="21"/>
        <v>-3.99999999999998</v>
      </c>
      <c r="L231" s="1">
        <f t="shared" si="22"/>
        <v>-4.59999999999999</v>
      </c>
    </row>
    <row r="232" s="1" customFormat="1" spans="1:12">
      <c r="A232" s="2">
        <v>7.689</v>
      </c>
      <c r="B232" s="10" t="s">
        <v>515</v>
      </c>
      <c r="C232" s="4">
        <v>7.689</v>
      </c>
      <c r="D232" s="5">
        <v>44.5</v>
      </c>
      <c r="E232" s="4"/>
      <c r="F232" s="4"/>
      <c r="G232" s="2">
        <f t="shared" si="18"/>
        <v>7.656</v>
      </c>
      <c r="H232" s="11" t="str">
        <f t="shared" si="19"/>
        <v>2.952E-2</v>
      </c>
      <c r="I232" s="2">
        <f t="shared" si="23"/>
        <v>43.8</v>
      </c>
      <c r="J232" s="4">
        <f t="shared" si="20"/>
        <v>7.656</v>
      </c>
      <c r="K232" s="9">
        <f t="shared" si="21"/>
        <v>-3.99999999999998</v>
      </c>
      <c r="L232" s="1">
        <f t="shared" si="22"/>
        <v>-4.59999999999999</v>
      </c>
    </row>
    <row r="233" s="1" customFormat="1" spans="1:12">
      <c r="A233" s="2">
        <v>7.722</v>
      </c>
      <c r="B233" s="10" t="s">
        <v>533</v>
      </c>
      <c r="C233" s="4">
        <v>7.722</v>
      </c>
      <c r="D233" s="5">
        <v>44.4</v>
      </c>
      <c r="E233" s="4"/>
      <c r="F233" s="4"/>
      <c r="G233" s="2">
        <f t="shared" si="18"/>
        <v>7.689</v>
      </c>
      <c r="H233" s="11" t="str">
        <f t="shared" si="19"/>
        <v>2.954E-2</v>
      </c>
      <c r="I233" s="2">
        <f t="shared" si="23"/>
        <v>44.5</v>
      </c>
      <c r="J233" s="4">
        <f t="shared" si="20"/>
        <v>7.689</v>
      </c>
      <c r="K233" s="9">
        <f t="shared" si="21"/>
        <v>-3.79999999999998</v>
      </c>
      <c r="L233" s="1">
        <f t="shared" si="22"/>
        <v>-4.59999999999999</v>
      </c>
    </row>
    <row r="234" s="1" customFormat="1" spans="1:12">
      <c r="A234" s="2">
        <v>7.756</v>
      </c>
      <c r="B234" s="10" t="s">
        <v>510</v>
      </c>
      <c r="C234" s="4">
        <v>7.756</v>
      </c>
      <c r="D234" s="5">
        <v>44.4</v>
      </c>
      <c r="E234" s="4"/>
      <c r="F234" s="4"/>
      <c r="G234" s="2">
        <f t="shared" si="18"/>
        <v>7.722</v>
      </c>
      <c r="H234" s="11" t="str">
        <f t="shared" si="19"/>
        <v>2.957E-2</v>
      </c>
      <c r="I234" s="2">
        <f t="shared" si="23"/>
        <v>44.4</v>
      </c>
      <c r="J234" s="4">
        <f t="shared" si="20"/>
        <v>7.722</v>
      </c>
      <c r="K234" s="9">
        <f t="shared" si="21"/>
        <v>-3.5</v>
      </c>
      <c r="L234" s="1">
        <f t="shared" si="22"/>
        <v>-4.59999999999999</v>
      </c>
    </row>
    <row r="235" s="1" customFormat="1" spans="1:12">
      <c r="A235" s="2">
        <v>7.789</v>
      </c>
      <c r="B235" s="10" t="s">
        <v>518</v>
      </c>
      <c r="C235" s="4">
        <v>7.789</v>
      </c>
      <c r="D235" s="5">
        <v>43.7</v>
      </c>
      <c r="E235" s="4"/>
      <c r="F235" s="4"/>
      <c r="G235" s="2">
        <f t="shared" si="18"/>
        <v>7.756</v>
      </c>
      <c r="H235" s="11" t="str">
        <f t="shared" si="19"/>
        <v>2.958E-2</v>
      </c>
      <c r="I235" s="2">
        <f t="shared" si="23"/>
        <v>44.4</v>
      </c>
      <c r="J235" s="4">
        <f t="shared" si="20"/>
        <v>7.756</v>
      </c>
      <c r="K235" s="9">
        <f t="shared" si="21"/>
        <v>-3.4</v>
      </c>
      <c r="L235" s="1">
        <f t="shared" si="22"/>
        <v>-4.59999999999999</v>
      </c>
    </row>
    <row r="236" s="1" customFormat="1" spans="1:12">
      <c r="A236" s="2">
        <v>7.823</v>
      </c>
      <c r="B236" s="10" t="s">
        <v>519</v>
      </c>
      <c r="C236" s="4">
        <v>7.823</v>
      </c>
      <c r="D236" s="5">
        <v>44.2</v>
      </c>
      <c r="E236" s="4"/>
      <c r="F236" s="4"/>
      <c r="G236" s="2">
        <f t="shared" si="18"/>
        <v>7.789</v>
      </c>
      <c r="H236" s="11" t="str">
        <f t="shared" si="19"/>
        <v>2.959E-2</v>
      </c>
      <c r="I236" s="2">
        <f t="shared" si="23"/>
        <v>43.7</v>
      </c>
      <c r="J236" s="4">
        <f t="shared" si="20"/>
        <v>7.789</v>
      </c>
      <c r="K236" s="9">
        <f t="shared" si="21"/>
        <v>-3.29999999999997</v>
      </c>
      <c r="L236" s="1">
        <f t="shared" si="22"/>
        <v>-4.59999999999999</v>
      </c>
    </row>
    <row r="237" s="1" customFormat="1" spans="1:12">
      <c r="A237" s="2">
        <v>7.856</v>
      </c>
      <c r="B237" s="10" t="s">
        <v>520</v>
      </c>
      <c r="C237" s="4">
        <v>7.856</v>
      </c>
      <c r="D237" s="5">
        <v>44.5</v>
      </c>
      <c r="E237" s="4"/>
      <c r="F237" s="4"/>
      <c r="G237" s="2">
        <f t="shared" si="18"/>
        <v>7.823</v>
      </c>
      <c r="H237" s="11" t="str">
        <f t="shared" si="19"/>
        <v>2.960E-2</v>
      </c>
      <c r="I237" s="2">
        <f t="shared" si="23"/>
        <v>44.2</v>
      </c>
      <c r="J237" s="4">
        <f t="shared" si="20"/>
        <v>7.823</v>
      </c>
      <c r="K237" s="9">
        <f t="shared" si="21"/>
        <v>-3.19999999999997</v>
      </c>
      <c r="L237" s="1">
        <f t="shared" si="22"/>
        <v>-4.59999999999999</v>
      </c>
    </row>
    <row r="238" s="1" customFormat="1" spans="1:12">
      <c r="A238" s="2">
        <v>7.89</v>
      </c>
      <c r="B238" s="10" t="s">
        <v>509</v>
      </c>
      <c r="C238" s="4">
        <v>7.89</v>
      </c>
      <c r="D238" s="5">
        <v>44</v>
      </c>
      <c r="E238" s="4"/>
      <c r="F238" s="4"/>
      <c r="G238" s="2">
        <f t="shared" si="18"/>
        <v>7.856</v>
      </c>
      <c r="H238" s="11" t="str">
        <f t="shared" si="19"/>
        <v>2.962E-2</v>
      </c>
      <c r="I238" s="2">
        <f t="shared" si="23"/>
        <v>44.5</v>
      </c>
      <c r="J238" s="4">
        <f t="shared" si="20"/>
        <v>7.856</v>
      </c>
      <c r="K238" s="9">
        <f t="shared" si="21"/>
        <v>-2.99999999999998</v>
      </c>
      <c r="L238" s="1">
        <f t="shared" si="22"/>
        <v>-4.59999999999999</v>
      </c>
    </row>
    <row r="239" s="1" customFormat="1" spans="1:12">
      <c r="A239" s="2">
        <v>7.923</v>
      </c>
      <c r="B239" s="10" t="s">
        <v>527</v>
      </c>
      <c r="C239" s="4">
        <v>7.923</v>
      </c>
      <c r="D239" s="5">
        <v>44.5</v>
      </c>
      <c r="E239" s="4"/>
      <c r="F239" s="4"/>
      <c r="G239" s="2">
        <f t="shared" si="18"/>
        <v>7.89</v>
      </c>
      <c r="H239" s="11" t="str">
        <f t="shared" si="19"/>
        <v>2.964E-2</v>
      </c>
      <c r="I239" s="2">
        <f t="shared" si="23"/>
        <v>44</v>
      </c>
      <c r="J239" s="4">
        <f t="shared" si="20"/>
        <v>7.89</v>
      </c>
      <c r="K239" s="9">
        <f t="shared" si="21"/>
        <v>-2.79999999999999</v>
      </c>
      <c r="L239" s="1">
        <f t="shared" si="22"/>
        <v>-4.59999999999999</v>
      </c>
    </row>
    <row r="240" s="1" customFormat="1" spans="1:12">
      <c r="A240" s="2">
        <v>7.956</v>
      </c>
      <c r="B240" s="10" t="s">
        <v>523</v>
      </c>
      <c r="C240" s="4">
        <v>7.956</v>
      </c>
      <c r="D240" s="5">
        <v>44.6</v>
      </c>
      <c r="E240" s="4"/>
      <c r="F240" s="4"/>
      <c r="G240" s="2">
        <f t="shared" si="18"/>
        <v>7.923</v>
      </c>
      <c r="H240" s="11" t="str">
        <f t="shared" si="19"/>
        <v>2.965E-2</v>
      </c>
      <c r="I240" s="2">
        <f t="shared" si="23"/>
        <v>44.5</v>
      </c>
      <c r="J240" s="4">
        <f t="shared" si="20"/>
        <v>7.923</v>
      </c>
      <c r="K240" s="9">
        <f t="shared" si="21"/>
        <v>-2.69999999999999</v>
      </c>
      <c r="L240" s="1">
        <f t="shared" si="22"/>
        <v>-4.59999999999999</v>
      </c>
    </row>
    <row r="241" s="1" customFormat="1" spans="1:12">
      <c r="A241" s="2">
        <v>7.99</v>
      </c>
      <c r="B241" s="10" t="s">
        <v>526</v>
      </c>
      <c r="C241" s="4">
        <v>7.99</v>
      </c>
      <c r="D241" s="5">
        <v>44.5</v>
      </c>
      <c r="E241" s="4"/>
      <c r="F241" s="4"/>
      <c r="G241" s="2">
        <f t="shared" si="18"/>
        <v>7.956</v>
      </c>
      <c r="H241" s="11" t="str">
        <f t="shared" si="19"/>
        <v>2.968E-2</v>
      </c>
      <c r="I241" s="2">
        <f t="shared" si="23"/>
        <v>44.6</v>
      </c>
      <c r="J241" s="4">
        <f t="shared" si="20"/>
        <v>7.956</v>
      </c>
      <c r="K241" s="9">
        <f t="shared" si="21"/>
        <v>-2.39999999999997</v>
      </c>
      <c r="L241" s="1">
        <f t="shared" si="22"/>
        <v>-4.59999999999999</v>
      </c>
    </row>
    <row r="242" s="1" customFormat="1" spans="1:12">
      <c r="A242" s="2">
        <v>8.023</v>
      </c>
      <c r="B242" s="10" t="s">
        <v>526</v>
      </c>
      <c r="C242" s="4">
        <v>8.023</v>
      </c>
      <c r="D242" s="5">
        <v>44.5</v>
      </c>
      <c r="E242" s="4"/>
      <c r="F242" s="4"/>
      <c r="G242" s="2">
        <f t="shared" si="18"/>
        <v>7.99</v>
      </c>
      <c r="H242" s="11" t="str">
        <f t="shared" si="19"/>
        <v>2.970E-2</v>
      </c>
      <c r="I242" s="2">
        <f t="shared" si="23"/>
        <v>44.5</v>
      </c>
      <c r="J242" s="4">
        <f t="shared" si="20"/>
        <v>7.99</v>
      </c>
      <c r="K242" s="9">
        <f t="shared" si="21"/>
        <v>-2.19999999999998</v>
      </c>
      <c r="L242" s="1">
        <f t="shared" si="22"/>
        <v>-4.59999999999999</v>
      </c>
    </row>
    <row r="243" s="1" customFormat="1" spans="1:12">
      <c r="A243" s="2">
        <v>8.057</v>
      </c>
      <c r="B243" s="10" t="s">
        <v>535</v>
      </c>
      <c r="C243" s="4">
        <v>8.057</v>
      </c>
      <c r="D243" s="5">
        <v>44.1</v>
      </c>
      <c r="E243" s="4"/>
      <c r="F243" s="4"/>
      <c r="G243" s="2">
        <f t="shared" si="18"/>
        <v>8.023</v>
      </c>
      <c r="H243" s="11" t="str">
        <f t="shared" si="19"/>
        <v>2.970E-2</v>
      </c>
      <c r="I243" s="2">
        <f t="shared" si="23"/>
        <v>44.5</v>
      </c>
      <c r="J243" s="4">
        <f t="shared" si="20"/>
        <v>8.023</v>
      </c>
      <c r="K243" s="9">
        <f t="shared" si="21"/>
        <v>-2.19999999999998</v>
      </c>
      <c r="L243" s="1">
        <f t="shared" si="22"/>
        <v>-4.59999999999999</v>
      </c>
    </row>
    <row r="244" s="1" customFormat="1" spans="1:12">
      <c r="A244" s="2">
        <v>8.09</v>
      </c>
      <c r="B244" s="10" t="s">
        <v>525</v>
      </c>
      <c r="C244" s="4">
        <v>8.09</v>
      </c>
      <c r="D244" s="5">
        <v>44</v>
      </c>
      <c r="E244" s="4"/>
      <c r="F244" s="4"/>
      <c r="G244" s="2">
        <f t="shared" si="18"/>
        <v>8.057</v>
      </c>
      <c r="H244" s="11" t="str">
        <f t="shared" si="19"/>
        <v>2.972E-2</v>
      </c>
      <c r="I244" s="2">
        <f t="shared" si="23"/>
        <v>44.1</v>
      </c>
      <c r="J244" s="4">
        <f t="shared" si="20"/>
        <v>8.057</v>
      </c>
      <c r="K244" s="9">
        <f t="shared" si="21"/>
        <v>-1.99999999999999</v>
      </c>
      <c r="L244" s="1">
        <f t="shared" si="22"/>
        <v>-4.59999999999999</v>
      </c>
    </row>
    <row r="245" s="1" customFormat="1" spans="1:12">
      <c r="A245" s="2">
        <v>8.124</v>
      </c>
      <c r="B245" s="10" t="s">
        <v>535</v>
      </c>
      <c r="C245" s="4">
        <v>8.124</v>
      </c>
      <c r="D245" s="5">
        <v>44.2</v>
      </c>
      <c r="E245" s="4"/>
      <c r="F245" s="4"/>
      <c r="G245" s="2">
        <f t="shared" si="18"/>
        <v>8.09</v>
      </c>
      <c r="H245" s="11" t="str">
        <f t="shared" si="19"/>
        <v>2.971E-2</v>
      </c>
      <c r="I245" s="2">
        <f t="shared" si="23"/>
        <v>44</v>
      </c>
      <c r="J245" s="4">
        <f t="shared" si="20"/>
        <v>8.09</v>
      </c>
      <c r="K245" s="9">
        <f t="shared" si="21"/>
        <v>-2.09999999999998</v>
      </c>
      <c r="L245" s="1">
        <f t="shared" si="22"/>
        <v>-4.59999999999999</v>
      </c>
    </row>
    <row r="246" s="1" customFormat="1" spans="1:12">
      <c r="A246" s="2">
        <v>8.157</v>
      </c>
      <c r="B246" s="10" t="s">
        <v>536</v>
      </c>
      <c r="C246" s="4">
        <v>8.157</v>
      </c>
      <c r="D246" s="5">
        <v>44</v>
      </c>
      <c r="E246" s="4"/>
      <c r="F246" s="4"/>
      <c r="G246" s="2">
        <f t="shared" si="18"/>
        <v>8.124</v>
      </c>
      <c r="H246" s="11" t="str">
        <f t="shared" si="19"/>
        <v>2.972E-2</v>
      </c>
      <c r="I246" s="2">
        <f t="shared" si="23"/>
        <v>44.2</v>
      </c>
      <c r="J246" s="4">
        <f t="shared" si="20"/>
        <v>8.124</v>
      </c>
      <c r="K246" s="9">
        <f t="shared" si="21"/>
        <v>-1.99999999999999</v>
      </c>
      <c r="L246" s="1">
        <f t="shared" si="22"/>
        <v>-4.59999999999999</v>
      </c>
    </row>
    <row r="247" s="1" customFormat="1" spans="1:12">
      <c r="A247" s="2">
        <v>8.191</v>
      </c>
      <c r="B247" s="10" t="s">
        <v>537</v>
      </c>
      <c r="C247" s="4">
        <v>8.191</v>
      </c>
      <c r="D247" s="5">
        <v>44.3</v>
      </c>
      <c r="E247" s="4"/>
      <c r="F247" s="4"/>
      <c r="G247" s="2">
        <f t="shared" si="18"/>
        <v>8.157</v>
      </c>
      <c r="H247" s="11" t="str">
        <f t="shared" si="19"/>
        <v>2.974E-2</v>
      </c>
      <c r="I247" s="2">
        <f t="shared" si="23"/>
        <v>44</v>
      </c>
      <c r="J247" s="4">
        <f t="shared" si="20"/>
        <v>8.157</v>
      </c>
      <c r="K247" s="9">
        <f t="shared" si="21"/>
        <v>-1.8</v>
      </c>
      <c r="L247" s="1">
        <f t="shared" si="22"/>
        <v>-4.59999999999999</v>
      </c>
    </row>
    <row r="248" s="1" customFormat="1" spans="1:12">
      <c r="A248" s="2">
        <v>8.224</v>
      </c>
      <c r="B248" s="10" t="s">
        <v>535</v>
      </c>
      <c r="C248" s="4">
        <v>8.224</v>
      </c>
      <c r="D248" s="5">
        <v>44.1</v>
      </c>
      <c r="E248" s="4"/>
      <c r="F248" s="4"/>
      <c r="G248" s="2">
        <f t="shared" si="18"/>
        <v>8.191</v>
      </c>
      <c r="H248" s="11" t="str">
        <f t="shared" si="19"/>
        <v>2.973E-2</v>
      </c>
      <c r="I248" s="2">
        <f t="shared" si="23"/>
        <v>44.3</v>
      </c>
      <c r="J248" s="4">
        <f t="shared" si="20"/>
        <v>8.191</v>
      </c>
      <c r="K248" s="9">
        <f t="shared" si="21"/>
        <v>-1.89999999999999</v>
      </c>
      <c r="L248" s="1">
        <f t="shared" si="22"/>
        <v>-4.59999999999999</v>
      </c>
    </row>
    <row r="249" s="1" customFormat="1" spans="1:12">
      <c r="A249" s="2">
        <v>8.257</v>
      </c>
      <c r="B249" s="10" t="s">
        <v>535</v>
      </c>
      <c r="C249" s="4">
        <v>8.257</v>
      </c>
      <c r="D249" s="5">
        <v>44.1</v>
      </c>
      <c r="E249" s="4"/>
      <c r="F249" s="4"/>
      <c r="G249" s="2">
        <f t="shared" si="18"/>
        <v>8.224</v>
      </c>
      <c r="H249" s="11" t="str">
        <f t="shared" si="19"/>
        <v>2.972E-2</v>
      </c>
      <c r="I249" s="2">
        <f t="shared" si="23"/>
        <v>44.1</v>
      </c>
      <c r="J249" s="4">
        <f t="shared" si="20"/>
        <v>8.224</v>
      </c>
      <c r="K249" s="9">
        <f t="shared" si="21"/>
        <v>-1.99999999999999</v>
      </c>
      <c r="L249" s="1">
        <f t="shared" si="22"/>
        <v>-4.59999999999999</v>
      </c>
    </row>
    <row r="250" s="1" customFormat="1" spans="1:12">
      <c r="A250" s="2">
        <v>8.291</v>
      </c>
      <c r="B250" s="10" t="s">
        <v>537</v>
      </c>
      <c r="C250" s="4">
        <v>8.291</v>
      </c>
      <c r="D250" s="5">
        <v>44.4</v>
      </c>
      <c r="E250" s="4"/>
      <c r="F250" s="4"/>
      <c r="G250" s="2">
        <f t="shared" si="18"/>
        <v>8.257</v>
      </c>
      <c r="H250" s="11" t="str">
        <f t="shared" si="19"/>
        <v>2.972E-2</v>
      </c>
      <c r="I250" s="2">
        <f t="shared" si="23"/>
        <v>44.1</v>
      </c>
      <c r="J250" s="4">
        <f t="shared" si="20"/>
        <v>8.257</v>
      </c>
      <c r="K250" s="9">
        <f t="shared" si="21"/>
        <v>-1.99999999999999</v>
      </c>
      <c r="L250" s="1">
        <f t="shared" si="22"/>
        <v>-4.59999999999999</v>
      </c>
    </row>
    <row r="251" s="1" customFormat="1" spans="1:12">
      <c r="A251" s="2">
        <v>8.324</v>
      </c>
      <c r="B251" s="10" t="s">
        <v>525</v>
      </c>
      <c r="C251" s="4">
        <v>8.324</v>
      </c>
      <c r="D251" s="5">
        <v>44.5</v>
      </c>
      <c r="E251" s="4"/>
      <c r="F251" s="4"/>
      <c r="G251" s="2">
        <f t="shared" si="18"/>
        <v>8.291</v>
      </c>
      <c r="H251" s="11" t="str">
        <f t="shared" si="19"/>
        <v>2.973E-2</v>
      </c>
      <c r="I251" s="2">
        <f t="shared" si="23"/>
        <v>44.4</v>
      </c>
      <c r="J251" s="4">
        <f t="shared" si="20"/>
        <v>8.291</v>
      </c>
      <c r="K251" s="9">
        <f t="shared" si="21"/>
        <v>-1.89999999999999</v>
      </c>
      <c r="L251" s="1">
        <f t="shared" si="22"/>
        <v>-4.59999999999999</v>
      </c>
    </row>
    <row r="252" s="1" customFormat="1" spans="1:12">
      <c r="A252" s="2">
        <v>8.358</v>
      </c>
      <c r="B252" s="10" t="s">
        <v>524</v>
      </c>
      <c r="C252" s="4">
        <v>8.358</v>
      </c>
      <c r="D252" s="5">
        <v>44.1</v>
      </c>
      <c r="E252" s="4"/>
      <c r="F252" s="4"/>
      <c r="G252" s="2">
        <f t="shared" si="18"/>
        <v>8.324</v>
      </c>
      <c r="H252" s="11" t="str">
        <f t="shared" si="19"/>
        <v>2.971E-2</v>
      </c>
      <c r="I252" s="2">
        <f t="shared" si="23"/>
        <v>44.5</v>
      </c>
      <c r="J252" s="4">
        <f t="shared" si="20"/>
        <v>8.324</v>
      </c>
      <c r="K252" s="9">
        <f t="shared" si="21"/>
        <v>-2.09999999999998</v>
      </c>
      <c r="L252" s="1">
        <f t="shared" si="22"/>
        <v>-4.59999999999999</v>
      </c>
    </row>
    <row r="253" s="1" customFormat="1" spans="1:12">
      <c r="A253" s="2">
        <v>8.391</v>
      </c>
      <c r="B253" s="10" t="s">
        <v>523</v>
      </c>
      <c r="C253" s="4">
        <v>8.391</v>
      </c>
      <c r="D253" s="5">
        <v>44.3</v>
      </c>
      <c r="E253" s="4"/>
      <c r="F253" s="4"/>
      <c r="G253" s="2">
        <f t="shared" si="18"/>
        <v>8.358</v>
      </c>
      <c r="H253" s="11" t="str">
        <f t="shared" si="19"/>
        <v>2.969E-2</v>
      </c>
      <c r="I253" s="2">
        <f t="shared" si="23"/>
        <v>44.1</v>
      </c>
      <c r="J253" s="4">
        <f t="shared" si="20"/>
        <v>8.358</v>
      </c>
      <c r="K253" s="9">
        <f t="shared" si="21"/>
        <v>-2.29999999999998</v>
      </c>
      <c r="L253" s="1">
        <f t="shared" si="22"/>
        <v>-4.59999999999999</v>
      </c>
    </row>
    <row r="254" s="1" customFormat="1" spans="1:12">
      <c r="A254" s="2">
        <v>8.425</v>
      </c>
      <c r="B254" s="10" t="s">
        <v>527</v>
      </c>
      <c r="C254" s="4">
        <v>8.425</v>
      </c>
      <c r="D254" s="5">
        <v>44.3</v>
      </c>
      <c r="E254" s="4"/>
      <c r="F254" s="4"/>
      <c r="G254" s="2">
        <f t="shared" si="18"/>
        <v>8.391</v>
      </c>
      <c r="H254" s="11" t="str">
        <f t="shared" si="19"/>
        <v>2.968E-2</v>
      </c>
      <c r="I254" s="2">
        <f t="shared" si="23"/>
        <v>44.3</v>
      </c>
      <c r="J254" s="4">
        <f t="shared" si="20"/>
        <v>8.391</v>
      </c>
      <c r="K254" s="9">
        <f t="shared" si="21"/>
        <v>-2.39999999999997</v>
      </c>
      <c r="L254" s="1">
        <f t="shared" si="22"/>
        <v>-4.59999999999999</v>
      </c>
    </row>
    <row r="255" s="1" customFormat="1" spans="1:12">
      <c r="A255" s="2">
        <v>8.458</v>
      </c>
      <c r="B255" s="10" t="s">
        <v>527</v>
      </c>
      <c r="C255" s="4">
        <v>8.458</v>
      </c>
      <c r="D255" s="5">
        <v>43.7</v>
      </c>
      <c r="E255" s="4"/>
      <c r="F255" s="4"/>
      <c r="G255" s="2">
        <f t="shared" si="18"/>
        <v>8.425</v>
      </c>
      <c r="H255" s="11" t="str">
        <f t="shared" si="19"/>
        <v>2.965E-2</v>
      </c>
      <c r="I255" s="2">
        <f t="shared" si="23"/>
        <v>44.3</v>
      </c>
      <c r="J255" s="4">
        <f t="shared" si="20"/>
        <v>8.425</v>
      </c>
      <c r="K255" s="9">
        <f t="shared" si="21"/>
        <v>-2.69999999999999</v>
      </c>
      <c r="L255" s="1">
        <f t="shared" si="22"/>
        <v>-4.59999999999999</v>
      </c>
    </row>
    <row r="256" s="1" customFormat="1" spans="1:12">
      <c r="A256" s="2">
        <v>8.491</v>
      </c>
      <c r="B256" s="10" t="s">
        <v>528</v>
      </c>
      <c r="C256" s="4">
        <v>8.491</v>
      </c>
      <c r="D256" s="5">
        <v>44.3</v>
      </c>
      <c r="E256" s="4"/>
      <c r="F256" s="4"/>
      <c r="G256" s="2">
        <f t="shared" si="18"/>
        <v>8.458</v>
      </c>
      <c r="H256" s="11" t="str">
        <f t="shared" si="19"/>
        <v>2.965E-2</v>
      </c>
      <c r="I256" s="2">
        <f t="shared" si="23"/>
        <v>43.7</v>
      </c>
      <c r="J256" s="4">
        <f t="shared" si="20"/>
        <v>8.458</v>
      </c>
      <c r="K256" s="9">
        <f t="shared" si="21"/>
        <v>-2.69999999999999</v>
      </c>
      <c r="L256" s="1">
        <f t="shared" si="22"/>
        <v>-4.59999999999999</v>
      </c>
    </row>
    <row r="257" s="1" customFormat="1" spans="1:12">
      <c r="A257" s="2">
        <v>8.525</v>
      </c>
      <c r="B257" s="10" t="s">
        <v>534</v>
      </c>
      <c r="C257" s="4">
        <v>8.525</v>
      </c>
      <c r="D257" s="5">
        <v>44.3</v>
      </c>
      <c r="E257" s="4"/>
      <c r="F257" s="4"/>
      <c r="G257" s="2">
        <f t="shared" si="18"/>
        <v>8.491</v>
      </c>
      <c r="H257" s="11" t="str">
        <f t="shared" si="19"/>
        <v>2.963E-2</v>
      </c>
      <c r="I257" s="2">
        <f t="shared" si="23"/>
        <v>44.3</v>
      </c>
      <c r="J257" s="4">
        <f t="shared" si="20"/>
        <v>8.491</v>
      </c>
      <c r="K257" s="9">
        <f t="shared" si="21"/>
        <v>-2.89999999999999</v>
      </c>
      <c r="L257" s="1">
        <f t="shared" si="22"/>
        <v>-4.59999999999999</v>
      </c>
    </row>
    <row r="258" s="1" customFormat="1" spans="1:12">
      <c r="A258" s="2">
        <v>8.558</v>
      </c>
      <c r="B258" s="10" t="s">
        <v>518</v>
      </c>
      <c r="C258" s="4">
        <v>8.558</v>
      </c>
      <c r="D258" s="5">
        <v>44.2</v>
      </c>
      <c r="E258" s="4"/>
      <c r="F258" s="4"/>
      <c r="G258" s="2">
        <f t="shared" si="18"/>
        <v>8.525</v>
      </c>
      <c r="H258" s="11" t="str">
        <f t="shared" si="19"/>
        <v>2.961E-2</v>
      </c>
      <c r="I258" s="2">
        <f t="shared" si="23"/>
        <v>44.3</v>
      </c>
      <c r="J258" s="4">
        <f t="shared" si="20"/>
        <v>8.525</v>
      </c>
      <c r="K258" s="9">
        <f t="shared" si="21"/>
        <v>-3.09999999999998</v>
      </c>
      <c r="L258" s="1">
        <f t="shared" si="22"/>
        <v>-4.59999999999999</v>
      </c>
    </row>
    <row r="259" s="1" customFormat="1" spans="1:12">
      <c r="A259" s="2">
        <v>8.592</v>
      </c>
      <c r="B259" s="10" t="s">
        <v>510</v>
      </c>
      <c r="C259" s="4">
        <v>8.592</v>
      </c>
      <c r="D259" s="5">
        <v>44</v>
      </c>
      <c r="E259" s="4"/>
      <c r="F259" s="4"/>
      <c r="G259" s="2">
        <f t="shared" si="18"/>
        <v>8.558</v>
      </c>
      <c r="H259" s="11" t="str">
        <f t="shared" si="19"/>
        <v>2.959E-2</v>
      </c>
      <c r="I259" s="2">
        <f t="shared" si="23"/>
        <v>44.2</v>
      </c>
      <c r="J259" s="4">
        <f t="shared" si="20"/>
        <v>8.558</v>
      </c>
      <c r="K259" s="9">
        <f t="shared" si="21"/>
        <v>-3.29999999999997</v>
      </c>
      <c r="L259" s="1">
        <f t="shared" si="22"/>
        <v>-4.59999999999999</v>
      </c>
    </row>
    <row r="260" s="1" customFormat="1" spans="1:12">
      <c r="A260" s="2">
        <v>8.625</v>
      </c>
      <c r="B260" s="10" t="s">
        <v>517</v>
      </c>
      <c r="C260" s="4">
        <v>8.625</v>
      </c>
      <c r="D260" s="5">
        <v>44.2</v>
      </c>
      <c r="E260" s="4"/>
      <c r="F260" s="4"/>
      <c r="G260" s="2">
        <f t="shared" ref="G260:G323" si="24">A259</f>
        <v>8.592</v>
      </c>
      <c r="H260" s="11" t="str">
        <f t="shared" ref="H260:H323" si="25">B259</f>
        <v>2.958E-2</v>
      </c>
      <c r="I260" s="2">
        <f t="shared" si="23"/>
        <v>44</v>
      </c>
      <c r="J260" s="4">
        <f t="shared" ref="J260:J323" si="26">G260</f>
        <v>8.592</v>
      </c>
      <c r="K260" s="9">
        <f t="shared" ref="K260:K323" si="27">(H260-$H$4)*10000</f>
        <v>-3.4</v>
      </c>
      <c r="L260" s="1">
        <f t="shared" ref="L260:L323" si="28">IF(I260&lt;230,MIN(K:K),MAX(K:K))</f>
        <v>-4.59999999999999</v>
      </c>
    </row>
    <row r="261" s="1" customFormat="1" spans="1:12">
      <c r="A261" s="2">
        <v>8.659</v>
      </c>
      <c r="B261" s="10" t="s">
        <v>516</v>
      </c>
      <c r="C261" s="4">
        <v>8.659</v>
      </c>
      <c r="D261" s="5">
        <v>44.5</v>
      </c>
      <c r="E261" s="4"/>
      <c r="F261" s="4"/>
      <c r="G261" s="2">
        <f t="shared" si="24"/>
        <v>8.625</v>
      </c>
      <c r="H261" s="11" t="str">
        <f t="shared" si="25"/>
        <v>2.956E-2</v>
      </c>
      <c r="I261" s="2">
        <f t="shared" ref="I261:I324" si="29">D260</f>
        <v>44.2</v>
      </c>
      <c r="J261" s="4">
        <f t="shared" si="26"/>
        <v>8.625</v>
      </c>
      <c r="K261" s="9">
        <f t="shared" si="27"/>
        <v>-3.59999999999999</v>
      </c>
      <c r="L261" s="1">
        <f t="shared" si="28"/>
        <v>-4.59999999999999</v>
      </c>
    </row>
    <row r="262" s="1" customFormat="1" spans="1:12">
      <c r="A262" s="2">
        <v>8.692</v>
      </c>
      <c r="B262" s="10" t="s">
        <v>511</v>
      </c>
      <c r="C262" s="4">
        <v>8.692</v>
      </c>
      <c r="D262" s="5">
        <v>44.1</v>
      </c>
      <c r="E262" s="4"/>
      <c r="F262" s="4"/>
      <c r="G262" s="2">
        <f t="shared" si="24"/>
        <v>8.659</v>
      </c>
      <c r="H262" s="11" t="str">
        <f t="shared" si="25"/>
        <v>2.955E-2</v>
      </c>
      <c r="I262" s="2">
        <f t="shared" si="29"/>
        <v>44.5</v>
      </c>
      <c r="J262" s="4">
        <f t="shared" si="26"/>
        <v>8.659</v>
      </c>
      <c r="K262" s="9">
        <f t="shared" si="27"/>
        <v>-3.69999999999999</v>
      </c>
      <c r="L262" s="1">
        <f t="shared" si="28"/>
        <v>-4.59999999999999</v>
      </c>
    </row>
    <row r="263" s="1" customFormat="1" spans="1:12">
      <c r="A263" s="2">
        <v>8.725</v>
      </c>
      <c r="B263" s="10" t="s">
        <v>511</v>
      </c>
      <c r="C263" s="4">
        <v>8.725</v>
      </c>
      <c r="D263" s="5">
        <v>44.4</v>
      </c>
      <c r="E263" s="4"/>
      <c r="F263" s="4"/>
      <c r="G263" s="2">
        <f t="shared" si="24"/>
        <v>8.692</v>
      </c>
      <c r="H263" s="11" t="str">
        <f t="shared" si="25"/>
        <v>2.953E-2</v>
      </c>
      <c r="I263" s="2">
        <f t="shared" si="29"/>
        <v>44.1</v>
      </c>
      <c r="J263" s="4">
        <f t="shared" si="26"/>
        <v>8.692</v>
      </c>
      <c r="K263" s="9">
        <f t="shared" si="27"/>
        <v>-3.89999999999998</v>
      </c>
      <c r="L263" s="1">
        <f t="shared" si="28"/>
        <v>-4.59999999999999</v>
      </c>
    </row>
    <row r="264" s="1" customFormat="1" spans="1:12">
      <c r="A264" s="2">
        <v>8.759</v>
      </c>
      <c r="B264" s="10" t="s">
        <v>532</v>
      </c>
      <c r="C264" s="4">
        <v>8.759</v>
      </c>
      <c r="D264" s="5">
        <v>44.6</v>
      </c>
      <c r="E264" s="4"/>
      <c r="F264" s="4"/>
      <c r="G264" s="2">
        <f t="shared" si="24"/>
        <v>8.725</v>
      </c>
      <c r="H264" s="11" t="str">
        <f t="shared" si="25"/>
        <v>2.953E-2</v>
      </c>
      <c r="I264" s="2">
        <f t="shared" si="29"/>
        <v>44.4</v>
      </c>
      <c r="J264" s="4">
        <f t="shared" si="26"/>
        <v>8.725</v>
      </c>
      <c r="K264" s="9">
        <f t="shared" si="27"/>
        <v>-3.89999999999998</v>
      </c>
      <c r="L264" s="1">
        <f t="shared" si="28"/>
        <v>-4.59999999999999</v>
      </c>
    </row>
    <row r="265" s="1" customFormat="1" spans="1:12">
      <c r="A265" s="2">
        <v>8.792</v>
      </c>
      <c r="B265" s="10" t="s">
        <v>512</v>
      </c>
      <c r="C265" s="4">
        <v>8.792</v>
      </c>
      <c r="D265" s="5">
        <v>44</v>
      </c>
      <c r="E265" s="4"/>
      <c r="F265" s="4"/>
      <c r="G265" s="2">
        <f t="shared" si="24"/>
        <v>8.759</v>
      </c>
      <c r="H265" s="11" t="str">
        <f t="shared" si="25"/>
        <v>2.952E-2</v>
      </c>
      <c r="I265" s="2">
        <f t="shared" si="29"/>
        <v>44.6</v>
      </c>
      <c r="J265" s="4">
        <f t="shared" si="26"/>
        <v>8.759</v>
      </c>
      <c r="K265" s="9">
        <f t="shared" si="27"/>
        <v>-3.99999999999998</v>
      </c>
      <c r="L265" s="1">
        <f t="shared" si="28"/>
        <v>-4.59999999999999</v>
      </c>
    </row>
    <row r="266" s="1" customFormat="1" spans="1:12">
      <c r="A266" s="2">
        <v>8.826</v>
      </c>
      <c r="B266" s="10" t="s">
        <v>532</v>
      </c>
      <c r="C266" s="4">
        <v>8.826</v>
      </c>
      <c r="D266" s="5">
        <v>43.9</v>
      </c>
      <c r="E266" s="4"/>
      <c r="F266" s="4"/>
      <c r="G266" s="2">
        <f t="shared" si="24"/>
        <v>8.792</v>
      </c>
      <c r="H266" s="11" t="str">
        <f t="shared" si="25"/>
        <v>2.951E-2</v>
      </c>
      <c r="I266" s="2">
        <f t="shared" si="29"/>
        <v>44</v>
      </c>
      <c r="J266" s="4">
        <f t="shared" si="26"/>
        <v>8.792</v>
      </c>
      <c r="K266" s="9">
        <f t="shared" si="27"/>
        <v>-4.09999999999997</v>
      </c>
      <c r="L266" s="1">
        <f t="shared" si="28"/>
        <v>-4.59999999999999</v>
      </c>
    </row>
    <row r="267" s="1" customFormat="1" spans="1:12">
      <c r="A267" s="2">
        <v>8.859</v>
      </c>
      <c r="B267" s="10" t="s">
        <v>512</v>
      </c>
      <c r="C267" s="4">
        <v>8.859</v>
      </c>
      <c r="D267" s="5">
        <v>44.4</v>
      </c>
      <c r="E267" s="4"/>
      <c r="F267" s="4"/>
      <c r="G267" s="2">
        <f t="shared" si="24"/>
        <v>8.826</v>
      </c>
      <c r="H267" s="11" t="str">
        <f t="shared" si="25"/>
        <v>2.952E-2</v>
      </c>
      <c r="I267" s="2">
        <f t="shared" si="29"/>
        <v>43.9</v>
      </c>
      <c r="J267" s="4">
        <f t="shared" si="26"/>
        <v>8.826</v>
      </c>
      <c r="K267" s="9">
        <f t="shared" si="27"/>
        <v>-3.99999999999998</v>
      </c>
      <c r="L267" s="1">
        <f t="shared" si="28"/>
        <v>-4.59999999999999</v>
      </c>
    </row>
    <row r="268" s="1" customFormat="1" spans="1:12">
      <c r="A268" s="2">
        <v>8.893</v>
      </c>
      <c r="B268" s="10" t="s">
        <v>532</v>
      </c>
      <c r="C268" s="4">
        <v>8.893</v>
      </c>
      <c r="D268" s="5">
        <v>44.6</v>
      </c>
      <c r="E268" s="4"/>
      <c r="F268" s="4"/>
      <c r="G268" s="2">
        <f t="shared" si="24"/>
        <v>8.859</v>
      </c>
      <c r="H268" s="11" t="str">
        <f t="shared" si="25"/>
        <v>2.951E-2</v>
      </c>
      <c r="I268" s="2">
        <f t="shared" si="29"/>
        <v>44.4</v>
      </c>
      <c r="J268" s="4">
        <f t="shared" si="26"/>
        <v>8.859</v>
      </c>
      <c r="K268" s="9">
        <f t="shared" si="27"/>
        <v>-4.09999999999997</v>
      </c>
      <c r="L268" s="1">
        <f t="shared" si="28"/>
        <v>-4.59999999999999</v>
      </c>
    </row>
    <row r="269" s="1" customFormat="1" spans="1:12">
      <c r="A269" s="2">
        <v>8.926</v>
      </c>
      <c r="B269" s="10" t="s">
        <v>511</v>
      </c>
      <c r="C269" s="4">
        <v>8.926</v>
      </c>
      <c r="D269" s="5">
        <v>44.3</v>
      </c>
      <c r="E269" s="4"/>
      <c r="F269" s="4"/>
      <c r="G269" s="2">
        <f t="shared" si="24"/>
        <v>8.893</v>
      </c>
      <c r="H269" s="11" t="str">
        <f t="shared" si="25"/>
        <v>2.952E-2</v>
      </c>
      <c r="I269" s="2">
        <f t="shared" si="29"/>
        <v>44.6</v>
      </c>
      <c r="J269" s="4">
        <f t="shared" si="26"/>
        <v>8.893</v>
      </c>
      <c r="K269" s="9">
        <f t="shared" si="27"/>
        <v>-3.99999999999998</v>
      </c>
      <c r="L269" s="1">
        <f t="shared" si="28"/>
        <v>-4.59999999999999</v>
      </c>
    </row>
    <row r="270" s="1" customFormat="1" spans="1:12">
      <c r="A270" s="2">
        <v>8.959</v>
      </c>
      <c r="B270" s="10" t="s">
        <v>515</v>
      </c>
      <c r="C270" s="4">
        <v>8.959</v>
      </c>
      <c r="D270" s="5">
        <v>43.9</v>
      </c>
      <c r="E270" s="4"/>
      <c r="F270" s="4"/>
      <c r="G270" s="2">
        <f t="shared" si="24"/>
        <v>8.926</v>
      </c>
      <c r="H270" s="11" t="str">
        <f t="shared" si="25"/>
        <v>2.953E-2</v>
      </c>
      <c r="I270" s="2">
        <f t="shared" si="29"/>
        <v>44.3</v>
      </c>
      <c r="J270" s="4">
        <f t="shared" si="26"/>
        <v>8.926</v>
      </c>
      <c r="K270" s="9">
        <f t="shared" si="27"/>
        <v>-3.89999999999998</v>
      </c>
      <c r="L270" s="1">
        <f t="shared" si="28"/>
        <v>-4.59999999999999</v>
      </c>
    </row>
    <row r="271" s="1" customFormat="1" spans="1:12">
      <c r="A271" s="2">
        <v>8.993</v>
      </c>
      <c r="B271" s="10" t="s">
        <v>515</v>
      </c>
      <c r="C271" s="4">
        <v>8.993</v>
      </c>
      <c r="D271" s="5">
        <v>44.2</v>
      </c>
      <c r="E271" s="4"/>
      <c r="F271" s="4"/>
      <c r="G271" s="2">
        <f t="shared" si="24"/>
        <v>8.959</v>
      </c>
      <c r="H271" s="11" t="str">
        <f t="shared" si="25"/>
        <v>2.954E-2</v>
      </c>
      <c r="I271" s="2">
        <f t="shared" si="29"/>
        <v>43.9</v>
      </c>
      <c r="J271" s="4">
        <f t="shared" si="26"/>
        <v>8.959</v>
      </c>
      <c r="K271" s="9">
        <f t="shared" si="27"/>
        <v>-3.79999999999998</v>
      </c>
      <c r="L271" s="1">
        <f t="shared" si="28"/>
        <v>-4.59999999999999</v>
      </c>
    </row>
    <row r="272" s="1" customFormat="1" spans="1:12">
      <c r="A272" s="2">
        <v>9.026</v>
      </c>
      <c r="B272" s="10" t="s">
        <v>517</v>
      </c>
      <c r="C272" s="4">
        <v>9.026</v>
      </c>
      <c r="D272" s="5">
        <v>44.2</v>
      </c>
      <c r="E272" s="4"/>
      <c r="F272" s="4"/>
      <c r="G272" s="2">
        <f t="shared" si="24"/>
        <v>8.993</v>
      </c>
      <c r="H272" s="11" t="str">
        <f t="shared" si="25"/>
        <v>2.954E-2</v>
      </c>
      <c r="I272" s="2">
        <f t="shared" si="29"/>
        <v>44.2</v>
      </c>
      <c r="J272" s="4">
        <f t="shared" si="26"/>
        <v>8.993</v>
      </c>
      <c r="K272" s="9">
        <f t="shared" si="27"/>
        <v>-3.79999999999998</v>
      </c>
      <c r="L272" s="1">
        <f t="shared" si="28"/>
        <v>-4.59999999999999</v>
      </c>
    </row>
    <row r="273" s="1" customFormat="1" spans="1:12">
      <c r="A273" s="2">
        <v>9.06</v>
      </c>
      <c r="B273" s="10" t="s">
        <v>510</v>
      </c>
      <c r="C273" s="4">
        <v>9.06</v>
      </c>
      <c r="D273" s="5">
        <v>44.3</v>
      </c>
      <c r="E273" s="4"/>
      <c r="F273" s="4"/>
      <c r="G273" s="2">
        <f t="shared" si="24"/>
        <v>9.026</v>
      </c>
      <c r="H273" s="11" t="str">
        <f t="shared" si="25"/>
        <v>2.956E-2</v>
      </c>
      <c r="I273" s="2">
        <f t="shared" si="29"/>
        <v>44.2</v>
      </c>
      <c r="J273" s="4">
        <f t="shared" si="26"/>
        <v>9.026</v>
      </c>
      <c r="K273" s="9">
        <f t="shared" si="27"/>
        <v>-3.59999999999999</v>
      </c>
      <c r="L273" s="1">
        <f t="shared" si="28"/>
        <v>-4.59999999999999</v>
      </c>
    </row>
    <row r="274" s="1" customFormat="1" spans="1:12">
      <c r="A274" s="2">
        <v>9.093</v>
      </c>
      <c r="B274" s="10" t="s">
        <v>519</v>
      </c>
      <c r="C274" s="4">
        <v>9.093</v>
      </c>
      <c r="D274" s="5">
        <v>44.6</v>
      </c>
      <c r="E274" s="4"/>
      <c r="F274" s="4"/>
      <c r="G274" s="2">
        <f t="shared" si="24"/>
        <v>9.06</v>
      </c>
      <c r="H274" s="11" t="str">
        <f t="shared" si="25"/>
        <v>2.958E-2</v>
      </c>
      <c r="I274" s="2">
        <f t="shared" si="29"/>
        <v>44.3</v>
      </c>
      <c r="J274" s="4">
        <f t="shared" si="26"/>
        <v>9.06</v>
      </c>
      <c r="K274" s="9">
        <f t="shared" si="27"/>
        <v>-3.4</v>
      </c>
      <c r="L274" s="1">
        <f t="shared" si="28"/>
        <v>-4.59999999999999</v>
      </c>
    </row>
    <row r="275" s="1" customFormat="1" spans="1:12">
      <c r="A275" s="2">
        <v>9.127</v>
      </c>
      <c r="B275" s="10" t="s">
        <v>534</v>
      </c>
      <c r="C275" s="4">
        <v>9.127</v>
      </c>
      <c r="D275" s="5">
        <v>44.1</v>
      </c>
      <c r="E275" s="4"/>
      <c r="F275" s="4"/>
      <c r="G275" s="2">
        <f t="shared" si="24"/>
        <v>9.093</v>
      </c>
      <c r="H275" s="11" t="str">
        <f t="shared" si="25"/>
        <v>2.960E-2</v>
      </c>
      <c r="I275" s="2">
        <f t="shared" si="29"/>
        <v>44.6</v>
      </c>
      <c r="J275" s="4">
        <f t="shared" si="26"/>
        <v>9.093</v>
      </c>
      <c r="K275" s="9">
        <f t="shared" si="27"/>
        <v>-3.19999999999997</v>
      </c>
      <c r="L275" s="1">
        <f t="shared" si="28"/>
        <v>-4.59999999999999</v>
      </c>
    </row>
    <row r="276" s="1" customFormat="1" spans="1:12">
      <c r="A276" s="2">
        <v>9.16</v>
      </c>
      <c r="B276" s="10" t="s">
        <v>520</v>
      </c>
      <c r="C276" s="4">
        <v>9.16</v>
      </c>
      <c r="D276" s="5">
        <v>44.2</v>
      </c>
      <c r="E276" s="4"/>
      <c r="F276" s="4"/>
      <c r="G276" s="2">
        <f t="shared" si="24"/>
        <v>9.127</v>
      </c>
      <c r="H276" s="11" t="str">
        <f t="shared" si="25"/>
        <v>2.961E-2</v>
      </c>
      <c r="I276" s="2">
        <f t="shared" si="29"/>
        <v>44.1</v>
      </c>
      <c r="J276" s="4">
        <f t="shared" si="26"/>
        <v>9.127</v>
      </c>
      <c r="K276" s="9">
        <f t="shared" si="27"/>
        <v>-3.09999999999998</v>
      </c>
      <c r="L276" s="1">
        <f t="shared" si="28"/>
        <v>-4.59999999999999</v>
      </c>
    </row>
    <row r="277" s="1" customFormat="1" spans="1:12">
      <c r="A277" s="2">
        <v>9.193</v>
      </c>
      <c r="B277" s="10" t="s">
        <v>509</v>
      </c>
      <c r="C277" s="4">
        <v>9.193</v>
      </c>
      <c r="D277" s="5">
        <v>44.2</v>
      </c>
      <c r="E277" s="4"/>
      <c r="F277" s="4"/>
      <c r="G277" s="2">
        <f t="shared" si="24"/>
        <v>9.16</v>
      </c>
      <c r="H277" s="11" t="str">
        <f t="shared" si="25"/>
        <v>2.962E-2</v>
      </c>
      <c r="I277" s="2">
        <f t="shared" si="29"/>
        <v>44.2</v>
      </c>
      <c r="J277" s="4">
        <f t="shared" si="26"/>
        <v>9.16</v>
      </c>
      <c r="K277" s="9">
        <f t="shared" si="27"/>
        <v>-2.99999999999998</v>
      </c>
      <c r="L277" s="1">
        <f t="shared" si="28"/>
        <v>-4.59999999999999</v>
      </c>
    </row>
    <row r="278" s="1" customFormat="1" spans="1:12">
      <c r="A278" s="2">
        <v>9.227</v>
      </c>
      <c r="B278" s="10" t="s">
        <v>527</v>
      </c>
      <c r="C278" s="4">
        <v>9.227</v>
      </c>
      <c r="D278" s="5">
        <v>44.2</v>
      </c>
      <c r="E278" s="4"/>
      <c r="F278" s="4"/>
      <c r="G278" s="2">
        <f t="shared" si="24"/>
        <v>9.193</v>
      </c>
      <c r="H278" s="11" t="str">
        <f t="shared" si="25"/>
        <v>2.964E-2</v>
      </c>
      <c r="I278" s="2">
        <f t="shared" si="29"/>
        <v>44.2</v>
      </c>
      <c r="J278" s="4">
        <f t="shared" si="26"/>
        <v>9.193</v>
      </c>
      <c r="K278" s="9">
        <f t="shared" si="27"/>
        <v>-2.79999999999999</v>
      </c>
      <c r="L278" s="1">
        <f t="shared" si="28"/>
        <v>-4.59999999999999</v>
      </c>
    </row>
    <row r="279" s="1" customFormat="1" spans="1:12">
      <c r="A279" s="2">
        <v>9.26</v>
      </c>
      <c r="B279" s="10" t="s">
        <v>523</v>
      </c>
      <c r="C279" s="4">
        <v>9.26</v>
      </c>
      <c r="D279" s="5">
        <v>43.7</v>
      </c>
      <c r="E279" s="4"/>
      <c r="F279" s="4"/>
      <c r="G279" s="2">
        <f t="shared" si="24"/>
        <v>9.227</v>
      </c>
      <c r="H279" s="11" t="str">
        <f t="shared" si="25"/>
        <v>2.965E-2</v>
      </c>
      <c r="I279" s="2">
        <f t="shared" si="29"/>
        <v>44.2</v>
      </c>
      <c r="J279" s="4">
        <f t="shared" si="26"/>
        <v>9.227</v>
      </c>
      <c r="K279" s="9">
        <f t="shared" si="27"/>
        <v>-2.69999999999999</v>
      </c>
      <c r="L279" s="1">
        <f t="shared" si="28"/>
        <v>-4.59999999999999</v>
      </c>
    </row>
    <row r="280" s="1" customFormat="1" spans="1:12">
      <c r="A280" s="2">
        <v>9.294</v>
      </c>
      <c r="B280" s="10" t="s">
        <v>524</v>
      </c>
      <c r="C280" s="4">
        <v>9.294</v>
      </c>
      <c r="D280" s="5">
        <v>44.1</v>
      </c>
      <c r="E280" s="4"/>
      <c r="F280" s="4"/>
      <c r="G280" s="2">
        <f t="shared" si="24"/>
        <v>9.26</v>
      </c>
      <c r="H280" s="11" t="str">
        <f t="shared" si="25"/>
        <v>2.968E-2</v>
      </c>
      <c r="I280" s="2">
        <f t="shared" si="29"/>
        <v>43.7</v>
      </c>
      <c r="J280" s="4">
        <f t="shared" si="26"/>
        <v>9.26</v>
      </c>
      <c r="K280" s="9">
        <f t="shared" si="27"/>
        <v>-2.39999999999997</v>
      </c>
      <c r="L280" s="1">
        <f t="shared" si="28"/>
        <v>-4.59999999999999</v>
      </c>
    </row>
    <row r="281" s="1" customFormat="1" spans="1:12">
      <c r="A281" s="2">
        <v>9.327</v>
      </c>
      <c r="B281" s="10" t="s">
        <v>525</v>
      </c>
      <c r="C281" s="4">
        <v>9.327</v>
      </c>
      <c r="D281" s="5">
        <v>44</v>
      </c>
      <c r="E281" s="4"/>
      <c r="F281" s="4"/>
      <c r="G281" s="2">
        <f t="shared" si="24"/>
        <v>9.294</v>
      </c>
      <c r="H281" s="11" t="str">
        <f t="shared" si="25"/>
        <v>2.969E-2</v>
      </c>
      <c r="I281" s="2">
        <f t="shared" si="29"/>
        <v>44.1</v>
      </c>
      <c r="J281" s="4">
        <f t="shared" si="26"/>
        <v>9.294</v>
      </c>
      <c r="K281" s="9">
        <f t="shared" si="27"/>
        <v>-2.29999999999998</v>
      </c>
      <c r="L281" s="1">
        <f t="shared" si="28"/>
        <v>-4.59999999999999</v>
      </c>
    </row>
    <row r="282" s="1" customFormat="1" spans="1:12">
      <c r="A282" s="2">
        <v>9.361</v>
      </c>
      <c r="B282" s="10" t="s">
        <v>535</v>
      </c>
      <c r="C282" s="4">
        <v>9.361</v>
      </c>
      <c r="D282" s="5">
        <v>44.2</v>
      </c>
      <c r="E282" s="4"/>
      <c r="F282" s="4"/>
      <c r="G282" s="2">
        <f t="shared" si="24"/>
        <v>9.327</v>
      </c>
      <c r="H282" s="11" t="str">
        <f t="shared" si="25"/>
        <v>2.971E-2</v>
      </c>
      <c r="I282" s="2">
        <f t="shared" si="29"/>
        <v>44</v>
      </c>
      <c r="J282" s="4">
        <f t="shared" si="26"/>
        <v>9.327</v>
      </c>
      <c r="K282" s="9">
        <f t="shared" si="27"/>
        <v>-2.09999999999998</v>
      </c>
      <c r="L282" s="1">
        <f t="shared" si="28"/>
        <v>-4.59999999999999</v>
      </c>
    </row>
    <row r="283" s="1" customFormat="1" spans="1:12">
      <c r="A283" s="2">
        <v>9.394</v>
      </c>
      <c r="B283" s="10" t="s">
        <v>535</v>
      </c>
      <c r="C283" s="4">
        <v>9.394</v>
      </c>
      <c r="D283" s="5">
        <v>44.2</v>
      </c>
      <c r="E283" s="4"/>
      <c r="F283" s="4"/>
      <c r="G283" s="2">
        <f t="shared" si="24"/>
        <v>9.361</v>
      </c>
      <c r="H283" s="11" t="str">
        <f t="shared" si="25"/>
        <v>2.972E-2</v>
      </c>
      <c r="I283" s="2">
        <f t="shared" si="29"/>
        <v>44.2</v>
      </c>
      <c r="J283" s="4">
        <f t="shared" si="26"/>
        <v>9.361</v>
      </c>
      <c r="K283" s="9">
        <f t="shared" si="27"/>
        <v>-1.99999999999999</v>
      </c>
      <c r="L283" s="1">
        <f t="shared" si="28"/>
        <v>-4.59999999999999</v>
      </c>
    </row>
    <row r="284" s="1" customFormat="1" spans="1:12">
      <c r="A284" s="2">
        <v>9.427</v>
      </c>
      <c r="B284" s="10" t="s">
        <v>536</v>
      </c>
      <c r="C284" s="4">
        <v>9.427</v>
      </c>
      <c r="D284" s="5">
        <v>44.7</v>
      </c>
      <c r="E284" s="4"/>
      <c r="F284" s="4"/>
      <c r="G284" s="2">
        <f t="shared" si="24"/>
        <v>9.394</v>
      </c>
      <c r="H284" s="11" t="str">
        <f t="shared" si="25"/>
        <v>2.972E-2</v>
      </c>
      <c r="I284" s="2">
        <f t="shared" si="29"/>
        <v>44.2</v>
      </c>
      <c r="J284" s="4">
        <f t="shared" si="26"/>
        <v>9.394</v>
      </c>
      <c r="K284" s="9">
        <f t="shared" si="27"/>
        <v>-1.99999999999999</v>
      </c>
      <c r="L284" s="1">
        <f t="shared" si="28"/>
        <v>-4.59999999999999</v>
      </c>
    </row>
    <row r="285" s="1" customFormat="1" spans="1:12">
      <c r="A285" s="2">
        <v>9.461</v>
      </c>
      <c r="B285" s="10" t="s">
        <v>538</v>
      </c>
      <c r="C285" s="4">
        <v>9.461</v>
      </c>
      <c r="D285" s="5">
        <v>44.2</v>
      </c>
      <c r="E285" s="4"/>
      <c r="F285" s="4"/>
      <c r="G285" s="2">
        <f t="shared" si="24"/>
        <v>9.427</v>
      </c>
      <c r="H285" s="11" t="str">
        <f t="shared" si="25"/>
        <v>2.974E-2</v>
      </c>
      <c r="I285" s="2">
        <f t="shared" si="29"/>
        <v>44.7</v>
      </c>
      <c r="J285" s="4">
        <f t="shared" si="26"/>
        <v>9.427</v>
      </c>
      <c r="K285" s="9">
        <f t="shared" si="27"/>
        <v>-1.8</v>
      </c>
      <c r="L285" s="1">
        <f t="shared" si="28"/>
        <v>-4.59999999999999</v>
      </c>
    </row>
    <row r="286" s="1" customFormat="1" spans="1:12">
      <c r="A286" s="2">
        <v>9.494</v>
      </c>
      <c r="B286" s="10" t="s">
        <v>538</v>
      </c>
      <c r="C286" s="4">
        <v>9.494</v>
      </c>
      <c r="D286" s="5">
        <v>44.8</v>
      </c>
      <c r="E286" s="4"/>
      <c r="F286" s="4"/>
      <c r="G286" s="2">
        <f t="shared" si="24"/>
        <v>9.461</v>
      </c>
      <c r="H286" s="11" t="str">
        <f t="shared" si="25"/>
        <v>2.975E-2</v>
      </c>
      <c r="I286" s="2">
        <f t="shared" si="29"/>
        <v>44.2</v>
      </c>
      <c r="J286" s="4">
        <f t="shared" si="26"/>
        <v>9.461</v>
      </c>
      <c r="K286" s="9">
        <f t="shared" si="27"/>
        <v>-1.7</v>
      </c>
      <c r="L286" s="1">
        <f t="shared" si="28"/>
        <v>-4.59999999999999</v>
      </c>
    </row>
    <row r="287" s="1" customFormat="1" spans="1:12">
      <c r="A287" s="2">
        <v>9.528</v>
      </c>
      <c r="B287" s="10" t="s">
        <v>538</v>
      </c>
      <c r="C287" s="4">
        <v>9.528</v>
      </c>
      <c r="D287" s="5">
        <v>44.2</v>
      </c>
      <c r="E287" s="4"/>
      <c r="F287" s="4"/>
      <c r="G287" s="2">
        <f t="shared" si="24"/>
        <v>9.494</v>
      </c>
      <c r="H287" s="11" t="str">
        <f t="shared" si="25"/>
        <v>2.975E-2</v>
      </c>
      <c r="I287" s="2">
        <f t="shared" si="29"/>
        <v>44.8</v>
      </c>
      <c r="J287" s="4">
        <f t="shared" si="26"/>
        <v>9.494</v>
      </c>
      <c r="K287" s="9">
        <f t="shared" si="27"/>
        <v>-1.7</v>
      </c>
      <c r="L287" s="1">
        <f t="shared" si="28"/>
        <v>-4.59999999999999</v>
      </c>
    </row>
    <row r="288" s="1" customFormat="1" spans="1:12">
      <c r="A288" s="2">
        <v>9.561</v>
      </c>
      <c r="B288" s="10" t="s">
        <v>536</v>
      </c>
      <c r="C288" s="4">
        <v>9.561</v>
      </c>
      <c r="D288" s="5">
        <v>44.2</v>
      </c>
      <c r="E288" s="4"/>
      <c r="F288" s="4"/>
      <c r="G288" s="2">
        <f t="shared" si="24"/>
        <v>9.528</v>
      </c>
      <c r="H288" s="11" t="str">
        <f t="shared" si="25"/>
        <v>2.975E-2</v>
      </c>
      <c r="I288" s="2">
        <f t="shared" si="29"/>
        <v>44.2</v>
      </c>
      <c r="J288" s="4">
        <f t="shared" si="26"/>
        <v>9.528</v>
      </c>
      <c r="K288" s="9">
        <f t="shared" si="27"/>
        <v>-1.7</v>
      </c>
      <c r="L288" s="1">
        <f t="shared" si="28"/>
        <v>-4.59999999999999</v>
      </c>
    </row>
    <row r="289" s="1" customFormat="1" spans="1:12">
      <c r="A289" s="2">
        <v>9.595</v>
      </c>
      <c r="B289" s="10" t="s">
        <v>536</v>
      </c>
      <c r="C289" s="4">
        <v>9.595</v>
      </c>
      <c r="D289" s="5">
        <v>44.5</v>
      </c>
      <c r="E289" s="4"/>
      <c r="F289" s="4"/>
      <c r="G289" s="2">
        <f t="shared" si="24"/>
        <v>9.561</v>
      </c>
      <c r="H289" s="11" t="str">
        <f t="shared" si="25"/>
        <v>2.974E-2</v>
      </c>
      <c r="I289" s="2">
        <f t="shared" si="29"/>
        <v>44.2</v>
      </c>
      <c r="J289" s="4">
        <f t="shared" si="26"/>
        <v>9.561</v>
      </c>
      <c r="K289" s="9">
        <f t="shared" si="27"/>
        <v>-1.8</v>
      </c>
      <c r="L289" s="1">
        <f t="shared" si="28"/>
        <v>-4.59999999999999</v>
      </c>
    </row>
    <row r="290" s="1" customFormat="1" spans="1:12">
      <c r="A290" s="2">
        <v>9.628</v>
      </c>
      <c r="B290" s="10" t="s">
        <v>535</v>
      </c>
      <c r="C290" s="4">
        <v>9.628</v>
      </c>
      <c r="D290" s="5">
        <v>43.9</v>
      </c>
      <c r="E290" s="4"/>
      <c r="F290" s="4"/>
      <c r="G290" s="2">
        <f t="shared" si="24"/>
        <v>9.595</v>
      </c>
      <c r="H290" s="11" t="str">
        <f t="shared" si="25"/>
        <v>2.974E-2</v>
      </c>
      <c r="I290" s="2">
        <f t="shared" si="29"/>
        <v>44.5</v>
      </c>
      <c r="J290" s="4">
        <f t="shared" si="26"/>
        <v>9.595</v>
      </c>
      <c r="K290" s="9">
        <f t="shared" si="27"/>
        <v>-1.8</v>
      </c>
      <c r="L290" s="1">
        <f t="shared" si="28"/>
        <v>-4.59999999999999</v>
      </c>
    </row>
    <row r="291" s="1" customFormat="1" spans="1:12">
      <c r="A291" s="2">
        <v>9.661</v>
      </c>
      <c r="B291" s="10" t="s">
        <v>525</v>
      </c>
      <c r="C291" s="4">
        <v>9.661</v>
      </c>
      <c r="D291" s="5">
        <v>44.2</v>
      </c>
      <c r="E291" s="4"/>
      <c r="F291" s="4"/>
      <c r="G291" s="2">
        <f t="shared" si="24"/>
        <v>9.628</v>
      </c>
      <c r="H291" s="11" t="str">
        <f t="shared" si="25"/>
        <v>2.972E-2</v>
      </c>
      <c r="I291" s="2">
        <f t="shared" si="29"/>
        <v>43.9</v>
      </c>
      <c r="J291" s="4">
        <f t="shared" si="26"/>
        <v>9.628</v>
      </c>
      <c r="K291" s="9">
        <f t="shared" si="27"/>
        <v>-1.99999999999999</v>
      </c>
      <c r="L291" s="1">
        <f t="shared" si="28"/>
        <v>-4.59999999999999</v>
      </c>
    </row>
    <row r="292" s="1" customFormat="1" spans="1:12">
      <c r="A292" s="2">
        <v>9.695</v>
      </c>
      <c r="B292" s="10" t="s">
        <v>524</v>
      </c>
      <c r="C292" s="4">
        <v>9.695</v>
      </c>
      <c r="D292" s="5">
        <v>44.3</v>
      </c>
      <c r="E292" s="4"/>
      <c r="F292" s="4"/>
      <c r="G292" s="2">
        <f t="shared" si="24"/>
        <v>9.661</v>
      </c>
      <c r="H292" s="11" t="str">
        <f t="shared" si="25"/>
        <v>2.971E-2</v>
      </c>
      <c r="I292" s="2">
        <f t="shared" si="29"/>
        <v>44.2</v>
      </c>
      <c r="J292" s="4">
        <f t="shared" si="26"/>
        <v>9.661</v>
      </c>
      <c r="K292" s="9">
        <f t="shared" si="27"/>
        <v>-2.09999999999998</v>
      </c>
      <c r="L292" s="1">
        <f t="shared" si="28"/>
        <v>-4.59999999999999</v>
      </c>
    </row>
    <row r="293" s="1" customFormat="1" spans="1:12">
      <c r="A293" s="2">
        <v>9.728</v>
      </c>
      <c r="B293" s="10" t="s">
        <v>521</v>
      </c>
      <c r="C293" s="4">
        <v>9.728</v>
      </c>
      <c r="D293" s="5">
        <v>44.6</v>
      </c>
      <c r="E293" s="4"/>
      <c r="F293" s="4"/>
      <c r="G293" s="2">
        <f t="shared" si="24"/>
        <v>9.695</v>
      </c>
      <c r="H293" s="11" t="str">
        <f t="shared" si="25"/>
        <v>2.969E-2</v>
      </c>
      <c r="I293" s="2">
        <f t="shared" si="29"/>
        <v>44.3</v>
      </c>
      <c r="J293" s="4">
        <f t="shared" si="26"/>
        <v>9.695</v>
      </c>
      <c r="K293" s="9">
        <f t="shared" si="27"/>
        <v>-2.29999999999998</v>
      </c>
      <c r="L293" s="1">
        <f t="shared" si="28"/>
        <v>-4.59999999999999</v>
      </c>
    </row>
    <row r="294" s="1" customFormat="1" spans="1:12">
      <c r="A294" s="2">
        <v>9.762</v>
      </c>
      <c r="B294" s="10" t="s">
        <v>521</v>
      </c>
      <c r="C294" s="4">
        <v>9.762</v>
      </c>
      <c r="D294" s="5">
        <v>44.2</v>
      </c>
      <c r="E294" s="4"/>
      <c r="F294" s="4"/>
      <c r="G294" s="2">
        <f t="shared" si="24"/>
        <v>9.728</v>
      </c>
      <c r="H294" s="11" t="str">
        <f t="shared" si="25"/>
        <v>2.966E-2</v>
      </c>
      <c r="I294" s="2">
        <f t="shared" si="29"/>
        <v>44.6</v>
      </c>
      <c r="J294" s="4">
        <f t="shared" si="26"/>
        <v>9.728</v>
      </c>
      <c r="K294" s="9">
        <f t="shared" si="27"/>
        <v>-2.6</v>
      </c>
      <c r="L294" s="1">
        <f t="shared" si="28"/>
        <v>-4.59999999999999</v>
      </c>
    </row>
    <row r="295" s="1" customFormat="1" spans="1:12">
      <c r="A295" s="2">
        <v>9.795</v>
      </c>
      <c r="B295" s="10" t="s">
        <v>509</v>
      </c>
      <c r="C295" s="4">
        <v>9.795</v>
      </c>
      <c r="D295" s="5">
        <v>44.5</v>
      </c>
      <c r="E295" s="4"/>
      <c r="F295" s="4"/>
      <c r="G295" s="2">
        <f t="shared" si="24"/>
        <v>9.762</v>
      </c>
      <c r="H295" s="11" t="str">
        <f t="shared" si="25"/>
        <v>2.966E-2</v>
      </c>
      <c r="I295" s="2">
        <f t="shared" si="29"/>
        <v>44.2</v>
      </c>
      <c r="J295" s="4">
        <f t="shared" si="26"/>
        <v>9.762</v>
      </c>
      <c r="K295" s="9">
        <f t="shared" si="27"/>
        <v>-2.6</v>
      </c>
      <c r="L295" s="1">
        <f t="shared" si="28"/>
        <v>-4.59999999999999</v>
      </c>
    </row>
    <row r="296" s="1" customFormat="1" spans="1:12">
      <c r="A296" s="2">
        <v>9.829</v>
      </c>
      <c r="B296" s="10" t="s">
        <v>520</v>
      </c>
      <c r="C296" s="4">
        <v>9.829</v>
      </c>
      <c r="D296" s="5">
        <v>44</v>
      </c>
      <c r="E296" s="4"/>
      <c r="F296" s="4"/>
      <c r="G296" s="2">
        <f t="shared" si="24"/>
        <v>9.795</v>
      </c>
      <c r="H296" s="11" t="str">
        <f t="shared" si="25"/>
        <v>2.964E-2</v>
      </c>
      <c r="I296" s="2">
        <f t="shared" si="29"/>
        <v>44.5</v>
      </c>
      <c r="J296" s="4">
        <f t="shared" si="26"/>
        <v>9.795</v>
      </c>
      <c r="K296" s="9">
        <f t="shared" si="27"/>
        <v>-2.79999999999999</v>
      </c>
      <c r="L296" s="1">
        <f t="shared" si="28"/>
        <v>-4.59999999999999</v>
      </c>
    </row>
    <row r="297" s="1" customFormat="1" spans="1:12">
      <c r="A297" s="2">
        <v>9.862</v>
      </c>
      <c r="B297" s="10" t="s">
        <v>534</v>
      </c>
      <c r="C297" s="4">
        <v>9.862</v>
      </c>
      <c r="D297" s="5">
        <v>43.5</v>
      </c>
      <c r="E297" s="4"/>
      <c r="F297" s="4"/>
      <c r="G297" s="2">
        <f t="shared" si="24"/>
        <v>9.829</v>
      </c>
      <c r="H297" s="11" t="str">
        <f t="shared" si="25"/>
        <v>2.962E-2</v>
      </c>
      <c r="I297" s="2">
        <f t="shared" si="29"/>
        <v>44</v>
      </c>
      <c r="J297" s="4">
        <f t="shared" si="26"/>
        <v>9.829</v>
      </c>
      <c r="K297" s="9">
        <f t="shared" si="27"/>
        <v>-2.99999999999998</v>
      </c>
      <c r="L297" s="1">
        <f t="shared" si="28"/>
        <v>-4.59999999999999</v>
      </c>
    </row>
    <row r="298" s="1" customFormat="1" spans="1:12">
      <c r="A298" s="2">
        <v>9.895</v>
      </c>
      <c r="B298" s="10" t="s">
        <v>510</v>
      </c>
      <c r="C298" s="4">
        <v>9.895</v>
      </c>
      <c r="D298" s="5">
        <v>44.1</v>
      </c>
      <c r="E298" s="4"/>
      <c r="F298" s="4"/>
      <c r="G298" s="2">
        <f t="shared" si="24"/>
        <v>9.862</v>
      </c>
      <c r="H298" s="11" t="str">
        <f t="shared" si="25"/>
        <v>2.961E-2</v>
      </c>
      <c r="I298" s="2">
        <f t="shared" si="29"/>
        <v>43.5</v>
      </c>
      <c r="J298" s="4">
        <f t="shared" si="26"/>
        <v>9.862</v>
      </c>
      <c r="K298" s="9">
        <f t="shared" si="27"/>
        <v>-3.09999999999998</v>
      </c>
      <c r="L298" s="1">
        <f t="shared" si="28"/>
        <v>-4.59999999999999</v>
      </c>
    </row>
    <row r="299" s="1" customFormat="1" spans="1:12">
      <c r="A299" s="2">
        <v>9.929</v>
      </c>
      <c r="B299" s="10" t="s">
        <v>533</v>
      </c>
      <c r="C299" s="4">
        <v>9.929</v>
      </c>
      <c r="D299" s="5">
        <v>44.3</v>
      </c>
      <c r="E299" s="4"/>
      <c r="F299" s="4"/>
      <c r="G299" s="2">
        <f t="shared" si="24"/>
        <v>9.895</v>
      </c>
      <c r="H299" s="11" t="str">
        <f t="shared" si="25"/>
        <v>2.958E-2</v>
      </c>
      <c r="I299" s="2">
        <f t="shared" si="29"/>
        <v>44.1</v>
      </c>
      <c r="J299" s="4">
        <f t="shared" si="26"/>
        <v>9.895</v>
      </c>
      <c r="K299" s="9">
        <f t="shared" si="27"/>
        <v>-3.4</v>
      </c>
      <c r="L299" s="1">
        <f t="shared" si="28"/>
        <v>-4.59999999999999</v>
      </c>
    </row>
    <row r="300" s="1" customFormat="1" spans="1:12">
      <c r="A300" s="2">
        <v>9.962</v>
      </c>
      <c r="B300" s="10" t="s">
        <v>517</v>
      </c>
      <c r="C300" s="4">
        <v>9.962</v>
      </c>
      <c r="D300" s="5">
        <v>44.5</v>
      </c>
      <c r="E300" s="4"/>
      <c r="F300" s="4"/>
      <c r="G300" s="2">
        <f t="shared" si="24"/>
        <v>9.929</v>
      </c>
      <c r="H300" s="11" t="str">
        <f t="shared" si="25"/>
        <v>2.957E-2</v>
      </c>
      <c r="I300" s="2">
        <f t="shared" si="29"/>
        <v>44.3</v>
      </c>
      <c r="J300" s="4">
        <f t="shared" si="26"/>
        <v>9.929</v>
      </c>
      <c r="K300" s="9">
        <f t="shared" si="27"/>
        <v>-3.5</v>
      </c>
      <c r="L300" s="1">
        <f t="shared" si="28"/>
        <v>-4.59999999999999</v>
      </c>
    </row>
    <row r="301" s="1" customFormat="1" spans="1:12">
      <c r="A301" s="2">
        <v>9.996</v>
      </c>
      <c r="B301" s="10" t="s">
        <v>516</v>
      </c>
      <c r="C301" s="4">
        <v>9.996</v>
      </c>
      <c r="D301" s="5">
        <v>44.5</v>
      </c>
      <c r="E301" s="4"/>
      <c r="F301" s="4"/>
      <c r="G301" s="2">
        <f t="shared" si="24"/>
        <v>9.962</v>
      </c>
      <c r="H301" s="11" t="str">
        <f t="shared" si="25"/>
        <v>2.956E-2</v>
      </c>
      <c r="I301" s="2">
        <f t="shared" si="29"/>
        <v>44.5</v>
      </c>
      <c r="J301" s="4">
        <f t="shared" si="26"/>
        <v>9.962</v>
      </c>
      <c r="K301" s="9">
        <f t="shared" si="27"/>
        <v>-3.59999999999999</v>
      </c>
      <c r="L301" s="1">
        <f t="shared" si="28"/>
        <v>-4.59999999999999</v>
      </c>
    </row>
    <row r="302" s="1" customFormat="1" spans="1:12">
      <c r="A302" s="2">
        <v>10.029</v>
      </c>
      <c r="B302" s="10" t="s">
        <v>515</v>
      </c>
      <c r="C302" s="4">
        <v>10.029</v>
      </c>
      <c r="D302" s="5">
        <v>44</v>
      </c>
      <c r="E302" s="4"/>
      <c r="F302" s="4"/>
      <c r="G302" s="2">
        <f t="shared" si="24"/>
        <v>9.996</v>
      </c>
      <c r="H302" s="11" t="str">
        <f t="shared" si="25"/>
        <v>2.955E-2</v>
      </c>
      <c r="I302" s="2">
        <f t="shared" si="29"/>
        <v>44.5</v>
      </c>
      <c r="J302" s="4">
        <f t="shared" si="26"/>
        <v>9.996</v>
      </c>
      <c r="K302" s="9">
        <f t="shared" si="27"/>
        <v>-3.69999999999999</v>
      </c>
      <c r="L302" s="1">
        <f t="shared" si="28"/>
        <v>-4.59999999999999</v>
      </c>
    </row>
    <row r="303" s="1" customFormat="1" spans="1:12">
      <c r="A303" s="2">
        <v>10.063</v>
      </c>
      <c r="B303" s="10" t="s">
        <v>515</v>
      </c>
      <c r="C303" s="4">
        <v>10.063</v>
      </c>
      <c r="D303" s="5">
        <v>44.1</v>
      </c>
      <c r="E303" s="4"/>
      <c r="F303" s="4"/>
      <c r="G303" s="2">
        <f t="shared" si="24"/>
        <v>10.029</v>
      </c>
      <c r="H303" s="11" t="str">
        <f t="shared" si="25"/>
        <v>2.954E-2</v>
      </c>
      <c r="I303" s="2">
        <f t="shared" si="29"/>
        <v>44</v>
      </c>
      <c r="J303" s="4">
        <f t="shared" si="26"/>
        <v>10.029</v>
      </c>
      <c r="K303" s="9">
        <f t="shared" si="27"/>
        <v>-3.79999999999998</v>
      </c>
      <c r="L303" s="1">
        <f t="shared" si="28"/>
        <v>-4.59999999999999</v>
      </c>
    </row>
    <row r="304" s="1" customFormat="1" spans="1:12">
      <c r="A304" s="2">
        <v>10.096</v>
      </c>
      <c r="B304" s="10" t="s">
        <v>532</v>
      </c>
      <c r="C304" s="4">
        <v>10.096</v>
      </c>
      <c r="D304" s="5">
        <v>44.3</v>
      </c>
      <c r="E304" s="4"/>
      <c r="F304" s="4"/>
      <c r="G304" s="2">
        <f t="shared" si="24"/>
        <v>10.063</v>
      </c>
      <c r="H304" s="11" t="str">
        <f t="shared" si="25"/>
        <v>2.954E-2</v>
      </c>
      <c r="I304" s="2">
        <f t="shared" si="29"/>
        <v>44.1</v>
      </c>
      <c r="J304" s="4">
        <f t="shared" si="26"/>
        <v>10.063</v>
      </c>
      <c r="K304" s="9">
        <f t="shared" si="27"/>
        <v>-3.79999999999998</v>
      </c>
      <c r="L304" s="1">
        <f t="shared" si="28"/>
        <v>-4.59999999999999</v>
      </c>
    </row>
    <row r="305" s="1" customFormat="1" spans="1:12">
      <c r="A305" s="2">
        <v>10.129</v>
      </c>
      <c r="B305" s="10" t="s">
        <v>515</v>
      </c>
      <c r="C305" s="4">
        <v>10.129</v>
      </c>
      <c r="D305" s="5">
        <v>44.6</v>
      </c>
      <c r="E305" s="4"/>
      <c r="F305" s="4"/>
      <c r="G305" s="2">
        <f t="shared" si="24"/>
        <v>10.096</v>
      </c>
      <c r="H305" s="11" t="str">
        <f t="shared" si="25"/>
        <v>2.952E-2</v>
      </c>
      <c r="I305" s="2">
        <f t="shared" si="29"/>
        <v>44.3</v>
      </c>
      <c r="J305" s="4">
        <f t="shared" si="26"/>
        <v>10.096</v>
      </c>
      <c r="K305" s="9">
        <f t="shared" si="27"/>
        <v>-3.99999999999998</v>
      </c>
      <c r="L305" s="1">
        <f t="shared" si="28"/>
        <v>-4.59999999999999</v>
      </c>
    </row>
    <row r="306" s="1" customFormat="1" spans="1:12">
      <c r="A306" s="2">
        <v>10.163</v>
      </c>
      <c r="B306" s="10" t="s">
        <v>511</v>
      </c>
      <c r="C306" s="4">
        <v>10.163</v>
      </c>
      <c r="D306" s="5">
        <v>44.2</v>
      </c>
      <c r="E306" s="4"/>
      <c r="F306" s="4"/>
      <c r="G306" s="2">
        <f t="shared" si="24"/>
        <v>10.129</v>
      </c>
      <c r="H306" s="11" t="str">
        <f t="shared" si="25"/>
        <v>2.954E-2</v>
      </c>
      <c r="I306" s="2">
        <f t="shared" si="29"/>
        <v>44.6</v>
      </c>
      <c r="J306" s="4">
        <f t="shared" si="26"/>
        <v>10.129</v>
      </c>
      <c r="K306" s="9">
        <f t="shared" si="27"/>
        <v>-3.79999999999998</v>
      </c>
      <c r="L306" s="1">
        <f t="shared" si="28"/>
        <v>-4.59999999999999</v>
      </c>
    </row>
    <row r="307" s="1" customFormat="1" spans="1:12">
      <c r="A307" s="2">
        <v>10.196</v>
      </c>
      <c r="B307" s="10" t="s">
        <v>511</v>
      </c>
      <c r="C307" s="4">
        <v>10.196</v>
      </c>
      <c r="D307" s="5">
        <v>44.4</v>
      </c>
      <c r="E307" s="4"/>
      <c r="F307" s="4"/>
      <c r="G307" s="2">
        <f t="shared" si="24"/>
        <v>10.163</v>
      </c>
      <c r="H307" s="11" t="str">
        <f t="shared" si="25"/>
        <v>2.953E-2</v>
      </c>
      <c r="I307" s="2">
        <f t="shared" si="29"/>
        <v>44.2</v>
      </c>
      <c r="J307" s="4">
        <f t="shared" si="26"/>
        <v>10.163</v>
      </c>
      <c r="K307" s="9">
        <f t="shared" si="27"/>
        <v>-3.89999999999998</v>
      </c>
      <c r="L307" s="1">
        <f t="shared" si="28"/>
        <v>-4.59999999999999</v>
      </c>
    </row>
    <row r="308" s="1" customFormat="1" spans="1:12">
      <c r="A308" s="2">
        <v>10.23</v>
      </c>
      <c r="B308" s="10" t="s">
        <v>515</v>
      </c>
      <c r="C308" s="4">
        <v>10.23</v>
      </c>
      <c r="D308" s="5">
        <v>44.2</v>
      </c>
      <c r="E308" s="4"/>
      <c r="F308" s="4"/>
      <c r="G308" s="2">
        <f t="shared" si="24"/>
        <v>10.196</v>
      </c>
      <c r="H308" s="11" t="str">
        <f t="shared" si="25"/>
        <v>2.953E-2</v>
      </c>
      <c r="I308" s="2">
        <f t="shared" si="29"/>
        <v>44.4</v>
      </c>
      <c r="J308" s="4">
        <f t="shared" si="26"/>
        <v>10.196</v>
      </c>
      <c r="K308" s="9">
        <f t="shared" si="27"/>
        <v>-3.89999999999998</v>
      </c>
      <c r="L308" s="1">
        <f t="shared" si="28"/>
        <v>-4.59999999999999</v>
      </c>
    </row>
    <row r="309" s="1" customFormat="1" spans="1:12">
      <c r="A309" s="2">
        <v>10.263</v>
      </c>
      <c r="B309" s="10" t="s">
        <v>517</v>
      </c>
      <c r="C309" s="4">
        <v>10.263</v>
      </c>
      <c r="D309" s="5">
        <v>43.7</v>
      </c>
      <c r="E309" s="4"/>
      <c r="F309" s="4"/>
      <c r="G309" s="2">
        <f t="shared" si="24"/>
        <v>10.23</v>
      </c>
      <c r="H309" s="11" t="str">
        <f t="shared" si="25"/>
        <v>2.954E-2</v>
      </c>
      <c r="I309" s="2">
        <f t="shared" si="29"/>
        <v>44.2</v>
      </c>
      <c r="J309" s="4">
        <f t="shared" si="26"/>
        <v>10.23</v>
      </c>
      <c r="K309" s="9">
        <f t="shared" si="27"/>
        <v>-3.79999999999998</v>
      </c>
      <c r="L309" s="1">
        <f t="shared" si="28"/>
        <v>-4.59999999999999</v>
      </c>
    </row>
    <row r="310" s="1" customFormat="1" spans="1:12">
      <c r="A310" s="2">
        <v>10.297</v>
      </c>
      <c r="B310" s="10" t="s">
        <v>516</v>
      </c>
      <c r="C310" s="4">
        <v>10.297</v>
      </c>
      <c r="D310" s="5">
        <v>44.2</v>
      </c>
      <c r="E310" s="4"/>
      <c r="F310" s="4"/>
      <c r="G310" s="2">
        <f t="shared" si="24"/>
        <v>10.263</v>
      </c>
      <c r="H310" s="11" t="str">
        <f t="shared" si="25"/>
        <v>2.956E-2</v>
      </c>
      <c r="I310" s="2">
        <f t="shared" si="29"/>
        <v>43.7</v>
      </c>
      <c r="J310" s="4">
        <f t="shared" si="26"/>
        <v>10.263</v>
      </c>
      <c r="K310" s="9">
        <f t="shared" si="27"/>
        <v>-3.59999999999999</v>
      </c>
      <c r="L310" s="1">
        <f t="shared" si="28"/>
        <v>-4.59999999999999</v>
      </c>
    </row>
    <row r="311" s="1" customFormat="1" spans="1:12">
      <c r="A311" s="2">
        <v>10.33</v>
      </c>
      <c r="B311" s="10" t="s">
        <v>533</v>
      </c>
      <c r="C311" s="4">
        <v>10.33</v>
      </c>
      <c r="D311" s="5">
        <v>44.8</v>
      </c>
      <c r="E311" s="4"/>
      <c r="F311" s="4"/>
      <c r="G311" s="2">
        <f t="shared" si="24"/>
        <v>10.297</v>
      </c>
      <c r="H311" s="11" t="str">
        <f t="shared" si="25"/>
        <v>2.955E-2</v>
      </c>
      <c r="I311" s="2">
        <f t="shared" si="29"/>
        <v>44.2</v>
      </c>
      <c r="J311" s="4">
        <f t="shared" si="26"/>
        <v>10.297</v>
      </c>
      <c r="K311" s="9">
        <f t="shared" si="27"/>
        <v>-3.69999999999999</v>
      </c>
      <c r="L311" s="1">
        <f t="shared" si="28"/>
        <v>-4.59999999999999</v>
      </c>
    </row>
    <row r="312" s="1" customFormat="1" spans="1:12">
      <c r="A312" s="2">
        <v>10.363</v>
      </c>
      <c r="B312" s="10" t="s">
        <v>518</v>
      </c>
      <c r="C312" s="4">
        <v>10.363</v>
      </c>
      <c r="D312" s="5">
        <v>44</v>
      </c>
      <c r="E312" s="4"/>
      <c r="F312" s="4"/>
      <c r="G312" s="2">
        <f t="shared" si="24"/>
        <v>10.33</v>
      </c>
      <c r="H312" s="11" t="str">
        <f t="shared" si="25"/>
        <v>2.957E-2</v>
      </c>
      <c r="I312" s="2">
        <f t="shared" si="29"/>
        <v>44.8</v>
      </c>
      <c r="J312" s="4">
        <f t="shared" si="26"/>
        <v>10.33</v>
      </c>
      <c r="K312" s="9">
        <f t="shared" si="27"/>
        <v>-3.5</v>
      </c>
      <c r="L312" s="1">
        <f t="shared" si="28"/>
        <v>-4.59999999999999</v>
      </c>
    </row>
    <row r="313" s="1" customFormat="1" spans="1:12">
      <c r="A313" s="2">
        <v>10.397</v>
      </c>
      <c r="B313" s="10" t="s">
        <v>518</v>
      </c>
      <c r="C313" s="4">
        <v>10.397</v>
      </c>
      <c r="D313" s="5">
        <v>44</v>
      </c>
      <c r="E313" s="4"/>
      <c r="F313" s="4"/>
      <c r="G313" s="2">
        <f t="shared" si="24"/>
        <v>10.363</v>
      </c>
      <c r="H313" s="11" t="str">
        <f t="shared" si="25"/>
        <v>2.959E-2</v>
      </c>
      <c r="I313" s="2">
        <f t="shared" si="29"/>
        <v>44</v>
      </c>
      <c r="J313" s="4">
        <f t="shared" si="26"/>
        <v>10.363</v>
      </c>
      <c r="K313" s="9">
        <f t="shared" si="27"/>
        <v>-3.29999999999997</v>
      </c>
      <c r="L313" s="1">
        <f t="shared" si="28"/>
        <v>-4.59999999999999</v>
      </c>
    </row>
    <row r="314" s="1" customFormat="1" spans="1:12">
      <c r="A314" s="2">
        <v>10.43</v>
      </c>
      <c r="B314" s="10" t="s">
        <v>534</v>
      </c>
      <c r="C314" s="4">
        <v>10.43</v>
      </c>
      <c r="D314" s="5">
        <v>44.1</v>
      </c>
      <c r="E314" s="4"/>
      <c r="F314" s="4"/>
      <c r="G314" s="2">
        <f t="shared" si="24"/>
        <v>10.397</v>
      </c>
      <c r="H314" s="11" t="str">
        <f t="shared" si="25"/>
        <v>2.959E-2</v>
      </c>
      <c r="I314" s="2">
        <f t="shared" si="29"/>
        <v>44</v>
      </c>
      <c r="J314" s="4">
        <f t="shared" si="26"/>
        <v>10.397</v>
      </c>
      <c r="K314" s="9">
        <f t="shared" si="27"/>
        <v>-3.29999999999997</v>
      </c>
      <c r="L314" s="1">
        <f t="shared" si="28"/>
        <v>-4.59999999999999</v>
      </c>
    </row>
    <row r="315" s="1" customFormat="1" spans="1:12">
      <c r="A315" s="2">
        <v>10.464</v>
      </c>
      <c r="B315" s="10" t="s">
        <v>528</v>
      </c>
      <c r="C315" s="4">
        <v>10.464</v>
      </c>
      <c r="D315" s="5">
        <v>44.3</v>
      </c>
      <c r="E315" s="4"/>
      <c r="F315" s="4"/>
      <c r="G315" s="2">
        <f t="shared" si="24"/>
        <v>10.43</v>
      </c>
      <c r="H315" s="11" t="str">
        <f t="shared" si="25"/>
        <v>2.961E-2</v>
      </c>
      <c r="I315" s="2">
        <f t="shared" si="29"/>
        <v>44.1</v>
      </c>
      <c r="J315" s="4">
        <f t="shared" si="26"/>
        <v>10.43</v>
      </c>
      <c r="K315" s="9">
        <f t="shared" si="27"/>
        <v>-3.09999999999998</v>
      </c>
      <c r="L315" s="1">
        <f t="shared" si="28"/>
        <v>-4.59999999999999</v>
      </c>
    </row>
    <row r="316" s="1" customFormat="1" spans="1:12">
      <c r="A316" s="2">
        <v>10.497</v>
      </c>
      <c r="B316" s="10" t="s">
        <v>528</v>
      </c>
      <c r="C316" s="4">
        <v>10.497</v>
      </c>
      <c r="D316" s="5">
        <v>44.3</v>
      </c>
      <c r="E316" s="4"/>
      <c r="F316" s="4"/>
      <c r="G316" s="2">
        <f t="shared" si="24"/>
        <v>10.464</v>
      </c>
      <c r="H316" s="11" t="str">
        <f t="shared" si="25"/>
        <v>2.963E-2</v>
      </c>
      <c r="I316" s="2">
        <f t="shared" si="29"/>
        <v>44.3</v>
      </c>
      <c r="J316" s="4">
        <f t="shared" si="26"/>
        <v>10.464</v>
      </c>
      <c r="K316" s="9">
        <f t="shared" si="27"/>
        <v>-2.89999999999999</v>
      </c>
      <c r="L316" s="1">
        <f t="shared" si="28"/>
        <v>-4.59999999999999</v>
      </c>
    </row>
    <row r="317" s="1" customFormat="1" spans="1:12">
      <c r="A317" s="2">
        <v>10.531</v>
      </c>
      <c r="B317" s="10" t="s">
        <v>521</v>
      </c>
      <c r="C317" s="4">
        <v>10.531</v>
      </c>
      <c r="D317" s="5">
        <v>44.4</v>
      </c>
      <c r="E317" s="4"/>
      <c r="F317" s="4"/>
      <c r="G317" s="2">
        <f t="shared" si="24"/>
        <v>10.497</v>
      </c>
      <c r="H317" s="11" t="str">
        <f t="shared" si="25"/>
        <v>2.963E-2</v>
      </c>
      <c r="I317" s="2">
        <f t="shared" si="29"/>
        <v>44.3</v>
      </c>
      <c r="J317" s="4">
        <f t="shared" si="26"/>
        <v>10.497</v>
      </c>
      <c r="K317" s="9">
        <f t="shared" si="27"/>
        <v>-2.89999999999999</v>
      </c>
      <c r="L317" s="1">
        <f t="shared" si="28"/>
        <v>-4.59999999999999</v>
      </c>
    </row>
    <row r="318" s="1" customFormat="1" spans="1:12">
      <c r="A318" s="2">
        <v>10.564</v>
      </c>
      <c r="B318" s="10" t="s">
        <v>522</v>
      </c>
      <c r="C318" s="4">
        <v>10.564</v>
      </c>
      <c r="D318" s="5">
        <v>44.2</v>
      </c>
      <c r="E318" s="4"/>
      <c r="F318" s="4"/>
      <c r="G318" s="2">
        <f t="shared" si="24"/>
        <v>10.531</v>
      </c>
      <c r="H318" s="11" t="str">
        <f t="shared" si="25"/>
        <v>2.966E-2</v>
      </c>
      <c r="I318" s="2">
        <f t="shared" si="29"/>
        <v>44.4</v>
      </c>
      <c r="J318" s="4">
        <f t="shared" si="26"/>
        <v>10.531</v>
      </c>
      <c r="K318" s="9">
        <f t="shared" si="27"/>
        <v>-2.6</v>
      </c>
      <c r="L318" s="1">
        <f t="shared" si="28"/>
        <v>-4.59999999999999</v>
      </c>
    </row>
    <row r="319" s="1" customFormat="1" spans="1:12">
      <c r="A319" s="2">
        <v>10.598</v>
      </c>
      <c r="B319" s="10" t="s">
        <v>526</v>
      </c>
      <c r="C319" s="4">
        <v>10.598</v>
      </c>
      <c r="D319" s="5">
        <v>43.8</v>
      </c>
      <c r="E319" s="4"/>
      <c r="F319" s="4"/>
      <c r="G319" s="2">
        <f t="shared" si="24"/>
        <v>10.564</v>
      </c>
      <c r="H319" s="11" t="str">
        <f t="shared" si="25"/>
        <v>2.967E-2</v>
      </c>
      <c r="I319" s="2">
        <f t="shared" si="29"/>
        <v>44.2</v>
      </c>
      <c r="J319" s="4">
        <f t="shared" si="26"/>
        <v>10.564</v>
      </c>
      <c r="K319" s="9">
        <f t="shared" si="27"/>
        <v>-2.5</v>
      </c>
      <c r="L319" s="1">
        <f t="shared" si="28"/>
        <v>-4.59999999999999</v>
      </c>
    </row>
    <row r="320" s="1" customFormat="1" spans="1:12">
      <c r="A320" s="2">
        <v>10.631</v>
      </c>
      <c r="B320" s="10" t="s">
        <v>524</v>
      </c>
      <c r="C320" s="4">
        <v>10.631</v>
      </c>
      <c r="D320" s="5">
        <v>44.3</v>
      </c>
      <c r="E320" s="4"/>
      <c r="F320" s="4"/>
      <c r="G320" s="2">
        <f t="shared" si="24"/>
        <v>10.598</v>
      </c>
      <c r="H320" s="11" t="str">
        <f t="shared" si="25"/>
        <v>2.970E-2</v>
      </c>
      <c r="I320" s="2">
        <f t="shared" si="29"/>
        <v>43.8</v>
      </c>
      <c r="J320" s="4">
        <f t="shared" si="26"/>
        <v>10.598</v>
      </c>
      <c r="K320" s="9">
        <f t="shared" si="27"/>
        <v>-2.19999999999998</v>
      </c>
      <c r="L320" s="1">
        <f t="shared" si="28"/>
        <v>-4.59999999999999</v>
      </c>
    </row>
    <row r="321" s="1" customFormat="1" spans="1:12">
      <c r="A321" s="2">
        <v>10.664</v>
      </c>
      <c r="B321" s="10" t="s">
        <v>537</v>
      </c>
      <c r="C321" s="4">
        <v>10.664</v>
      </c>
      <c r="D321" s="5">
        <v>43.8</v>
      </c>
      <c r="E321" s="4"/>
      <c r="F321" s="4"/>
      <c r="G321" s="2">
        <f t="shared" si="24"/>
        <v>10.631</v>
      </c>
      <c r="H321" s="11" t="str">
        <f t="shared" si="25"/>
        <v>2.969E-2</v>
      </c>
      <c r="I321" s="2">
        <f t="shared" si="29"/>
        <v>44.3</v>
      </c>
      <c r="J321" s="4">
        <f t="shared" si="26"/>
        <v>10.631</v>
      </c>
      <c r="K321" s="9">
        <f t="shared" si="27"/>
        <v>-2.29999999999998</v>
      </c>
      <c r="L321" s="1">
        <f t="shared" si="28"/>
        <v>-4.59999999999999</v>
      </c>
    </row>
    <row r="322" s="1" customFormat="1" spans="1:12">
      <c r="A322" s="2">
        <v>10.698</v>
      </c>
      <c r="B322" s="10" t="s">
        <v>537</v>
      </c>
      <c r="C322" s="4">
        <v>10.698</v>
      </c>
      <c r="D322" s="5">
        <v>44.1</v>
      </c>
      <c r="E322" s="4"/>
      <c r="F322" s="4"/>
      <c r="G322" s="2">
        <f t="shared" si="24"/>
        <v>10.664</v>
      </c>
      <c r="H322" s="11" t="str">
        <f t="shared" si="25"/>
        <v>2.973E-2</v>
      </c>
      <c r="I322" s="2">
        <f t="shared" si="29"/>
        <v>43.8</v>
      </c>
      <c r="J322" s="4">
        <f t="shared" si="26"/>
        <v>10.664</v>
      </c>
      <c r="K322" s="9">
        <f t="shared" si="27"/>
        <v>-1.89999999999999</v>
      </c>
      <c r="L322" s="1">
        <f t="shared" si="28"/>
        <v>-4.59999999999999</v>
      </c>
    </row>
    <row r="323" s="1" customFormat="1" spans="1:12">
      <c r="A323" s="2">
        <v>10.731</v>
      </c>
      <c r="B323" s="10" t="s">
        <v>539</v>
      </c>
      <c r="C323" s="4">
        <v>10.731</v>
      </c>
      <c r="D323" s="5">
        <v>44.4</v>
      </c>
      <c r="E323" s="4"/>
      <c r="F323" s="4"/>
      <c r="G323" s="2">
        <f t="shared" si="24"/>
        <v>10.698</v>
      </c>
      <c r="H323" s="11" t="str">
        <f t="shared" si="25"/>
        <v>2.973E-2</v>
      </c>
      <c r="I323" s="2">
        <f t="shared" si="29"/>
        <v>44.1</v>
      </c>
      <c r="J323" s="4">
        <f t="shared" si="26"/>
        <v>10.698</v>
      </c>
      <c r="K323" s="9">
        <f t="shared" si="27"/>
        <v>-1.89999999999999</v>
      </c>
      <c r="L323" s="1">
        <f t="shared" si="28"/>
        <v>-4.59999999999999</v>
      </c>
    </row>
    <row r="324" s="1" customFormat="1" spans="1:12">
      <c r="A324" s="2">
        <v>10.765</v>
      </c>
      <c r="B324" s="10" t="s">
        <v>508</v>
      </c>
      <c r="C324" s="4">
        <v>10.765</v>
      </c>
      <c r="D324" s="5">
        <v>44.2</v>
      </c>
      <c r="E324" s="4"/>
      <c r="F324" s="4"/>
      <c r="G324" s="2">
        <f t="shared" ref="G324:G387" si="30">A323</f>
        <v>10.731</v>
      </c>
      <c r="H324" s="11" t="str">
        <f t="shared" ref="H324:H387" si="31">B323</f>
        <v>2.976E-2</v>
      </c>
      <c r="I324" s="2">
        <f t="shared" si="29"/>
        <v>44.4</v>
      </c>
      <c r="J324" s="4">
        <f t="shared" ref="J324:J387" si="32">G324</f>
        <v>10.731</v>
      </c>
      <c r="K324" s="9">
        <f t="shared" ref="K324:K387" si="33">(H324-$H$4)*10000</f>
        <v>-1.59999999999997</v>
      </c>
      <c r="L324" s="1">
        <f t="shared" ref="L324:L387" si="34">IF(I324&lt;230,MIN(K:K),MAX(K:K))</f>
        <v>-4.59999999999999</v>
      </c>
    </row>
    <row r="325" s="1" customFormat="1" spans="1:12">
      <c r="A325" s="2">
        <v>10.798</v>
      </c>
      <c r="B325" s="10" t="s">
        <v>539</v>
      </c>
      <c r="C325" s="4">
        <v>10.798</v>
      </c>
      <c r="D325" s="5">
        <v>44.7</v>
      </c>
      <c r="E325" s="4"/>
      <c r="F325" s="4"/>
      <c r="G325" s="2">
        <f t="shared" si="30"/>
        <v>10.765</v>
      </c>
      <c r="H325" s="11" t="str">
        <f t="shared" si="31"/>
        <v>2.977E-2</v>
      </c>
      <c r="I325" s="2">
        <f t="shared" ref="I325:I388" si="35">D324</f>
        <v>44.2</v>
      </c>
      <c r="J325" s="4">
        <f t="shared" si="32"/>
        <v>10.765</v>
      </c>
      <c r="K325" s="9">
        <f t="shared" si="33"/>
        <v>-1.49999999999997</v>
      </c>
      <c r="L325" s="1">
        <f t="shared" si="34"/>
        <v>-4.59999999999999</v>
      </c>
    </row>
    <row r="326" s="1" customFormat="1" spans="1:12">
      <c r="A326" s="2">
        <v>10.832</v>
      </c>
      <c r="B326" s="10" t="s">
        <v>508</v>
      </c>
      <c r="C326" s="4">
        <v>10.832</v>
      </c>
      <c r="D326" s="5">
        <v>44.2</v>
      </c>
      <c r="E326" s="4"/>
      <c r="F326" s="4"/>
      <c r="G326" s="2">
        <f t="shared" si="30"/>
        <v>10.798</v>
      </c>
      <c r="H326" s="11" t="str">
        <f t="shared" si="31"/>
        <v>2.976E-2</v>
      </c>
      <c r="I326" s="2">
        <f t="shared" si="35"/>
        <v>44.7</v>
      </c>
      <c r="J326" s="4">
        <f t="shared" si="32"/>
        <v>10.798</v>
      </c>
      <c r="K326" s="9">
        <f t="shared" si="33"/>
        <v>-1.59999999999997</v>
      </c>
      <c r="L326" s="1">
        <f t="shared" si="34"/>
        <v>-4.59999999999999</v>
      </c>
    </row>
    <row r="327" s="1" customFormat="1" spans="1:12">
      <c r="A327" s="2">
        <v>10.865</v>
      </c>
      <c r="B327" s="10" t="s">
        <v>538</v>
      </c>
      <c r="C327" s="4">
        <v>10.865</v>
      </c>
      <c r="D327" s="5">
        <v>43.9</v>
      </c>
      <c r="E327" s="4"/>
      <c r="F327" s="4"/>
      <c r="G327" s="2">
        <f t="shared" si="30"/>
        <v>10.832</v>
      </c>
      <c r="H327" s="11" t="str">
        <f t="shared" si="31"/>
        <v>2.977E-2</v>
      </c>
      <c r="I327" s="2">
        <f t="shared" si="35"/>
        <v>44.2</v>
      </c>
      <c r="J327" s="4">
        <f t="shared" si="32"/>
        <v>10.832</v>
      </c>
      <c r="K327" s="9">
        <f t="shared" si="33"/>
        <v>-1.49999999999997</v>
      </c>
      <c r="L327" s="1">
        <f t="shared" si="34"/>
        <v>-4.59999999999999</v>
      </c>
    </row>
    <row r="328" s="1" customFormat="1" spans="1:12">
      <c r="A328" s="2">
        <v>10.898</v>
      </c>
      <c r="B328" s="10" t="s">
        <v>537</v>
      </c>
      <c r="C328" s="4">
        <v>10.898</v>
      </c>
      <c r="D328" s="5">
        <v>43.9</v>
      </c>
      <c r="E328" s="4"/>
      <c r="F328" s="4"/>
      <c r="G328" s="2">
        <f t="shared" si="30"/>
        <v>10.865</v>
      </c>
      <c r="H328" s="11" t="str">
        <f t="shared" si="31"/>
        <v>2.975E-2</v>
      </c>
      <c r="I328" s="2">
        <f t="shared" si="35"/>
        <v>43.9</v>
      </c>
      <c r="J328" s="4">
        <f t="shared" si="32"/>
        <v>10.865</v>
      </c>
      <c r="K328" s="9">
        <f t="shared" si="33"/>
        <v>-1.7</v>
      </c>
      <c r="L328" s="1">
        <f t="shared" si="34"/>
        <v>-4.59999999999999</v>
      </c>
    </row>
    <row r="329" s="1" customFormat="1" spans="1:12">
      <c r="A329" s="2">
        <v>10.932</v>
      </c>
      <c r="B329" s="10" t="s">
        <v>535</v>
      </c>
      <c r="C329" s="4">
        <v>10.932</v>
      </c>
      <c r="D329" s="5">
        <v>44.4</v>
      </c>
      <c r="E329" s="4"/>
      <c r="F329" s="4"/>
      <c r="G329" s="2">
        <f t="shared" si="30"/>
        <v>10.898</v>
      </c>
      <c r="H329" s="11" t="str">
        <f t="shared" si="31"/>
        <v>2.973E-2</v>
      </c>
      <c r="I329" s="2">
        <f t="shared" si="35"/>
        <v>43.9</v>
      </c>
      <c r="J329" s="4">
        <f t="shared" si="32"/>
        <v>10.898</v>
      </c>
      <c r="K329" s="9">
        <f t="shared" si="33"/>
        <v>-1.89999999999999</v>
      </c>
      <c r="L329" s="1">
        <f t="shared" si="34"/>
        <v>-4.59999999999999</v>
      </c>
    </row>
    <row r="330" s="1" customFormat="1" spans="1:12">
      <c r="A330" s="2">
        <v>10.965</v>
      </c>
      <c r="B330" s="10" t="s">
        <v>526</v>
      </c>
      <c r="C330" s="4">
        <v>10.965</v>
      </c>
      <c r="D330" s="5">
        <v>44.2</v>
      </c>
      <c r="E330" s="4"/>
      <c r="F330" s="4"/>
      <c r="G330" s="2">
        <f t="shared" si="30"/>
        <v>10.932</v>
      </c>
      <c r="H330" s="11" t="str">
        <f t="shared" si="31"/>
        <v>2.972E-2</v>
      </c>
      <c r="I330" s="2">
        <f t="shared" si="35"/>
        <v>44.4</v>
      </c>
      <c r="J330" s="4">
        <f t="shared" si="32"/>
        <v>10.932</v>
      </c>
      <c r="K330" s="9">
        <f t="shared" si="33"/>
        <v>-1.99999999999999</v>
      </c>
      <c r="L330" s="1">
        <f t="shared" si="34"/>
        <v>-4.59999999999999</v>
      </c>
    </row>
    <row r="331" s="1" customFormat="1" spans="1:12">
      <c r="A331" s="2">
        <v>10.999</v>
      </c>
      <c r="B331" s="10" t="s">
        <v>526</v>
      </c>
      <c r="C331" s="4">
        <v>10.999</v>
      </c>
      <c r="D331" s="5">
        <v>44.6</v>
      </c>
      <c r="E331" s="4"/>
      <c r="F331" s="4"/>
      <c r="G331" s="2">
        <f t="shared" si="30"/>
        <v>10.965</v>
      </c>
      <c r="H331" s="11" t="str">
        <f t="shared" si="31"/>
        <v>2.970E-2</v>
      </c>
      <c r="I331" s="2">
        <f t="shared" si="35"/>
        <v>44.2</v>
      </c>
      <c r="J331" s="4">
        <f t="shared" si="32"/>
        <v>10.965</v>
      </c>
      <c r="K331" s="9">
        <f t="shared" si="33"/>
        <v>-2.19999999999998</v>
      </c>
      <c r="L331" s="1">
        <f t="shared" si="34"/>
        <v>-4.59999999999999</v>
      </c>
    </row>
    <row r="332" s="1" customFormat="1" spans="1:12">
      <c r="A332" s="2">
        <v>11.032</v>
      </c>
      <c r="B332" s="10" t="s">
        <v>524</v>
      </c>
      <c r="C332" s="4">
        <v>11.032</v>
      </c>
      <c r="D332" s="5">
        <v>44.4</v>
      </c>
      <c r="E332" s="4"/>
      <c r="F332" s="4"/>
      <c r="G332" s="2">
        <f t="shared" si="30"/>
        <v>10.999</v>
      </c>
      <c r="H332" s="11" t="str">
        <f t="shared" si="31"/>
        <v>2.970E-2</v>
      </c>
      <c r="I332" s="2">
        <f t="shared" si="35"/>
        <v>44.6</v>
      </c>
      <c r="J332" s="4">
        <f t="shared" si="32"/>
        <v>10.999</v>
      </c>
      <c r="K332" s="9">
        <f t="shared" si="33"/>
        <v>-2.19999999999998</v>
      </c>
      <c r="L332" s="1">
        <f t="shared" si="34"/>
        <v>-4.59999999999999</v>
      </c>
    </row>
    <row r="333" s="1" customFormat="1" spans="1:12">
      <c r="A333" s="2">
        <v>11.066</v>
      </c>
      <c r="B333" s="10" t="s">
        <v>521</v>
      </c>
      <c r="C333" s="4">
        <v>11.066</v>
      </c>
      <c r="D333" s="5">
        <v>44.6</v>
      </c>
      <c r="E333" s="4"/>
      <c r="F333" s="4"/>
      <c r="G333" s="2">
        <f t="shared" si="30"/>
        <v>11.032</v>
      </c>
      <c r="H333" s="11" t="str">
        <f t="shared" si="31"/>
        <v>2.969E-2</v>
      </c>
      <c r="I333" s="2">
        <f t="shared" si="35"/>
        <v>44.4</v>
      </c>
      <c r="J333" s="4">
        <f t="shared" si="32"/>
        <v>11.032</v>
      </c>
      <c r="K333" s="9">
        <f t="shared" si="33"/>
        <v>-2.29999999999998</v>
      </c>
      <c r="L333" s="1">
        <f t="shared" si="34"/>
        <v>-4.59999999999999</v>
      </c>
    </row>
    <row r="334" s="1" customFormat="1" spans="1:12">
      <c r="A334" s="2">
        <v>11.099</v>
      </c>
      <c r="B334" s="10" t="s">
        <v>527</v>
      </c>
      <c r="C334" s="4">
        <v>11.099</v>
      </c>
      <c r="D334" s="4">
        <v>44.2</v>
      </c>
      <c r="E334" s="4"/>
      <c r="F334" s="4"/>
      <c r="G334" s="2">
        <f t="shared" si="30"/>
        <v>11.066</v>
      </c>
      <c r="H334" s="11" t="str">
        <f t="shared" si="31"/>
        <v>2.966E-2</v>
      </c>
      <c r="I334" s="2">
        <f t="shared" si="35"/>
        <v>44.6</v>
      </c>
      <c r="J334" s="4">
        <f t="shared" si="32"/>
        <v>11.066</v>
      </c>
      <c r="K334" s="9">
        <f t="shared" si="33"/>
        <v>-2.6</v>
      </c>
      <c r="L334" s="1">
        <f t="shared" si="34"/>
        <v>-4.59999999999999</v>
      </c>
    </row>
    <row r="335" spans="1:12">
      <c r="A335" s="2">
        <v>11.132</v>
      </c>
      <c r="B335" s="10" t="s">
        <v>528</v>
      </c>
      <c r="C335" s="4">
        <v>11.132</v>
      </c>
      <c r="D335" s="4">
        <v>44.6</v>
      </c>
      <c r="G335" s="2">
        <f t="shared" si="30"/>
        <v>11.099</v>
      </c>
      <c r="H335" s="11" t="str">
        <f t="shared" si="31"/>
        <v>2.965E-2</v>
      </c>
      <c r="I335" s="2">
        <f t="shared" si="35"/>
        <v>44.2</v>
      </c>
      <c r="J335" s="4">
        <f t="shared" si="32"/>
        <v>11.099</v>
      </c>
      <c r="K335" s="9">
        <f t="shared" si="33"/>
        <v>-2.69999999999999</v>
      </c>
      <c r="L335" s="1">
        <f t="shared" si="34"/>
        <v>-4.59999999999999</v>
      </c>
    </row>
    <row r="336" spans="1:12">
      <c r="A336" s="2">
        <v>11.166</v>
      </c>
      <c r="B336" s="10" t="s">
        <v>519</v>
      </c>
      <c r="C336" s="4">
        <v>11.166</v>
      </c>
      <c r="D336" s="4">
        <v>44.4</v>
      </c>
      <c r="G336" s="2">
        <f t="shared" si="30"/>
        <v>11.132</v>
      </c>
      <c r="H336" s="11" t="str">
        <f t="shared" si="31"/>
        <v>2.963E-2</v>
      </c>
      <c r="I336" s="2">
        <f t="shared" si="35"/>
        <v>44.6</v>
      </c>
      <c r="J336" s="4">
        <f t="shared" si="32"/>
        <v>11.132</v>
      </c>
      <c r="K336" s="9">
        <f t="shared" si="33"/>
        <v>-2.89999999999999</v>
      </c>
      <c r="L336" s="1">
        <f t="shared" si="34"/>
        <v>-4.59999999999999</v>
      </c>
    </row>
    <row r="337" spans="1:12">
      <c r="A337" s="2">
        <v>11.199</v>
      </c>
      <c r="B337" s="10" t="s">
        <v>519</v>
      </c>
      <c r="C337" s="4">
        <v>11.199</v>
      </c>
      <c r="D337" s="4">
        <v>44.3</v>
      </c>
      <c r="G337" s="2">
        <f t="shared" si="30"/>
        <v>11.166</v>
      </c>
      <c r="H337" s="11" t="str">
        <f t="shared" si="31"/>
        <v>2.960E-2</v>
      </c>
      <c r="I337" s="2">
        <f t="shared" si="35"/>
        <v>44.4</v>
      </c>
      <c r="J337" s="4">
        <f t="shared" si="32"/>
        <v>11.166</v>
      </c>
      <c r="K337" s="9">
        <f t="shared" si="33"/>
        <v>-3.19999999999997</v>
      </c>
      <c r="L337" s="1">
        <f t="shared" si="34"/>
        <v>-4.59999999999999</v>
      </c>
    </row>
    <row r="338" spans="1:12">
      <c r="A338" s="2">
        <v>11.233</v>
      </c>
      <c r="B338" s="10" t="s">
        <v>533</v>
      </c>
      <c r="C338" s="4">
        <v>11.233</v>
      </c>
      <c r="D338" s="4">
        <v>44.2</v>
      </c>
      <c r="G338" s="2">
        <f t="shared" si="30"/>
        <v>11.199</v>
      </c>
      <c r="H338" s="11" t="str">
        <f t="shared" si="31"/>
        <v>2.960E-2</v>
      </c>
      <c r="I338" s="2">
        <f t="shared" si="35"/>
        <v>44.3</v>
      </c>
      <c r="J338" s="4">
        <f t="shared" si="32"/>
        <v>11.199</v>
      </c>
      <c r="K338" s="9">
        <f t="shared" si="33"/>
        <v>-3.19999999999997</v>
      </c>
      <c r="L338" s="1">
        <f t="shared" si="34"/>
        <v>-4.59999999999999</v>
      </c>
    </row>
    <row r="339" spans="1:12">
      <c r="A339" s="2">
        <v>11.266</v>
      </c>
      <c r="B339" s="10" t="s">
        <v>533</v>
      </c>
      <c r="C339" s="4">
        <v>11.266</v>
      </c>
      <c r="D339" s="4">
        <v>44.1</v>
      </c>
      <c r="G339" s="2">
        <f t="shared" si="30"/>
        <v>11.233</v>
      </c>
      <c r="H339" s="11" t="str">
        <f t="shared" si="31"/>
        <v>2.957E-2</v>
      </c>
      <c r="I339" s="2">
        <f t="shared" si="35"/>
        <v>44.2</v>
      </c>
      <c r="J339" s="4">
        <f t="shared" si="32"/>
        <v>11.233</v>
      </c>
      <c r="K339" s="9">
        <f t="shared" si="33"/>
        <v>-3.5</v>
      </c>
      <c r="L339" s="1">
        <f t="shared" si="34"/>
        <v>-4.59999999999999</v>
      </c>
    </row>
    <row r="340" spans="1:12">
      <c r="A340" s="2">
        <v>11.3</v>
      </c>
      <c r="B340" s="10" t="s">
        <v>517</v>
      </c>
      <c r="C340" s="4">
        <v>11.3</v>
      </c>
      <c r="D340" s="4">
        <v>44.4</v>
      </c>
      <c r="G340" s="2">
        <f t="shared" si="30"/>
        <v>11.266</v>
      </c>
      <c r="H340" s="11" t="str">
        <f t="shared" si="31"/>
        <v>2.957E-2</v>
      </c>
      <c r="I340" s="2">
        <f t="shared" si="35"/>
        <v>44.1</v>
      </c>
      <c r="J340" s="4">
        <f t="shared" si="32"/>
        <v>11.266</v>
      </c>
      <c r="K340" s="9">
        <f t="shared" si="33"/>
        <v>-3.5</v>
      </c>
      <c r="L340" s="1">
        <f t="shared" si="34"/>
        <v>-4.59999999999999</v>
      </c>
    </row>
    <row r="341" spans="1:12">
      <c r="A341" s="2">
        <v>11.333</v>
      </c>
      <c r="B341" s="10" t="s">
        <v>515</v>
      </c>
      <c r="C341" s="4">
        <v>11.333</v>
      </c>
      <c r="D341" s="4">
        <v>44.3</v>
      </c>
      <c r="G341" s="2">
        <f t="shared" si="30"/>
        <v>11.3</v>
      </c>
      <c r="H341" s="11" t="str">
        <f t="shared" si="31"/>
        <v>2.956E-2</v>
      </c>
      <c r="I341" s="2">
        <f t="shared" si="35"/>
        <v>44.4</v>
      </c>
      <c r="J341" s="4">
        <f t="shared" si="32"/>
        <v>11.3</v>
      </c>
      <c r="K341" s="9">
        <f t="shared" si="33"/>
        <v>-3.59999999999999</v>
      </c>
      <c r="L341" s="1">
        <f t="shared" si="34"/>
        <v>-4.59999999999999</v>
      </c>
    </row>
    <row r="342" spans="1:12">
      <c r="A342" s="2">
        <v>11.366</v>
      </c>
      <c r="B342" s="10" t="s">
        <v>511</v>
      </c>
      <c r="C342" s="4">
        <v>11.366</v>
      </c>
      <c r="D342" s="4">
        <v>44.1</v>
      </c>
      <c r="G342" s="2">
        <f t="shared" si="30"/>
        <v>11.333</v>
      </c>
      <c r="H342" s="11" t="str">
        <f t="shared" si="31"/>
        <v>2.954E-2</v>
      </c>
      <c r="I342" s="2">
        <f t="shared" si="35"/>
        <v>44.3</v>
      </c>
      <c r="J342" s="4">
        <f t="shared" si="32"/>
        <v>11.333</v>
      </c>
      <c r="K342" s="9">
        <f t="shared" si="33"/>
        <v>-3.79999999999998</v>
      </c>
      <c r="L342" s="1">
        <f t="shared" si="34"/>
        <v>-4.59999999999999</v>
      </c>
    </row>
    <row r="343" spans="1:12">
      <c r="A343" s="2">
        <v>11.4</v>
      </c>
      <c r="B343" s="10" t="s">
        <v>511</v>
      </c>
      <c r="C343" s="4">
        <v>11.4</v>
      </c>
      <c r="D343" s="4">
        <v>44.3</v>
      </c>
      <c r="G343" s="2">
        <f t="shared" si="30"/>
        <v>11.366</v>
      </c>
      <c r="H343" s="11" t="str">
        <f t="shared" si="31"/>
        <v>2.953E-2</v>
      </c>
      <c r="I343" s="2">
        <f t="shared" si="35"/>
        <v>44.1</v>
      </c>
      <c r="J343" s="4">
        <f t="shared" si="32"/>
        <v>11.366</v>
      </c>
      <c r="K343" s="9">
        <f t="shared" si="33"/>
        <v>-3.89999999999998</v>
      </c>
      <c r="L343" s="1">
        <f t="shared" si="34"/>
        <v>-4.59999999999999</v>
      </c>
    </row>
    <row r="344" spans="1:12">
      <c r="A344" s="2">
        <v>11.433</v>
      </c>
      <c r="B344" s="10" t="s">
        <v>511</v>
      </c>
      <c r="C344" s="4">
        <v>11.433</v>
      </c>
      <c r="D344" s="4">
        <v>44.4</v>
      </c>
      <c r="G344" s="2">
        <f t="shared" si="30"/>
        <v>11.4</v>
      </c>
      <c r="H344" s="11" t="str">
        <f t="shared" si="31"/>
        <v>2.953E-2</v>
      </c>
      <c r="I344" s="2">
        <f t="shared" si="35"/>
        <v>44.3</v>
      </c>
      <c r="J344" s="4">
        <f t="shared" si="32"/>
        <v>11.4</v>
      </c>
      <c r="K344" s="9">
        <f t="shared" si="33"/>
        <v>-3.89999999999998</v>
      </c>
      <c r="L344" s="1">
        <f t="shared" si="34"/>
        <v>-4.59999999999999</v>
      </c>
    </row>
    <row r="345" spans="1:12">
      <c r="A345" s="2">
        <v>11.467</v>
      </c>
      <c r="B345" s="10" t="s">
        <v>515</v>
      </c>
      <c r="C345" s="4">
        <v>11.467</v>
      </c>
      <c r="D345" s="4">
        <v>44.7</v>
      </c>
      <c r="G345" s="2">
        <f t="shared" si="30"/>
        <v>11.433</v>
      </c>
      <c r="H345" s="11" t="str">
        <f t="shared" si="31"/>
        <v>2.953E-2</v>
      </c>
      <c r="I345" s="2">
        <f t="shared" si="35"/>
        <v>44.4</v>
      </c>
      <c r="J345" s="4">
        <f t="shared" si="32"/>
        <v>11.433</v>
      </c>
      <c r="K345" s="9">
        <f t="shared" si="33"/>
        <v>-3.89999999999998</v>
      </c>
      <c r="L345" s="1">
        <f t="shared" si="34"/>
        <v>-4.59999999999999</v>
      </c>
    </row>
    <row r="346" spans="1:12">
      <c r="A346" s="2">
        <v>11.5</v>
      </c>
      <c r="B346" s="10" t="s">
        <v>511</v>
      </c>
      <c r="C346" s="4">
        <v>11.5</v>
      </c>
      <c r="D346" s="4">
        <v>44.5</v>
      </c>
      <c r="G346" s="2">
        <f t="shared" si="30"/>
        <v>11.467</v>
      </c>
      <c r="H346" s="11" t="str">
        <f t="shared" si="31"/>
        <v>2.954E-2</v>
      </c>
      <c r="I346" s="2">
        <f t="shared" si="35"/>
        <v>44.7</v>
      </c>
      <c r="J346" s="4">
        <f t="shared" si="32"/>
        <v>11.467</v>
      </c>
      <c r="K346" s="9">
        <f t="shared" si="33"/>
        <v>-3.79999999999998</v>
      </c>
      <c r="L346" s="1">
        <f t="shared" si="34"/>
        <v>-4.59999999999999</v>
      </c>
    </row>
    <row r="347" spans="1:12">
      <c r="A347" s="2">
        <v>11.534</v>
      </c>
      <c r="B347" s="10" t="s">
        <v>515</v>
      </c>
      <c r="C347" s="4">
        <v>11.534</v>
      </c>
      <c r="D347" s="4">
        <v>44.6</v>
      </c>
      <c r="G347" s="2">
        <f t="shared" si="30"/>
        <v>11.5</v>
      </c>
      <c r="H347" s="11" t="str">
        <f t="shared" si="31"/>
        <v>2.953E-2</v>
      </c>
      <c r="I347" s="2">
        <f t="shared" si="35"/>
        <v>44.5</v>
      </c>
      <c r="J347" s="4">
        <f t="shared" si="32"/>
        <v>11.5</v>
      </c>
      <c r="K347" s="9">
        <f t="shared" si="33"/>
        <v>-3.89999999999998</v>
      </c>
      <c r="L347" s="1">
        <f t="shared" si="34"/>
        <v>-4.59999999999999</v>
      </c>
    </row>
    <row r="348" spans="1:12">
      <c r="A348" s="2">
        <v>11.567</v>
      </c>
      <c r="B348" s="10" t="s">
        <v>515</v>
      </c>
      <c r="C348" s="4">
        <v>11.567</v>
      </c>
      <c r="D348" s="4">
        <v>44.6</v>
      </c>
      <c r="G348" s="2">
        <f t="shared" si="30"/>
        <v>11.534</v>
      </c>
      <c r="H348" s="11" t="str">
        <f t="shared" si="31"/>
        <v>2.954E-2</v>
      </c>
      <c r="I348" s="2">
        <f t="shared" si="35"/>
        <v>44.6</v>
      </c>
      <c r="J348" s="4">
        <f t="shared" si="32"/>
        <v>11.534</v>
      </c>
      <c r="K348" s="9">
        <f t="shared" si="33"/>
        <v>-3.79999999999998</v>
      </c>
      <c r="L348" s="1">
        <f t="shared" si="34"/>
        <v>-4.59999999999999</v>
      </c>
    </row>
    <row r="349" spans="1:12">
      <c r="A349" s="2">
        <v>11.6</v>
      </c>
      <c r="B349" s="10" t="s">
        <v>533</v>
      </c>
      <c r="C349" s="4">
        <v>11.6</v>
      </c>
      <c r="D349" s="4">
        <v>44.3</v>
      </c>
      <c r="G349" s="2">
        <f t="shared" si="30"/>
        <v>11.567</v>
      </c>
      <c r="H349" s="11" t="str">
        <f t="shared" si="31"/>
        <v>2.954E-2</v>
      </c>
      <c r="I349" s="2">
        <f t="shared" si="35"/>
        <v>44.6</v>
      </c>
      <c r="J349" s="4">
        <f t="shared" si="32"/>
        <v>11.567</v>
      </c>
      <c r="K349" s="9">
        <f t="shared" si="33"/>
        <v>-3.79999999999998</v>
      </c>
      <c r="L349" s="1">
        <f t="shared" si="34"/>
        <v>-4.59999999999999</v>
      </c>
    </row>
    <row r="350" spans="1:12">
      <c r="A350" s="2">
        <v>11.634</v>
      </c>
      <c r="B350" s="10" t="s">
        <v>510</v>
      </c>
      <c r="C350" s="4">
        <v>11.634</v>
      </c>
      <c r="D350" s="4">
        <v>44.4</v>
      </c>
      <c r="G350" s="2">
        <f t="shared" si="30"/>
        <v>11.6</v>
      </c>
      <c r="H350" s="11" t="str">
        <f t="shared" si="31"/>
        <v>2.957E-2</v>
      </c>
      <c r="I350" s="2">
        <f t="shared" si="35"/>
        <v>44.3</v>
      </c>
      <c r="J350" s="4">
        <f t="shared" si="32"/>
        <v>11.6</v>
      </c>
      <c r="K350" s="9">
        <f t="shared" si="33"/>
        <v>-3.5</v>
      </c>
      <c r="L350" s="1">
        <f t="shared" si="34"/>
        <v>-4.59999999999999</v>
      </c>
    </row>
    <row r="351" spans="1:12">
      <c r="A351" s="2">
        <v>11.667</v>
      </c>
      <c r="B351" s="10" t="s">
        <v>510</v>
      </c>
      <c r="C351" s="4">
        <v>11.667</v>
      </c>
      <c r="D351" s="4">
        <v>44.2</v>
      </c>
      <c r="G351" s="2">
        <f t="shared" si="30"/>
        <v>11.634</v>
      </c>
      <c r="H351" s="11" t="str">
        <f t="shared" si="31"/>
        <v>2.958E-2</v>
      </c>
      <c r="I351" s="2">
        <f t="shared" si="35"/>
        <v>44.4</v>
      </c>
      <c r="J351" s="4">
        <f t="shared" si="32"/>
        <v>11.634</v>
      </c>
      <c r="K351" s="9">
        <f t="shared" si="33"/>
        <v>-3.4</v>
      </c>
      <c r="L351" s="1">
        <f t="shared" si="34"/>
        <v>-4.59999999999999</v>
      </c>
    </row>
    <row r="352" spans="1:12">
      <c r="A352" s="2">
        <v>11.701</v>
      </c>
      <c r="B352" s="10" t="s">
        <v>519</v>
      </c>
      <c r="C352" s="4">
        <v>11.701</v>
      </c>
      <c r="D352" s="4">
        <v>43.6</v>
      </c>
      <c r="G352" s="2">
        <f t="shared" si="30"/>
        <v>11.667</v>
      </c>
      <c r="H352" s="11" t="str">
        <f t="shared" si="31"/>
        <v>2.958E-2</v>
      </c>
      <c r="I352" s="2">
        <f t="shared" si="35"/>
        <v>44.2</v>
      </c>
      <c r="J352" s="4">
        <f t="shared" si="32"/>
        <v>11.667</v>
      </c>
      <c r="K352" s="9">
        <f t="shared" si="33"/>
        <v>-3.4</v>
      </c>
      <c r="L352" s="1">
        <f t="shared" si="34"/>
        <v>-4.59999999999999</v>
      </c>
    </row>
    <row r="353" spans="1:12">
      <c r="A353" s="2">
        <v>11.734</v>
      </c>
      <c r="B353" s="10" t="s">
        <v>520</v>
      </c>
      <c r="C353" s="4">
        <v>11.734</v>
      </c>
      <c r="D353" s="4">
        <v>44.9</v>
      </c>
      <c r="G353" s="2">
        <f t="shared" si="30"/>
        <v>11.701</v>
      </c>
      <c r="H353" s="11" t="str">
        <f t="shared" si="31"/>
        <v>2.960E-2</v>
      </c>
      <c r="I353" s="2">
        <f t="shared" si="35"/>
        <v>43.6</v>
      </c>
      <c r="J353" s="4">
        <f t="shared" si="32"/>
        <v>11.701</v>
      </c>
      <c r="K353" s="9">
        <f t="shared" si="33"/>
        <v>-3.19999999999997</v>
      </c>
      <c r="L353" s="1">
        <f t="shared" si="34"/>
        <v>-4.59999999999999</v>
      </c>
    </row>
    <row r="354" spans="1:12">
      <c r="A354" s="2">
        <v>11.768</v>
      </c>
      <c r="B354" s="10" t="s">
        <v>534</v>
      </c>
      <c r="C354" s="4">
        <v>11.768</v>
      </c>
      <c r="D354" s="4">
        <v>44.6</v>
      </c>
      <c r="G354" s="2">
        <f t="shared" si="30"/>
        <v>11.734</v>
      </c>
      <c r="H354" s="11" t="str">
        <f t="shared" si="31"/>
        <v>2.962E-2</v>
      </c>
      <c r="I354" s="2">
        <f t="shared" si="35"/>
        <v>44.9</v>
      </c>
      <c r="J354" s="4">
        <f t="shared" si="32"/>
        <v>11.734</v>
      </c>
      <c r="K354" s="9">
        <f t="shared" si="33"/>
        <v>-2.99999999999998</v>
      </c>
      <c r="L354" s="1">
        <f t="shared" si="34"/>
        <v>-4.59999999999999</v>
      </c>
    </row>
    <row r="355" spans="1:12">
      <c r="A355" s="2">
        <v>11.801</v>
      </c>
      <c r="B355" s="10" t="s">
        <v>509</v>
      </c>
      <c r="C355" s="4">
        <v>11.801</v>
      </c>
      <c r="D355" s="4">
        <v>44.4</v>
      </c>
      <c r="G355" s="2">
        <f t="shared" si="30"/>
        <v>11.768</v>
      </c>
      <c r="H355" s="11" t="str">
        <f t="shared" si="31"/>
        <v>2.961E-2</v>
      </c>
      <c r="I355" s="2">
        <f t="shared" si="35"/>
        <v>44.6</v>
      </c>
      <c r="J355" s="4">
        <f t="shared" si="32"/>
        <v>11.768</v>
      </c>
      <c r="K355" s="9">
        <f t="shared" si="33"/>
        <v>-3.09999999999998</v>
      </c>
      <c r="L355" s="1">
        <f t="shared" si="34"/>
        <v>-4.59999999999999</v>
      </c>
    </row>
    <row r="356" spans="1:12">
      <c r="A356" s="2">
        <v>11.834</v>
      </c>
      <c r="B356" s="10" t="s">
        <v>521</v>
      </c>
      <c r="C356" s="4">
        <v>11.834</v>
      </c>
      <c r="D356" s="4">
        <v>44.6</v>
      </c>
      <c r="G356" s="2">
        <f t="shared" si="30"/>
        <v>11.801</v>
      </c>
      <c r="H356" s="11" t="str">
        <f t="shared" si="31"/>
        <v>2.964E-2</v>
      </c>
      <c r="I356" s="2">
        <f t="shared" si="35"/>
        <v>44.4</v>
      </c>
      <c r="J356" s="4">
        <f t="shared" si="32"/>
        <v>11.801</v>
      </c>
      <c r="K356" s="9">
        <f t="shared" si="33"/>
        <v>-2.79999999999999</v>
      </c>
      <c r="L356" s="1">
        <f t="shared" si="34"/>
        <v>-4.59999999999999</v>
      </c>
    </row>
    <row r="357" spans="1:12">
      <c r="A357" s="2">
        <v>11.868</v>
      </c>
      <c r="B357" s="10" t="s">
        <v>522</v>
      </c>
      <c r="C357" s="4">
        <v>11.868</v>
      </c>
      <c r="D357" s="4">
        <v>44</v>
      </c>
      <c r="G357" s="2">
        <f t="shared" si="30"/>
        <v>11.834</v>
      </c>
      <c r="H357" s="11" t="str">
        <f t="shared" si="31"/>
        <v>2.966E-2</v>
      </c>
      <c r="I357" s="2">
        <f t="shared" si="35"/>
        <v>44.6</v>
      </c>
      <c r="J357" s="4">
        <f t="shared" si="32"/>
        <v>11.834</v>
      </c>
      <c r="K357" s="9">
        <f t="shared" si="33"/>
        <v>-2.6</v>
      </c>
      <c r="L357" s="1">
        <f t="shared" si="34"/>
        <v>-4.59999999999999</v>
      </c>
    </row>
    <row r="358" spans="1:12">
      <c r="A358" s="2">
        <v>11.901</v>
      </c>
      <c r="B358" s="10" t="s">
        <v>524</v>
      </c>
      <c r="C358" s="4">
        <v>11.901</v>
      </c>
      <c r="D358" s="4">
        <v>44.8</v>
      </c>
      <c r="G358" s="2">
        <f t="shared" si="30"/>
        <v>11.868</v>
      </c>
      <c r="H358" s="11" t="str">
        <f t="shared" si="31"/>
        <v>2.967E-2</v>
      </c>
      <c r="I358" s="2">
        <f t="shared" si="35"/>
        <v>44</v>
      </c>
      <c r="J358" s="4">
        <f t="shared" si="32"/>
        <v>11.868</v>
      </c>
      <c r="K358" s="9">
        <f t="shared" si="33"/>
        <v>-2.5</v>
      </c>
      <c r="L358" s="1">
        <f t="shared" si="34"/>
        <v>-4.59999999999999</v>
      </c>
    </row>
    <row r="359" spans="1:12">
      <c r="A359" s="2">
        <v>11.935</v>
      </c>
      <c r="B359" s="10" t="s">
        <v>525</v>
      </c>
      <c r="C359" s="4">
        <v>11.935</v>
      </c>
      <c r="D359" s="4">
        <v>44.4</v>
      </c>
      <c r="G359" s="2">
        <f t="shared" si="30"/>
        <v>11.901</v>
      </c>
      <c r="H359" s="11" t="str">
        <f t="shared" si="31"/>
        <v>2.969E-2</v>
      </c>
      <c r="I359" s="2">
        <f t="shared" si="35"/>
        <v>44.8</v>
      </c>
      <c r="J359" s="4">
        <f t="shared" si="32"/>
        <v>11.901</v>
      </c>
      <c r="K359" s="9">
        <f t="shared" si="33"/>
        <v>-2.29999999999998</v>
      </c>
      <c r="L359" s="1">
        <f t="shared" si="34"/>
        <v>-4.59999999999999</v>
      </c>
    </row>
    <row r="360" spans="1:12">
      <c r="A360" s="2">
        <v>11.968</v>
      </c>
      <c r="B360" s="10" t="s">
        <v>537</v>
      </c>
      <c r="C360" s="4">
        <v>11.968</v>
      </c>
      <c r="D360" s="4">
        <v>44.5</v>
      </c>
      <c r="G360" s="2">
        <f t="shared" si="30"/>
        <v>11.935</v>
      </c>
      <c r="H360" s="11" t="str">
        <f t="shared" si="31"/>
        <v>2.971E-2</v>
      </c>
      <c r="I360" s="2">
        <f t="shared" si="35"/>
        <v>44.4</v>
      </c>
      <c r="J360" s="4">
        <f t="shared" si="32"/>
        <v>11.935</v>
      </c>
      <c r="K360" s="9">
        <f t="shared" si="33"/>
        <v>-2.09999999999998</v>
      </c>
      <c r="L360" s="1">
        <f t="shared" si="34"/>
        <v>-4.59999999999999</v>
      </c>
    </row>
    <row r="361" spans="1:12">
      <c r="G361" s="2">
        <f t="shared" si="30"/>
        <v>11.968</v>
      </c>
      <c r="H361" s="11" t="str">
        <f t="shared" si="31"/>
        <v>2.973E-2</v>
      </c>
      <c r="I361" s="2">
        <f t="shared" si="35"/>
        <v>44.5</v>
      </c>
      <c r="J361" s="4">
        <f t="shared" si="32"/>
        <v>11.968</v>
      </c>
      <c r="K361" s="9">
        <f t="shared" si="33"/>
        <v>-1.89999999999999</v>
      </c>
      <c r="L361" s="1">
        <f t="shared" si="34"/>
        <v>-4.59999999999999</v>
      </c>
    </row>
  </sheetData>
  <mergeCells count="2">
    <mergeCell ref="G1:I1"/>
    <mergeCell ref="J1:L1"/>
  </mergeCells>
  <conditionalFormatting sqref="C$1:C$1048576">
    <cfRule type="cellIs" dxfId="0" priority="4" operator="greaterThan">
      <formula>230</formula>
    </cfRule>
    <cfRule type="cellIs" dxfId="0" priority="5" operator="greaterThan">
      <formula>248</formula>
    </cfRule>
    <cfRule type="cellIs" dxfId="0" priority="7" operator="greaterThan">
      <formula>250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361">
    <cfRule type="cellIs" dxfId="0" priority="1" operator="greaterThan">
      <formula>230</formula>
    </cfRule>
    <cfRule type="cellIs" dxfId="0" priority="2" operator="greaterThan">
      <formula>248</formula>
    </cfRule>
    <cfRule type="cellIs" dxfId="0" priority="3" operator="greaterThan">
      <formula>250</formula>
    </cfRule>
  </conditionalFormatting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3"/>
  <sheetViews>
    <sheetView topLeftCell="E1" workbookViewId="0">
      <selection activeCell="L383" sqref="J3:L383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4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540</v>
      </c>
      <c r="C3" s="4">
        <v>0</v>
      </c>
      <c r="D3" s="5">
        <v>44.6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541</v>
      </c>
      <c r="C4" s="4">
        <v>0.033</v>
      </c>
      <c r="D4" s="5">
        <v>44.5</v>
      </c>
      <c r="E4" s="4"/>
      <c r="F4" s="4"/>
      <c r="G4" s="2">
        <f t="shared" ref="G4:G67" si="0">A3</f>
        <v>0</v>
      </c>
      <c r="H4" s="11" t="str">
        <f t="shared" ref="H4:H67" si="1">B3</f>
        <v>3.025E-2</v>
      </c>
      <c r="I4" s="2">
        <f t="shared" ref="I4:I67" si="2">D3</f>
        <v>44.6</v>
      </c>
      <c r="J4" s="4">
        <f t="shared" ref="J4:J67" si="3">G4</f>
        <v>0</v>
      </c>
      <c r="K4" s="9">
        <f t="shared" ref="K4:K67" si="4">(H4-$H$4)*10000</f>
        <v>0</v>
      </c>
      <c r="L4" s="1">
        <f t="shared" ref="L4:L67" si="5">IF(I4&lt;230,MIN(K:K),MAX(K:K))</f>
        <v>-4.49999999999999</v>
      </c>
    </row>
    <row r="5" s="1" customFormat="1" spans="1:12">
      <c r="A5" s="2">
        <v>0.067</v>
      </c>
      <c r="B5" s="10" t="s">
        <v>541</v>
      </c>
      <c r="C5" s="4">
        <v>0.067</v>
      </c>
      <c r="D5" s="5">
        <v>44.6</v>
      </c>
      <c r="E5" s="4"/>
      <c r="F5" s="4"/>
      <c r="G5" s="2">
        <f t="shared" si="0"/>
        <v>0.033</v>
      </c>
      <c r="H5" s="11" t="str">
        <f t="shared" si="1"/>
        <v>3.026E-2</v>
      </c>
      <c r="I5" s="2">
        <f t="shared" si="2"/>
        <v>44.5</v>
      </c>
      <c r="J5" s="4">
        <f t="shared" si="3"/>
        <v>0.033</v>
      </c>
      <c r="K5" s="9">
        <f t="shared" si="4"/>
        <v>0.0999999999999959</v>
      </c>
      <c r="L5" s="1">
        <f t="shared" si="5"/>
        <v>-4.49999999999999</v>
      </c>
    </row>
    <row r="6" s="1" customFormat="1" spans="1:12">
      <c r="A6" s="2">
        <v>0.1</v>
      </c>
      <c r="B6" s="10" t="s">
        <v>542</v>
      </c>
      <c r="C6" s="4">
        <v>0.1</v>
      </c>
      <c r="D6" s="5">
        <v>44</v>
      </c>
      <c r="E6" s="4"/>
      <c r="F6" s="4"/>
      <c r="G6" s="2">
        <f t="shared" si="0"/>
        <v>0.067</v>
      </c>
      <c r="H6" s="11" t="str">
        <f t="shared" si="1"/>
        <v>3.026E-2</v>
      </c>
      <c r="I6" s="2">
        <f t="shared" si="2"/>
        <v>44.6</v>
      </c>
      <c r="J6" s="4">
        <f t="shared" si="3"/>
        <v>0.067</v>
      </c>
      <c r="K6" s="9">
        <f t="shared" si="4"/>
        <v>0.0999999999999959</v>
      </c>
      <c r="L6" s="1">
        <f t="shared" si="5"/>
        <v>-4.49999999999999</v>
      </c>
    </row>
    <row r="7" s="1" customFormat="1" spans="1:12">
      <c r="A7" s="2">
        <v>0.134</v>
      </c>
      <c r="B7" s="10" t="s">
        <v>542</v>
      </c>
      <c r="C7" s="4">
        <v>0.134</v>
      </c>
      <c r="D7" s="5">
        <v>44</v>
      </c>
      <c r="E7" s="4"/>
      <c r="F7" s="4"/>
      <c r="G7" s="2">
        <f t="shared" si="0"/>
        <v>0.1</v>
      </c>
      <c r="H7" s="11" t="str">
        <f t="shared" si="1"/>
        <v>3.027E-2</v>
      </c>
      <c r="I7" s="2">
        <f t="shared" si="2"/>
        <v>44</v>
      </c>
      <c r="J7" s="4">
        <f t="shared" si="3"/>
        <v>0.1</v>
      </c>
      <c r="K7" s="9">
        <f t="shared" si="4"/>
        <v>0.199999999999992</v>
      </c>
      <c r="L7" s="1">
        <f t="shared" si="5"/>
        <v>-4.49999999999999</v>
      </c>
    </row>
    <row r="8" s="1" customFormat="1" spans="1:12">
      <c r="A8" s="2">
        <v>0.167</v>
      </c>
      <c r="B8" s="10" t="s">
        <v>542</v>
      </c>
      <c r="C8" s="4">
        <v>0.167</v>
      </c>
      <c r="D8" s="5">
        <v>44.3</v>
      </c>
      <c r="E8" s="4"/>
      <c r="F8" s="4"/>
      <c r="G8" s="2">
        <f t="shared" si="0"/>
        <v>0.134</v>
      </c>
      <c r="H8" s="11" t="str">
        <f t="shared" si="1"/>
        <v>3.027E-2</v>
      </c>
      <c r="I8" s="2">
        <f t="shared" si="2"/>
        <v>44</v>
      </c>
      <c r="J8" s="4">
        <f t="shared" si="3"/>
        <v>0.134</v>
      </c>
      <c r="K8" s="9">
        <f t="shared" si="4"/>
        <v>0.199999999999992</v>
      </c>
      <c r="L8" s="1">
        <f t="shared" si="5"/>
        <v>-4.49999999999999</v>
      </c>
    </row>
    <row r="9" s="1" customFormat="1" spans="1:12">
      <c r="A9" s="2">
        <v>0.201</v>
      </c>
      <c r="B9" s="10" t="s">
        <v>542</v>
      </c>
      <c r="C9" s="4">
        <v>0.201</v>
      </c>
      <c r="D9" s="5">
        <v>44.7</v>
      </c>
      <c r="E9" s="4"/>
      <c r="F9" s="4"/>
      <c r="G9" s="2">
        <f t="shared" si="0"/>
        <v>0.167</v>
      </c>
      <c r="H9" s="11" t="str">
        <f t="shared" si="1"/>
        <v>3.027E-2</v>
      </c>
      <c r="I9" s="2">
        <f t="shared" si="2"/>
        <v>44.3</v>
      </c>
      <c r="J9" s="4">
        <f t="shared" si="3"/>
        <v>0.167</v>
      </c>
      <c r="K9" s="9">
        <f t="shared" si="4"/>
        <v>0.199999999999992</v>
      </c>
      <c r="L9" s="1">
        <f t="shared" si="5"/>
        <v>-4.49999999999999</v>
      </c>
    </row>
    <row r="10" s="1" customFormat="1" spans="1:12">
      <c r="A10" s="2">
        <v>0.234</v>
      </c>
      <c r="B10" s="10" t="s">
        <v>543</v>
      </c>
      <c r="C10" s="4">
        <v>0.234</v>
      </c>
      <c r="D10" s="5">
        <v>44.9</v>
      </c>
      <c r="E10" s="4"/>
      <c r="F10" s="4"/>
      <c r="G10" s="2">
        <f t="shared" si="0"/>
        <v>0.201</v>
      </c>
      <c r="H10" s="11" t="str">
        <f t="shared" si="1"/>
        <v>3.027E-2</v>
      </c>
      <c r="I10" s="2">
        <f t="shared" si="2"/>
        <v>44.7</v>
      </c>
      <c r="J10" s="4">
        <f t="shared" si="3"/>
        <v>0.201</v>
      </c>
      <c r="K10" s="9">
        <f t="shared" si="4"/>
        <v>0.199999999999992</v>
      </c>
      <c r="L10" s="1">
        <f t="shared" si="5"/>
        <v>-4.49999999999999</v>
      </c>
    </row>
    <row r="11" s="1" customFormat="1" spans="1:12">
      <c r="A11" s="2">
        <v>0.267</v>
      </c>
      <c r="B11" s="10" t="s">
        <v>541</v>
      </c>
      <c r="C11" s="4">
        <v>0.267</v>
      </c>
      <c r="D11" s="5">
        <v>44.1</v>
      </c>
      <c r="E11" s="4"/>
      <c r="F11" s="4"/>
      <c r="G11" s="2">
        <f t="shared" si="0"/>
        <v>0.234</v>
      </c>
      <c r="H11" s="11" t="str">
        <f t="shared" si="1"/>
        <v>3.028E-2</v>
      </c>
      <c r="I11" s="2">
        <f t="shared" si="2"/>
        <v>44.9</v>
      </c>
      <c r="J11" s="4">
        <f t="shared" si="3"/>
        <v>0.234</v>
      </c>
      <c r="K11" s="9">
        <f t="shared" si="4"/>
        <v>0.300000000000022</v>
      </c>
      <c r="L11" s="1">
        <f t="shared" si="5"/>
        <v>-4.49999999999999</v>
      </c>
    </row>
    <row r="12" s="1" customFormat="1" spans="1:12">
      <c r="A12" s="2">
        <v>0.301</v>
      </c>
      <c r="B12" s="10" t="s">
        <v>542</v>
      </c>
      <c r="C12" s="4">
        <v>0.301</v>
      </c>
      <c r="D12" s="5">
        <v>44.2</v>
      </c>
      <c r="E12" s="4"/>
      <c r="F12" s="4"/>
      <c r="G12" s="2">
        <f t="shared" si="0"/>
        <v>0.267</v>
      </c>
      <c r="H12" s="11" t="str">
        <f t="shared" si="1"/>
        <v>3.026E-2</v>
      </c>
      <c r="I12" s="2">
        <f t="shared" si="2"/>
        <v>44.1</v>
      </c>
      <c r="J12" s="4">
        <f t="shared" si="3"/>
        <v>0.267</v>
      </c>
      <c r="K12" s="9">
        <f t="shared" si="4"/>
        <v>0.0999999999999959</v>
      </c>
      <c r="L12" s="1">
        <f t="shared" si="5"/>
        <v>-4.49999999999999</v>
      </c>
    </row>
    <row r="13" s="1" customFormat="1" spans="1:12">
      <c r="A13" s="2">
        <v>0.334</v>
      </c>
      <c r="B13" s="10" t="s">
        <v>542</v>
      </c>
      <c r="C13" s="4">
        <v>0.334</v>
      </c>
      <c r="D13" s="5">
        <v>44.2</v>
      </c>
      <c r="E13" s="4"/>
      <c r="F13" s="4"/>
      <c r="G13" s="2">
        <f t="shared" si="0"/>
        <v>0.301</v>
      </c>
      <c r="H13" s="11" t="str">
        <f t="shared" si="1"/>
        <v>3.027E-2</v>
      </c>
      <c r="I13" s="2">
        <f t="shared" si="2"/>
        <v>44.2</v>
      </c>
      <c r="J13" s="4">
        <f t="shared" si="3"/>
        <v>0.301</v>
      </c>
      <c r="K13" s="9">
        <f t="shared" si="4"/>
        <v>0.199999999999992</v>
      </c>
      <c r="L13" s="1">
        <f t="shared" si="5"/>
        <v>-4.49999999999999</v>
      </c>
    </row>
    <row r="14" s="1" customFormat="1" spans="1:12">
      <c r="A14" s="2">
        <v>0.368</v>
      </c>
      <c r="B14" s="10" t="s">
        <v>542</v>
      </c>
      <c r="C14" s="4">
        <v>0.368</v>
      </c>
      <c r="D14" s="5">
        <v>44.3</v>
      </c>
      <c r="E14" s="4"/>
      <c r="F14" s="4"/>
      <c r="G14" s="2">
        <f t="shared" si="0"/>
        <v>0.334</v>
      </c>
      <c r="H14" s="11" t="str">
        <f t="shared" si="1"/>
        <v>3.027E-2</v>
      </c>
      <c r="I14" s="2">
        <f t="shared" si="2"/>
        <v>44.2</v>
      </c>
      <c r="J14" s="4">
        <f t="shared" si="3"/>
        <v>0.334</v>
      </c>
      <c r="K14" s="9">
        <f t="shared" si="4"/>
        <v>0.199999999999992</v>
      </c>
      <c r="L14" s="1">
        <f t="shared" si="5"/>
        <v>-4.49999999999999</v>
      </c>
    </row>
    <row r="15" s="1" customFormat="1" spans="1:12">
      <c r="A15" s="2">
        <v>0.401</v>
      </c>
      <c r="B15" s="10" t="s">
        <v>541</v>
      </c>
      <c r="C15" s="4">
        <v>0.401</v>
      </c>
      <c r="D15" s="5">
        <v>44.2</v>
      </c>
      <c r="E15" s="4"/>
      <c r="F15" s="4"/>
      <c r="G15" s="2">
        <f t="shared" si="0"/>
        <v>0.368</v>
      </c>
      <c r="H15" s="11" t="str">
        <f t="shared" si="1"/>
        <v>3.027E-2</v>
      </c>
      <c r="I15" s="2">
        <f t="shared" si="2"/>
        <v>44.3</v>
      </c>
      <c r="J15" s="4">
        <f t="shared" si="3"/>
        <v>0.368</v>
      </c>
      <c r="K15" s="9">
        <f t="shared" si="4"/>
        <v>0.199999999999992</v>
      </c>
      <c r="L15" s="1">
        <f t="shared" si="5"/>
        <v>-4.49999999999999</v>
      </c>
    </row>
    <row r="16" s="1" customFormat="1" spans="1:12">
      <c r="A16" s="2">
        <v>0.435</v>
      </c>
      <c r="B16" s="10" t="s">
        <v>541</v>
      </c>
      <c r="C16" s="4">
        <v>0.435</v>
      </c>
      <c r="D16" s="5">
        <v>44.4</v>
      </c>
      <c r="E16" s="4"/>
      <c r="F16" s="4"/>
      <c r="G16" s="2">
        <f t="shared" si="0"/>
        <v>0.401</v>
      </c>
      <c r="H16" s="11" t="str">
        <f t="shared" si="1"/>
        <v>3.026E-2</v>
      </c>
      <c r="I16" s="2">
        <f t="shared" si="2"/>
        <v>44.2</v>
      </c>
      <c r="J16" s="4">
        <f t="shared" si="3"/>
        <v>0.401</v>
      </c>
      <c r="K16" s="9">
        <f t="shared" si="4"/>
        <v>0.0999999999999959</v>
      </c>
      <c r="L16" s="1">
        <f t="shared" si="5"/>
        <v>-4.49999999999999</v>
      </c>
    </row>
    <row r="17" s="1" customFormat="1" spans="1:12">
      <c r="A17" s="2">
        <v>0.468</v>
      </c>
      <c r="B17" s="10" t="s">
        <v>540</v>
      </c>
      <c r="C17" s="4">
        <v>0.468</v>
      </c>
      <c r="D17" s="5">
        <v>44.3</v>
      </c>
      <c r="E17" s="4"/>
      <c r="F17" s="4"/>
      <c r="G17" s="2">
        <f t="shared" si="0"/>
        <v>0.435</v>
      </c>
      <c r="H17" s="11" t="str">
        <f t="shared" si="1"/>
        <v>3.026E-2</v>
      </c>
      <c r="I17" s="2">
        <f t="shared" si="2"/>
        <v>44.4</v>
      </c>
      <c r="J17" s="4">
        <f t="shared" si="3"/>
        <v>0.435</v>
      </c>
      <c r="K17" s="9">
        <f t="shared" si="4"/>
        <v>0.0999999999999959</v>
      </c>
      <c r="L17" s="1">
        <f t="shared" si="5"/>
        <v>-4.49999999999999</v>
      </c>
    </row>
    <row r="18" s="1" customFormat="1" spans="1:12">
      <c r="A18" s="2">
        <v>0.501</v>
      </c>
      <c r="B18" s="10" t="s">
        <v>541</v>
      </c>
      <c r="C18" s="4">
        <v>0.501</v>
      </c>
      <c r="D18" s="5">
        <v>44.4</v>
      </c>
      <c r="E18" s="4"/>
      <c r="F18" s="4"/>
      <c r="G18" s="2">
        <f t="shared" si="0"/>
        <v>0.468</v>
      </c>
      <c r="H18" s="11" t="str">
        <f t="shared" si="1"/>
        <v>3.025E-2</v>
      </c>
      <c r="I18" s="2">
        <f t="shared" si="2"/>
        <v>44.3</v>
      </c>
      <c r="J18" s="4">
        <f t="shared" si="3"/>
        <v>0.468</v>
      </c>
      <c r="K18" s="9">
        <f t="shared" si="4"/>
        <v>0</v>
      </c>
      <c r="L18" s="1">
        <f t="shared" si="5"/>
        <v>-4.49999999999999</v>
      </c>
    </row>
    <row r="19" s="1" customFormat="1" spans="1:12">
      <c r="A19" s="2">
        <v>0.535</v>
      </c>
      <c r="B19" s="10" t="s">
        <v>540</v>
      </c>
      <c r="C19" s="4">
        <v>0.535</v>
      </c>
      <c r="D19" s="5">
        <v>44.3</v>
      </c>
      <c r="E19" s="4"/>
      <c r="F19" s="4"/>
      <c r="G19" s="2">
        <f t="shared" si="0"/>
        <v>0.501</v>
      </c>
      <c r="H19" s="11" t="str">
        <f t="shared" si="1"/>
        <v>3.026E-2</v>
      </c>
      <c r="I19" s="2">
        <f t="shared" si="2"/>
        <v>44.4</v>
      </c>
      <c r="J19" s="4">
        <f t="shared" si="3"/>
        <v>0.501</v>
      </c>
      <c r="K19" s="9">
        <f t="shared" si="4"/>
        <v>0.0999999999999959</v>
      </c>
      <c r="L19" s="1">
        <f t="shared" si="5"/>
        <v>-4.49999999999999</v>
      </c>
    </row>
    <row r="20" s="1" customFormat="1" spans="1:12">
      <c r="A20" s="2">
        <v>0.568</v>
      </c>
      <c r="B20" s="10" t="s">
        <v>544</v>
      </c>
      <c r="C20" s="4">
        <v>0.568</v>
      </c>
      <c r="D20" s="5">
        <v>44.3</v>
      </c>
      <c r="E20" s="4"/>
      <c r="F20" s="4"/>
      <c r="G20" s="2">
        <f t="shared" si="0"/>
        <v>0.535</v>
      </c>
      <c r="H20" s="11" t="str">
        <f t="shared" si="1"/>
        <v>3.025E-2</v>
      </c>
      <c r="I20" s="2">
        <f t="shared" si="2"/>
        <v>44.3</v>
      </c>
      <c r="J20" s="4">
        <f t="shared" si="3"/>
        <v>0.535</v>
      </c>
      <c r="K20" s="9">
        <f t="shared" si="4"/>
        <v>0</v>
      </c>
      <c r="L20" s="1">
        <f t="shared" si="5"/>
        <v>-4.49999999999999</v>
      </c>
    </row>
    <row r="21" s="1" customFormat="1" spans="1:12">
      <c r="A21" s="2">
        <v>0.602</v>
      </c>
      <c r="B21" s="10" t="s">
        <v>544</v>
      </c>
      <c r="C21" s="4">
        <v>0.602</v>
      </c>
      <c r="D21" s="5">
        <v>44.3</v>
      </c>
      <c r="E21" s="4"/>
      <c r="F21" s="4"/>
      <c r="G21" s="2">
        <f t="shared" si="0"/>
        <v>0.568</v>
      </c>
      <c r="H21" s="11" t="str">
        <f t="shared" si="1"/>
        <v>3.024E-2</v>
      </c>
      <c r="I21" s="2">
        <f t="shared" si="2"/>
        <v>44.3</v>
      </c>
      <c r="J21" s="4">
        <f t="shared" si="3"/>
        <v>0.568</v>
      </c>
      <c r="K21" s="9">
        <f t="shared" si="4"/>
        <v>-0.0999999999999959</v>
      </c>
      <c r="L21" s="1">
        <f t="shared" si="5"/>
        <v>-4.49999999999999</v>
      </c>
    </row>
    <row r="22" s="1" customFormat="1" spans="1:12">
      <c r="A22" s="2">
        <v>0.635</v>
      </c>
      <c r="B22" s="10" t="s">
        <v>544</v>
      </c>
      <c r="C22" s="4">
        <v>0.635</v>
      </c>
      <c r="D22" s="5">
        <v>44.4</v>
      </c>
      <c r="E22" s="4"/>
      <c r="F22" s="4"/>
      <c r="G22" s="2">
        <f t="shared" si="0"/>
        <v>0.602</v>
      </c>
      <c r="H22" s="11" t="str">
        <f t="shared" si="1"/>
        <v>3.024E-2</v>
      </c>
      <c r="I22" s="2">
        <f t="shared" si="2"/>
        <v>44.3</v>
      </c>
      <c r="J22" s="4">
        <f t="shared" si="3"/>
        <v>0.602</v>
      </c>
      <c r="K22" s="9">
        <f t="shared" si="4"/>
        <v>-0.0999999999999959</v>
      </c>
      <c r="L22" s="1">
        <f t="shared" si="5"/>
        <v>-4.49999999999999</v>
      </c>
    </row>
    <row r="23" s="1" customFormat="1" spans="1:12">
      <c r="A23" s="2">
        <v>0.669</v>
      </c>
      <c r="B23" s="10" t="s">
        <v>544</v>
      </c>
      <c r="C23" s="4">
        <v>0.669</v>
      </c>
      <c r="D23" s="5">
        <v>44.4</v>
      </c>
      <c r="E23" s="4"/>
      <c r="F23" s="4"/>
      <c r="G23" s="2">
        <f t="shared" si="0"/>
        <v>0.635</v>
      </c>
      <c r="H23" s="11" t="str">
        <f t="shared" si="1"/>
        <v>3.024E-2</v>
      </c>
      <c r="I23" s="2">
        <f t="shared" si="2"/>
        <v>44.4</v>
      </c>
      <c r="J23" s="4">
        <f t="shared" si="3"/>
        <v>0.635</v>
      </c>
      <c r="K23" s="9">
        <f t="shared" si="4"/>
        <v>-0.0999999999999959</v>
      </c>
      <c r="L23" s="1">
        <f t="shared" si="5"/>
        <v>-4.49999999999999</v>
      </c>
    </row>
    <row r="24" s="1" customFormat="1" spans="1:12">
      <c r="A24" s="2">
        <v>0.702</v>
      </c>
      <c r="B24" s="10" t="s">
        <v>545</v>
      </c>
      <c r="C24" s="4">
        <v>0.702</v>
      </c>
      <c r="D24" s="5">
        <v>43.8</v>
      </c>
      <c r="E24" s="4"/>
      <c r="F24" s="4"/>
      <c r="G24" s="2">
        <f t="shared" si="0"/>
        <v>0.669</v>
      </c>
      <c r="H24" s="11" t="str">
        <f t="shared" si="1"/>
        <v>3.024E-2</v>
      </c>
      <c r="I24" s="2">
        <f t="shared" si="2"/>
        <v>44.4</v>
      </c>
      <c r="J24" s="4">
        <f t="shared" si="3"/>
        <v>0.669</v>
      </c>
      <c r="K24" s="9">
        <f t="shared" si="4"/>
        <v>-0.0999999999999959</v>
      </c>
      <c r="L24" s="1">
        <f t="shared" si="5"/>
        <v>-4.49999999999999</v>
      </c>
    </row>
    <row r="25" s="1" customFormat="1" spans="1:12">
      <c r="A25" s="2">
        <v>0.736</v>
      </c>
      <c r="B25" s="10" t="s">
        <v>545</v>
      </c>
      <c r="C25" s="4">
        <v>0.736</v>
      </c>
      <c r="D25" s="5">
        <v>44.3</v>
      </c>
      <c r="E25" s="4"/>
      <c r="F25" s="4"/>
      <c r="G25" s="2">
        <f t="shared" si="0"/>
        <v>0.702</v>
      </c>
      <c r="H25" s="11" t="str">
        <f t="shared" si="1"/>
        <v>3.023E-2</v>
      </c>
      <c r="I25" s="2">
        <f t="shared" si="2"/>
        <v>43.8</v>
      </c>
      <c r="J25" s="4">
        <f t="shared" si="3"/>
        <v>0.702</v>
      </c>
      <c r="K25" s="9">
        <f t="shared" si="4"/>
        <v>-0.199999999999992</v>
      </c>
      <c r="L25" s="1">
        <f t="shared" si="5"/>
        <v>-4.49999999999999</v>
      </c>
    </row>
    <row r="26" s="1" customFormat="1" spans="1:12">
      <c r="A26" s="2">
        <v>0.769</v>
      </c>
      <c r="B26" s="10" t="s">
        <v>545</v>
      </c>
      <c r="C26" s="4">
        <v>0.769</v>
      </c>
      <c r="D26" s="5">
        <v>44.5</v>
      </c>
      <c r="E26" s="4"/>
      <c r="F26" s="4"/>
      <c r="G26" s="2">
        <f t="shared" si="0"/>
        <v>0.736</v>
      </c>
      <c r="H26" s="11" t="str">
        <f t="shared" si="1"/>
        <v>3.023E-2</v>
      </c>
      <c r="I26" s="2">
        <f t="shared" si="2"/>
        <v>44.3</v>
      </c>
      <c r="J26" s="4">
        <f t="shared" si="3"/>
        <v>0.736</v>
      </c>
      <c r="K26" s="9">
        <f t="shared" si="4"/>
        <v>-0.199999999999992</v>
      </c>
      <c r="L26" s="1">
        <f t="shared" si="5"/>
        <v>-4.49999999999999</v>
      </c>
    </row>
    <row r="27" s="1" customFormat="1" spans="1:12">
      <c r="A27" s="2">
        <v>0.802</v>
      </c>
      <c r="B27" s="10" t="s">
        <v>546</v>
      </c>
      <c r="C27" s="4">
        <v>0.802</v>
      </c>
      <c r="D27" s="5">
        <v>44.7</v>
      </c>
      <c r="E27" s="4"/>
      <c r="F27" s="4"/>
      <c r="G27" s="2">
        <f t="shared" si="0"/>
        <v>0.769</v>
      </c>
      <c r="H27" s="11" t="str">
        <f t="shared" si="1"/>
        <v>3.023E-2</v>
      </c>
      <c r="I27" s="2">
        <f t="shared" si="2"/>
        <v>44.5</v>
      </c>
      <c r="J27" s="4">
        <f t="shared" si="3"/>
        <v>0.769</v>
      </c>
      <c r="K27" s="9">
        <f t="shared" si="4"/>
        <v>-0.199999999999992</v>
      </c>
      <c r="L27" s="1">
        <f t="shared" si="5"/>
        <v>-4.49999999999999</v>
      </c>
    </row>
    <row r="28" s="1" customFormat="1" spans="1:12">
      <c r="A28" s="2">
        <v>0.836</v>
      </c>
      <c r="B28" s="10" t="s">
        <v>544</v>
      </c>
      <c r="C28" s="4">
        <v>0.836</v>
      </c>
      <c r="D28" s="5">
        <v>44.3</v>
      </c>
      <c r="E28" s="4"/>
      <c r="F28" s="4"/>
      <c r="G28" s="2">
        <f t="shared" si="0"/>
        <v>0.802</v>
      </c>
      <c r="H28" s="11" t="str">
        <f t="shared" si="1"/>
        <v>3.022E-2</v>
      </c>
      <c r="I28" s="2">
        <f t="shared" si="2"/>
        <v>44.7</v>
      </c>
      <c r="J28" s="4">
        <f t="shared" si="3"/>
        <v>0.802</v>
      </c>
      <c r="K28" s="9">
        <f t="shared" si="4"/>
        <v>-0.299999999999988</v>
      </c>
      <c r="L28" s="1">
        <f t="shared" si="5"/>
        <v>-4.49999999999999</v>
      </c>
    </row>
    <row r="29" s="1" customFormat="1" spans="1:12">
      <c r="A29" s="2">
        <v>0.869</v>
      </c>
      <c r="B29" s="10" t="s">
        <v>546</v>
      </c>
      <c r="C29" s="4">
        <v>0.869</v>
      </c>
      <c r="D29" s="5">
        <v>44.7</v>
      </c>
      <c r="E29" s="4"/>
      <c r="F29" s="4"/>
      <c r="G29" s="2">
        <f t="shared" si="0"/>
        <v>0.836</v>
      </c>
      <c r="H29" s="11" t="str">
        <f t="shared" si="1"/>
        <v>3.024E-2</v>
      </c>
      <c r="I29" s="2">
        <f t="shared" si="2"/>
        <v>44.3</v>
      </c>
      <c r="J29" s="4">
        <f t="shared" si="3"/>
        <v>0.836</v>
      </c>
      <c r="K29" s="9">
        <f t="shared" si="4"/>
        <v>-0.0999999999999959</v>
      </c>
      <c r="L29" s="1">
        <f t="shared" si="5"/>
        <v>-4.49999999999999</v>
      </c>
    </row>
    <row r="30" s="1" customFormat="1" spans="1:12">
      <c r="A30" s="2">
        <v>0.903</v>
      </c>
      <c r="B30" s="10" t="s">
        <v>545</v>
      </c>
      <c r="C30" s="4">
        <v>0.903</v>
      </c>
      <c r="D30" s="5">
        <v>44.2</v>
      </c>
      <c r="E30" s="4"/>
      <c r="F30" s="4"/>
      <c r="G30" s="2">
        <f t="shared" si="0"/>
        <v>0.869</v>
      </c>
      <c r="H30" s="11" t="str">
        <f t="shared" si="1"/>
        <v>3.022E-2</v>
      </c>
      <c r="I30" s="2">
        <f t="shared" si="2"/>
        <v>44.7</v>
      </c>
      <c r="J30" s="4">
        <f t="shared" si="3"/>
        <v>0.869</v>
      </c>
      <c r="K30" s="9">
        <f t="shared" si="4"/>
        <v>-0.299999999999988</v>
      </c>
      <c r="L30" s="1">
        <f t="shared" si="5"/>
        <v>-4.49999999999999</v>
      </c>
    </row>
    <row r="31" s="1" customFormat="1" spans="1:12">
      <c r="A31" s="2">
        <v>0.936</v>
      </c>
      <c r="B31" s="10" t="s">
        <v>545</v>
      </c>
      <c r="C31" s="4">
        <v>0.936</v>
      </c>
      <c r="D31" s="5">
        <v>44.3</v>
      </c>
      <c r="E31" s="4"/>
      <c r="F31" s="4"/>
      <c r="G31" s="2">
        <f t="shared" si="0"/>
        <v>0.903</v>
      </c>
      <c r="H31" s="11" t="str">
        <f t="shared" si="1"/>
        <v>3.023E-2</v>
      </c>
      <c r="I31" s="2">
        <f t="shared" si="2"/>
        <v>44.2</v>
      </c>
      <c r="J31" s="4">
        <f t="shared" si="3"/>
        <v>0.903</v>
      </c>
      <c r="K31" s="9">
        <f t="shared" si="4"/>
        <v>-0.199999999999992</v>
      </c>
      <c r="L31" s="1">
        <f t="shared" si="5"/>
        <v>-4.49999999999999</v>
      </c>
    </row>
    <row r="32" s="1" customFormat="1" spans="1:12">
      <c r="A32" s="2">
        <v>0.97</v>
      </c>
      <c r="B32" s="10" t="s">
        <v>545</v>
      </c>
      <c r="C32" s="4">
        <v>0.97</v>
      </c>
      <c r="D32" s="5">
        <v>44.2</v>
      </c>
      <c r="E32" s="4"/>
      <c r="F32" s="4"/>
      <c r="G32" s="2">
        <f t="shared" si="0"/>
        <v>0.936</v>
      </c>
      <c r="H32" s="11" t="str">
        <f t="shared" si="1"/>
        <v>3.023E-2</v>
      </c>
      <c r="I32" s="2">
        <f t="shared" si="2"/>
        <v>44.3</v>
      </c>
      <c r="J32" s="4">
        <f t="shared" si="3"/>
        <v>0.936</v>
      </c>
      <c r="K32" s="9">
        <f t="shared" si="4"/>
        <v>-0.199999999999992</v>
      </c>
      <c r="L32" s="1">
        <f t="shared" si="5"/>
        <v>-4.49999999999999</v>
      </c>
    </row>
    <row r="33" s="1" customFormat="1" spans="1:12">
      <c r="A33" s="2">
        <v>1.003</v>
      </c>
      <c r="B33" s="10" t="s">
        <v>544</v>
      </c>
      <c r="C33" s="4">
        <v>1.003</v>
      </c>
      <c r="D33" s="5">
        <v>44</v>
      </c>
      <c r="E33" s="4"/>
      <c r="F33" s="4"/>
      <c r="G33" s="2">
        <f t="shared" si="0"/>
        <v>0.97</v>
      </c>
      <c r="H33" s="11" t="str">
        <f t="shared" si="1"/>
        <v>3.023E-2</v>
      </c>
      <c r="I33" s="2">
        <f t="shared" si="2"/>
        <v>44.2</v>
      </c>
      <c r="J33" s="4">
        <f t="shared" si="3"/>
        <v>0.97</v>
      </c>
      <c r="K33" s="9">
        <f t="shared" si="4"/>
        <v>-0.199999999999992</v>
      </c>
      <c r="L33" s="1">
        <f t="shared" si="5"/>
        <v>-4.49999999999999</v>
      </c>
    </row>
    <row r="34" s="1" customFormat="1" spans="1:12">
      <c r="A34" s="2">
        <v>1.036</v>
      </c>
      <c r="B34" s="10" t="s">
        <v>545</v>
      </c>
      <c r="C34" s="4">
        <v>1.036</v>
      </c>
      <c r="D34" s="5">
        <v>43.8</v>
      </c>
      <c r="E34" s="4"/>
      <c r="F34" s="4"/>
      <c r="G34" s="2">
        <f t="shared" si="0"/>
        <v>1.003</v>
      </c>
      <c r="H34" s="11" t="str">
        <f t="shared" si="1"/>
        <v>3.024E-2</v>
      </c>
      <c r="I34" s="2">
        <f t="shared" si="2"/>
        <v>44</v>
      </c>
      <c r="J34" s="4">
        <f t="shared" si="3"/>
        <v>1.003</v>
      </c>
      <c r="K34" s="9">
        <f t="shared" si="4"/>
        <v>-0.0999999999999959</v>
      </c>
      <c r="L34" s="1">
        <f t="shared" si="5"/>
        <v>-4.49999999999999</v>
      </c>
    </row>
    <row r="35" s="1" customFormat="1" spans="1:12">
      <c r="A35" s="2">
        <v>1.07</v>
      </c>
      <c r="B35" s="10" t="s">
        <v>544</v>
      </c>
      <c r="C35" s="4">
        <v>1.07</v>
      </c>
      <c r="D35" s="5">
        <v>44.4</v>
      </c>
      <c r="E35" s="4"/>
      <c r="F35" s="4"/>
      <c r="G35" s="2">
        <f t="shared" si="0"/>
        <v>1.036</v>
      </c>
      <c r="H35" s="11" t="str">
        <f t="shared" si="1"/>
        <v>3.023E-2</v>
      </c>
      <c r="I35" s="2">
        <f t="shared" si="2"/>
        <v>43.8</v>
      </c>
      <c r="J35" s="4">
        <f t="shared" si="3"/>
        <v>1.036</v>
      </c>
      <c r="K35" s="9">
        <f t="shared" si="4"/>
        <v>-0.199999999999992</v>
      </c>
      <c r="L35" s="1">
        <f t="shared" si="5"/>
        <v>-4.49999999999999</v>
      </c>
    </row>
    <row r="36" s="1" customFormat="1" spans="1:12">
      <c r="A36" s="2">
        <v>1.103</v>
      </c>
      <c r="B36" s="10" t="s">
        <v>545</v>
      </c>
      <c r="C36" s="4">
        <v>1.103</v>
      </c>
      <c r="D36" s="5">
        <v>44.6</v>
      </c>
      <c r="E36" s="4"/>
      <c r="F36" s="4"/>
      <c r="G36" s="2">
        <f t="shared" si="0"/>
        <v>1.07</v>
      </c>
      <c r="H36" s="11" t="str">
        <f t="shared" si="1"/>
        <v>3.024E-2</v>
      </c>
      <c r="I36" s="2">
        <f t="shared" si="2"/>
        <v>44.4</v>
      </c>
      <c r="J36" s="4">
        <f t="shared" si="3"/>
        <v>1.07</v>
      </c>
      <c r="K36" s="9">
        <f t="shared" si="4"/>
        <v>-0.0999999999999959</v>
      </c>
      <c r="L36" s="1">
        <f t="shared" si="5"/>
        <v>-4.49999999999999</v>
      </c>
    </row>
    <row r="37" s="1" customFormat="1" spans="1:12">
      <c r="A37" s="2">
        <v>1.137</v>
      </c>
      <c r="B37" s="10" t="s">
        <v>544</v>
      </c>
      <c r="C37" s="4">
        <v>1.137</v>
      </c>
      <c r="D37" s="5">
        <v>44.5</v>
      </c>
      <c r="E37" s="4"/>
      <c r="F37" s="4"/>
      <c r="G37" s="2">
        <f t="shared" si="0"/>
        <v>1.103</v>
      </c>
      <c r="H37" s="11" t="str">
        <f t="shared" si="1"/>
        <v>3.023E-2</v>
      </c>
      <c r="I37" s="2">
        <f t="shared" si="2"/>
        <v>44.6</v>
      </c>
      <c r="J37" s="4">
        <f t="shared" si="3"/>
        <v>1.103</v>
      </c>
      <c r="K37" s="9">
        <f t="shared" si="4"/>
        <v>-0.199999999999992</v>
      </c>
      <c r="L37" s="1">
        <f t="shared" si="5"/>
        <v>-4.49999999999999</v>
      </c>
    </row>
    <row r="38" s="1" customFormat="1" spans="1:12">
      <c r="A38" s="2">
        <v>1.17</v>
      </c>
      <c r="B38" s="10" t="s">
        <v>540</v>
      </c>
      <c r="C38" s="4">
        <v>1.17</v>
      </c>
      <c r="D38" s="5">
        <v>44.4</v>
      </c>
      <c r="E38" s="4"/>
      <c r="F38" s="4"/>
      <c r="G38" s="2">
        <f t="shared" si="0"/>
        <v>1.137</v>
      </c>
      <c r="H38" s="11" t="str">
        <f t="shared" si="1"/>
        <v>3.024E-2</v>
      </c>
      <c r="I38" s="2">
        <f t="shared" si="2"/>
        <v>44.5</v>
      </c>
      <c r="J38" s="4">
        <f t="shared" si="3"/>
        <v>1.137</v>
      </c>
      <c r="K38" s="9">
        <f t="shared" si="4"/>
        <v>-0.0999999999999959</v>
      </c>
      <c r="L38" s="1">
        <f t="shared" si="5"/>
        <v>-4.49999999999999</v>
      </c>
    </row>
    <row r="39" s="1" customFormat="1" spans="1:12">
      <c r="A39" s="2">
        <v>1.204</v>
      </c>
      <c r="B39" s="10" t="s">
        <v>541</v>
      </c>
      <c r="C39" s="4">
        <v>1.204</v>
      </c>
      <c r="D39" s="5">
        <v>44.7</v>
      </c>
      <c r="E39" s="4"/>
      <c r="F39" s="4"/>
      <c r="G39" s="2">
        <f t="shared" si="0"/>
        <v>1.17</v>
      </c>
      <c r="H39" s="11" t="str">
        <f t="shared" si="1"/>
        <v>3.025E-2</v>
      </c>
      <c r="I39" s="2">
        <f t="shared" si="2"/>
        <v>44.4</v>
      </c>
      <c r="J39" s="4">
        <f t="shared" si="3"/>
        <v>1.17</v>
      </c>
      <c r="K39" s="9">
        <f t="shared" si="4"/>
        <v>0</v>
      </c>
      <c r="L39" s="1">
        <f t="shared" si="5"/>
        <v>-4.49999999999999</v>
      </c>
    </row>
    <row r="40" s="1" customFormat="1" spans="1:12">
      <c r="A40" s="2">
        <v>1.237</v>
      </c>
      <c r="B40" s="10" t="s">
        <v>541</v>
      </c>
      <c r="C40" s="4">
        <v>1.237</v>
      </c>
      <c r="D40" s="5">
        <v>44.3</v>
      </c>
      <c r="E40" s="4"/>
      <c r="F40" s="4"/>
      <c r="G40" s="2">
        <f t="shared" si="0"/>
        <v>1.204</v>
      </c>
      <c r="H40" s="11" t="str">
        <f t="shared" si="1"/>
        <v>3.026E-2</v>
      </c>
      <c r="I40" s="2">
        <f t="shared" si="2"/>
        <v>44.7</v>
      </c>
      <c r="J40" s="4">
        <f t="shared" si="3"/>
        <v>1.204</v>
      </c>
      <c r="K40" s="9">
        <f t="shared" si="4"/>
        <v>0.0999999999999959</v>
      </c>
      <c r="L40" s="1">
        <f t="shared" si="5"/>
        <v>-4.49999999999999</v>
      </c>
    </row>
    <row r="41" s="1" customFormat="1" spans="1:12">
      <c r="A41" s="2">
        <v>1.27</v>
      </c>
      <c r="B41" s="10" t="s">
        <v>540</v>
      </c>
      <c r="C41" s="4">
        <v>1.27</v>
      </c>
      <c r="D41" s="5">
        <v>44.3</v>
      </c>
      <c r="E41" s="4"/>
      <c r="F41" s="4"/>
      <c r="G41" s="2">
        <f t="shared" si="0"/>
        <v>1.237</v>
      </c>
      <c r="H41" s="11" t="str">
        <f t="shared" si="1"/>
        <v>3.026E-2</v>
      </c>
      <c r="I41" s="2">
        <f t="shared" si="2"/>
        <v>44.3</v>
      </c>
      <c r="J41" s="4">
        <f t="shared" si="3"/>
        <v>1.237</v>
      </c>
      <c r="K41" s="9">
        <f t="shared" si="4"/>
        <v>0.0999999999999959</v>
      </c>
      <c r="L41" s="1">
        <f t="shared" si="5"/>
        <v>-4.49999999999999</v>
      </c>
    </row>
    <row r="42" s="1" customFormat="1" spans="1:12">
      <c r="A42" s="2">
        <v>1.304</v>
      </c>
      <c r="B42" s="10" t="s">
        <v>541</v>
      </c>
      <c r="C42" s="4">
        <v>1.304</v>
      </c>
      <c r="D42" s="5">
        <v>44.1</v>
      </c>
      <c r="E42" s="4"/>
      <c r="F42" s="4"/>
      <c r="G42" s="2">
        <f t="shared" si="0"/>
        <v>1.27</v>
      </c>
      <c r="H42" s="11" t="str">
        <f t="shared" si="1"/>
        <v>3.025E-2</v>
      </c>
      <c r="I42" s="2">
        <f t="shared" si="2"/>
        <v>44.3</v>
      </c>
      <c r="J42" s="4">
        <f t="shared" si="3"/>
        <v>1.27</v>
      </c>
      <c r="K42" s="9">
        <f t="shared" si="4"/>
        <v>0</v>
      </c>
      <c r="L42" s="1">
        <f t="shared" si="5"/>
        <v>-4.49999999999999</v>
      </c>
    </row>
    <row r="43" s="1" customFormat="1" spans="1:12">
      <c r="A43" s="2">
        <v>1.337</v>
      </c>
      <c r="B43" s="10" t="s">
        <v>542</v>
      </c>
      <c r="C43" s="4">
        <v>1.337</v>
      </c>
      <c r="D43" s="5">
        <v>44.7</v>
      </c>
      <c r="E43" s="4"/>
      <c r="F43" s="4"/>
      <c r="G43" s="2">
        <f t="shared" si="0"/>
        <v>1.304</v>
      </c>
      <c r="H43" s="11" t="str">
        <f t="shared" si="1"/>
        <v>3.026E-2</v>
      </c>
      <c r="I43" s="2">
        <f t="shared" si="2"/>
        <v>44.1</v>
      </c>
      <c r="J43" s="4">
        <f t="shared" si="3"/>
        <v>1.304</v>
      </c>
      <c r="K43" s="9">
        <f t="shared" si="4"/>
        <v>0.0999999999999959</v>
      </c>
      <c r="L43" s="1">
        <f t="shared" si="5"/>
        <v>-4.49999999999999</v>
      </c>
    </row>
    <row r="44" s="1" customFormat="1" spans="1:12">
      <c r="A44" s="2">
        <v>1.371</v>
      </c>
      <c r="B44" s="10" t="s">
        <v>542</v>
      </c>
      <c r="C44" s="4">
        <v>1.371</v>
      </c>
      <c r="D44" s="5">
        <v>44</v>
      </c>
      <c r="E44" s="4"/>
      <c r="F44" s="4"/>
      <c r="G44" s="2">
        <f t="shared" si="0"/>
        <v>1.337</v>
      </c>
      <c r="H44" s="11" t="str">
        <f t="shared" si="1"/>
        <v>3.027E-2</v>
      </c>
      <c r="I44" s="2">
        <f t="shared" si="2"/>
        <v>44.7</v>
      </c>
      <c r="J44" s="4">
        <f t="shared" si="3"/>
        <v>1.337</v>
      </c>
      <c r="K44" s="9">
        <f t="shared" si="4"/>
        <v>0.199999999999992</v>
      </c>
      <c r="L44" s="1">
        <f t="shared" si="5"/>
        <v>-4.49999999999999</v>
      </c>
    </row>
    <row r="45" s="1" customFormat="1" spans="1:12">
      <c r="A45" s="2">
        <v>1.404</v>
      </c>
      <c r="B45" s="10" t="s">
        <v>542</v>
      </c>
      <c r="C45" s="4">
        <v>1.404</v>
      </c>
      <c r="D45" s="5">
        <v>44.1</v>
      </c>
      <c r="E45" s="4"/>
      <c r="F45" s="4"/>
      <c r="G45" s="2">
        <f t="shared" si="0"/>
        <v>1.371</v>
      </c>
      <c r="H45" s="11" t="str">
        <f t="shared" si="1"/>
        <v>3.027E-2</v>
      </c>
      <c r="I45" s="2">
        <f t="shared" si="2"/>
        <v>44</v>
      </c>
      <c r="J45" s="4">
        <f t="shared" si="3"/>
        <v>1.371</v>
      </c>
      <c r="K45" s="9">
        <f t="shared" si="4"/>
        <v>0.199999999999992</v>
      </c>
      <c r="L45" s="1">
        <f t="shared" si="5"/>
        <v>-4.49999999999999</v>
      </c>
    </row>
    <row r="46" s="1" customFormat="1" spans="1:12">
      <c r="A46" s="2">
        <v>1.438</v>
      </c>
      <c r="B46" s="10" t="s">
        <v>543</v>
      </c>
      <c r="C46" s="4">
        <v>1.438</v>
      </c>
      <c r="D46" s="5">
        <v>44.9</v>
      </c>
      <c r="E46" s="4"/>
      <c r="F46" s="4"/>
      <c r="G46" s="2">
        <f t="shared" si="0"/>
        <v>1.404</v>
      </c>
      <c r="H46" s="11" t="str">
        <f t="shared" si="1"/>
        <v>3.027E-2</v>
      </c>
      <c r="I46" s="2">
        <f t="shared" si="2"/>
        <v>44.1</v>
      </c>
      <c r="J46" s="4">
        <f t="shared" si="3"/>
        <v>1.404</v>
      </c>
      <c r="K46" s="9">
        <f t="shared" si="4"/>
        <v>0.199999999999992</v>
      </c>
      <c r="L46" s="1">
        <f t="shared" si="5"/>
        <v>-4.49999999999999</v>
      </c>
    </row>
    <row r="47" s="1" customFormat="1" spans="1:12">
      <c r="A47" s="2">
        <v>1.471</v>
      </c>
      <c r="B47" s="10" t="s">
        <v>542</v>
      </c>
      <c r="C47" s="4">
        <v>1.471</v>
      </c>
      <c r="D47" s="5">
        <v>44.1</v>
      </c>
      <c r="E47" s="4"/>
      <c r="F47" s="4"/>
      <c r="G47" s="2">
        <f t="shared" si="0"/>
        <v>1.438</v>
      </c>
      <c r="H47" s="11" t="str">
        <f t="shared" si="1"/>
        <v>3.028E-2</v>
      </c>
      <c r="I47" s="2">
        <f t="shared" si="2"/>
        <v>44.9</v>
      </c>
      <c r="J47" s="4">
        <f t="shared" si="3"/>
        <v>1.438</v>
      </c>
      <c r="K47" s="9">
        <f t="shared" si="4"/>
        <v>0.300000000000022</v>
      </c>
      <c r="L47" s="1">
        <f t="shared" si="5"/>
        <v>-4.49999999999999</v>
      </c>
    </row>
    <row r="48" s="1" customFormat="1" spans="1:12">
      <c r="A48" s="2">
        <v>1.504</v>
      </c>
      <c r="B48" s="10" t="s">
        <v>542</v>
      </c>
      <c r="C48" s="4">
        <v>1.504</v>
      </c>
      <c r="D48" s="5">
        <v>44.8</v>
      </c>
      <c r="E48" s="4"/>
      <c r="F48" s="4"/>
      <c r="G48" s="2">
        <f t="shared" si="0"/>
        <v>1.471</v>
      </c>
      <c r="H48" s="11" t="str">
        <f t="shared" si="1"/>
        <v>3.027E-2</v>
      </c>
      <c r="I48" s="2">
        <f t="shared" si="2"/>
        <v>44.1</v>
      </c>
      <c r="J48" s="4">
        <f t="shared" si="3"/>
        <v>1.471</v>
      </c>
      <c r="K48" s="9">
        <f t="shared" si="4"/>
        <v>0.199999999999992</v>
      </c>
      <c r="L48" s="1">
        <f t="shared" si="5"/>
        <v>-4.49999999999999</v>
      </c>
    </row>
    <row r="49" s="1" customFormat="1" spans="1:12">
      <c r="A49" s="2">
        <v>1.538</v>
      </c>
      <c r="B49" s="10" t="s">
        <v>542</v>
      </c>
      <c r="C49" s="4">
        <v>1.538</v>
      </c>
      <c r="D49" s="5">
        <v>44.7</v>
      </c>
      <c r="E49" s="4"/>
      <c r="F49" s="4"/>
      <c r="G49" s="2">
        <f t="shared" si="0"/>
        <v>1.504</v>
      </c>
      <c r="H49" s="11" t="str">
        <f t="shared" si="1"/>
        <v>3.027E-2</v>
      </c>
      <c r="I49" s="2">
        <f t="shared" si="2"/>
        <v>44.8</v>
      </c>
      <c r="J49" s="4">
        <f t="shared" si="3"/>
        <v>1.504</v>
      </c>
      <c r="K49" s="9">
        <f t="shared" si="4"/>
        <v>0.199999999999992</v>
      </c>
      <c r="L49" s="1">
        <f t="shared" si="5"/>
        <v>-4.49999999999999</v>
      </c>
    </row>
    <row r="50" s="1" customFormat="1" spans="1:12">
      <c r="A50" s="2">
        <v>1.571</v>
      </c>
      <c r="B50" s="10" t="s">
        <v>542</v>
      </c>
      <c r="C50" s="4">
        <v>1.571</v>
      </c>
      <c r="D50" s="5">
        <v>44.5</v>
      </c>
      <c r="E50" s="4"/>
      <c r="F50" s="4"/>
      <c r="G50" s="2">
        <f t="shared" si="0"/>
        <v>1.538</v>
      </c>
      <c r="H50" s="11" t="str">
        <f t="shared" si="1"/>
        <v>3.027E-2</v>
      </c>
      <c r="I50" s="2">
        <f t="shared" si="2"/>
        <v>44.7</v>
      </c>
      <c r="J50" s="4">
        <f t="shared" si="3"/>
        <v>1.538</v>
      </c>
      <c r="K50" s="9">
        <f t="shared" si="4"/>
        <v>0.199999999999992</v>
      </c>
      <c r="L50" s="1">
        <f t="shared" si="5"/>
        <v>-4.49999999999999</v>
      </c>
    </row>
    <row r="51" s="1" customFormat="1" spans="1:12">
      <c r="A51" s="2">
        <v>1.605</v>
      </c>
      <c r="B51" s="10" t="s">
        <v>542</v>
      </c>
      <c r="C51" s="4">
        <v>1.605</v>
      </c>
      <c r="D51" s="5">
        <v>44.8</v>
      </c>
      <c r="E51" s="4"/>
      <c r="F51" s="4"/>
      <c r="G51" s="2">
        <f t="shared" si="0"/>
        <v>1.571</v>
      </c>
      <c r="H51" s="11" t="str">
        <f t="shared" si="1"/>
        <v>3.027E-2</v>
      </c>
      <c r="I51" s="2">
        <f t="shared" si="2"/>
        <v>44.5</v>
      </c>
      <c r="J51" s="4">
        <f t="shared" si="3"/>
        <v>1.571</v>
      </c>
      <c r="K51" s="9">
        <f t="shared" si="4"/>
        <v>0.199999999999992</v>
      </c>
      <c r="L51" s="1">
        <f t="shared" si="5"/>
        <v>-4.49999999999999</v>
      </c>
    </row>
    <row r="52" s="1" customFormat="1" spans="1:12">
      <c r="A52" s="2">
        <v>1.638</v>
      </c>
      <c r="B52" s="10" t="s">
        <v>542</v>
      </c>
      <c r="C52" s="4">
        <v>1.638</v>
      </c>
      <c r="D52" s="5">
        <v>44.3</v>
      </c>
      <c r="E52" s="4"/>
      <c r="F52" s="4"/>
      <c r="G52" s="2">
        <f t="shared" si="0"/>
        <v>1.605</v>
      </c>
      <c r="H52" s="11" t="str">
        <f t="shared" si="1"/>
        <v>3.027E-2</v>
      </c>
      <c r="I52" s="2">
        <f t="shared" si="2"/>
        <v>44.8</v>
      </c>
      <c r="J52" s="4">
        <f t="shared" si="3"/>
        <v>1.605</v>
      </c>
      <c r="K52" s="9">
        <f t="shared" si="4"/>
        <v>0.199999999999992</v>
      </c>
      <c r="L52" s="1">
        <f t="shared" si="5"/>
        <v>-4.49999999999999</v>
      </c>
    </row>
    <row r="53" s="1" customFormat="1" spans="1:12">
      <c r="A53" s="2">
        <v>1.672</v>
      </c>
      <c r="B53" s="10" t="s">
        <v>541</v>
      </c>
      <c r="C53" s="4">
        <v>1.672</v>
      </c>
      <c r="D53" s="5">
        <v>44.3</v>
      </c>
      <c r="E53" s="4"/>
      <c r="F53" s="4"/>
      <c r="G53" s="2">
        <f t="shared" si="0"/>
        <v>1.638</v>
      </c>
      <c r="H53" s="11" t="str">
        <f t="shared" si="1"/>
        <v>3.027E-2</v>
      </c>
      <c r="I53" s="2">
        <f t="shared" si="2"/>
        <v>44.3</v>
      </c>
      <c r="J53" s="4">
        <f t="shared" si="3"/>
        <v>1.638</v>
      </c>
      <c r="K53" s="9">
        <f t="shared" si="4"/>
        <v>0.199999999999992</v>
      </c>
      <c r="L53" s="1">
        <f t="shared" si="5"/>
        <v>-4.49999999999999</v>
      </c>
    </row>
    <row r="54" s="1" customFormat="1" spans="1:12">
      <c r="A54" s="2">
        <v>1.705</v>
      </c>
      <c r="B54" s="10" t="s">
        <v>541</v>
      </c>
      <c r="C54" s="4">
        <v>1.705</v>
      </c>
      <c r="D54" s="5">
        <v>44.4</v>
      </c>
      <c r="E54" s="4"/>
      <c r="F54" s="4"/>
      <c r="G54" s="2">
        <f t="shared" si="0"/>
        <v>1.672</v>
      </c>
      <c r="H54" s="11" t="str">
        <f t="shared" si="1"/>
        <v>3.026E-2</v>
      </c>
      <c r="I54" s="2">
        <f t="shared" si="2"/>
        <v>44.3</v>
      </c>
      <c r="J54" s="4">
        <f t="shared" si="3"/>
        <v>1.672</v>
      </c>
      <c r="K54" s="9">
        <f t="shared" si="4"/>
        <v>0.0999999999999959</v>
      </c>
      <c r="L54" s="1">
        <f t="shared" si="5"/>
        <v>-4.49999999999999</v>
      </c>
    </row>
    <row r="55" s="1" customFormat="1" spans="1:12">
      <c r="A55" s="2">
        <v>1.738</v>
      </c>
      <c r="B55" s="10" t="s">
        <v>540</v>
      </c>
      <c r="C55" s="4">
        <v>1.738</v>
      </c>
      <c r="D55" s="5">
        <v>44.4</v>
      </c>
      <c r="E55" s="4"/>
      <c r="F55" s="4"/>
      <c r="G55" s="2">
        <f t="shared" si="0"/>
        <v>1.705</v>
      </c>
      <c r="H55" s="11" t="str">
        <f t="shared" si="1"/>
        <v>3.026E-2</v>
      </c>
      <c r="I55" s="2">
        <f t="shared" si="2"/>
        <v>44.4</v>
      </c>
      <c r="J55" s="4">
        <f t="shared" si="3"/>
        <v>1.705</v>
      </c>
      <c r="K55" s="9">
        <f t="shared" si="4"/>
        <v>0.0999999999999959</v>
      </c>
      <c r="L55" s="1">
        <f t="shared" si="5"/>
        <v>-4.49999999999999</v>
      </c>
    </row>
    <row r="56" s="1" customFormat="1" spans="1:12">
      <c r="A56" s="2">
        <v>1.772</v>
      </c>
      <c r="B56" s="10" t="s">
        <v>540</v>
      </c>
      <c r="C56" s="4">
        <v>1.772</v>
      </c>
      <c r="D56" s="5">
        <v>44.4</v>
      </c>
      <c r="E56" s="4"/>
      <c r="F56" s="4"/>
      <c r="G56" s="2">
        <f t="shared" si="0"/>
        <v>1.738</v>
      </c>
      <c r="H56" s="11" t="str">
        <f t="shared" si="1"/>
        <v>3.025E-2</v>
      </c>
      <c r="I56" s="2">
        <f t="shared" si="2"/>
        <v>44.4</v>
      </c>
      <c r="J56" s="4">
        <f t="shared" si="3"/>
        <v>1.738</v>
      </c>
      <c r="K56" s="9">
        <f t="shared" si="4"/>
        <v>0</v>
      </c>
      <c r="L56" s="1">
        <f t="shared" si="5"/>
        <v>-4.49999999999999</v>
      </c>
    </row>
    <row r="57" s="1" customFormat="1" spans="1:12">
      <c r="A57" s="2">
        <v>1.805</v>
      </c>
      <c r="B57" s="10" t="s">
        <v>544</v>
      </c>
      <c r="C57" s="4">
        <v>1.805</v>
      </c>
      <c r="D57" s="5">
        <v>44.5</v>
      </c>
      <c r="E57" s="4"/>
      <c r="F57" s="4"/>
      <c r="G57" s="2">
        <f t="shared" si="0"/>
        <v>1.772</v>
      </c>
      <c r="H57" s="11" t="str">
        <f t="shared" si="1"/>
        <v>3.025E-2</v>
      </c>
      <c r="I57" s="2">
        <f t="shared" si="2"/>
        <v>44.4</v>
      </c>
      <c r="J57" s="4">
        <f t="shared" si="3"/>
        <v>1.772</v>
      </c>
      <c r="K57" s="9">
        <f t="shared" si="4"/>
        <v>0</v>
      </c>
      <c r="L57" s="1">
        <f t="shared" si="5"/>
        <v>-4.49999999999999</v>
      </c>
    </row>
    <row r="58" s="1" customFormat="1" spans="1:12">
      <c r="A58" s="2">
        <v>1.839</v>
      </c>
      <c r="B58" s="10" t="s">
        <v>540</v>
      </c>
      <c r="C58" s="4">
        <v>1.839</v>
      </c>
      <c r="D58" s="5">
        <v>44.3</v>
      </c>
      <c r="E58" s="4"/>
      <c r="F58" s="4"/>
      <c r="G58" s="2">
        <f t="shared" si="0"/>
        <v>1.805</v>
      </c>
      <c r="H58" s="11" t="str">
        <f t="shared" si="1"/>
        <v>3.024E-2</v>
      </c>
      <c r="I58" s="2">
        <f t="shared" si="2"/>
        <v>44.5</v>
      </c>
      <c r="J58" s="4">
        <f t="shared" si="3"/>
        <v>1.805</v>
      </c>
      <c r="K58" s="9">
        <f t="shared" si="4"/>
        <v>-0.0999999999999959</v>
      </c>
      <c r="L58" s="1">
        <f t="shared" si="5"/>
        <v>-4.49999999999999</v>
      </c>
    </row>
    <row r="59" s="1" customFormat="1" spans="1:12">
      <c r="A59" s="2">
        <v>1.872</v>
      </c>
      <c r="B59" s="10" t="s">
        <v>544</v>
      </c>
      <c r="C59" s="4">
        <v>1.872</v>
      </c>
      <c r="D59" s="5">
        <v>44.3</v>
      </c>
      <c r="E59" s="4"/>
      <c r="F59" s="4"/>
      <c r="G59" s="2">
        <f t="shared" si="0"/>
        <v>1.839</v>
      </c>
      <c r="H59" s="11" t="str">
        <f t="shared" si="1"/>
        <v>3.025E-2</v>
      </c>
      <c r="I59" s="2">
        <f t="shared" si="2"/>
        <v>44.3</v>
      </c>
      <c r="J59" s="4">
        <f t="shared" si="3"/>
        <v>1.839</v>
      </c>
      <c r="K59" s="9">
        <f t="shared" si="4"/>
        <v>0</v>
      </c>
      <c r="L59" s="1">
        <f t="shared" si="5"/>
        <v>-4.49999999999999</v>
      </c>
    </row>
    <row r="60" s="1" customFormat="1" spans="1:12">
      <c r="A60" s="2">
        <v>1.906</v>
      </c>
      <c r="B60" s="10" t="s">
        <v>540</v>
      </c>
      <c r="C60" s="4">
        <v>1.906</v>
      </c>
      <c r="D60" s="5">
        <v>44.5</v>
      </c>
      <c r="E60" s="4"/>
      <c r="F60" s="4"/>
      <c r="G60" s="2">
        <f t="shared" si="0"/>
        <v>1.872</v>
      </c>
      <c r="H60" s="11" t="str">
        <f t="shared" si="1"/>
        <v>3.024E-2</v>
      </c>
      <c r="I60" s="2">
        <f t="shared" si="2"/>
        <v>44.3</v>
      </c>
      <c r="J60" s="4">
        <f t="shared" si="3"/>
        <v>1.872</v>
      </c>
      <c r="K60" s="9">
        <f t="shared" si="4"/>
        <v>-0.0999999999999959</v>
      </c>
      <c r="L60" s="1">
        <f t="shared" si="5"/>
        <v>-4.49999999999999</v>
      </c>
    </row>
    <row r="61" s="1" customFormat="1" spans="1:12">
      <c r="A61" s="2">
        <v>1.939</v>
      </c>
      <c r="B61" s="10" t="s">
        <v>544</v>
      </c>
      <c r="C61" s="4">
        <v>1.939</v>
      </c>
      <c r="D61" s="5">
        <v>44.4</v>
      </c>
      <c r="E61" s="4"/>
      <c r="F61" s="4"/>
      <c r="G61" s="2">
        <f t="shared" si="0"/>
        <v>1.906</v>
      </c>
      <c r="H61" s="11" t="str">
        <f t="shared" si="1"/>
        <v>3.025E-2</v>
      </c>
      <c r="I61" s="2">
        <f t="shared" si="2"/>
        <v>44.5</v>
      </c>
      <c r="J61" s="4">
        <f t="shared" si="3"/>
        <v>1.906</v>
      </c>
      <c r="K61" s="9">
        <f t="shared" si="4"/>
        <v>0</v>
      </c>
      <c r="L61" s="1">
        <f t="shared" si="5"/>
        <v>-4.49999999999999</v>
      </c>
    </row>
    <row r="62" s="1" customFormat="1" spans="1:12">
      <c r="A62" s="2">
        <v>1.973</v>
      </c>
      <c r="B62" s="10" t="s">
        <v>545</v>
      </c>
      <c r="C62" s="4">
        <v>1.973</v>
      </c>
      <c r="D62" s="5">
        <v>44.6</v>
      </c>
      <c r="E62" s="4"/>
      <c r="F62" s="4"/>
      <c r="G62" s="2">
        <f t="shared" si="0"/>
        <v>1.939</v>
      </c>
      <c r="H62" s="11" t="str">
        <f t="shared" si="1"/>
        <v>3.024E-2</v>
      </c>
      <c r="I62" s="2">
        <f t="shared" si="2"/>
        <v>44.4</v>
      </c>
      <c r="J62" s="4">
        <f t="shared" si="3"/>
        <v>1.939</v>
      </c>
      <c r="K62" s="9">
        <f t="shared" si="4"/>
        <v>-0.0999999999999959</v>
      </c>
      <c r="L62" s="1">
        <f t="shared" si="5"/>
        <v>-4.49999999999999</v>
      </c>
    </row>
    <row r="63" s="1" customFormat="1" spans="1:12">
      <c r="A63" s="2">
        <v>2.006</v>
      </c>
      <c r="B63" s="10" t="s">
        <v>544</v>
      </c>
      <c r="C63" s="4">
        <v>2.006</v>
      </c>
      <c r="D63" s="5">
        <v>43.8</v>
      </c>
      <c r="E63" s="4"/>
      <c r="F63" s="4"/>
      <c r="G63" s="2">
        <f t="shared" si="0"/>
        <v>1.973</v>
      </c>
      <c r="H63" s="11" t="str">
        <f t="shared" si="1"/>
        <v>3.023E-2</v>
      </c>
      <c r="I63" s="2">
        <f t="shared" si="2"/>
        <v>44.6</v>
      </c>
      <c r="J63" s="4">
        <f t="shared" si="3"/>
        <v>1.973</v>
      </c>
      <c r="K63" s="9">
        <f t="shared" si="4"/>
        <v>-0.199999999999992</v>
      </c>
      <c r="L63" s="1">
        <f t="shared" si="5"/>
        <v>-4.49999999999999</v>
      </c>
    </row>
    <row r="64" s="1" customFormat="1" spans="1:12">
      <c r="A64" s="2">
        <v>2.039</v>
      </c>
      <c r="B64" s="10" t="s">
        <v>545</v>
      </c>
      <c r="C64" s="4">
        <v>2.039</v>
      </c>
      <c r="D64" s="5">
        <v>44.4</v>
      </c>
      <c r="E64" s="4"/>
      <c r="F64" s="4"/>
      <c r="G64" s="2">
        <f t="shared" si="0"/>
        <v>2.006</v>
      </c>
      <c r="H64" s="11" t="str">
        <f t="shared" si="1"/>
        <v>3.024E-2</v>
      </c>
      <c r="I64" s="2">
        <f t="shared" si="2"/>
        <v>43.8</v>
      </c>
      <c r="J64" s="4">
        <f t="shared" si="3"/>
        <v>2.006</v>
      </c>
      <c r="K64" s="9">
        <f t="shared" si="4"/>
        <v>-0.0999999999999959</v>
      </c>
      <c r="L64" s="1">
        <f t="shared" si="5"/>
        <v>-4.49999999999999</v>
      </c>
    </row>
    <row r="65" s="1" customFormat="1" spans="1:12">
      <c r="A65" s="2">
        <v>2.073</v>
      </c>
      <c r="B65" s="10" t="s">
        <v>545</v>
      </c>
      <c r="C65" s="4">
        <v>2.073</v>
      </c>
      <c r="D65" s="5">
        <v>44.1</v>
      </c>
      <c r="E65" s="4"/>
      <c r="F65" s="4"/>
      <c r="G65" s="2">
        <f t="shared" si="0"/>
        <v>2.039</v>
      </c>
      <c r="H65" s="11" t="str">
        <f t="shared" si="1"/>
        <v>3.023E-2</v>
      </c>
      <c r="I65" s="2">
        <f t="shared" si="2"/>
        <v>44.4</v>
      </c>
      <c r="J65" s="4">
        <f t="shared" si="3"/>
        <v>2.039</v>
      </c>
      <c r="K65" s="9">
        <f t="shared" si="4"/>
        <v>-0.199999999999992</v>
      </c>
      <c r="L65" s="1">
        <f t="shared" si="5"/>
        <v>-4.49999999999999</v>
      </c>
    </row>
    <row r="66" s="1" customFormat="1" spans="1:12">
      <c r="A66" s="2">
        <v>2.106</v>
      </c>
      <c r="B66" s="10" t="s">
        <v>545</v>
      </c>
      <c r="C66" s="4">
        <v>2.106</v>
      </c>
      <c r="D66" s="5">
        <v>44.6</v>
      </c>
      <c r="E66" s="4"/>
      <c r="F66" s="4"/>
      <c r="G66" s="2">
        <f t="shared" si="0"/>
        <v>2.073</v>
      </c>
      <c r="H66" s="11" t="str">
        <f t="shared" si="1"/>
        <v>3.023E-2</v>
      </c>
      <c r="I66" s="2">
        <f t="shared" si="2"/>
        <v>44.1</v>
      </c>
      <c r="J66" s="4">
        <f t="shared" si="3"/>
        <v>2.073</v>
      </c>
      <c r="K66" s="9">
        <f t="shared" si="4"/>
        <v>-0.199999999999992</v>
      </c>
      <c r="L66" s="1">
        <f t="shared" si="5"/>
        <v>-4.49999999999999</v>
      </c>
    </row>
    <row r="67" s="1" customFormat="1" spans="1:12">
      <c r="A67" s="2">
        <v>2.14</v>
      </c>
      <c r="B67" s="10" t="s">
        <v>545</v>
      </c>
      <c r="C67" s="4">
        <v>2.14</v>
      </c>
      <c r="D67" s="5">
        <v>44.5</v>
      </c>
      <c r="E67" s="4"/>
      <c r="F67" s="4"/>
      <c r="G67" s="2">
        <f t="shared" si="0"/>
        <v>2.106</v>
      </c>
      <c r="H67" s="11" t="str">
        <f t="shared" si="1"/>
        <v>3.023E-2</v>
      </c>
      <c r="I67" s="2">
        <f t="shared" si="2"/>
        <v>44.6</v>
      </c>
      <c r="J67" s="4">
        <f t="shared" si="3"/>
        <v>2.106</v>
      </c>
      <c r="K67" s="9">
        <f t="shared" si="4"/>
        <v>-0.199999999999992</v>
      </c>
      <c r="L67" s="1">
        <f t="shared" si="5"/>
        <v>-4.49999999999999</v>
      </c>
    </row>
    <row r="68" s="1" customFormat="1" spans="1:12">
      <c r="A68" s="2">
        <v>2.173</v>
      </c>
      <c r="B68" s="10" t="s">
        <v>545</v>
      </c>
      <c r="C68" s="4">
        <v>2.173</v>
      </c>
      <c r="D68" s="5">
        <v>44.6</v>
      </c>
      <c r="E68" s="4"/>
      <c r="F68" s="4"/>
      <c r="G68" s="2">
        <f t="shared" ref="G68:G131" si="6">A67</f>
        <v>2.14</v>
      </c>
      <c r="H68" s="11" t="str">
        <f t="shared" ref="H68:H131" si="7">B67</f>
        <v>3.023E-2</v>
      </c>
      <c r="I68" s="2">
        <f t="shared" ref="I68:I131" si="8">D67</f>
        <v>44.5</v>
      </c>
      <c r="J68" s="4">
        <f t="shared" ref="J68:J131" si="9">G68</f>
        <v>2.14</v>
      </c>
      <c r="K68" s="9">
        <f t="shared" ref="K68:K131" si="10">(H68-$H$4)*10000</f>
        <v>-0.199999999999992</v>
      </c>
      <c r="L68" s="1">
        <f t="shared" ref="L68:L131" si="11">IF(I68&lt;230,MIN(K:K),MAX(K:K))</f>
        <v>-4.49999999999999</v>
      </c>
    </row>
    <row r="69" s="1" customFormat="1" spans="1:12">
      <c r="A69" s="2">
        <v>2.207</v>
      </c>
      <c r="B69" s="10" t="s">
        <v>545</v>
      </c>
      <c r="C69" s="4">
        <v>2.207</v>
      </c>
      <c r="D69" s="5">
        <v>44</v>
      </c>
      <c r="E69" s="4"/>
      <c r="F69" s="4"/>
      <c r="G69" s="2">
        <f t="shared" si="6"/>
        <v>2.173</v>
      </c>
      <c r="H69" s="11" t="str">
        <f t="shared" si="7"/>
        <v>3.023E-2</v>
      </c>
      <c r="I69" s="2">
        <f t="shared" si="8"/>
        <v>44.6</v>
      </c>
      <c r="J69" s="4">
        <f t="shared" si="9"/>
        <v>2.173</v>
      </c>
      <c r="K69" s="9">
        <f t="shared" si="10"/>
        <v>-0.199999999999992</v>
      </c>
      <c r="L69" s="1">
        <f t="shared" si="11"/>
        <v>-4.49999999999999</v>
      </c>
    </row>
    <row r="70" s="1" customFormat="1" spans="1:12">
      <c r="A70" s="2">
        <v>2.24</v>
      </c>
      <c r="B70" s="10" t="s">
        <v>545</v>
      </c>
      <c r="C70" s="4">
        <v>2.24</v>
      </c>
      <c r="D70" s="5">
        <v>44.2</v>
      </c>
      <c r="E70" s="4"/>
      <c r="F70" s="4"/>
      <c r="G70" s="2">
        <f t="shared" si="6"/>
        <v>2.207</v>
      </c>
      <c r="H70" s="11" t="str">
        <f t="shared" si="7"/>
        <v>3.023E-2</v>
      </c>
      <c r="I70" s="2">
        <f t="shared" si="8"/>
        <v>44</v>
      </c>
      <c r="J70" s="4">
        <f t="shared" si="9"/>
        <v>2.207</v>
      </c>
      <c r="K70" s="9">
        <f t="shared" si="10"/>
        <v>-0.199999999999992</v>
      </c>
      <c r="L70" s="1">
        <f t="shared" si="11"/>
        <v>-4.49999999999999</v>
      </c>
    </row>
    <row r="71" s="1" customFormat="1" spans="1:12">
      <c r="A71" s="2">
        <v>2.273</v>
      </c>
      <c r="B71" s="10" t="s">
        <v>545</v>
      </c>
      <c r="C71" s="4">
        <v>2.273</v>
      </c>
      <c r="D71" s="5">
        <v>44.4</v>
      </c>
      <c r="E71" s="4"/>
      <c r="F71" s="4"/>
      <c r="G71" s="2">
        <f t="shared" si="6"/>
        <v>2.24</v>
      </c>
      <c r="H71" s="11" t="str">
        <f t="shared" si="7"/>
        <v>3.023E-2</v>
      </c>
      <c r="I71" s="2">
        <f t="shared" si="8"/>
        <v>44.2</v>
      </c>
      <c r="J71" s="4">
        <f t="shared" si="9"/>
        <v>2.24</v>
      </c>
      <c r="K71" s="9">
        <f t="shared" si="10"/>
        <v>-0.199999999999992</v>
      </c>
      <c r="L71" s="1">
        <f t="shared" si="11"/>
        <v>-4.49999999999999</v>
      </c>
    </row>
    <row r="72" s="1" customFormat="1" spans="1:12">
      <c r="A72" s="2">
        <v>2.307</v>
      </c>
      <c r="B72" s="10" t="s">
        <v>544</v>
      </c>
      <c r="C72" s="4">
        <v>2.307</v>
      </c>
      <c r="D72" s="5">
        <v>44.1</v>
      </c>
      <c r="E72" s="4"/>
      <c r="F72" s="4"/>
      <c r="G72" s="2">
        <f t="shared" si="6"/>
        <v>2.273</v>
      </c>
      <c r="H72" s="11" t="str">
        <f t="shared" si="7"/>
        <v>3.023E-2</v>
      </c>
      <c r="I72" s="2">
        <f t="shared" si="8"/>
        <v>44.4</v>
      </c>
      <c r="J72" s="4">
        <f t="shared" si="9"/>
        <v>2.273</v>
      </c>
      <c r="K72" s="9">
        <f t="shared" si="10"/>
        <v>-0.199999999999992</v>
      </c>
      <c r="L72" s="1">
        <f t="shared" si="11"/>
        <v>-4.49999999999999</v>
      </c>
    </row>
    <row r="73" s="1" customFormat="1" spans="1:12">
      <c r="A73" s="2">
        <v>2.34</v>
      </c>
      <c r="B73" s="10" t="s">
        <v>544</v>
      </c>
      <c r="C73" s="4">
        <v>2.34</v>
      </c>
      <c r="D73" s="5">
        <v>44</v>
      </c>
      <c r="E73" s="4"/>
      <c r="F73" s="4"/>
      <c r="G73" s="2">
        <f t="shared" si="6"/>
        <v>2.307</v>
      </c>
      <c r="H73" s="11" t="str">
        <f t="shared" si="7"/>
        <v>3.024E-2</v>
      </c>
      <c r="I73" s="2">
        <f t="shared" si="8"/>
        <v>44.1</v>
      </c>
      <c r="J73" s="4">
        <f t="shared" si="9"/>
        <v>2.307</v>
      </c>
      <c r="K73" s="9">
        <f t="shared" si="10"/>
        <v>-0.0999999999999959</v>
      </c>
      <c r="L73" s="1">
        <f t="shared" si="11"/>
        <v>-4.49999999999999</v>
      </c>
    </row>
    <row r="74" s="1" customFormat="1" spans="1:12">
      <c r="A74" s="2">
        <v>2.374</v>
      </c>
      <c r="B74" s="10" t="s">
        <v>544</v>
      </c>
      <c r="C74" s="4">
        <v>2.374</v>
      </c>
      <c r="D74" s="5">
        <v>44.6</v>
      </c>
      <c r="E74" s="4"/>
      <c r="F74" s="4"/>
      <c r="G74" s="2">
        <f t="shared" si="6"/>
        <v>2.34</v>
      </c>
      <c r="H74" s="11" t="str">
        <f t="shared" si="7"/>
        <v>3.024E-2</v>
      </c>
      <c r="I74" s="2">
        <f t="shared" si="8"/>
        <v>44</v>
      </c>
      <c r="J74" s="4">
        <f t="shared" si="9"/>
        <v>2.34</v>
      </c>
      <c r="K74" s="9">
        <f t="shared" si="10"/>
        <v>-0.0999999999999959</v>
      </c>
      <c r="L74" s="1">
        <f t="shared" si="11"/>
        <v>-4.49999999999999</v>
      </c>
    </row>
    <row r="75" s="1" customFormat="1" spans="1:12">
      <c r="A75" s="2">
        <v>2.407</v>
      </c>
      <c r="B75" s="10" t="s">
        <v>544</v>
      </c>
      <c r="C75" s="4">
        <v>2.407</v>
      </c>
      <c r="D75" s="5">
        <v>44.5</v>
      </c>
      <c r="E75" s="4"/>
      <c r="F75" s="4"/>
      <c r="G75" s="2">
        <f t="shared" si="6"/>
        <v>2.374</v>
      </c>
      <c r="H75" s="11" t="str">
        <f t="shared" si="7"/>
        <v>3.024E-2</v>
      </c>
      <c r="I75" s="2">
        <f t="shared" si="8"/>
        <v>44.6</v>
      </c>
      <c r="J75" s="4">
        <f t="shared" si="9"/>
        <v>2.374</v>
      </c>
      <c r="K75" s="9">
        <f t="shared" si="10"/>
        <v>-0.0999999999999959</v>
      </c>
      <c r="L75" s="1">
        <f t="shared" si="11"/>
        <v>-4.49999999999999</v>
      </c>
    </row>
    <row r="76" s="1" customFormat="1" spans="1:12">
      <c r="A76" s="2">
        <v>2.441</v>
      </c>
      <c r="B76" s="10" t="s">
        <v>544</v>
      </c>
      <c r="C76" s="4">
        <v>2.441</v>
      </c>
      <c r="D76" s="5">
        <v>44.5</v>
      </c>
      <c r="E76" s="4"/>
      <c r="F76" s="4"/>
      <c r="G76" s="2">
        <f t="shared" si="6"/>
        <v>2.407</v>
      </c>
      <c r="H76" s="11" t="str">
        <f t="shared" si="7"/>
        <v>3.024E-2</v>
      </c>
      <c r="I76" s="2">
        <f t="shared" si="8"/>
        <v>44.5</v>
      </c>
      <c r="J76" s="4">
        <f t="shared" si="9"/>
        <v>2.407</v>
      </c>
      <c r="K76" s="9">
        <f t="shared" si="10"/>
        <v>-0.0999999999999959</v>
      </c>
      <c r="L76" s="1">
        <f t="shared" si="11"/>
        <v>-4.49999999999999</v>
      </c>
    </row>
    <row r="77" s="1" customFormat="1" spans="1:12">
      <c r="A77" s="2">
        <v>2.474</v>
      </c>
      <c r="B77" s="10" t="s">
        <v>540</v>
      </c>
      <c r="C77" s="4">
        <v>2.474</v>
      </c>
      <c r="D77" s="5">
        <v>45</v>
      </c>
      <c r="E77" s="4"/>
      <c r="F77" s="4"/>
      <c r="G77" s="2">
        <f t="shared" si="6"/>
        <v>2.441</v>
      </c>
      <c r="H77" s="11" t="str">
        <f t="shared" si="7"/>
        <v>3.024E-2</v>
      </c>
      <c r="I77" s="2">
        <f t="shared" si="8"/>
        <v>44.5</v>
      </c>
      <c r="J77" s="4">
        <f t="shared" si="9"/>
        <v>2.441</v>
      </c>
      <c r="K77" s="9">
        <f t="shared" si="10"/>
        <v>-0.0999999999999959</v>
      </c>
      <c r="L77" s="1">
        <f t="shared" si="11"/>
        <v>-4.49999999999999</v>
      </c>
    </row>
    <row r="78" s="1" customFormat="1" spans="1:12">
      <c r="A78" s="2">
        <v>2.507</v>
      </c>
      <c r="B78" s="10" t="s">
        <v>540</v>
      </c>
      <c r="C78" s="4">
        <v>2.507</v>
      </c>
      <c r="D78" s="5">
        <v>44.7</v>
      </c>
      <c r="E78" s="4"/>
      <c r="F78" s="4"/>
      <c r="G78" s="2">
        <f t="shared" si="6"/>
        <v>2.474</v>
      </c>
      <c r="H78" s="11" t="str">
        <f t="shared" si="7"/>
        <v>3.025E-2</v>
      </c>
      <c r="I78" s="2">
        <f t="shared" si="8"/>
        <v>45</v>
      </c>
      <c r="J78" s="4">
        <f t="shared" si="9"/>
        <v>2.474</v>
      </c>
      <c r="K78" s="9">
        <f t="shared" si="10"/>
        <v>0</v>
      </c>
      <c r="L78" s="1">
        <f t="shared" si="11"/>
        <v>-4.49999999999999</v>
      </c>
    </row>
    <row r="79" s="1" customFormat="1" spans="1:12">
      <c r="A79" s="2">
        <v>2.541</v>
      </c>
      <c r="B79" s="10" t="s">
        <v>541</v>
      </c>
      <c r="C79" s="4">
        <v>2.541</v>
      </c>
      <c r="D79" s="5">
        <v>44.6</v>
      </c>
      <c r="E79" s="4"/>
      <c r="F79" s="4"/>
      <c r="G79" s="2">
        <f t="shared" si="6"/>
        <v>2.507</v>
      </c>
      <c r="H79" s="11" t="str">
        <f t="shared" si="7"/>
        <v>3.025E-2</v>
      </c>
      <c r="I79" s="2">
        <f t="shared" si="8"/>
        <v>44.7</v>
      </c>
      <c r="J79" s="4">
        <f t="shared" si="9"/>
        <v>2.507</v>
      </c>
      <c r="K79" s="9">
        <f t="shared" si="10"/>
        <v>0</v>
      </c>
      <c r="L79" s="1">
        <f t="shared" si="11"/>
        <v>-4.49999999999999</v>
      </c>
    </row>
    <row r="80" s="1" customFormat="1" spans="1:12">
      <c r="A80" s="2">
        <v>2.574</v>
      </c>
      <c r="B80" s="10" t="s">
        <v>541</v>
      </c>
      <c r="C80" s="4">
        <v>2.574</v>
      </c>
      <c r="D80" s="5">
        <v>44.1</v>
      </c>
      <c r="E80" s="4"/>
      <c r="F80" s="4"/>
      <c r="G80" s="2">
        <f t="shared" si="6"/>
        <v>2.541</v>
      </c>
      <c r="H80" s="11" t="str">
        <f t="shared" si="7"/>
        <v>3.026E-2</v>
      </c>
      <c r="I80" s="2">
        <f t="shared" si="8"/>
        <v>44.6</v>
      </c>
      <c r="J80" s="4">
        <f t="shared" si="9"/>
        <v>2.541</v>
      </c>
      <c r="K80" s="9">
        <f t="shared" si="10"/>
        <v>0.0999999999999959</v>
      </c>
      <c r="L80" s="1">
        <f t="shared" si="11"/>
        <v>-4.49999999999999</v>
      </c>
    </row>
    <row r="81" s="1" customFormat="1" spans="1:12">
      <c r="A81" s="2">
        <v>2.608</v>
      </c>
      <c r="B81" s="10" t="s">
        <v>541</v>
      </c>
      <c r="C81" s="4">
        <v>2.608</v>
      </c>
      <c r="D81" s="5">
        <v>45</v>
      </c>
      <c r="E81" s="4"/>
      <c r="F81" s="4"/>
      <c r="G81" s="2">
        <f t="shared" si="6"/>
        <v>2.574</v>
      </c>
      <c r="H81" s="11" t="str">
        <f t="shared" si="7"/>
        <v>3.026E-2</v>
      </c>
      <c r="I81" s="2">
        <f t="shared" si="8"/>
        <v>44.1</v>
      </c>
      <c r="J81" s="4">
        <f t="shared" si="9"/>
        <v>2.574</v>
      </c>
      <c r="K81" s="9">
        <f t="shared" si="10"/>
        <v>0.0999999999999959</v>
      </c>
      <c r="L81" s="1">
        <f t="shared" si="11"/>
        <v>-4.49999999999999</v>
      </c>
    </row>
    <row r="82" s="1" customFormat="1" spans="1:12">
      <c r="A82" s="2">
        <v>2.641</v>
      </c>
      <c r="B82" s="10" t="s">
        <v>541</v>
      </c>
      <c r="C82" s="4">
        <v>2.641</v>
      </c>
      <c r="D82" s="5">
        <v>43.9</v>
      </c>
      <c r="E82" s="4"/>
      <c r="F82" s="4"/>
      <c r="G82" s="2">
        <f t="shared" si="6"/>
        <v>2.608</v>
      </c>
      <c r="H82" s="11" t="str">
        <f t="shared" si="7"/>
        <v>3.026E-2</v>
      </c>
      <c r="I82" s="2">
        <f t="shared" si="8"/>
        <v>45</v>
      </c>
      <c r="J82" s="4">
        <f t="shared" si="9"/>
        <v>2.608</v>
      </c>
      <c r="K82" s="9">
        <f t="shared" si="10"/>
        <v>0.0999999999999959</v>
      </c>
      <c r="L82" s="1">
        <f t="shared" si="11"/>
        <v>-4.49999999999999</v>
      </c>
    </row>
    <row r="83" s="1" customFormat="1" spans="1:12">
      <c r="A83" s="2">
        <v>2.675</v>
      </c>
      <c r="B83" s="10" t="s">
        <v>541</v>
      </c>
      <c r="C83" s="4">
        <v>2.675</v>
      </c>
      <c r="D83" s="5">
        <v>44.6</v>
      </c>
      <c r="E83" s="4"/>
      <c r="F83" s="4"/>
      <c r="G83" s="2">
        <f t="shared" si="6"/>
        <v>2.641</v>
      </c>
      <c r="H83" s="11" t="str">
        <f t="shared" si="7"/>
        <v>3.026E-2</v>
      </c>
      <c r="I83" s="2">
        <f t="shared" si="8"/>
        <v>43.9</v>
      </c>
      <c r="J83" s="4">
        <f t="shared" si="9"/>
        <v>2.641</v>
      </c>
      <c r="K83" s="9">
        <f t="shared" si="10"/>
        <v>0.0999999999999959</v>
      </c>
      <c r="L83" s="1">
        <f t="shared" si="11"/>
        <v>-4.49999999999999</v>
      </c>
    </row>
    <row r="84" s="1" customFormat="1" spans="1:12">
      <c r="A84" s="2">
        <v>2.708</v>
      </c>
      <c r="B84" s="10" t="s">
        <v>542</v>
      </c>
      <c r="C84" s="4">
        <v>2.708</v>
      </c>
      <c r="D84" s="5">
        <v>44.2</v>
      </c>
      <c r="E84" s="4"/>
      <c r="F84" s="4"/>
      <c r="G84" s="2">
        <f t="shared" si="6"/>
        <v>2.675</v>
      </c>
      <c r="H84" s="11" t="str">
        <f t="shared" si="7"/>
        <v>3.026E-2</v>
      </c>
      <c r="I84" s="2">
        <f t="shared" si="8"/>
        <v>44.6</v>
      </c>
      <c r="J84" s="4">
        <f t="shared" si="9"/>
        <v>2.675</v>
      </c>
      <c r="K84" s="9">
        <f t="shared" si="10"/>
        <v>0.0999999999999959</v>
      </c>
      <c r="L84" s="1">
        <f t="shared" si="11"/>
        <v>-4.49999999999999</v>
      </c>
    </row>
    <row r="85" s="1" customFormat="1" spans="1:12">
      <c r="A85" s="2">
        <v>2.741</v>
      </c>
      <c r="B85" s="10" t="s">
        <v>542</v>
      </c>
      <c r="C85" s="4">
        <v>2.741</v>
      </c>
      <c r="D85" s="5">
        <v>44.8</v>
      </c>
      <c r="E85" s="4"/>
      <c r="F85" s="4"/>
      <c r="G85" s="2">
        <f t="shared" si="6"/>
        <v>2.708</v>
      </c>
      <c r="H85" s="11" t="str">
        <f t="shared" si="7"/>
        <v>3.027E-2</v>
      </c>
      <c r="I85" s="2">
        <f t="shared" si="8"/>
        <v>44.2</v>
      </c>
      <c r="J85" s="4">
        <f t="shared" si="9"/>
        <v>2.708</v>
      </c>
      <c r="K85" s="9">
        <f t="shared" si="10"/>
        <v>0.199999999999992</v>
      </c>
      <c r="L85" s="1">
        <f t="shared" si="11"/>
        <v>-4.49999999999999</v>
      </c>
    </row>
    <row r="86" s="1" customFormat="1" spans="1:12">
      <c r="A86" s="2">
        <v>2.775</v>
      </c>
      <c r="B86" s="10" t="s">
        <v>542</v>
      </c>
      <c r="C86" s="4">
        <v>2.775</v>
      </c>
      <c r="D86" s="5">
        <v>44.6</v>
      </c>
      <c r="E86" s="4"/>
      <c r="F86" s="4"/>
      <c r="G86" s="2">
        <f t="shared" si="6"/>
        <v>2.741</v>
      </c>
      <c r="H86" s="11" t="str">
        <f t="shared" si="7"/>
        <v>3.027E-2</v>
      </c>
      <c r="I86" s="2">
        <f t="shared" si="8"/>
        <v>44.8</v>
      </c>
      <c r="J86" s="4">
        <f t="shared" si="9"/>
        <v>2.741</v>
      </c>
      <c r="K86" s="9">
        <f t="shared" si="10"/>
        <v>0.199999999999992</v>
      </c>
      <c r="L86" s="1">
        <f t="shared" si="11"/>
        <v>-4.49999999999999</v>
      </c>
    </row>
    <row r="87" s="1" customFormat="1" spans="1:12">
      <c r="A87" s="2">
        <v>2.808</v>
      </c>
      <c r="B87" s="10" t="s">
        <v>542</v>
      </c>
      <c r="C87" s="4">
        <v>2.808</v>
      </c>
      <c r="D87" s="5">
        <v>44.4</v>
      </c>
      <c r="E87" s="4"/>
      <c r="F87" s="4"/>
      <c r="G87" s="2">
        <f t="shared" si="6"/>
        <v>2.775</v>
      </c>
      <c r="H87" s="11" t="str">
        <f t="shared" si="7"/>
        <v>3.027E-2</v>
      </c>
      <c r="I87" s="2">
        <f t="shared" si="8"/>
        <v>44.6</v>
      </c>
      <c r="J87" s="4">
        <f t="shared" si="9"/>
        <v>2.775</v>
      </c>
      <c r="K87" s="9">
        <f t="shared" si="10"/>
        <v>0.199999999999992</v>
      </c>
      <c r="L87" s="1">
        <f t="shared" si="11"/>
        <v>-4.49999999999999</v>
      </c>
    </row>
    <row r="88" s="1" customFormat="1" spans="1:12">
      <c r="A88" s="2">
        <v>2.842</v>
      </c>
      <c r="B88" s="10" t="s">
        <v>542</v>
      </c>
      <c r="C88" s="4">
        <v>2.842</v>
      </c>
      <c r="D88" s="5">
        <v>44.9</v>
      </c>
      <c r="E88" s="4"/>
      <c r="F88" s="4"/>
      <c r="G88" s="2">
        <f t="shared" si="6"/>
        <v>2.808</v>
      </c>
      <c r="H88" s="11" t="str">
        <f t="shared" si="7"/>
        <v>3.027E-2</v>
      </c>
      <c r="I88" s="2">
        <f t="shared" si="8"/>
        <v>44.4</v>
      </c>
      <c r="J88" s="4">
        <f t="shared" si="9"/>
        <v>2.808</v>
      </c>
      <c r="K88" s="9">
        <f t="shared" si="10"/>
        <v>0.199999999999992</v>
      </c>
      <c r="L88" s="1">
        <f t="shared" si="11"/>
        <v>-4.49999999999999</v>
      </c>
    </row>
    <row r="89" s="1" customFormat="1" spans="1:12">
      <c r="A89" s="2">
        <v>2.875</v>
      </c>
      <c r="B89" s="10" t="s">
        <v>542</v>
      </c>
      <c r="C89" s="4">
        <v>2.875</v>
      </c>
      <c r="D89" s="5">
        <v>44.2</v>
      </c>
      <c r="E89" s="4"/>
      <c r="F89" s="4"/>
      <c r="G89" s="2">
        <f t="shared" si="6"/>
        <v>2.842</v>
      </c>
      <c r="H89" s="11" t="str">
        <f t="shared" si="7"/>
        <v>3.027E-2</v>
      </c>
      <c r="I89" s="2">
        <f t="shared" si="8"/>
        <v>44.9</v>
      </c>
      <c r="J89" s="4">
        <f t="shared" si="9"/>
        <v>2.842</v>
      </c>
      <c r="K89" s="9">
        <f t="shared" si="10"/>
        <v>0.199999999999992</v>
      </c>
      <c r="L89" s="1">
        <f t="shared" si="11"/>
        <v>-4.49999999999999</v>
      </c>
    </row>
    <row r="90" s="1" customFormat="1" spans="1:12">
      <c r="A90" s="2">
        <v>2.909</v>
      </c>
      <c r="B90" s="10" t="s">
        <v>542</v>
      </c>
      <c r="C90" s="4">
        <v>2.909</v>
      </c>
      <c r="D90" s="5">
        <v>44.7</v>
      </c>
      <c r="E90" s="4"/>
      <c r="F90" s="4"/>
      <c r="G90" s="2">
        <f t="shared" si="6"/>
        <v>2.875</v>
      </c>
      <c r="H90" s="11" t="str">
        <f t="shared" si="7"/>
        <v>3.027E-2</v>
      </c>
      <c r="I90" s="2">
        <f t="shared" si="8"/>
        <v>44.2</v>
      </c>
      <c r="J90" s="4">
        <f t="shared" si="9"/>
        <v>2.875</v>
      </c>
      <c r="K90" s="9">
        <f t="shared" si="10"/>
        <v>0.199999999999992</v>
      </c>
      <c r="L90" s="1">
        <f t="shared" si="11"/>
        <v>-4.49999999999999</v>
      </c>
    </row>
    <row r="91" s="1" customFormat="1" spans="1:12">
      <c r="A91" s="2">
        <v>2.942</v>
      </c>
      <c r="B91" s="10" t="s">
        <v>541</v>
      </c>
      <c r="C91" s="4">
        <v>2.942</v>
      </c>
      <c r="D91" s="5">
        <v>44.9</v>
      </c>
      <c r="E91" s="4"/>
      <c r="F91" s="4"/>
      <c r="G91" s="2">
        <f t="shared" si="6"/>
        <v>2.909</v>
      </c>
      <c r="H91" s="11" t="str">
        <f t="shared" si="7"/>
        <v>3.027E-2</v>
      </c>
      <c r="I91" s="2">
        <f t="shared" si="8"/>
        <v>44.7</v>
      </c>
      <c r="J91" s="4">
        <f t="shared" si="9"/>
        <v>2.909</v>
      </c>
      <c r="K91" s="9">
        <f t="shared" si="10"/>
        <v>0.199999999999992</v>
      </c>
      <c r="L91" s="1">
        <f t="shared" si="11"/>
        <v>-4.49999999999999</v>
      </c>
    </row>
    <row r="92" s="1" customFormat="1" spans="1:12">
      <c r="A92" s="2">
        <v>2.975</v>
      </c>
      <c r="B92" s="10" t="s">
        <v>542</v>
      </c>
      <c r="C92" s="4">
        <v>2.975</v>
      </c>
      <c r="D92" s="5">
        <v>44.6</v>
      </c>
      <c r="E92" s="4"/>
      <c r="F92" s="4"/>
      <c r="G92" s="2">
        <f t="shared" si="6"/>
        <v>2.942</v>
      </c>
      <c r="H92" s="11" t="str">
        <f t="shared" si="7"/>
        <v>3.026E-2</v>
      </c>
      <c r="I92" s="2">
        <f t="shared" si="8"/>
        <v>44.9</v>
      </c>
      <c r="J92" s="4">
        <f t="shared" si="9"/>
        <v>2.942</v>
      </c>
      <c r="K92" s="9">
        <f t="shared" si="10"/>
        <v>0.0999999999999959</v>
      </c>
      <c r="L92" s="1">
        <f t="shared" si="11"/>
        <v>-4.49999999999999</v>
      </c>
    </row>
    <row r="93" s="1" customFormat="1" spans="1:12">
      <c r="A93" s="2">
        <v>3.009</v>
      </c>
      <c r="B93" s="10" t="s">
        <v>541</v>
      </c>
      <c r="C93" s="4">
        <v>3.009</v>
      </c>
      <c r="D93" s="5">
        <v>43.8</v>
      </c>
      <c r="E93" s="4"/>
      <c r="F93" s="4"/>
      <c r="G93" s="2">
        <f t="shared" si="6"/>
        <v>2.975</v>
      </c>
      <c r="H93" s="11" t="str">
        <f t="shared" si="7"/>
        <v>3.027E-2</v>
      </c>
      <c r="I93" s="2">
        <f t="shared" si="8"/>
        <v>44.6</v>
      </c>
      <c r="J93" s="4">
        <f t="shared" si="9"/>
        <v>2.975</v>
      </c>
      <c r="K93" s="9">
        <f t="shared" si="10"/>
        <v>0.199999999999992</v>
      </c>
      <c r="L93" s="1">
        <f t="shared" si="11"/>
        <v>-4.49999999999999</v>
      </c>
    </row>
    <row r="94" s="1" customFormat="1" spans="1:12">
      <c r="A94" s="2">
        <v>3.042</v>
      </c>
      <c r="B94" s="10" t="s">
        <v>540</v>
      </c>
      <c r="C94" s="4">
        <v>3.042</v>
      </c>
      <c r="D94" s="5">
        <v>44.2</v>
      </c>
      <c r="E94" s="4"/>
      <c r="F94" s="4"/>
      <c r="G94" s="2">
        <f t="shared" si="6"/>
        <v>3.009</v>
      </c>
      <c r="H94" s="11" t="str">
        <f t="shared" si="7"/>
        <v>3.026E-2</v>
      </c>
      <c r="I94" s="2">
        <f t="shared" si="8"/>
        <v>43.8</v>
      </c>
      <c r="J94" s="4">
        <f t="shared" si="9"/>
        <v>3.009</v>
      </c>
      <c r="K94" s="9">
        <f t="shared" si="10"/>
        <v>0.0999999999999959</v>
      </c>
      <c r="L94" s="1">
        <f t="shared" si="11"/>
        <v>-4.49999999999999</v>
      </c>
    </row>
    <row r="95" s="1" customFormat="1" spans="1:12">
      <c r="A95" s="2">
        <v>3.076</v>
      </c>
      <c r="B95" s="10" t="s">
        <v>541</v>
      </c>
      <c r="C95" s="4">
        <v>3.076</v>
      </c>
      <c r="D95" s="5">
        <v>44.2</v>
      </c>
      <c r="E95" s="4"/>
      <c r="F95" s="4"/>
      <c r="G95" s="2">
        <f t="shared" si="6"/>
        <v>3.042</v>
      </c>
      <c r="H95" s="11" t="str">
        <f t="shared" si="7"/>
        <v>3.025E-2</v>
      </c>
      <c r="I95" s="2">
        <f t="shared" si="8"/>
        <v>44.2</v>
      </c>
      <c r="J95" s="4">
        <f t="shared" si="9"/>
        <v>3.042</v>
      </c>
      <c r="K95" s="9">
        <f t="shared" si="10"/>
        <v>0</v>
      </c>
      <c r="L95" s="1">
        <f t="shared" si="11"/>
        <v>-4.49999999999999</v>
      </c>
    </row>
    <row r="96" s="1" customFormat="1" spans="1:12">
      <c r="A96" s="2">
        <v>3.109</v>
      </c>
      <c r="B96" s="10" t="s">
        <v>540</v>
      </c>
      <c r="C96" s="4">
        <v>3.109</v>
      </c>
      <c r="D96" s="5">
        <v>44.2</v>
      </c>
      <c r="E96" s="4"/>
      <c r="F96" s="4"/>
      <c r="G96" s="2">
        <f t="shared" si="6"/>
        <v>3.076</v>
      </c>
      <c r="H96" s="11" t="str">
        <f t="shared" si="7"/>
        <v>3.026E-2</v>
      </c>
      <c r="I96" s="2">
        <f t="shared" si="8"/>
        <v>44.2</v>
      </c>
      <c r="J96" s="4">
        <f t="shared" si="9"/>
        <v>3.076</v>
      </c>
      <c r="K96" s="9">
        <f t="shared" si="10"/>
        <v>0.0999999999999959</v>
      </c>
      <c r="L96" s="1">
        <f t="shared" si="11"/>
        <v>-4.49999999999999</v>
      </c>
    </row>
    <row r="97" s="1" customFormat="1" spans="1:12">
      <c r="A97" s="2">
        <v>3.143</v>
      </c>
      <c r="B97" s="10" t="s">
        <v>540</v>
      </c>
      <c r="C97" s="4">
        <v>3.143</v>
      </c>
      <c r="D97" s="5">
        <v>44.5</v>
      </c>
      <c r="E97" s="4"/>
      <c r="F97" s="4"/>
      <c r="G97" s="2">
        <f t="shared" si="6"/>
        <v>3.109</v>
      </c>
      <c r="H97" s="11" t="str">
        <f t="shared" si="7"/>
        <v>3.025E-2</v>
      </c>
      <c r="I97" s="2">
        <f t="shared" si="8"/>
        <v>44.2</v>
      </c>
      <c r="J97" s="4">
        <f t="shared" si="9"/>
        <v>3.109</v>
      </c>
      <c r="K97" s="9">
        <f t="shared" si="10"/>
        <v>0</v>
      </c>
      <c r="L97" s="1">
        <f t="shared" si="11"/>
        <v>-4.49999999999999</v>
      </c>
    </row>
    <row r="98" s="1" customFormat="1" spans="1:12">
      <c r="A98" s="2">
        <v>3.176</v>
      </c>
      <c r="B98" s="10" t="s">
        <v>544</v>
      </c>
      <c r="C98" s="4">
        <v>3.176</v>
      </c>
      <c r="D98" s="5">
        <v>44.7</v>
      </c>
      <c r="E98" s="4"/>
      <c r="F98" s="4"/>
      <c r="G98" s="2">
        <f t="shared" si="6"/>
        <v>3.143</v>
      </c>
      <c r="H98" s="11" t="str">
        <f t="shared" si="7"/>
        <v>3.025E-2</v>
      </c>
      <c r="I98" s="2">
        <f t="shared" si="8"/>
        <v>44.5</v>
      </c>
      <c r="J98" s="4">
        <f t="shared" si="9"/>
        <v>3.143</v>
      </c>
      <c r="K98" s="9">
        <f t="shared" si="10"/>
        <v>0</v>
      </c>
      <c r="L98" s="1">
        <f t="shared" si="11"/>
        <v>-4.49999999999999</v>
      </c>
    </row>
    <row r="99" s="1" customFormat="1" spans="1:12">
      <c r="A99" s="2">
        <v>3.21</v>
      </c>
      <c r="B99" s="10" t="s">
        <v>544</v>
      </c>
      <c r="C99" s="4">
        <v>3.21</v>
      </c>
      <c r="D99" s="5">
        <v>44.3</v>
      </c>
      <c r="E99" s="4"/>
      <c r="F99" s="4"/>
      <c r="G99" s="2">
        <f t="shared" si="6"/>
        <v>3.176</v>
      </c>
      <c r="H99" s="11" t="str">
        <f t="shared" si="7"/>
        <v>3.024E-2</v>
      </c>
      <c r="I99" s="2">
        <f t="shared" si="8"/>
        <v>44.7</v>
      </c>
      <c r="J99" s="4">
        <f t="shared" si="9"/>
        <v>3.176</v>
      </c>
      <c r="K99" s="9">
        <f t="shared" si="10"/>
        <v>-0.0999999999999959</v>
      </c>
      <c r="L99" s="1">
        <f t="shared" si="11"/>
        <v>-4.49999999999999</v>
      </c>
    </row>
    <row r="100" s="1" customFormat="1" spans="1:12">
      <c r="A100" s="2">
        <v>3.243</v>
      </c>
      <c r="B100" s="10" t="s">
        <v>544</v>
      </c>
      <c r="C100" s="4">
        <v>3.243</v>
      </c>
      <c r="D100" s="5">
        <v>44</v>
      </c>
      <c r="E100" s="4"/>
      <c r="F100" s="4"/>
      <c r="G100" s="2">
        <f t="shared" si="6"/>
        <v>3.21</v>
      </c>
      <c r="H100" s="11" t="str">
        <f t="shared" si="7"/>
        <v>3.024E-2</v>
      </c>
      <c r="I100" s="2">
        <f t="shared" si="8"/>
        <v>44.3</v>
      </c>
      <c r="J100" s="4">
        <f t="shared" si="9"/>
        <v>3.21</v>
      </c>
      <c r="K100" s="9">
        <f t="shared" si="10"/>
        <v>-0.0999999999999959</v>
      </c>
      <c r="L100" s="1">
        <f t="shared" si="11"/>
        <v>-4.49999999999999</v>
      </c>
    </row>
    <row r="101" s="1" customFormat="1" spans="1:12">
      <c r="A101" s="2">
        <v>3.276</v>
      </c>
      <c r="B101" s="10" t="s">
        <v>545</v>
      </c>
      <c r="C101" s="4">
        <v>3.276</v>
      </c>
      <c r="D101" s="5">
        <v>44.4</v>
      </c>
      <c r="E101" s="4"/>
      <c r="F101" s="4"/>
      <c r="G101" s="2">
        <f t="shared" si="6"/>
        <v>3.243</v>
      </c>
      <c r="H101" s="11" t="str">
        <f t="shared" si="7"/>
        <v>3.024E-2</v>
      </c>
      <c r="I101" s="2">
        <f t="shared" si="8"/>
        <v>44</v>
      </c>
      <c r="J101" s="4">
        <f t="shared" si="9"/>
        <v>3.243</v>
      </c>
      <c r="K101" s="9">
        <f t="shared" si="10"/>
        <v>-0.0999999999999959</v>
      </c>
      <c r="L101" s="1">
        <f t="shared" si="11"/>
        <v>-4.49999999999999</v>
      </c>
    </row>
    <row r="102" s="1" customFormat="1" spans="1:12">
      <c r="A102" s="2">
        <v>3.31</v>
      </c>
      <c r="B102" s="10" t="s">
        <v>544</v>
      </c>
      <c r="C102" s="4">
        <v>3.31</v>
      </c>
      <c r="D102" s="5">
        <v>44.8</v>
      </c>
      <c r="E102" s="4"/>
      <c r="F102" s="4"/>
      <c r="G102" s="2">
        <f t="shared" si="6"/>
        <v>3.276</v>
      </c>
      <c r="H102" s="11" t="str">
        <f t="shared" si="7"/>
        <v>3.023E-2</v>
      </c>
      <c r="I102" s="2">
        <f t="shared" si="8"/>
        <v>44.4</v>
      </c>
      <c r="J102" s="4">
        <f t="shared" si="9"/>
        <v>3.276</v>
      </c>
      <c r="K102" s="9">
        <f t="shared" si="10"/>
        <v>-0.199999999999992</v>
      </c>
      <c r="L102" s="1">
        <f t="shared" si="11"/>
        <v>-4.49999999999999</v>
      </c>
    </row>
    <row r="103" s="1" customFormat="1" spans="1:12">
      <c r="A103" s="2">
        <v>3.343</v>
      </c>
      <c r="B103" s="10" t="s">
        <v>546</v>
      </c>
      <c r="C103" s="4">
        <v>3.343</v>
      </c>
      <c r="D103" s="5">
        <v>44.6</v>
      </c>
      <c r="E103" s="4"/>
      <c r="F103" s="4"/>
      <c r="G103" s="2">
        <f t="shared" si="6"/>
        <v>3.31</v>
      </c>
      <c r="H103" s="11" t="str">
        <f t="shared" si="7"/>
        <v>3.024E-2</v>
      </c>
      <c r="I103" s="2">
        <f t="shared" si="8"/>
        <v>44.8</v>
      </c>
      <c r="J103" s="4">
        <f t="shared" si="9"/>
        <v>3.31</v>
      </c>
      <c r="K103" s="9">
        <f t="shared" si="10"/>
        <v>-0.0999999999999959</v>
      </c>
      <c r="L103" s="1">
        <f t="shared" si="11"/>
        <v>-4.49999999999999</v>
      </c>
    </row>
    <row r="104" s="1" customFormat="1" spans="1:12">
      <c r="A104" s="2">
        <v>3.377</v>
      </c>
      <c r="B104" s="10" t="s">
        <v>545</v>
      </c>
      <c r="C104" s="4">
        <v>3.377</v>
      </c>
      <c r="D104" s="5">
        <v>44.2</v>
      </c>
      <c r="E104" s="4"/>
      <c r="F104" s="4"/>
      <c r="G104" s="2">
        <f t="shared" si="6"/>
        <v>3.343</v>
      </c>
      <c r="H104" s="11" t="str">
        <f t="shared" si="7"/>
        <v>3.022E-2</v>
      </c>
      <c r="I104" s="2">
        <f t="shared" si="8"/>
        <v>44.6</v>
      </c>
      <c r="J104" s="4">
        <f t="shared" si="9"/>
        <v>3.343</v>
      </c>
      <c r="K104" s="9">
        <f t="shared" si="10"/>
        <v>-0.299999999999988</v>
      </c>
      <c r="L104" s="1">
        <f t="shared" si="11"/>
        <v>-4.49999999999999</v>
      </c>
    </row>
    <row r="105" s="1" customFormat="1" spans="1:12">
      <c r="A105" s="2">
        <v>3.41</v>
      </c>
      <c r="B105" s="10" t="s">
        <v>545</v>
      </c>
      <c r="C105" s="4">
        <v>3.41</v>
      </c>
      <c r="D105" s="5">
        <v>45</v>
      </c>
      <c r="E105" s="4"/>
      <c r="F105" s="4"/>
      <c r="G105" s="2">
        <f t="shared" si="6"/>
        <v>3.377</v>
      </c>
      <c r="H105" s="11" t="str">
        <f t="shared" si="7"/>
        <v>3.023E-2</v>
      </c>
      <c r="I105" s="2">
        <f t="shared" si="8"/>
        <v>44.2</v>
      </c>
      <c r="J105" s="4">
        <f t="shared" si="9"/>
        <v>3.377</v>
      </c>
      <c r="K105" s="9">
        <f t="shared" si="10"/>
        <v>-0.199999999999992</v>
      </c>
      <c r="L105" s="1">
        <f t="shared" si="11"/>
        <v>-4.49999999999999</v>
      </c>
    </row>
    <row r="106" s="1" customFormat="1" spans="1:12">
      <c r="A106" s="2">
        <v>3.444</v>
      </c>
      <c r="B106" s="10" t="s">
        <v>544</v>
      </c>
      <c r="C106" s="4">
        <v>3.444</v>
      </c>
      <c r="D106" s="5">
        <v>44</v>
      </c>
      <c r="E106" s="4"/>
      <c r="F106" s="4"/>
      <c r="G106" s="2">
        <f t="shared" si="6"/>
        <v>3.41</v>
      </c>
      <c r="H106" s="11" t="str">
        <f t="shared" si="7"/>
        <v>3.023E-2</v>
      </c>
      <c r="I106" s="2">
        <f t="shared" si="8"/>
        <v>45</v>
      </c>
      <c r="J106" s="4">
        <f t="shared" si="9"/>
        <v>3.41</v>
      </c>
      <c r="K106" s="9">
        <f t="shared" si="10"/>
        <v>-0.199999999999992</v>
      </c>
      <c r="L106" s="1">
        <f t="shared" si="11"/>
        <v>-4.49999999999999</v>
      </c>
    </row>
    <row r="107" s="1" customFormat="1" spans="1:12">
      <c r="A107" s="2">
        <v>3.477</v>
      </c>
      <c r="B107" s="10" t="s">
        <v>545</v>
      </c>
      <c r="C107" s="4">
        <v>3.477</v>
      </c>
      <c r="D107" s="5">
        <v>249.4</v>
      </c>
      <c r="E107" s="4"/>
      <c r="F107" s="4"/>
      <c r="G107" s="2">
        <f t="shared" si="6"/>
        <v>3.444</v>
      </c>
      <c r="H107" s="11" t="str">
        <f t="shared" si="7"/>
        <v>3.024E-2</v>
      </c>
      <c r="I107" s="2">
        <f t="shared" si="8"/>
        <v>44</v>
      </c>
      <c r="J107" s="4">
        <f t="shared" si="9"/>
        <v>3.444</v>
      </c>
      <c r="K107" s="9">
        <f t="shared" si="10"/>
        <v>-0.0999999999999959</v>
      </c>
      <c r="L107" s="1">
        <f t="shared" si="11"/>
        <v>-4.49999999999999</v>
      </c>
    </row>
    <row r="108" s="1" customFormat="1" spans="1:12">
      <c r="A108" s="2">
        <v>3.51</v>
      </c>
      <c r="B108" s="10" t="s">
        <v>545</v>
      </c>
      <c r="C108" s="4">
        <v>3.51</v>
      </c>
      <c r="D108" s="5">
        <v>253.8</v>
      </c>
      <c r="E108" s="4"/>
      <c r="F108" s="4"/>
      <c r="G108" s="2">
        <f t="shared" si="6"/>
        <v>3.477</v>
      </c>
      <c r="H108" s="11" t="str">
        <f t="shared" si="7"/>
        <v>3.023E-2</v>
      </c>
      <c r="I108" s="2">
        <f t="shared" si="8"/>
        <v>249.4</v>
      </c>
      <c r="J108" s="4">
        <f t="shared" si="9"/>
        <v>3.477</v>
      </c>
      <c r="K108" s="9">
        <f t="shared" si="10"/>
        <v>-0.199999999999992</v>
      </c>
      <c r="L108" s="1">
        <f t="shared" si="11"/>
        <v>1.30000000000002</v>
      </c>
    </row>
    <row r="109" s="1" customFormat="1" spans="1:12">
      <c r="A109" s="2">
        <v>3.544</v>
      </c>
      <c r="B109" s="10" t="s">
        <v>544</v>
      </c>
      <c r="C109" s="4">
        <v>3.544</v>
      </c>
      <c r="D109" s="5">
        <v>253.8</v>
      </c>
      <c r="E109" s="4"/>
      <c r="F109" s="4"/>
      <c r="G109" s="2">
        <f t="shared" si="6"/>
        <v>3.51</v>
      </c>
      <c r="H109" s="11" t="str">
        <f t="shared" si="7"/>
        <v>3.023E-2</v>
      </c>
      <c r="I109" s="2">
        <f t="shared" si="8"/>
        <v>253.8</v>
      </c>
      <c r="J109" s="4">
        <f t="shared" si="9"/>
        <v>3.51</v>
      </c>
      <c r="K109" s="9">
        <f t="shared" si="10"/>
        <v>-0.199999999999992</v>
      </c>
      <c r="L109" s="1">
        <f t="shared" si="11"/>
        <v>1.30000000000002</v>
      </c>
    </row>
    <row r="110" s="1" customFormat="1" spans="1:12">
      <c r="A110" s="2">
        <v>3.577</v>
      </c>
      <c r="B110" s="10" t="s">
        <v>540</v>
      </c>
      <c r="C110" s="4">
        <v>3.577</v>
      </c>
      <c r="D110" s="5">
        <v>253.8</v>
      </c>
      <c r="E110" s="4"/>
      <c r="F110" s="4"/>
      <c r="G110" s="2">
        <f t="shared" si="6"/>
        <v>3.544</v>
      </c>
      <c r="H110" s="11" t="str">
        <f t="shared" si="7"/>
        <v>3.024E-2</v>
      </c>
      <c r="I110" s="2">
        <f t="shared" si="8"/>
        <v>253.8</v>
      </c>
      <c r="J110" s="4">
        <f t="shared" si="9"/>
        <v>3.544</v>
      </c>
      <c r="K110" s="9">
        <f t="shared" si="10"/>
        <v>-0.0999999999999959</v>
      </c>
      <c r="L110" s="1">
        <f t="shared" si="11"/>
        <v>1.30000000000002</v>
      </c>
    </row>
    <row r="111" s="1" customFormat="1" spans="1:12">
      <c r="A111" s="2">
        <v>3.611</v>
      </c>
      <c r="B111" s="10" t="s">
        <v>541</v>
      </c>
      <c r="C111" s="4">
        <v>3.611</v>
      </c>
      <c r="D111" s="5">
        <v>253.8</v>
      </c>
      <c r="E111" s="4"/>
      <c r="F111" s="4"/>
      <c r="G111" s="2">
        <f t="shared" si="6"/>
        <v>3.577</v>
      </c>
      <c r="H111" s="11" t="str">
        <f t="shared" si="7"/>
        <v>3.025E-2</v>
      </c>
      <c r="I111" s="2">
        <f t="shared" si="8"/>
        <v>253.8</v>
      </c>
      <c r="J111" s="4">
        <f t="shared" si="9"/>
        <v>3.577</v>
      </c>
      <c r="K111" s="9">
        <f t="shared" si="10"/>
        <v>0</v>
      </c>
      <c r="L111" s="1">
        <f t="shared" si="11"/>
        <v>1.30000000000002</v>
      </c>
    </row>
    <row r="112" s="1" customFormat="1" spans="1:12">
      <c r="A112" s="2">
        <v>3.644</v>
      </c>
      <c r="B112" s="10" t="s">
        <v>543</v>
      </c>
      <c r="C112" s="4">
        <v>3.644</v>
      </c>
      <c r="D112" s="5">
        <v>253.8</v>
      </c>
      <c r="E112" s="4"/>
      <c r="F112" s="4"/>
      <c r="G112" s="2">
        <f t="shared" si="6"/>
        <v>3.611</v>
      </c>
      <c r="H112" s="11" t="str">
        <f t="shared" si="7"/>
        <v>3.026E-2</v>
      </c>
      <c r="I112" s="2">
        <f t="shared" si="8"/>
        <v>253.8</v>
      </c>
      <c r="J112" s="4">
        <f t="shared" si="9"/>
        <v>3.611</v>
      </c>
      <c r="K112" s="9">
        <f t="shared" si="10"/>
        <v>0.0999999999999959</v>
      </c>
      <c r="L112" s="1">
        <f t="shared" si="11"/>
        <v>1.30000000000002</v>
      </c>
    </row>
    <row r="113" s="1" customFormat="1" spans="1:12">
      <c r="A113" s="2">
        <v>3.678</v>
      </c>
      <c r="B113" s="10" t="s">
        <v>547</v>
      </c>
      <c r="C113" s="4">
        <v>3.678</v>
      </c>
      <c r="D113" s="5">
        <v>253.8</v>
      </c>
      <c r="E113" s="4"/>
      <c r="F113" s="4"/>
      <c r="G113" s="2">
        <f t="shared" si="6"/>
        <v>3.644</v>
      </c>
      <c r="H113" s="11" t="str">
        <f t="shared" si="7"/>
        <v>3.028E-2</v>
      </c>
      <c r="I113" s="2">
        <f t="shared" si="8"/>
        <v>253.8</v>
      </c>
      <c r="J113" s="4">
        <f t="shared" si="9"/>
        <v>3.644</v>
      </c>
      <c r="K113" s="9">
        <f t="shared" si="10"/>
        <v>0.300000000000022</v>
      </c>
      <c r="L113" s="1">
        <f t="shared" si="11"/>
        <v>1.30000000000002</v>
      </c>
    </row>
    <row r="114" s="1" customFormat="1" spans="1:12">
      <c r="A114" s="2">
        <v>3.711</v>
      </c>
      <c r="B114" s="10" t="s">
        <v>548</v>
      </c>
      <c r="C114" s="4">
        <v>3.711</v>
      </c>
      <c r="D114" s="5">
        <v>253.8</v>
      </c>
      <c r="E114" s="4"/>
      <c r="F114" s="4"/>
      <c r="G114" s="2">
        <f t="shared" si="6"/>
        <v>3.678</v>
      </c>
      <c r="H114" s="11" t="str">
        <f t="shared" si="7"/>
        <v>3.030E-2</v>
      </c>
      <c r="I114" s="2">
        <f t="shared" si="8"/>
        <v>253.8</v>
      </c>
      <c r="J114" s="4">
        <f t="shared" si="9"/>
        <v>3.678</v>
      </c>
      <c r="K114" s="9">
        <f t="shared" si="10"/>
        <v>0.500000000000014</v>
      </c>
      <c r="L114" s="1">
        <f t="shared" si="11"/>
        <v>1.30000000000002</v>
      </c>
    </row>
    <row r="115" s="1" customFormat="1" spans="1:12">
      <c r="A115" s="2">
        <v>3.744</v>
      </c>
      <c r="B115" s="10" t="s">
        <v>549</v>
      </c>
      <c r="C115" s="4">
        <v>3.744</v>
      </c>
      <c r="D115" s="5">
        <v>253.8</v>
      </c>
      <c r="E115" s="4"/>
      <c r="F115" s="4"/>
      <c r="G115" s="2">
        <f t="shared" si="6"/>
        <v>3.711</v>
      </c>
      <c r="H115" s="11" t="str">
        <f t="shared" si="7"/>
        <v>3.032E-2</v>
      </c>
      <c r="I115" s="2">
        <f t="shared" si="8"/>
        <v>253.8</v>
      </c>
      <c r="J115" s="4">
        <f t="shared" si="9"/>
        <v>3.711</v>
      </c>
      <c r="K115" s="9">
        <f t="shared" si="10"/>
        <v>0.700000000000006</v>
      </c>
      <c r="L115" s="1">
        <f t="shared" si="11"/>
        <v>1.30000000000002</v>
      </c>
    </row>
    <row r="116" s="1" customFormat="1" spans="1:12">
      <c r="A116" s="2">
        <v>3.778</v>
      </c>
      <c r="B116" s="10" t="s">
        <v>550</v>
      </c>
      <c r="C116" s="4">
        <v>3.778</v>
      </c>
      <c r="D116" s="5">
        <v>253.8</v>
      </c>
      <c r="E116" s="4"/>
      <c r="F116" s="4"/>
      <c r="G116" s="2">
        <f t="shared" si="6"/>
        <v>3.744</v>
      </c>
      <c r="H116" s="11" t="str">
        <f t="shared" si="7"/>
        <v>3.034E-2</v>
      </c>
      <c r="I116" s="2">
        <f t="shared" si="8"/>
        <v>253.8</v>
      </c>
      <c r="J116" s="4">
        <f t="shared" si="9"/>
        <v>3.744</v>
      </c>
      <c r="K116" s="9">
        <f t="shared" si="10"/>
        <v>0.899999999999998</v>
      </c>
      <c r="L116" s="1">
        <f t="shared" si="11"/>
        <v>1.30000000000002</v>
      </c>
    </row>
    <row r="117" s="1" customFormat="1" spans="1:12">
      <c r="A117" s="2">
        <v>3.811</v>
      </c>
      <c r="B117" s="10" t="s">
        <v>551</v>
      </c>
      <c r="C117" s="4">
        <v>3.811</v>
      </c>
      <c r="D117" s="5">
        <v>253.8</v>
      </c>
      <c r="E117" s="4"/>
      <c r="F117" s="4"/>
      <c r="G117" s="2">
        <f t="shared" si="6"/>
        <v>3.778</v>
      </c>
      <c r="H117" s="11" t="str">
        <f t="shared" si="7"/>
        <v>3.035E-2</v>
      </c>
      <c r="I117" s="2">
        <f t="shared" si="8"/>
        <v>253.8</v>
      </c>
      <c r="J117" s="4">
        <f t="shared" si="9"/>
        <v>3.778</v>
      </c>
      <c r="K117" s="9">
        <f t="shared" si="10"/>
        <v>0.999999999999994</v>
      </c>
      <c r="L117" s="1">
        <f t="shared" si="11"/>
        <v>1.30000000000002</v>
      </c>
    </row>
    <row r="118" s="1" customFormat="1" spans="1:12">
      <c r="A118" s="2">
        <v>3.845</v>
      </c>
      <c r="B118" s="10" t="s">
        <v>552</v>
      </c>
      <c r="C118" s="4">
        <v>3.845</v>
      </c>
      <c r="D118" s="5">
        <v>253.8</v>
      </c>
      <c r="E118" s="4"/>
      <c r="F118" s="4"/>
      <c r="G118" s="2">
        <f t="shared" si="6"/>
        <v>3.811</v>
      </c>
      <c r="H118" s="11" t="str">
        <f t="shared" si="7"/>
        <v>3.036E-2</v>
      </c>
      <c r="I118" s="2">
        <f t="shared" si="8"/>
        <v>253.8</v>
      </c>
      <c r="J118" s="4">
        <f t="shared" si="9"/>
        <v>3.811</v>
      </c>
      <c r="K118" s="9">
        <f t="shared" si="10"/>
        <v>1.10000000000002</v>
      </c>
      <c r="L118" s="1">
        <f t="shared" si="11"/>
        <v>1.30000000000002</v>
      </c>
    </row>
    <row r="119" s="1" customFormat="1" spans="1:12">
      <c r="A119" s="2">
        <v>3.878</v>
      </c>
      <c r="B119" s="10" t="s">
        <v>553</v>
      </c>
      <c r="C119" s="4">
        <v>3.878</v>
      </c>
      <c r="D119" s="5">
        <v>243.5</v>
      </c>
      <c r="E119" s="4"/>
      <c r="F119" s="4"/>
      <c r="G119" s="2">
        <f t="shared" si="6"/>
        <v>3.845</v>
      </c>
      <c r="H119" s="11" t="str">
        <f t="shared" si="7"/>
        <v>3.038E-2</v>
      </c>
      <c r="I119" s="2">
        <f t="shared" si="8"/>
        <v>253.8</v>
      </c>
      <c r="J119" s="4">
        <f t="shared" si="9"/>
        <v>3.845</v>
      </c>
      <c r="K119" s="9">
        <f t="shared" si="10"/>
        <v>1.30000000000002</v>
      </c>
      <c r="L119" s="1">
        <f t="shared" si="11"/>
        <v>1.30000000000002</v>
      </c>
    </row>
    <row r="120" s="1" customFormat="1" spans="1:12">
      <c r="A120" s="2">
        <v>3.912</v>
      </c>
      <c r="B120" s="10" t="s">
        <v>550</v>
      </c>
      <c r="C120" s="4">
        <v>3.912</v>
      </c>
      <c r="D120" s="5">
        <v>43.4</v>
      </c>
      <c r="E120" s="4"/>
      <c r="F120" s="4"/>
      <c r="G120" s="2">
        <f t="shared" si="6"/>
        <v>3.878</v>
      </c>
      <c r="H120" s="11" t="str">
        <f t="shared" si="7"/>
        <v>3.037E-2</v>
      </c>
      <c r="I120" s="2">
        <f t="shared" si="8"/>
        <v>243.5</v>
      </c>
      <c r="J120" s="4">
        <f t="shared" si="9"/>
        <v>3.878</v>
      </c>
      <c r="K120" s="9">
        <f t="shared" si="10"/>
        <v>1.20000000000002</v>
      </c>
      <c r="L120" s="1">
        <f t="shared" si="11"/>
        <v>1.30000000000002</v>
      </c>
    </row>
    <row r="121" s="1" customFormat="1" spans="1:12">
      <c r="A121" s="2">
        <v>3.945</v>
      </c>
      <c r="B121" s="10" t="s">
        <v>550</v>
      </c>
      <c r="C121" s="4">
        <v>3.945</v>
      </c>
      <c r="D121" s="5">
        <v>44.3</v>
      </c>
      <c r="E121" s="4"/>
      <c r="F121" s="4"/>
      <c r="G121" s="2">
        <f t="shared" si="6"/>
        <v>3.912</v>
      </c>
      <c r="H121" s="11" t="str">
        <f t="shared" si="7"/>
        <v>3.035E-2</v>
      </c>
      <c r="I121" s="2">
        <f t="shared" si="8"/>
        <v>43.4</v>
      </c>
      <c r="J121" s="4">
        <f t="shared" si="9"/>
        <v>3.912</v>
      </c>
      <c r="K121" s="9">
        <f t="shared" si="10"/>
        <v>0.999999999999994</v>
      </c>
      <c r="L121" s="1">
        <f t="shared" si="11"/>
        <v>-4.49999999999999</v>
      </c>
    </row>
    <row r="122" s="1" customFormat="1" spans="1:12">
      <c r="A122" s="2">
        <v>3.978</v>
      </c>
      <c r="B122" s="10" t="s">
        <v>554</v>
      </c>
      <c r="C122" s="4">
        <v>3.978</v>
      </c>
      <c r="D122" s="5">
        <v>44.5</v>
      </c>
      <c r="E122" s="4"/>
      <c r="F122" s="4"/>
      <c r="G122" s="2">
        <f t="shared" si="6"/>
        <v>3.945</v>
      </c>
      <c r="H122" s="11" t="str">
        <f t="shared" si="7"/>
        <v>3.035E-2</v>
      </c>
      <c r="I122" s="2">
        <f t="shared" si="8"/>
        <v>44.3</v>
      </c>
      <c r="J122" s="4">
        <f t="shared" si="9"/>
        <v>3.945</v>
      </c>
      <c r="K122" s="9">
        <f t="shared" si="10"/>
        <v>0.999999999999994</v>
      </c>
      <c r="L122" s="1">
        <f t="shared" si="11"/>
        <v>-4.49999999999999</v>
      </c>
    </row>
    <row r="123" s="1" customFormat="1" spans="1:12">
      <c r="A123" s="2">
        <v>4.012</v>
      </c>
      <c r="B123" s="10" t="s">
        <v>555</v>
      </c>
      <c r="C123" s="4">
        <v>4.012</v>
      </c>
      <c r="D123" s="5">
        <v>44.1</v>
      </c>
      <c r="E123" s="4"/>
      <c r="F123" s="4"/>
      <c r="G123" s="2">
        <f t="shared" si="6"/>
        <v>3.978</v>
      </c>
      <c r="H123" s="11" t="str">
        <f t="shared" si="7"/>
        <v>3.033E-2</v>
      </c>
      <c r="I123" s="2">
        <f t="shared" si="8"/>
        <v>44.5</v>
      </c>
      <c r="J123" s="4">
        <f t="shared" si="9"/>
        <v>3.978</v>
      </c>
      <c r="K123" s="9">
        <f t="shared" si="10"/>
        <v>0.800000000000002</v>
      </c>
      <c r="L123" s="1">
        <f t="shared" si="11"/>
        <v>-4.49999999999999</v>
      </c>
    </row>
    <row r="124" s="1" customFormat="1" spans="1:12">
      <c r="A124" s="2">
        <v>4.045</v>
      </c>
      <c r="B124" s="10" t="s">
        <v>541</v>
      </c>
      <c r="C124" s="4">
        <v>4.045</v>
      </c>
      <c r="D124" s="5">
        <v>44.7</v>
      </c>
      <c r="E124" s="4"/>
      <c r="F124" s="4"/>
      <c r="G124" s="2">
        <f t="shared" si="6"/>
        <v>4.012</v>
      </c>
      <c r="H124" s="11" t="str">
        <f t="shared" si="7"/>
        <v>3.029E-2</v>
      </c>
      <c r="I124" s="2">
        <f t="shared" si="8"/>
        <v>44.1</v>
      </c>
      <c r="J124" s="4">
        <f t="shared" si="9"/>
        <v>4.012</v>
      </c>
      <c r="K124" s="9">
        <f t="shared" si="10"/>
        <v>0.400000000000018</v>
      </c>
      <c r="L124" s="1">
        <f t="shared" si="11"/>
        <v>-4.49999999999999</v>
      </c>
    </row>
    <row r="125" s="1" customFormat="1" spans="1:12">
      <c r="A125" s="2">
        <v>4.079</v>
      </c>
      <c r="B125" s="10" t="s">
        <v>546</v>
      </c>
      <c r="C125" s="4">
        <v>4.079</v>
      </c>
      <c r="D125" s="5">
        <v>44.4</v>
      </c>
      <c r="E125" s="4"/>
      <c r="F125" s="4"/>
      <c r="G125" s="2">
        <f t="shared" si="6"/>
        <v>4.045</v>
      </c>
      <c r="H125" s="11" t="str">
        <f t="shared" si="7"/>
        <v>3.026E-2</v>
      </c>
      <c r="I125" s="2">
        <f t="shared" si="8"/>
        <v>44.7</v>
      </c>
      <c r="J125" s="4">
        <f t="shared" si="9"/>
        <v>4.045</v>
      </c>
      <c r="K125" s="9">
        <f t="shared" si="10"/>
        <v>0.0999999999999959</v>
      </c>
      <c r="L125" s="1">
        <f t="shared" si="11"/>
        <v>-4.49999999999999</v>
      </c>
    </row>
    <row r="126" s="1" customFormat="1" spans="1:12">
      <c r="A126" s="2">
        <v>4.112</v>
      </c>
      <c r="B126" s="10" t="s">
        <v>556</v>
      </c>
      <c r="C126" s="4">
        <v>4.112</v>
      </c>
      <c r="D126" s="5">
        <v>44.3</v>
      </c>
      <c r="E126" s="4"/>
      <c r="F126" s="4"/>
      <c r="G126" s="2">
        <f t="shared" si="6"/>
        <v>4.079</v>
      </c>
      <c r="H126" s="11" t="str">
        <f t="shared" si="7"/>
        <v>3.022E-2</v>
      </c>
      <c r="I126" s="2">
        <f t="shared" si="8"/>
        <v>44.4</v>
      </c>
      <c r="J126" s="4">
        <f t="shared" si="9"/>
        <v>4.079</v>
      </c>
      <c r="K126" s="9">
        <f t="shared" si="10"/>
        <v>-0.299999999999988</v>
      </c>
      <c r="L126" s="1">
        <f t="shared" si="11"/>
        <v>-4.49999999999999</v>
      </c>
    </row>
    <row r="127" s="1" customFormat="1" spans="1:12">
      <c r="A127" s="2">
        <v>4.146</v>
      </c>
      <c r="B127" s="10" t="s">
        <v>557</v>
      </c>
      <c r="C127" s="4">
        <v>4.146</v>
      </c>
      <c r="D127" s="5">
        <v>44.4</v>
      </c>
      <c r="E127" s="4"/>
      <c r="F127" s="4"/>
      <c r="G127" s="2">
        <f t="shared" si="6"/>
        <v>4.112</v>
      </c>
      <c r="H127" s="11" t="str">
        <f t="shared" si="7"/>
        <v>3.020E-2</v>
      </c>
      <c r="I127" s="2">
        <f t="shared" si="8"/>
        <v>44.3</v>
      </c>
      <c r="J127" s="4">
        <f t="shared" si="9"/>
        <v>4.112</v>
      </c>
      <c r="K127" s="9">
        <f t="shared" si="10"/>
        <v>-0.49999999999998</v>
      </c>
      <c r="L127" s="1">
        <f t="shared" si="11"/>
        <v>-4.49999999999999</v>
      </c>
    </row>
    <row r="128" s="1" customFormat="1" spans="1:12">
      <c r="A128" s="2">
        <v>4.179</v>
      </c>
      <c r="B128" s="10" t="s">
        <v>558</v>
      </c>
      <c r="C128" s="4">
        <v>4.179</v>
      </c>
      <c r="D128" s="5">
        <v>43.9</v>
      </c>
      <c r="E128" s="4"/>
      <c r="F128" s="4"/>
      <c r="G128" s="2">
        <f t="shared" si="6"/>
        <v>4.146</v>
      </c>
      <c r="H128" s="11" t="str">
        <f t="shared" si="7"/>
        <v>3.017E-2</v>
      </c>
      <c r="I128" s="2">
        <f t="shared" si="8"/>
        <v>44.4</v>
      </c>
      <c r="J128" s="4">
        <f t="shared" si="9"/>
        <v>4.146</v>
      </c>
      <c r="K128" s="9">
        <f t="shared" si="10"/>
        <v>-0.800000000000002</v>
      </c>
      <c r="L128" s="1">
        <f t="shared" si="11"/>
        <v>-4.49999999999999</v>
      </c>
    </row>
    <row r="129" s="1" customFormat="1" spans="1:12">
      <c r="A129" s="2">
        <v>4.213</v>
      </c>
      <c r="B129" s="10" t="s">
        <v>559</v>
      </c>
      <c r="C129" s="4">
        <v>4.213</v>
      </c>
      <c r="D129" s="5">
        <v>44.2</v>
      </c>
      <c r="E129" s="4"/>
      <c r="F129" s="4"/>
      <c r="G129" s="2">
        <f t="shared" si="6"/>
        <v>4.179</v>
      </c>
      <c r="H129" s="11" t="str">
        <f t="shared" si="7"/>
        <v>3.013E-2</v>
      </c>
      <c r="I129" s="2">
        <f t="shared" si="8"/>
        <v>43.9</v>
      </c>
      <c r="J129" s="4">
        <f t="shared" si="9"/>
        <v>4.179</v>
      </c>
      <c r="K129" s="9">
        <f t="shared" si="10"/>
        <v>-1.19999999999999</v>
      </c>
      <c r="L129" s="1">
        <f t="shared" si="11"/>
        <v>-4.49999999999999</v>
      </c>
    </row>
    <row r="130" s="1" customFormat="1" spans="1:12">
      <c r="A130" s="2">
        <v>4.246</v>
      </c>
      <c r="B130" s="10" t="s">
        <v>560</v>
      </c>
      <c r="C130" s="4">
        <v>4.246</v>
      </c>
      <c r="D130" s="5">
        <v>44.2</v>
      </c>
      <c r="E130" s="4"/>
      <c r="F130" s="4"/>
      <c r="G130" s="2">
        <f t="shared" si="6"/>
        <v>4.213</v>
      </c>
      <c r="H130" s="11" t="str">
        <f t="shared" si="7"/>
        <v>3.011E-2</v>
      </c>
      <c r="I130" s="2">
        <f t="shared" si="8"/>
        <v>44.2</v>
      </c>
      <c r="J130" s="4">
        <f t="shared" si="9"/>
        <v>4.213</v>
      </c>
      <c r="K130" s="9">
        <f t="shared" si="10"/>
        <v>-1.39999999999998</v>
      </c>
      <c r="L130" s="1">
        <f t="shared" si="11"/>
        <v>-4.49999999999999</v>
      </c>
    </row>
    <row r="131" s="1" customFormat="1" spans="1:12">
      <c r="A131" s="2">
        <v>4.279</v>
      </c>
      <c r="B131" s="10" t="s">
        <v>487</v>
      </c>
      <c r="C131" s="4">
        <v>4.279</v>
      </c>
      <c r="D131" s="5">
        <v>253.8</v>
      </c>
      <c r="E131" s="4"/>
      <c r="F131" s="4"/>
      <c r="G131" s="2">
        <f t="shared" si="6"/>
        <v>4.246</v>
      </c>
      <c r="H131" s="11" t="str">
        <f t="shared" si="7"/>
        <v>3.006E-2</v>
      </c>
      <c r="I131" s="2">
        <f t="shared" si="8"/>
        <v>44.2</v>
      </c>
      <c r="J131" s="4">
        <f t="shared" si="9"/>
        <v>4.246</v>
      </c>
      <c r="K131" s="9">
        <f t="shared" si="10"/>
        <v>-1.89999999999999</v>
      </c>
      <c r="L131" s="1">
        <f t="shared" si="11"/>
        <v>-4.49999999999999</v>
      </c>
    </row>
    <row r="132" s="1" customFormat="1" spans="1:12">
      <c r="A132" s="2">
        <v>4.313</v>
      </c>
      <c r="B132" s="10" t="s">
        <v>502</v>
      </c>
      <c r="C132" s="4">
        <v>4.313</v>
      </c>
      <c r="D132" s="5">
        <v>253.7</v>
      </c>
      <c r="E132" s="4"/>
      <c r="F132" s="4"/>
      <c r="G132" s="2">
        <f t="shared" ref="G132:G195" si="12">A131</f>
        <v>4.279</v>
      </c>
      <c r="H132" s="11" t="str">
        <f t="shared" ref="H132:H195" si="13">B131</f>
        <v>2.993E-2</v>
      </c>
      <c r="I132" s="2">
        <f t="shared" ref="I132:I195" si="14">D131</f>
        <v>253.8</v>
      </c>
      <c r="J132" s="4">
        <f t="shared" ref="J132:J195" si="15">G132</f>
        <v>4.279</v>
      </c>
      <c r="K132" s="9">
        <f t="shared" ref="K132:K195" si="16">(H132-$H$4)*10000</f>
        <v>-3.20000000000001</v>
      </c>
      <c r="L132" s="1">
        <f t="shared" ref="L132:L195" si="17">IF(I132&lt;230,MIN(K:K),MAX(K:K))</f>
        <v>1.30000000000002</v>
      </c>
    </row>
    <row r="133" s="1" customFormat="1" spans="1:12">
      <c r="A133" s="2">
        <v>4.346</v>
      </c>
      <c r="B133" s="10" t="s">
        <v>500</v>
      </c>
      <c r="C133" s="4">
        <v>4.346</v>
      </c>
      <c r="D133" s="5">
        <v>253.7</v>
      </c>
      <c r="E133" s="4"/>
      <c r="F133" s="4"/>
      <c r="G133" s="2">
        <f t="shared" si="12"/>
        <v>4.313</v>
      </c>
      <c r="H133" s="11" t="str">
        <f t="shared" si="13"/>
        <v>2.988E-2</v>
      </c>
      <c r="I133" s="2">
        <f t="shared" si="14"/>
        <v>253.7</v>
      </c>
      <c r="J133" s="4">
        <f t="shared" si="15"/>
        <v>4.313</v>
      </c>
      <c r="K133" s="9">
        <f t="shared" si="16"/>
        <v>-3.69999999999999</v>
      </c>
      <c r="L133" s="1">
        <f t="shared" si="17"/>
        <v>1.30000000000002</v>
      </c>
    </row>
    <row r="134" s="1" customFormat="1" spans="1:12">
      <c r="A134" s="2">
        <v>4.38</v>
      </c>
      <c r="B134" s="10" t="s">
        <v>497</v>
      </c>
      <c r="C134" s="4">
        <v>4.38</v>
      </c>
      <c r="D134" s="5">
        <v>253.7</v>
      </c>
      <c r="E134" s="4"/>
      <c r="F134" s="4"/>
      <c r="G134" s="2">
        <f t="shared" si="12"/>
        <v>4.346</v>
      </c>
      <c r="H134" s="11" t="str">
        <f t="shared" si="13"/>
        <v>2.984E-2</v>
      </c>
      <c r="I134" s="2">
        <f t="shared" si="14"/>
        <v>253.7</v>
      </c>
      <c r="J134" s="4">
        <f t="shared" si="15"/>
        <v>4.346</v>
      </c>
      <c r="K134" s="9">
        <f t="shared" si="16"/>
        <v>-4.10000000000001</v>
      </c>
      <c r="L134" s="1">
        <f t="shared" si="17"/>
        <v>1.30000000000002</v>
      </c>
    </row>
    <row r="135" s="1" customFormat="1" spans="1:12">
      <c r="A135" s="2">
        <v>4.413</v>
      </c>
      <c r="B135" s="10" t="s">
        <v>506</v>
      </c>
      <c r="C135" s="4">
        <v>4.413</v>
      </c>
      <c r="D135" s="5">
        <v>253.7</v>
      </c>
      <c r="E135" s="4"/>
      <c r="F135" s="4"/>
      <c r="G135" s="2">
        <f t="shared" si="12"/>
        <v>4.38</v>
      </c>
      <c r="H135" s="11" t="str">
        <f t="shared" si="13"/>
        <v>2.982E-2</v>
      </c>
      <c r="I135" s="2">
        <f t="shared" si="14"/>
        <v>253.7</v>
      </c>
      <c r="J135" s="4">
        <f t="shared" si="15"/>
        <v>4.38</v>
      </c>
      <c r="K135" s="9">
        <f t="shared" si="16"/>
        <v>-4.3</v>
      </c>
      <c r="L135" s="1">
        <f t="shared" si="17"/>
        <v>1.30000000000002</v>
      </c>
    </row>
    <row r="136" s="1" customFormat="1" spans="1:12">
      <c r="A136" s="2">
        <v>4.447</v>
      </c>
      <c r="B136" s="10" t="s">
        <v>496</v>
      </c>
      <c r="C136" s="4">
        <v>4.447</v>
      </c>
      <c r="D136" s="5">
        <v>253.6</v>
      </c>
      <c r="E136" s="4"/>
      <c r="F136" s="4"/>
      <c r="G136" s="2">
        <f t="shared" si="12"/>
        <v>4.413</v>
      </c>
      <c r="H136" s="11" t="str">
        <f t="shared" si="13"/>
        <v>2.983E-2</v>
      </c>
      <c r="I136" s="2">
        <f t="shared" si="14"/>
        <v>253.7</v>
      </c>
      <c r="J136" s="4">
        <f t="shared" si="15"/>
        <v>4.413</v>
      </c>
      <c r="K136" s="9">
        <f t="shared" si="16"/>
        <v>-4.2</v>
      </c>
      <c r="L136" s="1">
        <f t="shared" si="17"/>
        <v>1.30000000000002</v>
      </c>
    </row>
    <row r="137" s="1" customFormat="1" spans="1:12">
      <c r="A137" s="2">
        <v>4.48</v>
      </c>
      <c r="B137" s="10" t="s">
        <v>495</v>
      </c>
      <c r="C137" s="4">
        <v>4.48</v>
      </c>
      <c r="D137" s="5">
        <v>253.7</v>
      </c>
      <c r="E137" s="4"/>
      <c r="F137" s="4"/>
      <c r="G137" s="2">
        <f t="shared" si="12"/>
        <v>4.447</v>
      </c>
      <c r="H137" s="11" t="str">
        <f t="shared" si="13"/>
        <v>2.985E-2</v>
      </c>
      <c r="I137" s="2">
        <f t="shared" si="14"/>
        <v>253.6</v>
      </c>
      <c r="J137" s="4">
        <f t="shared" si="15"/>
        <v>4.447</v>
      </c>
      <c r="K137" s="9">
        <f t="shared" si="16"/>
        <v>-3.99999999999998</v>
      </c>
      <c r="L137" s="1">
        <f t="shared" si="17"/>
        <v>1.30000000000002</v>
      </c>
    </row>
    <row r="138" s="1" customFormat="1" spans="1:12">
      <c r="A138" s="2">
        <v>4.513</v>
      </c>
      <c r="B138" s="10" t="s">
        <v>494</v>
      </c>
      <c r="C138" s="4">
        <v>4.513</v>
      </c>
      <c r="D138" s="5">
        <v>253.7</v>
      </c>
      <c r="E138" s="4"/>
      <c r="F138" s="4"/>
      <c r="G138" s="2">
        <f t="shared" si="12"/>
        <v>4.48</v>
      </c>
      <c r="H138" s="11" t="str">
        <f t="shared" si="13"/>
        <v>2.987E-2</v>
      </c>
      <c r="I138" s="2">
        <f t="shared" si="14"/>
        <v>253.7</v>
      </c>
      <c r="J138" s="4">
        <f t="shared" si="15"/>
        <v>4.48</v>
      </c>
      <c r="K138" s="9">
        <f t="shared" si="16"/>
        <v>-3.79999999999998</v>
      </c>
      <c r="L138" s="1">
        <f t="shared" si="17"/>
        <v>1.30000000000002</v>
      </c>
    </row>
    <row r="139" s="1" customFormat="1" spans="1:12">
      <c r="A139" s="2">
        <v>4.547</v>
      </c>
      <c r="B139" s="10" t="s">
        <v>487</v>
      </c>
      <c r="C139" s="4">
        <v>4.547</v>
      </c>
      <c r="D139" s="5">
        <v>253.7</v>
      </c>
      <c r="E139" s="4"/>
      <c r="F139" s="4"/>
      <c r="G139" s="2">
        <f t="shared" si="12"/>
        <v>4.513</v>
      </c>
      <c r="H139" s="11" t="str">
        <f t="shared" si="13"/>
        <v>2.990E-2</v>
      </c>
      <c r="I139" s="2">
        <f t="shared" si="14"/>
        <v>253.7</v>
      </c>
      <c r="J139" s="4">
        <f t="shared" si="15"/>
        <v>4.513</v>
      </c>
      <c r="K139" s="9">
        <f t="shared" si="16"/>
        <v>-3.5</v>
      </c>
      <c r="L139" s="1">
        <f t="shared" si="17"/>
        <v>1.30000000000002</v>
      </c>
    </row>
    <row r="140" s="1" customFormat="1" spans="1:12">
      <c r="A140" s="2">
        <v>4.58</v>
      </c>
      <c r="B140" s="10" t="s">
        <v>493</v>
      </c>
      <c r="C140" s="4">
        <v>4.58</v>
      </c>
      <c r="D140" s="5">
        <v>253.7</v>
      </c>
      <c r="E140" s="4"/>
      <c r="F140" s="4"/>
      <c r="G140" s="2">
        <f t="shared" si="12"/>
        <v>4.547</v>
      </c>
      <c r="H140" s="11" t="str">
        <f t="shared" si="13"/>
        <v>2.993E-2</v>
      </c>
      <c r="I140" s="2">
        <f t="shared" si="14"/>
        <v>253.7</v>
      </c>
      <c r="J140" s="4">
        <f t="shared" si="15"/>
        <v>4.547</v>
      </c>
      <c r="K140" s="9">
        <f t="shared" si="16"/>
        <v>-3.20000000000001</v>
      </c>
      <c r="L140" s="1">
        <f t="shared" si="17"/>
        <v>1.30000000000002</v>
      </c>
    </row>
    <row r="141" s="1" customFormat="1" spans="1:12">
      <c r="A141" s="2">
        <v>4.614</v>
      </c>
      <c r="B141" s="10" t="s">
        <v>505</v>
      </c>
      <c r="C141" s="4">
        <v>4.614</v>
      </c>
      <c r="D141" s="5">
        <v>253.7</v>
      </c>
      <c r="E141" s="4"/>
      <c r="F141" s="4"/>
      <c r="G141" s="2">
        <f t="shared" si="12"/>
        <v>4.58</v>
      </c>
      <c r="H141" s="11" t="str">
        <f t="shared" si="13"/>
        <v>2.996E-2</v>
      </c>
      <c r="I141" s="2">
        <f t="shared" si="14"/>
        <v>253.7</v>
      </c>
      <c r="J141" s="4">
        <f t="shared" si="15"/>
        <v>4.58</v>
      </c>
      <c r="K141" s="9">
        <f t="shared" si="16"/>
        <v>-2.89999999999999</v>
      </c>
      <c r="L141" s="1">
        <f t="shared" si="17"/>
        <v>1.30000000000002</v>
      </c>
    </row>
    <row r="142" s="1" customFormat="1" spans="1:12">
      <c r="A142" s="2">
        <v>4.647</v>
      </c>
      <c r="B142" s="10" t="s">
        <v>560</v>
      </c>
      <c r="C142" s="4">
        <v>4.647</v>
      </c>
      <c r="D142" s="5">
        <v>253.7</v>
      </c>
      <c r="E142" s="4"/>
      <c r="F142" s="4"/>
      <c r="G142" s="2">
        <f t="shared" si="12"/>
        <v>4.614</v>
      </c>
      <c r="H142" s="11" t="str">
        <f t="shared" si="13"/>
        <v>3.001E-2</v>
      </c>
      <c r="I142" s="2">
        <f t="shared" si="14"/>
        <v>253.7</v>
      </c>
      <c r="J142" s="4">
        <f t="shared" si="15"/>
        <v>4.614</v>
      </c>
      <c r="K142" s="9">
        <f t="shared" si="16"/>
        <v>-2.40000000000001</v>
      </c>
      <c r="L142" s="1">
        <f t="shared" si="17"/>
        <v>1.30000000000002</v>
      </c>
    </row>
    <row r="143" s="1" customFormat="1" spans="1:12">
      <c r="A143" s="2">
        <v>4.681</v>
      </c>
      <c r="B143" s="10" t="s">
        <v>561</v>
      </c>
      <c r="C143" s="4">
        <v>4.681</v>
      </c>
      <c r="D143" s="5">
        <v>127.4</v>
      </c>
      <c r="E143" s="4"/>
      <c r="F143" s="4"/>
      <c r="G143" s="2">
        <f t="shared" si="12"/>
        <v>4.647</v>
      </c>
      <c r="H143" s="11" t="str">
        <f t="shared" si="13"/>
        <v>3.006E-2</v>
      </c>
      <c r="I143" s="2">
        <f t="shared" si="14"/>
        <v>253.7</v>
      </c>
      <c r="J143" s="4">
        <f t="shared" si="15"/>
        <v>4.647</v>
      </c>
      <c r="K143" s="9">
        <f t="shared" si="16"/>
        <v>-1.89999999999999</v>
      </c>
      <c r="L143" s="1">
        <f t="shared" si="17"/>
        <v>1.30000000000002</v>
      </c>
    </row>
    <row r="144" s="1" customFormat="1" spans="1:12">
      <c r="A144" s="2">
        <v>4.714</v>
      </c>
      <c r="B144" s="10" t="s">
        <v>558</v>
      </c>
      <c r="C144" s="4">
        <v>4.714</v>
      </c>
      <c r="D144" s="5">
        <v>43.7</v>
      </c>
      <c r="E144" s="4"/>
      <c r="F144" s="4"/>
      <c r="G144" s="2">
        <f t="shared" si="12"/>
        <v>4.681</v>
      </c>
      <c r="H144" s="11" t="str">
        <f t="shared" si="13"/>
        <v>3.009E-2</v>
      </c>
      <c r="I144" s="2">
        <f t="shared" si="14"/>
        <v>127.4</v>
      </c>
      <c r="J144" s="4">
        <f t="shared" si="15"/>
        <v>4.681</v>
      </c>
      <c r="K144" s="9">
        <f t="shared" si="16"/>
        <v>-1.6</v>
      </c>
      <c r="L144" s="1">
        <f t="shared" si="17"/>
        <v>-4.49999999999999</v>
      </c>
    </row>
    <row r="145" s="1" customFormat="1" spans="1:12">
      <c r="A145" s="2">
        <v>4.747</v>
      </c>
      <c r="B145" s="10" t="s">
        <v>545</v>
      </c>
      <c r="C145" s="4">
        <v>4.747</v>
      </c>
      <c r="D145" s="5">
        <v>44.3</v>
      </c>
      <c r="E145" s="4"/>
      <c r="F145" s="4"/>
      <c r="G145" s="2">
        <f t="shared" si="12"/>
        <v>4.714</v>
      </c>
      <c r="H145" s="11" t="str">
        <f t="shared" si="13"/>
        <v>3.013E-2</v>
      </c>
      <c r="I145" s="2">
        <f t="shared" si="14"/>
        <v>43.7</v>
      </c>
      <c r="J145" s="4">
        <f t="shared" si="15"/>
        <v>4.714</v>
      </c>
      <c r="K145" s="9">
        <f t="shared" si="16"/>
        <v>-1.19999999999999</v>
      </c>
      <c r="L145" s="1">
        <f t="shared" si="17"/>
        <v>-4.49999999999999</v>
      </c>
    </row>
    <row r="146" s="1" customFormat="1" spans="1:12">
      <c r="A146" s="2">
        <v>4.781</v>
      </c>
      <c r="B146" s="10" t="s">
        <v>542</v>
      </c>
      <c r="C146" s="4">
        <v>4.781</v>
      </c>
      <c r="D146" s="5">
        <v>44.3</v>
      </c>
      <c r="E146" s="4"/>
      <c r="F146" s="4"/>
      <c r="G146" s="2">
        <f t="shared" si="12"/>
        <v>4.747</v>
      </c>
      <c r="H146" s="11" t="str">
        <f t="shared" si="13"/>
        <v>3.023E-2</v>
      </c>
      <c r="I146" s="2">
        <f t="shared" si="14"/>
        <v>44.3</v>
      </c>
      <c r="J146" s="4">
        <f t="shared" si="15"/>
        <v>4.747</v>
      </c>
      <c r="K146" s="9">
        <f t="shared" si="16"/>
        <v>-0.199999999999992</v>
      </c>
      <c r="L146" s="1">
        <f t="shared" si="17"/>
        <v>-4.49999999999999</v>
      </c>
    </row>
    <row r="147" s="1" customFormat="1" spans="1:12">
      <c r="A147" s="2">
        <v>4.814</v>
      </c>
      <c r="B147" s="10" t="s">
        <v>555</v>
      </c>
      <c r="C147" s="4">
        <v>4.814</v>
      </c>
      <c r="D147" s="5">
        <v>44.4</v>
      </c>
      <c r="E147" s="4"/>
      <c r="F147" s="4"/>
      <c r="G147" s="2">
        <f t="shared" si="12"/>
        <v>4.781</v>
      </c>
      <c r="H147" s="11" t="str">
        <f t="shared" si="13"/>
        <v>3.027E-2</v>
      </c>
      <c r="I147" s="2">
        <f t="shared" si="14"/>
        <v>44.3</v>
      </c>
      <c r="J147" s="4">
        <f t="shared" si="15"/>
        <v>4.781</v>
      </c>
      <c r="K147" s="9">
        <f t="shared" si="16"/>
        <v>0.199999999999992</v>
      </c>
      <c r="L147" s="1">
        <f t="shared" si="17"/>
        <v>-4.49999999999999</v>
      </c>
    </row>
    <row r="148" s="1" customFormat="1" spans="1:12">
      <c r="A148" s="2">
        <v>4.848</v>
      </c>
      <c r="B148" s="10" t="s">
        <v>554</v>
      </c>
      <c r="C148" s="4">
        <v>4.848</v>
      </c>
      <c r="D148" s="5">
        <v>44.5</v>
      </c>
      <c r="E148" s="4"/>
      <c r="F148" s="4"/>
      <c r="G148" s="2">
        <f t="shared" si="12"/>
        <v>4.814</v>
      </c>
      <c r="H148" s="11" t="str">
        <f t="shared" si="13"/>
        <v>3.029E-2</v>
      </c>
      <c r="I148" s="2">
        <f t="shared" si="14"/>
        <v>44.4</v>
      </c>
      <c r="J148" s="4">
        <f t="shared" si="15"/>
        <v>4.814</v>
      </c>
      <c r="K148" s="9">
        <f t="shared" si="16"/>
        <v>0.400000000000018</v>
      </c>
      <c r="L148" s="1">
        <f t="shared" si="17"/>
        <v>-4.49999999999999</v>
      </c>
    </row>
    <row r="149" s="1" customFormat="1" spans="1:12">
      <c r="A149" s="2">
        <v>4.881</v>
      </c>
      <c r="B149" s="10" t="s">
        <v>548</v>
      </c>
      <c r="C149" s="4">
        <v>4.881</v>
      </c>
      <c r="D149" s="5">
        <v>44.3</v>
      </c>
      <c r="E149" s="4"/>
      <c r="F149" s="4"/>
      <c r="G149" s="2">
        <f t="shared" si="12"/>
        <v>4.848</v>
      </c>
      <c r="H149" s="11" t="str">
        <f t="shared" si="13"/>
        <v>3.033E-2</v>
      </c>
      <c r="I149" s="2">
        <f t="shared" si="14"/>
        <v>44.5</v>
      </c>
      <c r="J149" s="4">
        <f t="shared" si="15"/>
        <v>4.848</v>
      </c>
      <c r="K149" s="9">
        <f t="shared" si="16"/>
        <v>0.800000000000002</v>
      </c>
      <c r="L149" s="1">
        <f t="shared" si="17"/>
        <v>-4.49999999999999</v>
      </c>
    </row>
    <row r="150" s="1" customFormat="1" spans="1:12">
      <c r="A150" s="2">
        <v>4.915</v>
      </c>
      <c r="B150" s="10" t="s">
        <v>554</v>
      </c>
      <c r="C150" s="4">
        <v>4.915</v>
      </c>
      <c r="D150" s="5">
        <v>44.5</v>
      </c>
      <c r="E150" s="4"/>
      <c r="F150" s="4"/>
      <c r="G150" s="2">
        <f t="shared" si="12"/>
        <v>4.881</v>
      </c>
      <c r="H150" s="11" t="str">
        <f t="shared" si="13"/>
        <v>3.032E-2</v>
      </c>
      <c r="I150" s="2">
        <f t="shared" si="14"/>
        <v>44.3</v>
      </c>
      <c r="J150" s="4">
        <f t="shared" si="15"/>
        <v>4.881</v>
      </c>
      <c r="K150" s="9">
        <f t="shared" si="16"/>
        <v>0.700000000000006</v>
      </c>
      <c r="L150" s="1">
        <f t="shared" si="17"/>
        <v>-4.49999999999999</v>
      </c>
    </row>
    <row r="151" s="1" customFormat="1" spans="1:12">
      <c r="A151" s="2">
        <v>4.948</v>
      </c>
      <c r="B151" s="10" t="s">
        <v>548</v>
      </c>
      <c r="C151" s="4">
        <v>4.948</v>
      </c>
      <c r="D151" s="5">
        <v>44.3</v>
      </c>
      <c r="E151" s="4"/>
      <c r="F151" s="4"/>
      <c r="G151" s="2">
        <f t="shared" si="12"/>
        <v>4.915</v>
      </c>
      <c r="H151" s="11" t="str">
        <f t="shared" si="13"/>
        <v>3.033E-2</v>
      </c>
      <c r="I151" s="2">
        <f t="shared" si="14"/>
        <v>44.5</v>
      </c>
      <c r="J151" s="4">
        <f t="shared" si="15"/>
        <v>4.915</v>
      </c>
      <c r="K151" s="9">
        <f t="shared" si="16"/>
        <v>0.800000000000002</v>
      </c>
      <c r="L151" s="1">
        <f t="shared" si="17"/>
        <v>-4.49999999999999</v>
      </c>
    </row>
    <row r="152" s="1" customFormat="1" spans="1:12">
      <c r="A152" s="2">
        <v>4.981</v>
      </c>
      <c r="B152" s="10" t="s">
        <v>547</v>
      </c>
      <c r="C152" s="4">
        <v>4.981</v>
      </c>
      <c r="D152" s="5">
        <v>44.3</v>
      </c>
      <c r="E152" s="4"/>
      <c r="F152" s="4"/>
      <c r="G152" s="2">
        <f t="shared" si="12"/>
        <v>4.948</v>
      </c>
      <c r="H152" s="11" t="str">
        <f t="shared" si="13"/>
        <v>3.032E-2</v>
      </c>
      <c r="I152" s="2">
        <f t="shared" si="14"/>
        <v>44.3</v>
      </c>
      <c r="J152" s="4">
        <f t="shared" si="15"/>
        <v>4.948</v>
      </c>
      <c r="K152" s="9">
        <f t="shared" si="16"/>
        <v>0.700000000000006</v>
      </c>
      <c r="L152" s="1">
        <f t="shared" si="17"/>
        <v>-4.49999999999999</v>
      </c>
    </row>
    <row r="153" s="1" customFormat="1" spans="1:12">
      <c r="A153" s="2">
        <v>5.015</v>
      </c>
      <c r="B153" s="10" t="s">
        <v>547</v>
      </c>
      <c r="C153" s="4">
        <v>5.015</v>
      </c>
      <c r="D153" s="5">
        <v>44.4</v>
      </c>
      <c r="E153" s="4"/>
      <c r="F153" s="4"/>
      <c r="G153" s="2">
        <f t="shared" si="12"/>
        <v>4.981</v>
      </c>
      <c r="H153" s="11" t="str">
        <f t="shared" si="13"/>
        <v>3.030E-2</v>
      </c>
      <c r="I153" s="2">
        <f t="shared" si="14"/>
        <v>44.3</v>
      </c>
      <c r="J153" s="4">
        <f t="shared" si="15"/>
        <v>4.981</v>
      </c>
      <c r="K153" s="9">
        <f t="shared" si="16"/>
        <v>0.500000000000014</v>
      </c>
      <c r="L153" s="1">
        <f t="shared" si="17"/>
        <v>-4.49999999999999</v>
      </c>
    </row>
    <row r="154" s="1" customFormat="1" spans="1:12">
      <c r="A154" s="2">
        <v>5.048</v>
      </c>
      <c r="B154" s="10" t="s">
        <v>543</v>
      </c>
      <c r="C154" s="4">
        <v>5.048</v>
      </c>
      <c r="D154" s="5">
        <v>44.7</v>
      </c>
      <c r="E154" s="4"/>
      <c r="F154" s="4"/>
      <c r="G154" s="2">
        <f t="shared" si="12"/>
        <v>5.015</v>
      </c>
      <c r="H154" s="11" t="str">
        <f t="shared" si="13"/>
        <v>3.030E-2</v>
      </c>
      <c r="I154" s="2">
        <f t="shared" si="14"/>
        <v>44.4</v>
      </c>
      <c r="J154" s="4">
        <f t="shared" si="15"/>
        <v>5.015</v>
      </c>
      <c r="K154" s="9">
        <f t="shared" si="16"/>
        <v>0.500000000000014</v>
      </c>
      <c r="L154" s="1">
        <f t="shared" si="17"/>
        <v>-4.49999999999999</v>
      </c>
    </row>
    <row r="155" s="1" customFormat="1" spans="1:12">
      <c r="A155" s="2">
        <v>5.082</v>
      </c>
      <c r="B155" s="10" t="s">
        <v>540</v>
      </c>
      <c r="C155" s="4">
        <v>5.082</v>
      </c>
      <c r="D155" s="5">
        <v>253.7</v>
      </c>
      <c r="E155" s="4"/>
      <c r="F155" s="4"/>
      <c r="G155" s="2">
        <f t="shared" si="12"/>
        <v>5.048</v>
      </c>
      <c r="H155" s="11" t="str">
        <f t="shared" si="13"/>
        <v>3.028E-2</v>
      </c>
      <c r="I155" s="2">
        <f t="shared" si="14"/>
        <v>44.7</v>
      </c>
      <c r="J155" s="4">
        <f t="shared" si="15"/>
        <v>5.048</v>
      </c>
      <c r="K155" s="9">
        <f t="shared" si="16"/>
        <v>0.300000000000022</v>
      </c>
      <c r="L155" s="1">
        <f t="shared" si="17"/>
        <v>-4.49999999999999</v>
      </c>
    </row>
    <row r="156" s="1" customFormat="1" spans="1:12">
      <c r="A156" s="2">
        <v>5.115</v>
      </c>
      <c r="B156" s="10" t="s">
        <v>545</v>
      </c>
      <c r="C156" s="4">
        <v>5.115</v>
      </c>
      <c r="D156" s="5">
        <v>253.6</v>
      </c>
      <c r="E156" s="4"/>
      <c r="F156" s="4"/>
      <c r="G156" s="2">
        <f t="shared" si="12"/>
        <v>5.082</v>
      </c>
      <c r="H156" s="11" t="str">
        <f t="shared" si="13"/>
        <v>3.025E-2</v>
      </c>
      <c r="I156" s="2">
        <f t="shared" si="14"/>
        <v>253.7</v>
      </c>
      <c r="J156" s="4">
        <f t="shared" si="15"/>
        <v>5.082</v>
      </c>
      <c r="K156" s="9">
        <f t="shared" si="16"/>
        <v>0</v>
      </c>
      <c r="L156" s="1">
        <f t="shared" si="17"/>
        <v>1.30000000000002</v>
      </c>
    </row>
    <row r="157" s="1" customFormat="1" spans="1:12">
      <c r="A157" s="2">
        <v>5.149</v>
      </c>
      <c r="B157" s="10" t="s">
        <v>546</v>
      </c>
      <c r="C157" s="4">
        <v>5.149</v>
      </c>
      <c r="D157" s="5">
        <v>253.7</v>
      </c>
      <c r="E157" s="4"/>
      <c r="F157" s="4"/>
      <c r="G157" s="2">
        <f t="shared" si="12"/>
        <v>5.115</v>
      </c>
      <c r="H157" s="11" t="str">
        <f t="shared" si="13"/>
        <v>3.023E-2</v>
      </c>
      <c r="I157" s="2">
        <f t="shared" si="14"/>
        <v>253.6</v>
      </c>
      <c r="J157" s="4">
        <f t="shared" si="15"/>
        <v>5.115</v>
      </c>
      <c r="K157" s="9">
        <f t="shared" si="16"/>
        <v>-0.199999999999992</v>
      </c>
      <c r="L157" s="1">
        <f t="shared" si="17"/>
        <v>1.30000000000002</v>
      </c>
    </row>
    <row r="158" s="1" customFormat="1" spans="1:12">
      <c r="A158" s="2">
        <v>5.182</v>
      </c>
      <c r="B158" s="10" t="s">
        <v>562</v>
      </c>
      <c r="C158" s="4">
        <v>5.182</v>
      </c>
      <c r="D158" s="5">
        <v>253.7</v>
      </c>
      <c r="E158" s="4"/>
      <c r="F158" s="4"/>
      <c r="G158" s="2">
        <f t="shared" si="12"/>
        <v>5.149</v>
      </c>
      <c r="H158" s="11" t="str">
        <f t="shared" si="13"/>
        <v>3.022E-2</v>
      </c>
      <c r="I158" s="2">
        <f t="shared" si="14"/>
        <v>253.7</v>
      </c>
      <c r="J158" s="4">
        <f t="shared" si="15"/>
        <v>5.149</v>
      </c>
      <c r="K158" s="9">
        <f t="shared" si="16"/>
        <v>-0.299999999999988</v>
      </c>
      <c r="L158" s="1">
        <f t="shared" si="17"/>
        <v>1.30000000000002</v>
      </c>
    </row>
    <row r="159" s="1" customFormat="1" spans="1:12">
      <c r="A159" s="2">
        <v>5.215</v>
      </c>
      <c r="B159" s="10" t="s">
        <v>556</v>
      </c>
      <c r="C159" s="4">
        <v>5.215</v>
      </c>
      <c r="D159" s="5">
        <v>253.7</v>
      </c>
      <c r="E159" s="4"/>
      <c r="F159" s="4"/>
      <c r="G159" s="2">
        <f t="shared" si="12"/>
        <v>5.182</v>
      </c>
      <c r="H159" s="11" t="str">
        <f t="shared" si="13"/>
        <v>3.021E-2</v>
      </c>
      <c r="I159" s="2">
        <f t="shared" si="14"/>
        <v>253.7</v>
      </c>
      <c r="J159" s="4">
        <f t="shared" si="15"/>
        <v>5.182</v>
      </c>
      <c r="K159" s="9">
        <f t="shared" si="16"/>
        <v>-0.399999999999984</v>
      </c>
      <c r="L159" s="1">
        <f t="shared" si="17"/>
        <v>1.30000000000002</v>
      </c>
    </row>
    <row r="160" s="1" customFormat="1" spans="1:12">
      <c r="A160" s="2">
        <v>5.249</v>
      </c>
      <c r="B160" s="10" t="s">
        <v>563</v>
      </c>
      <c r="C160" s="4">
        <v>5.249</v>
      </c>
      <c r="D160" s="5">
        <v>253.6</v>
      </c>
      <c r="E160" s="4"/>
      <c r="F160" s="4"/>
      <c r="G160" s="2">
        <f t="shared" si="12"/>
        <v>5.215</v>
      </c>
      <c r="H160" s="11" t="str">
        <f t="shared" si="13"/>
        <v>3.020E-2</v>
      </c>
      <c r="I160" s="2">
        <f t="shared" si="14"/>
        <v>253.7</v>
      </c>
      <c r="J160" s="4">
        <f t="shared" si="15"/>
        <v>5.215</v>
      </c>
      <c r="K160" s="9">
        <f t="shared" si="16"/>
        <v>-0.49999999999998</v>
      </c>
      <c r="L160" s="1">
        <f t="shared" si="17"/>
        <v>1.30000000000002</v>
      </c>
    </row>
    <row r="161" s="1" customFormat="1" spans="1:12">
      <c r="A161" s="2">
        <v>5.282</v>
      </c>
      <c r="B161" s="10" t="s">
        <v>563</v>
      </c>
      <c r="C161" s="4">
        <v>5.282</v>
      </c>
      <c r="D161" s="5">
        <v>253.7</v>
      </c>
      <c r="E161" s="4"/>
      <c r="F161" s="4"/>
      <c r="G161" s="2">
        <f t="shared" si="12"/>
        <v>5.249</v>
      </c>
      <c r="H161" s="11" t="str">
        <f t="shared" si="13"/>
        <v>3.019E-2</v>
      </c>
      <c r="I161" s="2">
        <f t="shared" si="14"/>
        <v>253.6</v>
      </c>
      <c r="J161" s="4">
        <f t="shared" si="15"/>
        <v>5.249</v>
      </c>
      <c r="K161" s="9">
        <f t="shared" si="16"/>
        <v>-0.599999999999976</v>
      </c>
      <c r="L161" s="1">
        <f t="shared" si="17"/>
        <v>1.30000000000002</v>
      </c>
    </row>
    <row r="162" s="1" customFormat="1" spans="1:12">
      <c r="A162" s="2">
        <v>5.316</v>
      </c>
      <c r="B162" s="10" t="s">
        <v>564</v>
      </c>
      <c r="C162" s="4">
        <v>5.316</v>
      </c>
      <c r="D162" s="5">
        <v>253.7</v>
      </c>
      <c r="E162" s="4"/>
      <c r="F162" s="4"/>
      <c r="G162" s="2">
        <f t="shared" si="12"/>
        <v>5.282</v>
      </c>
      <c r="H162" s="11" t="str">
        <f t="shared" si="13"/>
        <v>3.019E-2</v>
      </c>
      <c r="I162" s="2">
        <f t="shared" si="14"/>
        <v>253.7</v>
      </c>
      <c r="J162" s="4">
        <f t="shared" si="15"/>
        <v>5.282</v>
      </c>
      <c r="K162" s="9">
        <f t="shared" si="16"/>
        <v>-0.599999999999976</v>
      </c>
      <c r="L162" s="1">
        <f t="shared" si="17"/>
        <v>1.30000000000002</v>
      </c>
    </row>
    <row r="163" s="1" customFormat="1" spans="1:12">
      <c r="A163" s="2">
        <v>5.349</v>
      </c>
      <c r="B163" s="10" t="s">
        <v>564</v>
      </c>
      <c r="C163" s="4">
        <v>5.349</v>
      </c>
      <c r="D163" s="5">
        <v>253.7</v>
      </c>
      <c r="E163" s="4"/>
      <c r="F163" s="4"/>
      <c r="G163" s="2">
        <f t="shared" si="12"/>
        <v>5.316</v>
      </c>
      <c r="H163" s="11" t="str">
        <f t="shared" si="13"/>
        <v>3.018E-2</v>
      </c>
      <c r="I163" s="2">
        <f t="shared" si="14"/>
        <v>253.7</v>
      </c>
      <c r="J163" s="4">
        <f t="shared" si="15"/>
        <v>5.316</v>
      </c>
      <c r="K163" s="9">
        <f t="shared" si="16"/>
        <v>-0.700000000000006</v>
      </c>
      <c r="L163" s="1">
        <f t="shared" si="17"/>
        <v>1.30000000000002</v>
      </c>
    </row>
    <row r="164" s="1" customFormat="1" spans="1:12">
      <c r="A164" s="2">
        <v>5.383</v>
      </c>
      <c r="B164" s="10" t="s">
        <v>557</v>
      </c>
      <c r="C164" s="4">
        <v>5.383</v>
      </c>
      <c r="D164" s="5">
        <v>253.7</v>
      </c>
      <c r="E164" s="4"/>
      <c r="F164" s="4"/>
      <c r="G164" s="2">
        <f t="shared" si="12"/>
        <v>5.349</v>
      </c>
      <c r="H164" s="11" t="str">
        <f t="shared" si="13"/>
        <v>3.018E-2</v>
      </c>
      <c r="I164" s="2">
        <f t="shared" si="14"/>
        <v>253.7</v>
      </c>
      <c r="J164" s="4">
        <f t="shared" si="15"/>
        <v>5.349</v>
      </c>
      <c r="K164" s="9">
        <f t="shared" si="16"/>
        <v>-0.700000000000006</v>
      </c>
      <c r="L164" s="1">
        <f t="shared" si="17"/>
        <v>1.30000000000002</v>
      </c>
    </row>
    <row r="165" s="1" customFormat="1" spans="1:12">
      <c r="A165" s="2">
        <v>5.416</v>
      </c>
      <c r="B165" s="10" t="s">
        <v>565</v>
      </c>
      <c r="C165" s="4">
        <v>5.416</v>
      </c>
      <c r="D165" s="5">
        <v>253.7</v>
      </c>
      <c r="E165" s="4"/>
      <c r="F165" s="4"/>
      <c r="G165" s="2">
        <f t="shared" si="12"/>
        <v>5.383</v>
      </c>
      <c r="H165" s="11" t="str">
        <f t="shared" si="13"/>
        <v>3.017E-2</v>
      </c>
      <c r="I165" s="2">
        <f t="shared" si="14"/>
        <v>253.7</v>
      </c>
      <c r="J165" s="4">
        <f t="shared" si="15"/>
        <v>5.383</v>
      </c>
      <c r="K165" s="9">
        <f t="shared" si="16"/>
        <v>-0.800000000000002</v>
      </c>
      <c r="L165" s="1">
        <f t="shared" si="17"/>
        <v>1.30000000000002</v>
      </c>
    </row>
    <row r="166" s="1" customFormat="1" spans="1:12">
      <c r="A166" s="2">
        <v>5.45</v>
      </c>
      <c r="B166" s="10" t="s">
        <v>557</v>
      </c>
      <c r="C166" s="4">
        <v>5.45</v>
      </c>
      <c r="D166" s="5">
        <v>253.7</v>
      </c>
      <c r="E166" s="4"/>
      <c r="F166" s="4"/>
      <c r="G166" s="2">
        <f t="shared" si="12"/>
        <v>5.416</v>
      </c>
      <c r="H166" s="11" t="str">
        <f t="shared" si="13"/>
        <v>3.016E-2</v>
      </c>
      <c r="I166" s="2">
        <f t="shared" si="14"/>
        <v>253.7</v>
      </c>
      <c r="J166" s="4">
        <f t="shared" si="15"/>
        <v>5.416</v>
      </c>
      <c r="K166" s="9">
        <f t="shared" si="16"/>
        <v>-0.899999999999998</v>
      </c>
      <c r="L166" s="1">
        <f t="shared" si="17"/>
        <v>1.30000000000002</v>
      </c>
    </row>
    <row r="167" s="1" customFormat="1" spans="1:12">
      <c r="A167" s="2">
        <v>5.483</v>
      </c>
      <c r="B167" s="10" t="s">
        <v>565</v>
      </c>
      <c r="C167" s="4">
        <v>5.483</v>
      </c>
      <c r="D167" s="5">
        <v>200.5</v>
      </c>
      <c r="E167" s="4"/>
      <c r="F167" s="4"/>
      <c r="G167" s="2">
        <f t="shared" si="12"/>
        <v>5.45</v>
      </c>
      <c r="H167" s="11" t="str">
        <f t="shared" si="13"/>
        <v>3.017E-2</v>
      </c>
      <c r="I167" s="2">
        <f t="shared" si="14"/>
        <v>253.7</v>
      </c>
      <c r="J167" s="4">
        <f t="shared" si="15"/>
        <v>5.45</v>
      </c>
      <c r="K167" s="9">
        <f t="shared" si="16"/>
        <v>-0.800000000000002</v>
      </c>
      <c r="L167" s="1">
        <f t="shared" si="17"/>
        <v>1.30000000000002</v>
      </c>
    </row>
    <row r="168" s="1" customFormat="1" spans="1:12">
      <c r="A168" s="2">
        <v>5.516</v>
      </c>
      <c r="B168" s="10" t="s">
        <v>565</v>
      </c>
      <c r="C168" s="4">
        <v>5.516</v>
      </c>
      <c r="D168" s="5">
        <v>65.4</v>
      </c>
      <c r="E168" s="4"/>
      <c r="F168" s="4"/>
      <c r="G168" s="2">
        <f t="shared" si="12"/>
        <v>5.483</v>
      </c>
      <c r="H168" s="11" t="str">
        <f t="shared" si="13"/>
        <v>3.016E-2</v>
      </c>
      <c r="I168" s="2">
        <f t="shared" si="14"/>
        <v>200.5</v>
      </c>
      <c r="J168" s="4">
        <f t="shared" si="15"/>
        <v>5.483</v>
      </c>
      <c r="K168" s="9">
        <f t="shared" si="16"/>
        <v>-0.899999999999998</v>
      </c>
      <c r="L168" s="1">
        <f t="shared" si="17"/>
        <v>-4.49999999999999</v>
      </c>
    </row>
    <row r="169" s="1" customFormat="1" spans="1:12">
      <c r="A169" s="2">
        <v>5.55</v>
      </c>
      <c r="B169" s="10" t="s">
        <v>558</v>
      </c>
      <c r="C169" s="4">
        <v>5.55</v>
      </c>
      <c r="D169" s="5">
        <v>65.1</v>
      </c>
      <c r="E169" s="4"/>
      <c r="F169" s="4"/>
      <c r="G169" s="2">
        <f t="shared" si="12"/>
        <v>5.516</v>
      </c>
      <c r="H169" s="11" t="str">
        <f t="shared" si="13"/>
        <v>3.016E-2</v>
      </c>
      <c r="I169" s="2">
        <f t="shared" si="14"/>
        <v>65.4</v>
      </c>
      <c r="J169" s="4">
        <f t="shared" si="15"/>
        <v>5.516</v>
      </c>
      <c r="K169" s="9">
        <f t="shared" si="16"/>
        <v>-0.899999999999998</v>
      </c>
      <c r="L169" s="1">
        <f t="shared" si="17"/>
        <v>-4.49999999999999</v>
      </c>
    </row>
    <row r="170" s="1" customFormat="1" spans="1:12">
      <c r="A170" s="2">
        <v>5.583</v>
      </c>
      <c r="B170" s="10" t="s">
        <v>559</v>
      </c>
      <c r="C170" s="4">
        <v>5.583</v>
      </c>
      <c r="D170" s="5">
        <v>64.3</v>
      </c>
      <c r="E170" s="4"/>
      <c r="F170" s="4"/>
      <c r="G170" s="2">
        <f t="shared" si="12"/>
        <v>5.55</v>
      </c>
      <c r="H170" s="11" t="str">
        <f t="shared" si="13"/>
        <v>3.013E-2</v>
      </c>
      <c r="I170" s="2">
        <f t="shared" si="14"/>
        <v>65.1</v>
      </c>
      <c r="J170" s="4">
        <f t="shared" si="15"/>
        <v>5.55</v>
      </c>
      <c r="K170" s="9">
        <f t="shared" si="16"/>
        <v>-1.19999999999999</v>
      </c>
      <c r="L170" s="1">
        <f t="shared" si="17"/>
        <v>-4.49999999999999</v>
      </c>
    </row>
    <row r="171" s="1" customFormat="1" spans="1:12">
      <c r="A171" s="2">
        <v>5.617</v>
      </c>
      <c r="B171" s="10" t="s">
        <v>561</v>
      </c>
      <c r="C171" s="4">
        <v>5.617</v>
      </c>
      <c r="D171" s="5">
        <v>63.2</v>
      </c>
      <c r="E171" s="4"/>
      <c r="F171" s="4"/>
      <c r="G171" s="2">
        <f t="shared" si="12"/>
        <v>5.583</v>
      </c>
      <c r="H171" s="11" t="str">
        <f t="shared" si="13"/>
        <v>3.011E-2</v>
      </c>
      <c r="I171" s="2">
        <f t="shared" si="14"/>
        <v>64.3</v>
      </c>
      <c r="J171" s="4">
        <f t="shared" si="15"/>
        <v>5.583</v>
      </c>
      <c r="K171" s="9">
        <f t="shared" si="16"/>
        <v>-1.39999999999998</v>
      </c>
      <c r="L171" s="1">
        <f t="shared" si="17"/>
        <v>-4.49999999999999</v>
      </c>
    </row>
    <row r="172" s="1" customFormat="1" spans="1:12">
      <c r="A172" s="2">
        <v>5.65</v>
      </c>
      <c r="B172" s="10" t="s">
        <v>489</v>
      </c>
      <c r="C172" s="4">
        <v>5.65</v>
      </c>
      <c r="D172" s="5">
        <v>62.1</v>
      </c>
      <c r="E172" s="4"/>
      <c r="F172" s="4"/>
      <c r="G172" s="2">
        <f t="shared" si="12"/>
        <v>5.617</v>
      </c>
      <c r="H172" s="11" t="str">
        <f t="shared" si="13"/>
        <v>3.009E-2</v>
      </c>
      <c r="I172" s="2">
        <f t="shared" si="14"/>
        <v>63.2</v>
      </c>
      <c r="J172" s="4">
        <f t="shared" si="15"/>
        <v>5.617</v>
      </c>
      <c r="K172" s="9">
        <f t="shared" si="16"/>
        <v>-1.6</v>
      </c>
      <c r="L172" s="1">
        <f t="shared" si="17"/>
        <v>-4.49999999999999</v>
      </c>
    </row>
    <row r="173" s="1" customFormat="1" spans="1:12">
      <c r="A173" s="2">
        <v>5.684</v>
      </c>
      <c r="B173" s="10" t="s">
        <v>486</v>
      </c>
      <c r="C173" s="4">
        <v>5.684</v>
      </c>
      <c r="D173" s="5">
        <v>61.8</v>
      </c>
      <c r="E173" s="4"/>
      <c r="F173" s="4"/>
      <c r="G173" s="2">
        <f t="shared" si="12"/>
        <v>5.65</v>
      </c>
      <c r="H173" s="11" t="str">
        <f t="shared" si="13"/>
        <v>2.997E-2</v>
      </c>
      <c r="I173" s="2">
        <f t="shared" si="14"/>
        <v>62.1</v>
      </c>
      <c r="J173" s="4">
        <f t="shared" si="15"/>
        <v>5.65</v>
      </c>
      <c r="K173" s="9">
        <f t="shared" si="16"/>
        <v>-2.79999999999999</v>
      </c>
      <c r="L173" s="1">
        <f t="shared" si="17"/>
        <v>-4.49999999999999</v>
      </c>
    </row>
    <row r="174" s="1" customFormat="1" spans="1:12">
      <c r="A174" s="2">
        <v>5.717</v>
      </c>
      <c r="B174" s="10" t="s">
        <v>495</v>
      </c>
      <c r="C174" s="4">
        <v>5.717</v>
      </c>
      <c r="D174" s="5">
        <v>60.5</v>
      </c>
      <c r="E174" s="4"/>
      <c r="F174" s="4"/>
      <c r="G174" s="2">
        <f t="shared" si="12"/>
        <v>5.684</v>
      </c>
      <c r="H174" s="11" t="str">
        <f t="shared" si="13"/>
        <v>2.991E-2</v>
      </c>
      <c r="I174" s="2">
        <f t="shared" si="14"/>
        <v>61.8</v>
      </c>
      <c r="J174" s="4">
        <f t="shared" si="15"/>
        <v>5.684</v>
      </c>
      <c r="K174" s="9">
        <f t="shared" si="16"/>
        <v>-3.4</v>
      </c>
      <c r="L174" s="1">
        <f t="shared" si="17"/>
        <v>-4.49999999999999</v>
      </c>
    </row>
    <row r="175" s="1" customFormat="1" spans="1:12">
      <c r="A175" s="2">
        <v>5.75</v>
      </c>
      <c r="B175" s="10" t="s">
        <v>506</v>
      </c>
      <c r="C175" s="4">
        <v>5.75</v>
      </c>
      <c r="D175" s="5">
        <v>59.8</v>
      </c>
      <c r="E175" s="4"/>
      <c r="F175" s="4"/>
      <c r="G175" s="2">
        <f t="shared" si="12"/>
        <v>5.717</v>
      </c>
      <c r="H175" s="11" t="str">
        <f t="shared" si="13"/>
        <v>2.987E-2</v>
      </c>
      <c r="I175" s="2">
        <f t="shared" si="14"/>
        <v>60.5</v>
      </c>
      <c r="J175" s="4">
        <f t="shared" si="15"/>
        <v>5.717</v>
      </c>
      <c r="K175" s="9">
        <f t="shared" si="16"/>
        <v>-3.79999999999998</v>
      </c>
      <c r="L175" s="1">
        <f t="shared" si="17"/>
        <v>-4.49999999999999</v>
      </c>
    </row>
    <row r="176" s="1" customFormat="1" spans="1:12">
      <c r="A176" s="2">
        <v>5.784</v>
      </c>
      <c r="B176" s="10" t="s">
        <v>566</v>
      </c>
      <c r="C176" s="4">
        <v>5.784</v>
      </c>
      <c r="D176" s="5">
        <v>59.3</v>
      </c>
      <c r="E176" s="4"/>
      <c r="F176" s="4"/>
      <c r="G176" s="2">
        <f t="shared" si="12"/>
        <v>5.75</v>
      </c>
      <c r="H176" s="11" t="str">
        <f t="shared" si="13"/>
        <v>2.983E-2</v>
      </c>
      <c r="I176" s="2">
        <f t="shared" si="14"/>
        <v>59.8</v>
      </c>
      <c r="J176" s="4">
        <f t="shared" si="15"/>
        <v>5.75</v>
      </c>
      <c r="K176" s="9">
        <f t="shared" si="16"/>
        <v>-4.2</v>
      </c>
      <c r="L176" s="1">
        <f t="shared" si="17"/>
        <v>-4.49999999999999</v>
      </c>
    </row>
    <row r="177" s="1" customFormat="1" spans="1:12">
      <c r="A177" s="2">
        <v>5.817</v>
      </c>
      <c r="B177" s="10" t="s">
        <v>498</v>
      </c>
      <c r="C177" s="4">
        <v>5.817</v>
      </c>
      <c r="D177" s="5">
        <v>58</v>
      </c>
      <c r="E177" s="4"/>
      <c r="F177" s="4"/>
      <c r="G177" s="2">
        <f t="shared" si="12"/>
        <v>5.784</v>
      </c>
      <c r="H177" s="11" t="str">
        <f t="shared" si="13"/>
        <v>2.981E-2</v>
      </c>
      <c r="I177" s="2">
        <f t="shared" si="14"/>
        <v>59.3</v>
      </c>
      <c r="J177" s="4">
        <f t="shared" si="15"/>
        <v>5.784</v>
      </c>
      <c r="K177" s="9">
        <f t="shared" si="16"/>
        <v>-4.39999999999999</v>
      </c>
      <c r="L177" s="1">
        <f t="shared" si="17"/>
        <v>-4.49999999999999</v>
      </c>
    </row>
    <row r="178" s="1" customFormat="1" spans="1:12">
      <c r="A178" s="2">
        <v>5.851</v>
      </c>
      <c r="B178" s="10" t="s">
        <v>498</v>
      </c>
      <c r="C178" s="4">
        <v>5.851</v>
      </c>
      <c r="D178" s="5">
        <v>57.5</v>
      </c>
      <c r="E178" s="4"/>
      <c r="F178" s="4"/>
      <c r="G178" s="2">
        <f t="shared" si="12"/>
        <v>5.817</v>
      </c>
      <c r="H178" s="11" t="str">
        <f t="shared" si="13"/>
        <v>2.980E-2</v>
      </c>
      <c r="I178" s="2">
        <f t="shared" si="14"/>
        <v>58</v>
      </c>
      <c r="J178" s="4">
        <f t="shared" si="15"/>
        <v>5.817</v>
      </c>
      <c r="K178" s="9">
        <f t="shared" si="16"/>
        <v>-4.49999999999999</v>
      </c>
      <c r="L178" s="1">
        <f t="shared" si="17"/>
        <v>-4.49999999999999</v>
      </c>
    </row>
    <row r="179" s="1" customFormat="1" spans="1:12">
      <c r="A179" s="2">
        <v>5.884</v>
      </c>
      <c r="B179" s="10" t="s">
        <v>498</v>
      </c>
      <c r="C179" s="4">
        <v>5.884</v>
      </c>
      <c r="D179" s="5">
        <v>55.9</v>
      </c>
      <c r="E179" s="4"/>
      <c r="F179" s="4"/>
      <c r="G179" s="2">
        <f t="shared" si="12"/>
        <v>5.851</v>
      </c>
      <c r="H179" s="11" t="str">
        <f t="shared" si="13"/>
        <v>2.980E-2</v>
      </c>
      <c r="I179" s="2">
        <f t="shared" si="14"/>
        <v>57.5</v>
      </c>
      <c r="J179" s="4">
        <f t="shared" si="15"/>
        <v>5.851</v>
      </c>
      <c r="K179" s="9">
        <f t="shared" si="16"/>
        <v>-4.49999999999999</v>
      </c>
      <c r="L179" s="1">
        <f t="shared" si="17"/>
        <v>-4.49999999999999</v>
      </c>
    </row>
    <row r="180" s="1" customFormat="1" spans="1:12">
      <c r="A180" s="2">
        <v>5.918</v>
      </c>
      <c r="B180" s="10" t="s">
        <v>497</v>
      </c>
      <c r="C180" s="4">
        <v>5.918</v>
      </c>
      <c r="D180" s="5">
        <v>56</v>
      </c>
      <c r="E180" s="4"/>
      <c r="F180" s="4"/>
      <c r="G180" s="2">
        <f t="shared" si="12"/>
        <v>5.884</v>
      </c>
      <c r="H180" s="11" t="str">
        <f t="shared" si="13"/>
        <v>2.980E-2</v>
      </c>
      <c r="I180" s="2">
        <f t="shared" si="14"/>
        <v>55.9</v>
      </c>
      <c r="J180" s="4">
        <f t="shared" si="15"/>
        <v>5.884</v>
      </c>
      <c r="K180" s="9">
        <f t="shared" si="16"/>
        <v>-4.49999999999999</v>
      </c>
      <c r="L180" s="1">
        <f t="shared" si="17"/>
        <v>-4.49999999999999</v>
      </c>
    </row>
    <row r="181" s="1" customFormat="1" spans="1:12">
      <c r="A181" s="2">
        <v>5.951</v>
      </c>
      <c r="B181" s="10" t="s">
        <v>506</v>
      </c>
      <c r="C181" s="4">
        <v>5.951</v>
      </c>
      <c r="D181" s="5">
        <v>55.4</v>
      </c>
      <c r="E181" s="4"/>
      <c r="F181" s="4"/>
      <c r="G181" s="2">
        <f t="shared" si="12"/>
        <v>5.918</v>
      </c>
      <c r="H181" s="11" t="str">
        <f t="shared" si="13"/>
        <v>2.982E-2</v>
      </c>
      <c r="I181" s="2">
        <f t="shared" si="14"/>
        <v>56</v>
      </c>
      <c r="J181" s="4">
        <f t="shared" si="15"/>
        <v>5.918</v>
      </c>
      <c r="K181" s="9">
        <f t="shared" si="16"/>
        <v>-4.3</v>
      </c>
      <c r="L181" s="1">
        <f t="shared" si="17"/>
        <v>-4.49999999999999</v>
      </c>
    </row>
    <row r="182" s="1" customFormat="1" spans="1:12">
      <c r="A182" s="2">
        <v>5.984</v>
      </c>
      <c r="B182" s="10" t="s">
        <v>500</v>
      </c>
      <c r="C182" s="4">
        <v>5.984</v>
      </c>
      <c r="D182" s="5">
        <v>54.7</v>
      </c>
      <c r="E182" s="4"/>
      <c r="F182" s="4"/>
      <c r="G182" s="2">
        <f t="shared" si="12"/>
        <v>5.951</v>
      </c>
      <c r="H182" s="11" t="str">
        <f t="shared" si="13"/>
        <v>2.983E-2</v>
      </c>
      <c r="I182" s="2">
        <f t="shared" si="14"/>
        <v>55.4</v>
      </c>
      <c r="J182" s="4">
        <f t="shared" si="15"/>
        <v>5.951</v>
      </c>
      <c r="K182" s="9">
        <f t="shared" si="16"/>
        <v>-4.2</v>
      </c>
      <c r="L182" s="1">
        <f t="shared" si="17"/>
        <v>-4.49999999999999</v>
      </c>
    </row>
    <row r="183" s="1" customFormat="1" spans="1:12">
      <c r="A183" s="2">
        <v>6.018</v>
      </c>
      <c r="B183" s="10" t="s">
        <v>496</v>
      </c>
      <c r="C183" s="4">
        <v>6.018</v>
      </c>
      <c r="D183" s="5">
        <v>53.8</v>
      </c>
      <c r="E183" s="4"/>
      <c r="F183" s="4"/>
      <c r="G183" s="2">
        <f t="shared" si="12"/>
        <v>5.984</v>
      </c>
      <c r="H183" s="11" t="str">
        <f t="shared" si="13"/>
        <v>2.984E-2</v>
      </c>
      <c r="I183" s="2">
        <f t="shared" si="14"/>
        <v>54.7</v>
      </c>
      <c r="J183" s="4">
        <f t="shared" si="15"/>
        <v>5.984</v>
      </c>
      <c r="K183" s="9">
        <f t="shared" si="16"/>
        <v>-4.10000000000001</v>
      </c>
      <c r="L183" s="1">
        <f t="shared" si="17"/>
        <v>-4.49999999999999</v>
      </c>
    </row>
    <row r="184" s="1" customFormat="1" spans="1:12">
      <c r="A184" s="2">
        <v>6.051</v>
      </c>
      <c r="B184" s="10" t="s">
        <v>502</v>
      </c>
      <c r="C184" s="4">
        <v>6.051</v>
      </c>
      <c r="D184" s="5">
        <v>53.6</v>
      </c>
      <c r="E184" s="4"/>
      <c r="F184" s="4"/>
      <c r="G184" s="2">
        <f t="shared" si="12"/>
        <v>6.018</v>
      </c>
      <c r="H184" s="11" t="str">
        <f t="shared" si="13"/>
        <v>2.985E-2</v>
      </c>
      <c r="I184" s="2">
        <f t="shared" si="14"/>
        <v>53.8</v>
      </c>
      <c r="J184" s="4">
        <f t="shared" si="15"/>
        <v>6.018</v>
      </c>
      <c r="K184" s="9">
        <f t="shared" si="16"/>
        <v>-3.99999999999998</v>
      </c>
      <c r="L184" s="1">
        <f t="shared" si="17"/>
        <v>-4.49999999999999</v>
      </c>
    </row>
    <row r="185" s="1" customFormat="1" spans="1:12">
      <c r="A185" s="2">
        <v>6.085</v>
      </c>
      <c r="B185" s="10" t="s">
        <v>502</v>
      </c>
      <c r="C185" s="4">
        <v>6.085</v>
      </c>
      <c r="D185" s="5">
        <v>52.6</v>
      </c>
      <c r="E185" s="4"/>
      <c r="F185" s="4"/>
      <c r="G185" s="2">
        <f t="shared" si="12"/>
        <v>6.051</v>
      </c>
      <c r="H185" s="11" t="str">
        <f t="shared" si="13"/>
        <v>2.988E-2</v>
      </c>
      <c r="I185" s="2">
        <f t="shared" si="14"/>
        <v>53.6</v>
      </c>
      <c r="J185" s="4">
        <f t="shared" si="15"/>
        <v>6.051</v>
      </c>
      <c r="K185" s="9">
        <f t="shared" si="16"/>
        <v>-3.69999999999999</v>
      </c>
      <c r="L185" s="1">
        <f t="shared" si="17"/>
        <v>-4.49999999999999</v>
      </c>
    </row>
    <row r="186" s="1" customFormat="1" spans="1:12">
      <c r="A186" s="2">
        <v>6.118</v>
      </c>
      <c r="B186" s="10" t="s">
        <v>494</v>
      </c>
      <c r="C186" s="4">
        <v>6.118</v>
      </c>
      <c r="D186" s="5">
        <v>52.3</v>
      </c>
      <c r="E186" s="4"/>
      <c r="F186" s="4"/>
      <c r="G186" s="2">
        <f t="shared" si="12"/>
        <v>6.085</v>
      </c>
      <c r="H186" s="11" t="str">
        <f t="shared" si="13"/>
        <v>2.988E-2</v>
      </c>
      <c r="I186" s="2">
        <f t="shared" si="14"/>
        <v>52.6</v>
      </c>
      <c r="J186" s="4">
        <f t="shared" si="15"/>
        <v>6.085</v>
      </c>
      <c r="K186" s="9">
        <f t="shared" si="16"/>
        <v>-3.69999999999999</v>
      </c>
      <c r="L186" s="1">
        <f t="shared" si="17"/>
        <v>-4.49999999999999</v>
      </c>
    </row>
    <row r="187" s="1" customFormat="1" spans="1:12">
      <c r="A187" s="2">
        <v>6.152</v>
      </c>
      <c r="B187" s="10" t="s">
        <v>487</v>
      </c>
      <c r="C187" s="4">
        <v>6.152</v>
      </c>
      <c r="D187" s="5">
        <v>51.5</v>
      </c>
      <c r="E187" s="4"/>
      <c r="F187" s="4"/>
      <c r="G187" s="2">
        <f t="shared" si="12"/>
        <v>6.118</v>
      </c>
      <c r="H187" s="11" t="str">
        <f t="shared" si="13"/>
        <v>2.990E-2</v>
      </c>
      <c r="I187" s="2">
        <f t="shared" si="14"/>
        <v>52.3</v>
      </c>
      <c r="J187" s="4">
        <f t="shared" si="15"/>
        <v>6.118</v>
      </c>
      <c r="K187" s="9">
        <f t="shared" si="16"/>
        <v>-3.5</v>
      </c>
      <c r="L187" s="1">
        <f t="shared" si="17"/>
        <v>-4.49999999999999</v>
      </c>
    </row>
    <row r="188" s="1" customFormat="1" spans="1:12">
      <c r="A188" s="2">
        <v>6.185</v>
      </c>
      <c r="B188" s="10" t="s">
        <v>493</v>
      </c>
      <c r="C188" s="4">
        <v>6.185</v>
      </c>
      <c r="D188" s="5">
        <v>50.7</v>
      </c>
      <c r="E188" s="4"/>
      <c r="F188" s="4"/>
      <c r="G188" s="2">
        <f t="shared" si="12"/>
        <v>6.152</v>
      </c>
      <c r="H188" s="11" t="str">
        <f t="shared" si="13"/>
        <v>2.993E-2</v>
      </c>
      <c r="I188" s="2">
        <f t="shared" si="14"/>
        <v>51.5</v>
      </c>
      <c r="J188" s="4">
        <f t="shared" si="15"/>
        <v>6.152</v>
      </c>
      <c r="K188" s="9">
        <f t="shared" si="16"/>
        <v>-3.20000000000001</v>
      </c>
      <c r="L188" s="1">
        <f t="shared" si="17"/>
        <v>-4.49999999999999</v>
      </c>
    </row>
    <row r="189" s="1" customFormat="1" spans="1:12">
      <c r="A189" s="2">
        <v>6.218</v>
      </c>
      <c r="B189" s="10" t="s">
        <v>493</v>
      </c>
      <c r="C189" s="4">
        <v>6.218</v>
      </c>
      <c r="D189" s="5">
        <v>50.4</v>
      </c>
      <c r="E189" s="4"/>
      <c r="F189" s="4"/>
      <c r="G189" s="2">
        <f t="shared" si="12"/>
        <v>6.185</v>
      </c>
      <c r="H189" s="11" t="str">
        <f t="shared" si="13"/>
        <v>2.996E-2</v>
      </c>
      <c r="I189" s="2">
        <f t="shared" si="14"/>
        <v>50.7</v>
      </c>
      <c r="J189" s="4">
        <f t="shared" si="15"/>
        <v>6.185</v>
      </c>
      <c r="K189" s="9">
        <f t="shared" si="16"/>
        <v>-2.89999999999999</v>
      </c>
      <c r="L189" s="1">
        <f t="shared" si="17"/>
        <v>-4.49999999999999</v>
      </c>
    </row>
    <row r="190" s="1" customFormat="1" spans="1:12">
      <c r="A190" s="2">
        <v>6.252</v>
      </c>
      <c r="B190" s="10" t="s">
        <v>491</v>
      </c>
      <c r="C190" s="4">
        <v>6.252</v>
      </c>
      <c r="D190" s="5">
        <v>49.6</v>
      </c>
      <c r="E190" s="4"/>
      <c r="F190" s="4"/>
      <c r="G190" s="2">
        <f t="shared" si="12"/>
        <v>6.218</v>
      </c>
      <c r="H190" s="11" t="str">
        <f t="shared" si="13"/>
        <v>2.996E-2</v>
      </c>
      <c r="I190" s="2">
        <f t="shared" si="14"/>
        <v>50.4</v>
      </c>
      <c r="J190" s="4">
        <f t="shared" si="15"/>
        <v>6.218</v>
      </c>
      <c r="K190" s="9">
        <f t="shared" si="16"/>
        <v>-2.89999999999999</v>
      </c>
      <c r="L190" s="1">
        <f t="shared" si="17"/>
        <v>-4.49999999999999</v>
      </c>
    </row>
    <row r="191" s="1" customFormat="1" spans="1:12">
      <c r="A191" s="2">
        <v>6.285</v>
      </c>
      <c r="B191" s="10" t="s">
        <v>505</v>
      </c>
      <c r="C191" s="4">
        <v>6.285</v>
      </c>
      <c r="D191" s="5">
        <v>49.6</v>
      </c>
      <c r="E191" s="4"/>
      <c r="F191" s="4"/>
      <c r="G191" s="2">
        <f t="shared" si="12"/>
        <v>6.252</v>
      </c>
      <c r="H191" s="11" t="str">
        <f t="shared" si="13"/>
        <v>2.999E-2</v>
      </c>
      <c r="I191" s="2">
        <f t="shared" si="14"/>
        <v>49.6</v>
      </c>
      <c r="J191" s="4">
        <f t="shared" si="15"/>
        <v>6.252</v>
      </c>
      <c r="K191" s="9">
        <f t="shared" si="16"/>
        <v>-2.6</v>
      </c>
      <c r="L191" s="1">
        <f t="shared" si="17"/>
        <v>-4.49999999999999</v>
      </c>
    </row>
    <row r="192" s="1" customFormat="1" spans="1:12">
      <c r="A192" s="2">
        <v>6.319</v>
      </c>
      <c r="B192" s="10" t="s">
        <v>567</v>
      </c>
      <c r="C192" s="4">
        <v>6.319</v>
      </c>
      <c r="D192" s="5">
        <v>49</v>
      </c>
      <c r="E192" s="4"/>
      <c r="F192" s="4"/>
      <c r="G192" s="2">
        <f t="shared" si="12"/>
        <v>6.285</v>
      </c>
      <c r="H192" s="11" t="str">
        <f t="shared" si="13"/>
        <v>3.001E-2</v>
      </c>
      <c r="I192" s="2">
        <f t="shared" si="14"/>
        <v>49.6</v>
      </c>
      <c r="J192" s="4">
        <f t="shared" si="15"/>
        <v>6.285</v>
      </c>
      <c r="K192" s="9">
        <f t="shared" si="16"/>
        <v>-2.40000000000001</v>
      </c>
      <c r="L192" s="1">
        <f t="shared" si="17"/>
        <v>-4.49999999999999</v>
      </c>
    </row>
    <row r="193" s="1" customFormat="1" spans="1:12">
      <c r="A193" s="2">
        <v>6.352</v>
      </c>
      <c r="B193" s="10" t="s">
        <v>560</v>
      </c>
      <c r="C193" s="4">
        <v>6.352</v>
      </c>
      <c r="D193" s="5">
        <v>48.4</v>
      </c>
      <c r="E193" s="4"/>
      <c r="F193" s="4"/>
      <c r="G193" s="2">
        <f t="shared" si="12"/>
        <v>6.319</v>
      </c>
      <c r="H193" s="11" t="str">
        <f t="shared" si="13"/>
        <v>3.003E-2</v>
      </c>
      <c r="I193" s="2">
        <f t="shared" si="14"/>
        <v>49</v>
      </c>
      <c r="J193" s="4">
        <f t="shared" si="15"/>
        <v>6.319</v>
      </c>
      <c r="K193" s="9">
        <f t="shared" si="16"/>
        <v>-2.19999999999998</v>
      </c>
      <c r="L193" s="1">
        <f t="shared" si="17"/>
        <v>-4.49999999999999</v>
      </c>
    </row>
    <row r="194" s="1" customFormat="1" spans="1:12">
      <c r="A194" s="2">
        <v>6.386</v>
      </c>
      <c r="B194" s="10" t="s">
        <v>568</v>
      </c>
      <c r="C194" s="4">
        <v>6.386</v>
      </c>
      <c r="D194" s="5">
        <v>47.9</v>
      </c>
      <c r="E194" s="4"/>
      <c r="F194" s="4"/>
      <c r="G194" s="2">
        <f t="shared" si="12"/>
        <v>6.352</v>
      </c>
      <c r="H194" s="11" t="str">
        <f t="shared" si="13"/>
        <v>3.006E-2</v>
      </c>
      <c r="I194" s="2">
        <f t="shared" si="14"/>
        <v>48.4</v>
      </c>
      <c r="J194" s="4">
        <f t="shared" si="15"/>
        <v>6.352</v>
      </c>
      <c r="K194" s="9">
        <f t="shared" si="16"/>
        <v>-1.89999999999999</v>
      </c>
      <c r="L194" s="1">
        <f t="shared" si="17"/>
        <v>-4.49999999999999</v>
      </c>
    </row>
    <row r="195" s="1" customFormat="1" spans="1:12">
      <c r="A195" s="2">
        <v>6.419</v>
      </c>
      <c r="B195" s="10" t="s">
        <v>569</v>
      </c>
      <c r="C195" s="4">
        <v>6.419</v>
      </c>
      <c r="D195" s="5">
        <v>48.4</v>
      </c>
      <c r="E195" s="4"/>
      <c r="F195" s="4"/>
      <c r="G195" s="2">
        <f t="shared" si="12"/>
        <v>6.386</v>
      </c>
      <c r="H195" s="11" t="str">
        <f t="shared" si="13"/>
        <v>3.008E-2</v>
      </c>
      <c r="I195" s="2">
        <f t="shared" si="14"/>
        <v>47.9</v>
      </c>
      <c r="J195" s="4">
        <f t="shared" si="15"/>
        <v>6.386</v>
      </c>
      <c r="K195" s="9">
        <f t="shared" si="16"/>
        <v>-1.7</v>
      </c>
      <c r="L195" s="1">
        <f t="shared" si="17"/>
        <v>-4.49999999999999</v>
      </c>
    </row>
    <row r="196" s="1" customFormat="1" spans="1:12">
      <c r="A196" s="2">
        <v>6.452</v>
      </c>
      <c r="B196" s="10" t="s">
        <v>562</v>
      </c>
      <c r="C196" s="4">
        <v>6.452</v>
      </c>
      <c r="D196" s="5">
        <v>47.9</v>
      </c>
      <c r="E196" s="4"/>
      <c r="F196" s="4"/>
      <c r="G196" s="2">
        <f t="shared" ref="G196:G259" si="18">A195</f>
        <v>6.419</v>
      </c>
      <c r="H196" s="11" t="str">
        <f t="shared" ref="H196:H259" si="19">B195</f>
        <v>3.010E-2</v>
      </c>
      <c r="I196" s="2">
        <f t="shared" ref="I196:I259" si="20">D195</f>
        <v>48.4</v>
      </c>
      <c r="J196" s="4">
        <f t="shared" ref="J196:J259" si="21">G196</f>
        <v>6.419</v>
      </c>
      <c r="K196" s="9">
        <f t="shared" ref="K196:K259" si="22">(H196-$H$4)*10000</f>
        <v>-1.50000000000001</v>
      </c>
      <c r="L196" s="1">
        <f t="shared" ref="L196:L259" si="23">IF(I196&lt;230,MIN(K:K),MAX(K:K))</f>
        <v>-4.49999999999999</v>
      </c>
    </row>
    <row r="197" s="1" customFormat="1" spans="1:12">
      <c r="A197" s="2">
        <v>6.486</v>
      </c>
      <c r="B197" s="10" t="s">
        <v>540</v>
      </c>
      <c r="C197" s="4">
        <v>6.486</v>
      </c>
      <c r="D197" s="5">
        <v>47.2</v>
      </c>
      <c r="E197" s="4"/>
      <c r="F197" s="4"/>
      <c r="G197" s="2">
        <f t="shared" si="18"/>
        <v>6.452</v>
      </c>
      <c r="H197" s="11" t="str">
        <f t="shared" si="19"/>
        <v>3.021E-2</v>
      </c>
      <c r="I197" s="2">
        <f t="shared" si="20"/>
        <v>47.9</v>
      </c>
      <c r="J197" s="4">
        <f t="shared" si="21"/>
        <v>6.452</v>
      </c>
      <c r="K197" s="9">
        <f t="shared" si="22"/>
        <v>-0.399999999999984</v>
      </c>
      <c r="L197" s="1">
        <f t="shared" si="23"/>
        <v>-4.49999999999999</v>
      </c>
    </row>
    <row r="198" s="1" customFormat="1" spans="1:12">
      <c r="A198" s="2">
        <v>6.519</v>
      </c>
      <c r="B198" s="10" t="s">
        <v>542</v>
      </c>
      <c r="C198" s="4">
        <v>6.519</v>
      </c>
      <c r="D198" s="5">
        <v>46.6</v>
      </c>
      <c r="E198" s="4"/>
      <c r="F198" s="4"/>
      <c r="G198" s="2">
        <f t="shared" si="18"/>
        <v>6.486</v>
      </c>
      <c r="H198" s="11" t="str">
        <f t="shared" si="19"/>
        <v>3.025E-2</v>
      </c>
      <c r="I198" s="2">
        <f t="shared" si="20"/>
        <v>47.2</v>
      </c>
      <c r="J198" s="4">
        <f t="shared" si="21"/>
        <v>6.486</v>
      </c>
      <c r="K198" s="9">
        <f t="shared" si="22"/>
        <v>0</v>
      </c>
      <c r="L198" s="1">
        <f t="shared" si="23"/>
        <v>-4.49999999999999</v>
      </c>
    </row>
    <row r="199" s="1" customFormat="1" spans="1:12">
      <c r="A199" s="2">
        <v>6.553</v>
      </c>
      <c r="B199" s="10" t="s">
        <v>555</v>
      </c>
      <c r="C199" s="4">
        <v>6.553</v>
      </c>
      <c r="D199" s="5">
        <v>46.4</v>
      </c>
      <c r="E199" s="4"/>
      <c r="F199" s="4"/>
      <c r="G199" s="2">
        <f t="shared" si="18"/>
        <v>6.519</v>
      </c>
      <c r="H199" s="11" t="str">
        <f t="shared" si="19"/>
        <v>3.027E-2</v>
      </c>
      <c r="I199" s="2">
        <f t="shared" si="20"/>
        <v>46.6</v>
      </c>
      <c r="J199" s="4">
        <f t="shared" si="21"/>
        <v>6.519</v>
      </c>
      <c r="K199" s="9">
        <f t="shared" si="22"/>
        <v>0.199999999999992</v>
      </c>
      <c r="L199" s="1">
        <f t="shared" si="23"/>
        <v>-4.49999999999999</v>
      </c>
    </row>
    <row r="200" s="1" customFormat="1" spans="1:12">
      <c r="A200" s="2">
        <v>6.586</v>
      </c>
      <c r="B200" s="10" t="s">
        <v>555</v>
      </c>
      <c r="C200" s="4">
        <v>6.586</v>
      </c>
      <c r="D200" s="5">
        <v>46.3</v>
      </c>
      <c r="E200" s="4"/>
      <c r="F200" s="4"/>
      <c r="G200" s="2">
        <f t="shared" si="18"/>
        <v>6.553</v>
      </c>
      <c r="H200" s="11" t="str">
        <f t="shared" si="19"/>
        <v>3.029E-2</v>
      </c>
      <c r="I200" s="2">
        <f t="shared" si="20"/>
        <v>46.4</v>
      </c>
      <c r="J200" s="4">
        <f t="shared" si="21"/>
        <v>6.553</v>
      </c>
      <c r="K200" s="9">
        <f t="shared" si="22"/>
        <v>0.400000000000018</v>
      </c>
      <c r="L200" s="1">
        <f t="shared" si="23"/>
        <v>-4.49999999999999</v>
      </c>
    </row>
    <row r="201" s="1" customFormat="1" spans="1:12">
      <c r="A201" s="2">
        <v>6.62</v>
      </c>
      <c r="B201" s="10" t="s">
        <v>555</v>
      </c>
      <c r="C201" s="4">
        <v>6.62</v>
      </c>
      <c r="D201" s="5">
        <v>45.9</v>
      </c>
      <c r="E201" s="4"/>
      <c r="F201" s="4"/>
      <c r="G201" s="2">
        <f t="shared" si="18"/>
        <v>6.586</v>
      </c>
      <c r="H201" s="11" t="str">
        <f t="shared" si="19"/>
        <v>3.029E-2</v>
      </c>
      <c r="I201" s="2">
        <f t="shared" si="20"/>
        <v>46.3</v>
      </c>
      <c r="J201" s="4">
        <f t="shared" si="21"/>
        <v>6.586</v>
      </c>
      <c r="K201" s="9">
        <f t="shared" si="22"/>
        <v>0.400000000000018</v>
      </c>
      <c r="L201" s="1">
        <f t="shared" si="23"/>
        <v>-4.49999999999999</v>
      </c>
    </row>
    <row r="202" s="1" customFormat="1" spans="1:12">
      <c r="A202" s="2">
        <v>6.653</v>
      </c>
      <c r="B202" s="10" t="s">
        <v>543</v>
      </c>
      <c r="C202" s="4">
        <v>6.653</v>
      </c>
      <c r="D202" s="5">
        <v>45.3</v>
      </c>
      <c r="E202" s="4"/>
      <c r="F202" s="4"/>
      <c r="G202" s="2">
        <f t="shared" si="18"/>
        <v>6.62</v>
      </c>
      <c r="H202" s="11" t="str">
        <f t="shared" si="19"/>
        <v>3.029E-2</v>
      </c>
      <c r="I202" s="2">
        <f t="shared" si="20"/>
        <v>45.9</v>
      </c>
      <c r="J202" s="4">
        <f t="shared" si="21"/>
        <v>6.62</v>
      </c>
      <c r="K202" s="9">
        <f t="shared" si="22"/>
        <v>0.400000000000018</v>
      </c>
      <c r="L202" s="1">
        <f t="shared" si="23"/>
        <v>-4.49999999999999</v>
      </c>
    </row>
    <row r="203" s="1" customFormat="1" spans="1:12">
      <c r="A203" s="2">
        <v>6.687</v>
      </c>
      <c r="B203" s="10" t="s">
        <v>543</v>
      </c>
      <c r="C203" s="4">
        <v>6.687</v>
      </c>
      <c r="D203" s="5">
        <v>45.6</v>
      </c>
      <c r="E203" s="4"/>
      <c r="F203" s="4"/>
      <c r="G203" s="2">
        <f t="shared" si="18"/>
        <v>6.653</v>
      </c>
      <c r="H203" s="11" t="str">
        <f t="shared" si="19"/>
        <v>3.028E-2</v>
      </c>
      <c r="I203" s="2">
        <f t="shared" si="20"/>
        <v>45.3</v>
      </c>
      <c r="J203" s="4">
        <f t="shared" si="21"/>
        <v>6.653</v>
      </c>
      <c r="K203" s="9">
        <f t="shared" si="22"/>
        <v>0.300000000000022</v>
      </c>
      <c r="L203" s="1">
        <f t="shared" si="23"/>
        <v>-4.49999999999999</v>
      </c>
    </row>
    <row r="204" s="1" customFormat="1" spans="1:12">
      <c r="A204" s="2">
        <v>6.72</v>
      </c>
      <c r="B204" s="10" t="s">
        <v>542</v>
      </c>
      <c r="C204" s="4">
        <v>6.72</v>
      </c>
      <c r="D204" s="5">
        <v>45</v>
      </c>
      <c r="E204" s="4"/>
      <c r="F204" s="4"/>
      <c r="G204" s="2">
        <f t="shared" si="18"/>
        <v>6.687</v>
      </c>
      <c r="H204" s="11" t="str">
        <f t="shared" si="19"/>
        <v>3.028E-2</v>
      </c>
      <c r="I204" s="2">
        <f t="shared" si="20"/>
        <v>45.6</v>
      </c>
      <c r="J204" s="4">
        <f t="shared" si="21"/>
        <v>6.687</v>
      </c>
      <c r="K204" s="9">
        <f t="shared" si="22"/>
        <v>0.300000000000022</v>
      </c>
      <c r="L204" s="1">
        <f t="shared" si="23"/>
        <v>-4.49999999999999</v>
      </c>
    </row>
    <row r="205" s="1" customFormat="1" spans="1:12">
      <c r="A205" s="2">
        <v>6.753</v>
      </c>
      <c r="B205" s="10" t="s">
        <v>540</v>
      </c>
      <c r="C205" s="4">
        <v>6.753</v>
      </c>
      <c r="D205" s="5">
        <v>45.9</v>
      </c>
      <c r="E205" s="4"/>
      <c r="F205" s="4"/>
      <c r="G205" s="2">
        <f t="shared" si="18"/>
        <v>6.72</v>
      </c>
      <c r="H205" s="11" t="str">
        <f t="shared" si="19"/>
        <v>3.027E-2</v>
      </c>
      <c r="I205" s="2">
        <f t="shared" si="20"/>
        <v>45</v>
      </c>
      <c r="J205" s="4">
        <f t="shared" si="21"/>
        <v>6.72</v>
      </c>
      <c r="K205" s="9">
        <f t="shared" si="22"/>
        <v>0.199999999999992</v>
      </c>
      <c r="L205" s="1">
        <f t="shared" si="23"/>
        <v>-4.49999999999999</v>
      </c>
    </row>
    <row r="206" s="1" customFormat="1" spans="1:12">
      <c r="A206" s="2">
        <v>6.787</v>
      </c>
      <c r="B206" s="10" t="s">
        <v>545</v>
      </c>
      <c r="C206" s="4">
        <v>6.787</v>
      </c>
      <c r="D206" s="5">
        <v>45.4</v>
      </c>
      <c r="E206" s="4"/>
      <c r="F206" s="4"/>
      <c r="G206" s="2">
        <f t="shared" si="18"/>
        <v>6.753</v>
      </c>
      <c r="H206" s="11" t="str">
        <f t="shared" si="19"/>
        <v>3.025E-2</v>
      </c>
      <c r="I206" s="2">
        <f t="shared" si="20"/>
        <v>45.9</v>
      </c>
      <c r="J206" s="4">
        <f t="shared" si="21"/>
        <v>6.753</v>
      </c>
      <c r="K206" s="9">
        <f t="shared" si="22"/>
        <v>0</v>
      </c>
      <c r="L206" s="1">
        <f t="shared" si="23"/>
        <v>-4.49999999999999</v>
      </c>
    </row>
    <row r="207" s="1" customFormat="1" spans="1:12">
      <c r="A207" s="2">
        <v>6.82</v>
      </c>
      <c r="B207" s="10" t="s">
        <v>546</v>
      </c>
      <c r="C207" s="4">
        <v>6.82</v>
      </c>
      <c r="D207" s="5">
        <v>45.4</v>
      </c>
      <c r="E207" s="4"/>
      <c r="F207" s="4"/>
      <c r="G207" s="2">
        <f t="shared" si="18"/>
        <v>6.787</v>
      </c>
      <c r="H207" s="11" t="str">
        <f t="shared" si="19"/>
        <v>3.023E-2</v>
      </c>
      <c r="I207" s="2">
        <f t="shared" si="20"/>
        <v>45.4</v>
      </c>
      <c r="J207" s="4">
        <f t="shared" si="21"/>
        <v>6.787</v>
      </c>
      <c r="K207" s="9">
        <f t="shared" si="22"/>
        <v>-0.199999999999992</v>
      </c>
      <c r="L207" s="1">
        <f t="shared" si="23"/>
        <v>-4.49999999999999</v>
      </c>
    </row>
    <row r="208" s="1" customFormat="1" spans="1:12">
      <c r="A208" s="2">
        <v>6.854</v>
      </c>
      <c r="B208" s="10" t="s">
        <v>556</v>
      </c>
      <c r="C208" s="4">
        <v>6.854</v>
      </c>
      <c r="D208" s="5">
        <v>44.9</v>
      </c>
      <c r="E208" s="4"/>
      <c r="F208" s="4"/>
      <c r="G208" s="2">
        <f t="shared" si="18"/>
        <v>6.82</v>
      </c>
      <c r="H208" s="11" t="str">
        <f t="shared" si="19"/>
        <v>3.022E-2</v>
      </c>
      <c r="I208" s="2">
        <f t="shared" si="20"/>
        <v>45.4</v>
      </c>
      <c r="J208" s="4">
        <f t="shared" si="21"/>
        <v>6.82</v>
      </c>
      <c r="K208" s="9">
        <f t="shared" si="22"/>
        <v>-0.299999999999988</v>
      </c>
      <c r="L208" s="1">
        <f t="shared" si="23"/>
        <v>-4.49999999999999</v>
      </c>
    </row>
    <row r="209" s="1" customFormat="1" spans="1:12">
      <c r="A209" s="2">
        <v>6.887</v>
      </c>
      <c r="B209" s="10" t="s">
        <v>564</v>
      </c>
      <c r="C209" s="4">
        <v>6.887</v>
      </c>
      <c r="D209" s="5">
        <v>45</v>
      </c>
      <c r="E209" s="4"/>
      <c r="F209" s="4"/>
      <c r="G209" s="2">
        <f t="shared" si="18"/>
        <v>6.854</v>
      </c>
      <c r="H209" s="11" t="str">
        <f t="shared" si="19"/>
        <v>3.020E-2</v>
      </c>
      <c r="I209" s="2">
        <f t="shared" si="20"/>
        <v>44.9</v>
      </c>
      <c r="J209" s="4">
        <f t="shared" si="21"/>
        <v>6.854</v>
      </c>
      <c r="K209" s="9">
        <f t="shared" si="22"/>
        <v>-0.49999999999998</v>
      </c>
      <c r="L209" s="1">
        <f t="shared" si="23"/>
        <v>-4.49999999999999</v>
      </c>
    </row>
    <row r="210" s="1" customFormat="1" spans="1:12">
      <c r="A210" s="2">
        <v>6.921</v>
      </c>
      <c r="B210" s="10" t="s">
        <v>570</v>
      </c>
      <c r="C210" s="4">
        <v>6.921</v>
      </c>
      <c r="D210" s="5">
        <v>44.6</v>
      </c>
      <c r="E210" s="4"/>
      <c r="F210" s="4"/>
      <c r="G210" s="2">
        <f t="shared" si="18"/>
        <v>6.887</v>
      </c>
      <c r="H210" s="11" t="str">
        <f t="shared" si="19"/>
        <v>3.018E-2</v>
      </c>
      <c r="I210" s="2">
        <f t="shared" si="20"/>
        <v>45</v>
      </c>
      <c r="J210" s="4">
        <f t="shared" si="21"/>
        <v>6.887</v>
      </c>
      <c r="K210" s="9">
        <f t="shared" si="22"/>
        <v>-0.700000000000006</v>
      </c>
      <c r="L210" s="1">
        <f t="shared" si="23"/>
        <v>-4.49999999999999</v>
      </c>
    </row>
    <row r="211" s="1" customFormat="1" spans="1:12">
      <c r="A211" s="2">
        <v>6.954</v>
      </c>
      <c r="B211" s="10" t="s">
        <v>559</v>
      </c>
      <c r="C211" s="4">
        <v>6.954</v>
      </c>
      <c r="D211" s="5">
        <v>44.5</v>
      </c>
      <c r="E211" s="4"/>
      <c r="F211" s="4"/>
      <c r="G211" s="2">
        <f t="shared" si="18"/>
        <v>6.921</v>
      </c>
      <c r="H211" s="11" t="str">
        <f t="shared" si="19"/>
        <v>3.014E-2</v>
      </c>
      <c r="I211" s="2">
        <f t="shared" si="20"/>
        <v>44.6</v>
      </c>
      <c r="J211" s="4">
        <f t="shared" si="21"/>
        <v>6.921</v>
      </c>
      <c r="K211" s="9">
        <f t="shared" si="22"/>
        <v>-1.09999999999999</v>
      </c>
      <c r="L211" s="1">
        <f t="shared" si="23"/>
        <v>-4.49999999999999</v>
      </c>
    </row>
    <row r="212" s="1" customFormat="1" spans="1:12">
      <c r="A212" s="2">
        <v>6.987</v>
      </c>
      <c r="B212" s="10" t="s">
        <v>571</v>
      </c>
      <c r="C212" s="4">
        <v>6.987</v>
      </c>
      <c r="D212" s="5">
        <v>44.2</v>
      </c>
      <c r="E212" s="4"/>
      <c r="F212" s="4"/>
      <c r="G212" s="2">
        <f t="shared" si="18"/>
        <v>6.954</v>
      </c>
      <c r="H212" s="11" t="str">
        <f t="shared" si="19"/>
        <v>3.011E-2</v>
      </c>
      <c r="I212" s="2">
        <f t="shared" si="20"/>
        <v>44.5</v>
      </c>
      <c r="J212" s="4">
        <f t="shared" si="21"/>
        <v>6.954</v>
      </c>
      <c r="K212" s="9">
        <f t="shared" si="22"/>
        <v>-1.39999999999998</v>
      </c>
      <c r="L212" s="1">
        <f t="shared" si="23"/>
        <v>-4.49999999999999</v>
      </c>
    </row>
    <row r="213" s="1" customFormat="1" spans="1:12">
      <c r="A213" s="2">
        <v>7.021</v>
      </c>
      <c r="B213" s="10" t="s">
        <v>493</v>
      </c>
      <c r="C213" s="4">
        <v>7.021</v>
      </c>
      <c r="D213" s="5">
        <v>44.6</v>
      </c>
      <c r="E213" s="4"/>
      <c r="F213" s="4"/>
      <c r="G213" s="2">
        <f t="shared" si="18"/>
        <v>6.987</v>
      </c>
      <c r="H213" s="11" t="str">
        <f t="shared" si="19"/>
        <v>3.007E-2</v>
      </c>
      <c r="I213" s="2">
        <f t="shared" si="20"/>
        <v>44.2</v>
      </c>
      <c r="J213" s="4">
        <f t="shared" si="21"/>
        <v>6.987</v>
      </c>
      <c r="K213" s="9">
        <f t="shared" si="22"/>
        <v>-1.8</v>
      </c>
      <c r="L213" s="1">
        <f t="shared" si="23"/>
        <v>-4.49999999999999</v>
      </c>
    </row>
    <row r="214" s="1" customFormat="1" spans="1:12">
      <c r="A214" s="2">
        <v>7.054</v>
      </c>
      <c r="B214" s="10" t="s">
        <v>572</v>
      </c>
      <c r="C214" s="4">
        <v>7.054</v>
      </c>
      <c r="D214" s="5">
        <v>44.4</v>
      </c>
      <c r="E214" s="4"/>
      <c r="F214" s="4"/>
      <c r="G214" s="2">
        <f t="shared" si="18"/>
        <v>7.021</v>
      </c>
      <c r="H214" s="11" t="str">
        <f t="shared" si="19"/>
        <v>2.996E-2</v>
      </c>
      <c r="I214" s="2">
        <f t="shared" si="20"/>
        <v>44.6</v>
      </c>
      <c r="J214" s="4">
        <f t="shared" si="21"/>
        <v>7.021</v>
      </c>
      <c r="K214" s="9">
        <f t="shared" si="22"/>
        <v>-2.89999999999999</v>
      </c>
      <c r="L214" s="1">
        <f t="shared" si="23"/>
        <v>-4.49999999999999</v>
      </c>
    </row>
    <row r="215" s="1" customFormat="1" spans="1:12">
      <c r="A215" s="2">
        <v>7.088</v>
      </c>
      <c r="B215" s="10" t="s">
        <v>495</v>
      </c>
      <c r="C215" s="4">
        <v>7.088</v>
      </c>
      <c r="D215" s="5">
        <v>44.4</v>
      </c>
      <c r="E215" s="4"/>
      <c r="F215" s="4"/>
      <c r="G215" s="2">
        <f t="shared" si="18"/>
        <v>7.054</v>
      </c>
      <c r="H215" s="11" t="str">
        <f t="shared" si="19"/>
        <v>2.989E-2</v>
      </c>
      <c r="I215" s="2">
        <f t="shared" si="20"/>
        <v>44.4</v>
      </c>
      <c r="J215" s="4">
        <f t="shared" si="21"/>
        <v>7.054</v>
      </c>
      <c r="K215" s="9">
        <f t="shared" si="22"/>
        <v>-3.59999999999999</v>
      </c>
      <c r="L215" s="1">
        <f t="shared" si="23"/>
        <v>-4.49999999999999</v>
      </c>
    </row>
    <row r="216" s="1" customFormat="1" spans="1:12">
      <c r="A216" s="2">
        <v>7.121</v>
      </c>
      <c r="B216" s="10" t="s">
        <v>506</v>
      </c>
      <c r="C216" s="4">
        <v>7.121</v>
      </c>
      <c r="D216" s="5">
        <v>44.3</v>
      </c>
      <c r="E216" s="4"/>
      <c r="F216" s="4"/>
      <c r="G216" s="2">
        <f t="shared" si="18"/>
        <v>7.088</v>
      </c>
      <c r="H216" s="11" t="str">
        <f t="shared" si="19"/>
        <v>2.987E-2</v>
      </c>
      <c r="I216" s="2">
        <f t="shared" si="20"/>
        <v>44.4</v>
      </c>
      <c r="J216" s="4">
        <f t="shared" si="21"/>
        <v>7.088</v>
      </c>
      <c r="K216" s="9">
        <f t="shared" si="22"/>
        <v>-3.79999999999998</v>
      </c>
      <c r="L216" s="1">
        <f t="shared" si="23"/>
        <v>-4.49999999999999</v>
      </c>
    </row>
    <row r="217" s="1" customFormat="1" spans="1:12">
      <c r="A217" s="2">
        <v>7.155</v>
      </c>
      <c r="B217" s="10" t="s">
        <v>497</v>
      </c>
      <c r="C217" s="4">
        <v>7.155</v>
      </c>
      <c r="D217" s="5">
        <v>44.2</v>
      </c>
      <c r="E217" s="4"/>
      <c r="F217" s="4"/>
      <c r="G217" s="2">
        <f t="shared" si="18"/>
        <v>7.121</v>
      </c>
      <c r="H217" s="11" t="str">
        <f t="shared" si="19"/>
        <v>2.983E-2</v>
      </c>
      <c r="I217" s="2">
        <f t="shared" si="20"/>
        <v>44.3</v>
      </c>
      <c r="J217" s="4">
        <f t="shared" si="21"/>
        <v>7.121</v>
      </c>
      <c r="K217" s="9">
        <f t="shared" si="22"/>
        <v>-4.2</v>
      </c>
      <c r="L217" s="1">
        <f t="shared" si="23"/>
        <v>-4.49999999999999</v>
      </c>
    </row>
    <row r="218" s="1" customFormat="1" spans="1:12">
      <c r="A218" s="2">
        <v>7.188</v>
      </c>
      <c r="B218" s="10" t="s">
        <v>566</v>
      </c>
      <c r="C218" s="4">
        <v>7.188</v>
      </c>
      <c r="D218" s="5">
        <v>45.1</v>
      </c>
      <c r="E218" s="4"/>
      <c r="F218" s="4"/>
      <c r="G218" s="2">
        <f t="shared" si="18"/>
        <v>7.155</v>
      </c>
      <c r="H218" s="11" t="str">
        <f t="shared" si="19"/>
        <v>2.982E-2</v>
      </c>
      <c r="I218" s="2">
        <f t="shared" si="20"/>
        <v>44.2</v>
      </c>
      <c r="J218" s="4">
        <f t="shared" si="21"/>
        <v>7.155</v>
      </c>
      <c r="K218" s="9">
        <f t="shared" si="22"/>
        <v>-4.3</v>
      </c>
      <c r="L218" s="1">
        <f t="shared" si="23"/>
        <v>-4.49999999999999</v>
      </c>
    </row>
    <row r="219" s="1" customFormat="1" spans="1:12">
      <c r="A219" s="2">
        <v>7.221</v>
      </c>
      <c r="B219" s="10" t="s">
        <v>497</v>
      </c>
      <c r="C219" s="4">
        <v>7.221</v>
      </c>
      <c r="D219" s="5">
        <v>44.4</v>
      </c>
      <c r="E219" s="4"/>
      <c r="F219" s="4"/>
      <c r="G219" s="2">
        <f t="shared" si="18"/>
        <v>7.188</v>
      </c>
      <c r="H219" s="11" t="str">
        <f t="shared" si="19"/>
        <v>2.981E-2</v>
      </c>
      <c r="I219" s="2">
        <f t="shared" si="20"/>
        <v>45.1</v>
      </c>
      <c r="J219" s="4">
        <f t="shared" si="21"/>
        <v>7.188</v>
      </c>
      <c r="K219" s="9">
        <f t="shared" si="22"/>
        <v>-4.39999999999999</v>
      </c>
      <c r="L219" s="1">
        <f t="shared" si="23"/>
        <v>-4.49999999999999</v>
      </c>
    </row>
    <row r="220" s="1" customFormat="1" spans="1:12">
      <c r="A220" s="2">
        <v>7.255</v>
      </c>
      <c r="B220" s="10" t="s">
        <v>506</v>
      </c>
      <c r="C220" s="4">
        <v>7.255</v>
      </c>
      <c r="D220" s="5">
        <v>44.4</v>
      </c>
      <c r="E220" s="4"/>
      <c r="F220" s="4"/>
      <c r="G220" s="2">
        <f t="shared" si="18"/>
        <v>7.221</v>
      </c>
      <c r="H220" s="11" t="str">
        <f t="shared" si="19"/>
        <v>2.982E-2</v>
      </c>
      <c r="I220" s="2">
        <f t="shared" si="20"/>
        <v>44.4</v>
      </c>
      <c r="J220" s="4">
        <f t="shared" si="21"/>
        <v>7.221</v>
      </c>
      <c r="K220" s="9">
        <f t="shared" si="22"/>
        <v>-4.3</v>
      </c>
      <c r="L220" s="1">
        <f t="shared" si="23"/>
        <v>-4.49999999999999</v>
      </c>
    </row>
    <row r="221" s="1" customFormat="1" spans="1:12">
      <c r="A221" s="2">
        <v>7.288</v>
      </c>
      <c r="B221" s="10" t="s">
        <v>500</v>
      </c>
      <c r="C221" s="4">
        <v>7.288</v>
      </c>
      <c r="D221" s="5">
        <v>43.6</v>
      </c>
      <c r="E221" s="4"/>
      <c r="F221" s="4"/>
      <c r="G221" s="2">
        <f t="shared" si="18"/>
        <v>7.255</v>
      </c>
      <c r="H221" s="11" t="str">
        <f t="shared" si="19"/>
        <v>2.983E-2</v>
      </c>
      <c r="I221" s="2">
        <f t="shared" si="20"/>
        <v>44.4</v>
      </c>
      <c r="J221" s="4">
        <f t="shared" si="21"/>
        <v>7.255</v>
      </c>
      <c r="K221" s="9">
        <f t="shared" si="22"/>
        <v>-4.2</v>
      </c>
      <c r="L221" s="1">
        <f t="shared" si="23"/>
        <v>-4.49999999999999</v>
      </c>
    </row>
    <row r="222" s="1" customFormat="1" spans="1:12">
      <c r="A222" s="2">
        <v>7.322</v>
      </c>
      <c r="B222" s="10" t="s">
        <v>501</v>
      </c>
      <c r="C222" s="4">
        <v>7.322</v>
      </c>
      <c r="D222" s="5">
        <v>44.1</v>
      </c>
      <c r="E222" s="4"/>
      <c r="F222" s="4"/>
      <c r="G222" s="2">
        <f t="shared" si="18"/>
        <v>7.288</v>
      </c>
      <c r="H222" s="11" t="str">
        <f t="shared" si="19"/>
        <v>2.984E-2</v>
      </c>
      <c r="I222" s="2">
        <f t="shared" si="20"/>
        <v>43.6</v>
      </c>
      <c r="J222" s="4">
        <f t="shared" si="21"/>
        <v>7.288</v>
      </c>
      <c r="K222" s="9">
        <f t="shared" si="22"/>
        <v>-4.10000000000001</v>
      </c>
      <c r="L222" s="1">
        <f t="shared" si="23"/>
        <v>-4.49999999999999</v>
      </c>
    </row>
    <row r="223" s="1" customFormat="1" spans="1:12">
      <c r="A223" s="2">
        <v>7.355</v>
      </c>
      <c r="B223" s="10" t="s">
        <v>502</v>
      </c>
      <c r="C223" s="4">
        <v>7.355</v>
      </c>
      <c r="D223" s="5">
        <v>44.3</v>
      </c>
      <c r="E223" s="4"/>
      <c r="F223" s="4"/>
      <c r="G223" s="2">
        <f t="shared" si="18"/>
        <v>7.322</v>
      </c>
      <c r="H223" s="11" t="str">
        <f t="shared" si="19"/>
        <v>2.986E-2</v>
      </c>
      <c r="I223" s="2">
        <f t="shared" si="20"/>
        <v>44.1</v>
      </c>
      <c r="J223" s="4">
        <f t="shared" si="21"/>
        <v>7.322</v>
      </c>
      <c r="K223" s="9">
        <f t="shared" si="22"/>
        <v>-3.89999999999998</v>
      </c>
      <c r="L223" s="1">
        <f t="shared" si="23"/>
        <v>-4.49999999999999</v>
      </c>
    </row>
    <row r="224" s="1" customFormat="1" spans="1:12">
      <c r="A224" s="2">
        <v>7.389</v>
      </c>
      <c r="B224" s="10" t="s">
        <v>572</v>
      </c>
      <c r="C224" s="4">
        <v>7.389</v>
      </c>
      <c r="D224" s="5">
        <v>44.1</v>
      </c>
      <c r="E224" s="4"/>
      <c r="F224" s="4"/>
      <c r="G224" s="2">
        <f t="shared" si="18"/>
        <v>7.355</v>
      </c>
      <c r="H224" s="11" t="str">
        <f t="shared" si="19"/>
        <v>2.988E-2</v>
      </c>
      <c r="I224" s="2">
        <f t="shared" si="20"/>
        <v>44.3</v>
      </c>
      <c r="J224" s="4">
        <f t="shared" si="21"/>
        <v>7.355</v>
      </c>
      <c r="K224" s="9">
        <f t="shared" si="22"/>
        <v>-3.69999999999999</v>
      </c>
      <c r="L224" s="1">
        <f t="shared" si="23"/>
        <v>-4.49999999999999</v>
      </c>
    </row>
    <row r="225" s="1" customFormat="1" spans="1:12">
      <c r="A225" s="2">
        <v>7.422</v>
      </c>
      <c r="B225" s="10" t="s">
        <v>494</v>
      </c>
      <c r="C225" s="4">
        <v>7.422</v>
      </c>
      <c r="D225" s="5">
        <v>44.4</v>
      </c>
      <c r="E225" s="4"/>
      <c r="F225" s="4"/>
      <c r="G225" s="2">
        <f t="shared" si="18"/>
        <v>7.389</v>
      </c>
      <c r="H225" s="11" t="str">
        <f t="shared" si="19"/>
        <v>2.989E-2</v>
      </c>
      <c r="I225" s="2">
        <f t="shared" si="20"/>
        <v>44.1</v>
      </c>
      <c r="J225" s="4">
        <f t="shared" si="21"/>
        <v>7.389</v>
      </c>
      <c r="K225" s="9">
        <f t="shared" si="22"/>
        <v>-3.59999999999999</v>
      </c>
      <c r="L225" s="1">
        <f t="shared" si="23"/>
        <v>-4.49999999999999</v>
      </c>
    </row>
    <row r="226" s="1" customFormat="1" spans="1:12">
      <c r="A226" s="2">
        <v>7.455</v>
      </c>
      <c r="B226" s="10" t="s">
        <v>487</v>
      </c>
      <c r="C226" s="4">
        <v>7.455</v>
      </c>
      <c r="D226" s="5">
        <v>44.2</v>
      </c>
      <c r="E226" s="4"/>
      <c r="F226" s="4"/>
      <c r="G226" s="2">
        <f t="shared" si="18"/>
        <v>7.422</v>
      </c>
      <c r="H226" s="11" t="str">
        <f t="shared" si="19"/>
        <v>2.990E-2</v>
      </c>
      <c r="I226" s="2">
        <f t="shared" si="20"/>
        <v>44.4</v>
      </c>
      <c r="J226" s="4">
        <f t="shared" si="21"/>
        <v>7.422</v>
      </c>
      <c r="K226" s="9">
        <f t="shared" si="22"/>
        <v>-3.5</v>
      </c>
      <c r="L226" s="1">
        <f t="shared" si="23"/>
        <v>-4.49999999999999</v>
      </c>
    </row>
    <row r="227" s="1" customFormat="1" spans="1:12">
      <c r="A227" s="2">
        <v>7.489</v>
      </c>
      <c r="B227" s="10" t="s">
        <v>503</v>
      </c>
      <c r="C227" s="4">
        <v>7.489</v>
      </c>
      <c r="D227" s="5">
        <v>44.2</v>
      </c>
      <c r="E227" s="4"/>
      <c r="F227" s="4"/>
      <c r="G227" s="2">
        <f t="shared" si="18"/>
        <v>7.455</v>
      </c>
      <c r="H227" s="11" t="str">
        <f t="shared" si="19"/>
        <v>2.993E-2</v>
      </c>
      <c r="I227" s="2">
        <f t="shared" si="20"/>
        <v>44.2</v>
      </c>
      <c r="J227" s="4">
        <f t="shared" si="21"/>
        <v>7.455</v>
      </c>
      <c r="K227" s="9">
        <f t="shared" si="22"/>
        <v>-3.20000000000001</v>
      </c>
      <c r="L227" s="1">
        <f t="shared" si="23"/>
        <v>-4.49999999999999</v>
      </c>
    </row>
    <row r="228" s="1" customFormat="1" spans="1:12">
      <c r="A228" s="2">
        <v>7.522</v>
      </c>
      <c r="B228" s="10" t="s">
        <v>489</v>
      </c>
      <c r="C228" s="4">
        <v>7.522</v>
      </c>
      <c r="D228" s="5">
        <v>44.7</v>
      </c>
      <c r="E228" s="4"/>
      <c r="F228" s="4"/>
      <c r="G228" s="2">
        <f t="shared" si="18"/>
        <v>7.489</v>
      </c>
      <c r="H228" s="11" t="str">
        <f t="shared" si="19"/>
        <v>2.994E-2</v>
      </c>
      <c r="I228" s="2">
        <f t="shared" si="20"/>
        <v>44.2</v>
      </c>
      <c r="J228" s="4">
        <f t="shared" si="21"/>
        <v>7.489</v>
      </c>
      <c r="K228" s="9">
        <f t="shared" si="22"/>
        <v>-3.09999999999998</v>
      </c>
      <c r="L228" s="1">
        <f t="shared" si="23"/>
        <v>-4.49999999999999</v>
      </c>
    </row>
    <row r="229" s="1" customFormat="1" spans="1:12">
      <c r="A229" s="2">
        <v>7.556</v>
      </c>
      <c r="B229" s="10" t="s">
        <v>490</v>
      </c>
      <c r="C229" s="4">
        <v>7.556</v>
      </c>
      <c r="D229" s="5">
        <v>44.4</v>
      </c>
      <c r="E229" s="4"/>
      <c r="F229" s="4"/>
      <c r="G229" s="2">
        <f t="shared" si="18"/>
        <v>7.522</v>
      </c>
      <c r="H229" s="11" t="str">
        <f t="shared" si="19"/>
        <v>2.997E-2</v>
      </c>
      <c r="I229" s="2">
        <f t="shared" si="20"/>
        <v>44.7</v>
      </c>
      <c r="J229" s="4">
        <f t="shared" si="21"/>
        <v>7.522</v>
      </c>
      <c r="K229" s="9">
        <f t="shared" si="22"/>
        <v>-2.79999999999999</v>
      </c>
      <c r="L229" s="1">
        <f t="shared" si="23"/>
        <v>-4.49999999999999</v>
      </c>
    </row>
    <row r="230" s="1" customFormat="1" spans="1:12">
      <c r="A230" s="2">
        <v>7.589</v>
      </c>
      <c r="B230" s="10" t="s">
        <v>505</v>
      </c>
      <c r="C230" s="4">
        <v>7.589</v>
      </c>
      <c r="D230" s="5">
        <v>44.2</v>
      </c>
      <c r="E230" s="4"/>
      <c r="F230" s="4"/>
      <c r="G230" s="2">
        <f t="shared" si="18"/>
        <v>7.556</v>
      </c>
      <c r="H230" s="11" t="str">
        <f t="shared" si="19"/>
        <v>2.998E-2</v>
      </c>
      <c r="I230" s="2">
        <f t="shared" si="20"/>
        <v>44.4</v>
      </c>
      <c r="J230" s="4">
        <f t="shared" si="21"/>
        <v>7.556</v>
      </c>
      <c r="K230" s="9">
        <f t="shared" si="22"/>
        <v>-2.69999999999999</v>
      </c>
      <c r="L230" s="1">
        <f t="shared" si="23"/>
        <v>-4.49999999999999</v>
      </c>
    </row>
    <row r="231" s="1" customFormat="1" spans="1:12">
      <c r="A231" s="2">
        <v>7.623</v>
      </c>
      <c r="B231" s="10" t="s">
        <v>567</v>
      </c>
      <c r="C231" s="4">
        <v>7.623</v>
      </c>
      <c r="D231" s="5">
        <v>43.9</v>
      </c>
      <c r="E231" s="4"/>
      <c r="F231" s="4"/>
      <c r="G231" s="2">
        <f t="shared" si="18"/>
        <v>7.589</v>
      </c>
      <c r="H231" s="11" t="str">
        <f t="shared" si="19"/>
        <v>3.001E-2</v>
      </c>
      <c r="I231" s="2">
        <f t="shared" si="20"/>
        <v>44.2</v>
      </c>
      <c r="J231" s="4">
        <f t="shared" si="21"/>
        <v>7.589</v>
      </c>
      <c r="K231" s="9">
        <f t="shared" si="22"/>
        <v>-2.40000000000001</v>
      </c>
      <c r="L231" s="1">
        <f t="shared" si="23"/>
        <v>-4.49999999999999</v>
      </c>
    </row>
    <row r="232" s="1" customFormat="1" spans="1:12">
      <c r="A232" s="2">
        <v>7.656</v>
      </c>
      <c r="B232" s="10" t="s">
        <v>568</v>
      </c>
      <c r="C232" s="4">
        <v>7.656</v>
      </c>
      <c r="D232" s="5">
        <v>44.2</v>
      </c>
      <c r="E232" s="4"/>
      <c r="F232" s="4"/>
      <c r="G232" s="2">
        <f t="shared" si="18"/>
        <v>7.623</v>
      </c>
      <c r="H232" s="11" t="str">
        <f t="shared" si="19"/>
        <v>3.003E-2</v>
      </c>
      <c r="I232" s="2">
        <f t="shared" si="20"/>
        <v>43.9</v>
      </c>
      <c r="J232" s="4">
        <f t="shared" si="21"/>
        <v>7.623</v>
      </c>
      <c r="K232" s="9">
        <f t="shared" si="22"/>
        <v>-2.19999999999998</v>
      </c>
      <c r="L232" s="1">
        <f t="shared" si="23"/>
        <v>-4.49999999999999</v>
      </c>
    </row>
    <row r="233" s="1" customFormat="1" spans="1:12">
      <c r="A233" s="2">
        <v>7.689</v>
      </c>
      <c r="B233" s="10" t="s">
        <v>561</v>
      </c>
      <c r="C233" s="4">
        <v>7.689</v>
      </c>
      <c r="D233" s="5">
        <v>44.9</v>
      </c>
      <c r="E233" s="4"/>
      <c r="F233" s="4"/>
      <c r="G233" s="2">
        <f t="shared" si="18"/>
        <v>7.656</v>
      </c>
      <c r="H233" s="11" t="str">
        <f t="shared" si="19"/>
        <v>3.008E-2</v>
      </c>
      <c r="I233" s="2">
        <f t="shared" si="20"/>
        <v>44.2</v>
      </c>
      <c r="J233" s="4">
        <f t="shared" si="21"/>
        <v>7.656</v>
      </c>
      <c r="K233" s="9">
        <f t="shared" si="22"/>
        <v>-1.7</v>
      </c>
      <c r="L233" s="1">
        <f t="shared" si="23"/>
        <v>-4.49999999999999</v>
      </c>
    </row>
    <row r="234" s="1" customFormat="1" spans="1:12">
      <c r="A234" s="2">
        <v>7.723</v>
      </c>
      <c r="B234" s="10" t="s">
        <v>559</v>
      </c>
      <c r="C234" s="4">
        <v>7.723</v>
      </c>
      <c r="D234" s="5">
        <v>44.2</v>
      </c>
      <c r="E234" s="4"/>
      <c r="F234" s="4"/>
      <c r="G234" s="2">
        <f t="shared" si="18"/>
        <v>7.689</v>
      </c>
      <c r="H234" s="11" t="str">
        <f t="shared" si="19"/>
        <v>3.009E-2</v>
      </c>
      <c r="I234" s="2">
        <f t="shared" si="20"/>
        <v>44.9</v>
      </c>
      <c r="J234" s="4">
        <f t="shared" si="21"/>
        <v>7.689</v>
      </c>
      <c r="K234" s="9">
        <f t="shared" si="22"/>
        <v>-1.6</v>
      </c>
      <c r="L234" s="1">
        <f t="shared" si="23"/>
        <v>-4.49999999999999</v>
      </c>
    </row>
    <row r="235" s="1" customFormat="1" spans="1:12">
      <c r="A235" s="2">
        <v>7.756</v>
      </c>
      <c r="B235" s="10" t="s">
        <v>562</v>
      </c>
      <c r="C235" s="4">
        <v>7.756</v>
      </c>
      <c r="D235" s="5">
        <v>44.3</v>
      </c>
      <c r="E235" s="4"/>
      <c r="F235" s="4"/>
      <c r="G235" s="2">
        <f t="shared" si="18"/>
        <v>7.723</v>
      </c>
      <c r="H235" s="11" t="str">
        <f t="shared" si="19"/>
        <v>3.011E-2</v>
      </c>
      <c r="I235" s="2">
        <f t="shared" si="20"/>
        <v>44.2</v>
      </c>
      <c r="J235" s="4">
        <f t="shared" si="21"/>
        <v>7.723</v>
      </c>
      <c r="K235" s="9">
        <f t="shared" si="22"/>
        <v>-1.39999999999998</v>
      </c>
      <c r="L235" s="1">
        <f t="shared" si="23"/>
        <v>-4.49999999999999</v>
      </c>
    </row>
    <row r="236" s="1" customFormat="1" spans="1:12">
      <c r="A236" s="2">
        <v>7.79</v>
      </c>
      <c r="B236" s="10" t="s">
        <v>544</v>
      </c>
      <c r="C236" s="4">
        <v>7.79</v>
      </c>
      <c r="D236" s="5">
        <v>44.4</v>
      </c>
      <c r="E236" s="4"/>
      <c r="F236" s="4"/>
      <c r="G236" s="2">
        <f t="shared" si="18"/>
        <v>7.756</v>
      </c>
      <c r="H236" s="11" t="str">
        <f t="shared" si="19"/>
        <v>3.021E-2</v>
      </c>
      <c r="I236" s="2">
        <f t="shared" si="20"/>
        <v>44.3</v>
      </c>
      <c r="J236" s="4">
        <f t="shared" si="21"/>
        <v>7.756</v>
      </c>
      <c r="K236" s="9">
        <f t="shared" si="22"/>
        <v>-0.399999999999984</v>
      </c>
      <c r="L236" s="1">
        <f t="shared" si="23"/>
        <v>-4.49999999999999</v>
      </c>
    </row>
    <row r="237" s="1" customFormat="1" spans="1:12">
      <c r="A237" s="2">
        <v>7.823</v>
      </c>
      <c r="B237" s="10" t="s">
        <v>543</v>
      </c>
      <c r="C237" s="4">
        <v>7.823</v>
      </c>
      <c r="D237" s="5">
        <v>44.2</v>
      </c>
      <c r="E237" s="4"/>
      <c r="F237" s="4"/>
      <c r="G237" s="2">
        <f t="shared" si="18"/>
        <v>7.79</v>
      </c>
      <c r="H237" s="11" t="str">
        <f t="shared" si="19"/>
        <v>3.024E-2</v>
      </c>
      <c r="I237" s="2">
        <f t="shared" si="20"/>
        <v>44.4</v>
      </c>
      <c r="J237" s="4">
        <f t="shared" si="21"/>
        <v>7.79</v>
      </c>
      <c r="K237" s="9">
        <f t="shared" si="22"/>
        <v>-0.0999999999999959</v>
      </c>
      <c r="L237" s="1">
        <f t="shared" si="23"/>
        <v>-4.49999999999999</v>
      </c>
    </row>
    <row r="238" s="1" customFormat="1" spans="1:12">
      <c r="A238" s="2">
        <v>7.857</v>
      </c>
      <c r="B238" s="10" t="s">
        <v>543</v>
      </c>
      <c r="C238" s="4">
        <v>7.857</v>
      </c>
      <c r="D238" s="5">
        <v>44</v>
      </c>
      <c r="E238" s="4"/>
      <c r="F238" s="4"/>
      <c r="G238" s="2">
        <f t="shared" si="18"/>
        <v>7.823</v>
      </c>
      <c r="H238" s="11" t="str">
        <f t="shared" si="19"/>
        <v>3.028E-2</v>
      </c>
      <c r="I238" s="2">
        <f t="shared" si="20"/>
        <v>44.2</v>
      </c>
      <c r="J238" s="4">
        <f t="shared" si="21"/>
        <v>7.823</v>
      </c>
      <c r="K238" s="9">
        <f t="shared" si="22"/>
        <v>0.300000000000022</v>
      </c>
      <c r="L238" s="1">
        <f t="shared" si="23"/>
        <v>-4.49999999999999</v>
      </c>
    </row>
    <row r="239" s="1" customFormat="1" spans="1:12">
      <c r="A239" s="2">
        <v>7.89</v>
      </c>
      <c r="B239" s="10" t="s">
        <v>547</v>
      </c>
      <c r="C239" s="4">
        <v>7.89</v>
      </c>
      <c r="D239" s="5">
        <v>44.1</v>
      </c>
      <c r="E239" s="4"/>
      <c r="F239" s="4"/>
      <c r="G239" s="2">
        <f t="shared" si="18"/>
        <v>7.857</v>
      </c>
      <c r="H239" s="11" t="str">
        <f t="shared" si="19"/>
        <v>3.028E-2</v>
      </c>
      <c r="I239" s="2">
        <f t="shared" si="20"/>
        <v>44</v>
      </c>
      <c r="J239" s="4">
        <f t="shared" si="21"/>
        <v>7.857</v>
      </c>
      <c r="K239" s="9">
        <f t="shared" si="22"/>
        <v>0.300000000000022</v>
      </c>
      <c r="L239" s="1">
        <f t="shared" si="23"/>
        <v>-4.49999999999999</v>
      </c>
    </row>
    <row r="240" s="1" customFormat="1" spans="1:12">
      <c r="A240" s="2">
        <v>7.924</v>
      </c>
      <c r="B240" s="10" t="s">
        <v>547</v>
      </c>
      <c r="C240" s="4">
        <v>7.924</v>
      </c>
      <c r="D240" s="5">
        <v>44.3</v>
      </c>
      <c r="E240" s="4"/>
      <c r="F240" s="4"/>
      <c r="G240" s="2">
        <f t="shared" si="18"/>
        <v>7.89</v>
      </c>
      <c r="H240" s="11" t="str">
        <f t="shared" si="19"/>
        <v>3.030E-2</v>
      </c>
      <c r="I240" s="2">
        <f t="shared" si="20"/>
        <v>44.1</v>
      </c>
      <c r="J240" s="4">
        <f t="shared" si="21"/>
        <v>7.89</v>
      </c>
      <c r="K240" s="9">
        <f t="shared" si="22"/>
        <v>0.500000000000014</v>
      </c>
      <c r="L240" s="1">
        <f t="shared" si="23"/>
        <v>-4.49999999999999</v>
      </c>
    </row>
    <row r="241" s="1" customFormat="1" spans="1:12">
      <c r="A241" s="2">
        <v>7.957</v>
      </c>
      <c r="B241" s="10" t="s">
        <v>547</v>
      </c>
      <c r="C241" s="4">
        <v>7.957</v>
      </c>
      <c r="D241" s="5">
        <v>44.7</v>
      </c>
      <c r="E241" s="4"/>
      <c r="F241" s="4"/>
      <c r="G241" s="2">
        <f t="shared" si="18"/>
        <v>7.924</v>
      </c>
      <c r="H241" s="11" t="str">
        <f t="shared" si="19"/>
        <v>3.030E-2</v>
      </c>
      <c r="I241" s="2">
        <f t="shared" si="20"/>
        <v>44.3</v>
      </c>
      <c r="J241" s="4">
        <f t="shared" si="21"/>
        <v>7.924</v>
      </c>
      <c r="K241" s="9">
        <f t="shared" si="22"/>
        <v>0.500000000000014</v>
      </c>
      <c r="L241" s="1">
        <f t="shared" si="23"/>
        <v>-4.49999999999999</v>
      </c>
    </row>
    <row r="242" s="1" customFormat="1" spans="1:12">
      <c r="A242" s="2">
        <v>7.99</v>
      </c>
      <c r="B242" s="10" t="s">
        <v>555</v>
      </c>
      <c r="C242" s="4">
        <v>7.99</v>
      </c>
      <c r="D242" s="5">
        <v>44.4</v>
      </c>
      <c r="E242" s="4"/>
      <c r="F242" s="4"/>
      <c r="G242" s="2">
        <f t="shared" si="18"/>
        <v>7.957</v>
      </c>
      <c r="H242" s="11" t="str">
        <f t="shared" si="19"/>
        <v>3.030E-2</v>
      </c>
      <c r="I242" s="2">
        <f t="shared" si="20"/>
        <v>44.7</v>
      </c>
      <c r="J242" s="4">
        <f t="shared" si="21"/>
        <v>7.957</v>
      </c>
      <c r="K242" s="9">
        <f t="shared" si="22"/>
        <v>0.500000000000014</v>
      </c>
      <c r="L242" s="1">
        <f t="shared" si="23"/>
        <v>-4.49999999999999</v>
      </c>
    </row>
    <row r="243" s="1" customFormat="1" spans="1:12">
      <c r="A243" s="2">
        <v>8.024</v>
      </c>
      <c r="B243" s="10" t="s">
        <v>543</v>
      </c>
      <c r="C243" s="4">
        <v>8.024</v>
      </c>
      <c r="D243" s="5">
        <v>44.8</v>
      </c>
      <c r="E243" s="4"/>
      <c r="F243" s="4"/>
      <c r="G243" s="2">
        <f t="shared" si="18"/>
        <v>7.99</v>
      </c>
      <c r="H243" s="11" t="str">
        <f t="shared" si="19"/>
        <v>3.029E-2</v>
      </c>
      <c r="I243" s="2">
        <f t="shared" si="20"/>
        <v>44.4</v>
      </c>
      <c r="J243" s="4">
        <f t="shared" si="21"/>
        <v>7.99</v>
      </c>
      <c r="K243" s="9">
        <f t="shared" si="22"/>
        <v>0.400000000000018</v>
      </c>
      <c r="L243" s="1">
        <f t="shared" si="23"/>
        <v>-4.49999999999999</v>
      </c>
    </row>
    <row r="244" s="1" customFormat="1" spans="1:12">
      <c r="A244" s="2">
        <v>8.057</v>
      </c>
      <c r="B244" s="10" t="s">
        <v>541</v>
      </c>
      <c r="C244" s="4">
        <v>8.057</v>
      </c>
      <c r="D244" s="5">
        <v>43.9</v>
      </c>
      <c r="E244" s="4"/>
      <c r="F244" s="4"/>
      <c r="G244" s="2">
        <f t="shared" si="18"/>
        <v>8.024</v>
      </c>
      <c r="H244" s="11" t="str">
        <f t="shared" si="19"/>
        <v>3.028E-2</v>
      </c>
      <c r="I244" s="2">
        <f t="shared" si="20"/>
        <v>44.8</v>
      </c>
      <c r="J244" s="4">
        <f t="shared" si="21"/>
        <v>8.024</v>
      </c>
      <c r="K244" s="9">
        <f t="shared" si="22"/>
        <v>0.300000000000022</v>
      </c>
      <c r="L244" s="1">
        <f t="shared" si="23"/>
        <v>-4.49999999999999</v>
      </c>
    </row>
    <row r="245" s="1" customFormat="1" spans="1:12">
      <c r="A245" s="2">
        <v>8.091</v>
      </c>
      <c r="B245" s="10" t="s">
        <v>544</v>
      </c>
      <c r="C245" s="4">
        <v>8.091</v>
      </c>
      <c r="D245" s="5">
        <v>44.7</v>
      </c>
      <c r="E245" s="4"/>
      <c r="F245" s="4"/>
      <c r="G245" s="2">
        <f t="shared" si="18"/>
        <v>8.057</v>
      </c>
      <c r="H245" s="11" t="str">
        <f t="shared" si="19"/>
        <v>3.026E-2</v>
      </c>
      <c r="I245" s="2">
        <f t="shared" si="20"/>
        <v>43.9</v>
      </c>
      <c r="J245" s="4">
        <f t="shared" si="21"/>
        <v>8.057</v>
      </c>
      <c r="K245" s="9">
        <f t="shared" si="22"/>
        <v>0.0999999999999959</v>
      </c>
      <c r="L245" s="1">
        <f t="shared" si="23"/>
        <v>-4.49999999999999</v>
      </c>
    </row>
    <row r="246" s="1" customFormat="1" spans="1:12">
      <c r="A246" s="2">
        <v>8.124</v>
      </c>
      <c r="B246" s="10" t="s">
        <v>545</v>
      </c>
      <c r="C246" s="4">
        <v>8.124</v>
      </c>
      <c r="D246" s="5">
        <v>44.6</v>
      </c>
      <c r="E246" s="4"/>
      <c r="F246" s="4"/>
      <c r="G246" s="2">
        <f t="shared" si="18"/>
        <v>8.091</v>
      </c>
      <c r="H246" s="11" t="str">
        <f t="shared" si="19"/>
        <v>3.024E-2</v>
      </c>
      <c r="I246" s="2">
        <f t="shared" si="20"/>
        <v>44.7</v>
      </c>
      <c r="J246" s="4">
        <f t="shared" si="21"/>
        <v>8.091</v>
      </c>
      <c r="K246" s="9">
        <f t="shared" si="22"/>
        <v>-0.0999999999999959</v>
      </c>
      <c r="L246" s="1">
        <f t="shared" si="23"/>
        <v>-4.49999999999999</v>
      </c>
    </row>
    <row r="247" s="1" customFormat="1" spans="1:12">
      <c r="A247" s="2">
        <v>8.158</v>
      </c>
      <c r="B247" s="10" t="s">
        <v>562</v>
      </c>
      <c r="C247" s="4">
        <v>8.158</v>
      </c>
      <c r="D247" s="5">
        <v>44.2</v>
      </c>
      <c r="E247" s="4"/>
      <c r="F247" s="4"/>
      <c r="G247" s="2">
        <f t="shared" si="18"/>
        <v>8.124</v>
      </c>
      <c r="H247" s="11" t="str">
        <f t="shared" si="19"/>
        <v>3.023E-2</v>
      </c>
      <c r="I247" s="2">
        <f t="shared" si="20"/>
        <v>44.6</v>
      </c>
      <c r="J247" s="4">
        <f t="shared" si="21"/>
        <v>8.124</v>
      </c>
      <c r="K247" s="9">
        <f t="shared" si="22"/>
        <v>-0.199999999999992</v>
      </c>
      <c r="L247" s="1">
        <f t="shared" si="23"/>
        <v>-4.49999999999999</v>
      </c>
    </row>
    <row r="248" s="1" customFormat="1" spans="1:12">
      <c r="A248" s="2">
        <v>8.191</v>
      </c>
      <c r="B248" s="10" t="s">
        <v>556</v>
      </c>
      <c r="C248" s="4">
        <v>8.191</v>
      </c>
      <c r="D248" s="5">
        <v>44.2</v>
      </c>
      <c r="E248" s="4"/>
      <c r="F248" s="4"/>
      <c r="G248" s="2">
        <f t="shared" si="18"/>
        <v>8.158</v>
      </c>
      <c r="H248" s="11" t="str">
        <f t="shared" si="19"/>
        <v>3.021E-2</v>
      </c>
      <c r="I248" s="2">
        <f t="shared" si="20"/>
        <v>44.2</v>
      </c>
      <c r="J248" s="4">
        <f t="shared" si="21"/>
        <v>8.158</v>
      </c>
      <c r="K248" s="9">
        <f t="shared" si="22"/>
        <v>-0.399999999999984</v>
      </c>
      <c r="L248" s="1">
        <f t="shared" si="23"/>
        <v>-4.49999999999999</v>
      </c>
    </row>
    <row r="249" s="1" customFormat="1" spans="1:12">
      <c r="A249" s="2">
        <v>8.224</v>
      </c>
      <c r="B249" s="10" t="s">
        <v>563</v>
      </c>
      <c r="C249" s="4">
        <v>8.224</v>
      </c>
      <c r="D249" s="5">
        <v>44.5</v>
      </c>
      <c r="E249" s="4"/>
      <c r="F249" s="4"/>
      <c r="G249" s="2">
        <f t="shared" si="18"/>
        <v>8.191</v>
      </c>
      <c r="H249" s="11" t="str">
        <f t="shared" si="19"/>
        <v>3.020E-2</v>
      </c>
      <c r="I249" s="2">
        <f t="shared" si="20"/>
        <v>44.2</v>
      </c>
      <c r="J249" s="4">
        <f t="shared" si="21"/>
        <v>8.191</v>
      </c>
      <c r="K249" s="9">
        <f t="shared" si="22"/>
        <v>-0.49999999999998</v>
      </c>
      <c r="L249" s="1">
        <f t="shared" si="23"/>
        <v>-4.49999999999999</v>
      </c>
    </row>
    <row r="250" s="1" customFormat="1" spans="1:12">
      <c r="A250" s="2">
        <v>8.258</v>
      </c>
      <c r="B250" s="10" t="s">
        <v>565</v>
      </c>
      <c r="C250" s="4">
        <v>8.258</v>
      </c>
      <c r="D250" s="5">
        <v>43.9</v>
      </c>
      <c r="E250" s="4"/>
      <c r="F250" s="4"/>
      <c r="G250" s="2">
        <f t="shared" si="18"/>
        <v>8.224</v>
      </c>
      <c r="H250" s="11" t="str">
        <f t="shared" si="19"/>
        <v>3.019E-2</v>
      </c>
      <c r="I250" s="2">
        <f t="shared" si="20"/>
        <v>44.5</v>
      </c>
      <c r="J250" s="4">
        <f t="shared" si="21"/>
        <v>8.224</v>
      </c>
      <c r="K250" s="9">
        <f t="shared" si="22"/>
        <v>-0.599999999999976</v>
      </c>
      <c r="L250" s="1">
        <f t="shared" si="23"/>
        <v>-4.49999999999999</v>
      </c>
    </row>
    <row r="251" s="1" customFormat="1" spans="1:12">
      <c r="A251" s="2">
        <v>8.291</v>
      </c>
      <c r="B251" s="10" t="s">
        <v>558</v>
      </c>
      <c r="C251" s="4">
        <v>8.291</v>
      </c>
      <c r="D251" s="5">
        <v>44.3</v>
      </c>
      <c r="E251" s="4"/>
      <c r="F251" s="4"/>
      <c r="G251" s="2">
        <f t="shared" si="18"/>
        <v>8.258</v>
      </c>
      <c r="H251" s="11" t="str">
        <f t="shared" si="19"/>
        <v>3.016E-2</v>
      </c>
      <c r="I251" s="2">
        <f t="shared" si="20"/>
        <v>43.9</v>
      </c>
      <c r="J251" s="4">
        <f t="shared" si="21"/>
        <v>8.258</v>
      </c>
      <c r="K251" s="9">
        <f t="shared" si="22"/>
        <v>-0.899999999999998</v>
      </c>
      <c r="L251" s="1">
        <f t="shared" si="23"/>
        <v>-4.49999999999999</v>
      </c>
    </row>
    <row r="252" s="1" customFormat="1" spans="1:12">
      <c r="A252" s="2">
        <v>8.325</v>
      </c>
      <c r="B252" s="10" t="s">
        <v>569</v>
      </c>
      <c r="C252" s="4">
        <v>8.325</v>
      </c>
      <c r="D252" s="5">
        <v>44.3</v>
      </c>
      <c r="E252" s="4"/>
      <c r="F252" s="4"/>
      <c r="G252" s="2">
        <f t="shared" si="18"/>
        <v>8.291</v>
      </c>
      <c r="H252" s="11" t="str">
        <f t="shared" si="19"/>
        <v>3.013E-2</v>
      </c>
      <c r="I252" s="2">
        <f t="shared" si="20"/>
        <v>44.3</v>
      </c>
      <c r="J252" s="4">
        <f t="shared" si="21"/>
        <v>8.291</v>
      </c>
      <c r="K252" s="9">
        <f t="shared" si="22"/>
        <v>-1.19999999999999</v>
      </c>
      <c r="L252" s="1">
        <f t="shared" si="23"/>
        <v>-4.49999999999999</v>
      </c>
    </row>
    <row r="253" s="1" customFormat="1" spans="1:12">
      <c r="A253" s="2">
        <v>8.358</v>
      </c>
      <c r="B253" s="10" t="s">
        <v>561</v>
      </c>
      <c r="C253" s="4">
        <v>8.358</v>
      </c>
      <c r="D253" s="5">
        <v>44</v>
      </c>
      <c r="E253" s="4"/>
      <c r="F253" s="4"/>
      <c r="G253" s="2">
        <f t="shared" si="18"/>
        <v>8.325</v>
      </c>
      <c r="H253" s="11" t="str">
        <f t="shared" si="19"/>
        <v>3.010E-2</v>
      </c>
      <c r="I253" s="2">
        <f t="shared" si="20"/>
        <v>44.3</v>
      </c>
      <c r="J253" s="4">
        <f t="shared" si="21"/>
        <v>8.325</v>
      </c>
      <c r="K253" s="9">
        <f t="shared" si="22"/>
        <v>-1.50000000000001</v>
      </c>
      <c r="L253" s="1">
        <f t="shared" si="23"/>
        <v>-4.49999999999999</v>
      </c>
    </row>
    <row r="254" s="1" customFormat="1" spans="1:12">
      <c r="A254" s="2">
        <v>8.392</v>
      </c>
      <c r="B254" s="10" t="s">
        <v>489</v>
      </c>
      <c r="C254" s="4">
        <v>8.392</v>
      </c>
      <c r="D254" s="5">
        <v>44.4</v>
      </c>
      <c r="E254" s="4"/>
      <c r="F254" s="4"/>
      <c r="G254" s="2">
        <f t="shared" si="18"/>
        <v>8.358</v>
      </c>
      <c r="H254" s="11" t="str">
        <f t="shared" si="19"/>
        <v>3.009E-2</v>
      </c>
      <c r="I254" s="2">
        <f t="shared" si="20"/>
        <v>44</v>
      </c>
      <c r="J254" s="4">
        <f t="shared" si="21"/>
        <v>8.358</v>
      </c>
      <c r="K254" s="9">
        <f t="shared" si="22"/>
        <v>-1.6</v>
      </c>
      <c r="L254" s="1">
        <f t="shared" si="23"/>
        <v>-4.49999999999999</v>
      </c>
    </row>
    <row r="255" s="1" customFormat="1" spans="1:12">
      <c r="A255" s="2">
        <v>8.425</v>
      </c>
      <c r="B255" s="10" t="s">
        <v>486</v>
      </c>
      <c r="C255" s="4">
        <v>8.425</v>
      </c>
      <c r="D255" s="5">
        <v>43.7</v>
      </c>
      <c r="E255" s="4"/>
      <c r="F255" s="4"/>
      <c r="G255" s="2">
        <f t="shared" si="18"/>
        <v>8.392</v>
      </c>
      <c r="H255" s="11" t="str">
        <f t="shared" si="19"/>
        <v>2.997E-2</v>
      </c>
      <c r="I255" s="2">
        <f t="shared" si="20"/>
        <v>44.4</v>
      </c>
      <c r="J255" s="4">
        <f t="shared" si="21"/>
        <v>8.392</v>
      </c>
      <c r="K255" s="9">
        <f t="shared" si="22"/>
        <v>-2.79999999999999</v>
      </c>
      <c r="L255" s="1">
        <f t="shared" si="23"/>
        <v>-4.49999999999999</v>
      </c>
    </row>
    <row r="256" s="1" customFormat="1" spans="1:12">
      <c r="A256" s="2">
        <v>8.458</v>
      </c>
      <c r="B256" s="10" t="s">
        <v>495</v>
      </c>
      <c r="C256" s="4">
        <v>8.458</v>
      </c>
      <c r="D256" s="5">
        <v>44.6</v>
      </c>
      <c r="E256" s="4"/>
      <c r="F256" s="4"/>
      <c r="G256" s="2">
        <f t="shared" si="18"/>
        <v>8.425</v>
      </c>
      <c r="H256" s="11" t="str">
        <f t="shared" si="19"/>
        <v>2.991E-2</v>
      </c>
      <c r="I256" s="2">
        <f t="shared" si="20"/>
        <v>43.7</v>
      </c>
      <c r="J256" s="4">
        <f t="shared" si="21"/>
        <v>8.425</v>
      </c>
      <c r="K256" s="9">
        <f t="shared" si="22"/>
        <v>-3.4</v>
      </c>
      <c r="L256" s="1">
        <f t="shared" si="23"/>
        <v>-4.49999999999999</v>
      </c>
    </row>
    <row r="257" s="1" customFormat="1" spans="1:12">
      <c r="A257" s="2">
        <v>8.492</v>
      </c>
      <c r="B257" s="10" t="s">
        <v>501</v>
      </c>
      <c r="C257" s="4">
        <v>8.492</v>
      </c>
      <c r="D257" s="5">
        <v>44.9</v>
      </c>
      <c r="E257" s="4"/>
      <c r="F257" s="4"/>
      <c r="G257" s="2">
        <f t="shared" si="18"/>
        <v>8.458</v>
      </c>
      <c r="H257" s="11" t="str">
        <f t="shared" si="19"/>
        <v>2.987E-2</v>
      </c>
      <c r="I257" s="2">
        <f t="shared" si="20"/>
        <v>44.6</v>
      </c>
      <c r="J257" s="4">
        <f t="shared" si="21"/>
        <v>8.458</v>
      </c>
      <c r="K257" s="9">
        <f t="shared" si="22"/>
        <v>-3.79999999999998</v>
      </c>
      <c r="L257" s="1">
        <f t="shared" si="23"/>
        <v>-4.49999999999999</v>
      </c>
    </row>
    <row r="258" s="1" customFormat="1" spans="1:12">
      <c r="A258" s="2">
        <v>8.525</v>
      </c>
      <c r="B258" s="10" t="s">
        <v>496</v>
      </c>
      <c r="C258" s="4">
        <v>8.525</v>
      </c>
      <c r="D258" s="5">
        <v>44.8</v>
      </c>
      <c r="E258" s="4"/>
      <c r="F258" s="4"/>
      <c r="G258" s="2">
        <f t="shared" si="18"/>
        <v>8.492</v>
      </c>
      <c r="H258" s="11" t="str">
        <f t="shared" si="19"/>
        <v>2.986E-2</v>
      </c>
      <c r="I258" s="2">
        <f t="shared" si="20"/>
        <v>44.9</v>
      </c>
      <c r="J258" s="4">
        <f t="shared" si="21"/>
        <v>8.492</v>
      </c>
      <c r="K258" s="9">
        <f t="shared" si="22"/>
        <v>-3.89999999999998</v>
      </c>
      <c r="L258" s="1">
        <f t="shared" si="23"/>
        <v>-4.49999999999999</v>
      </c>
    </row>
    <row r="259" s="1" customFormat="1" spans="1:12">
      <c r="A259" s="2">
        <v>8.559</v>
      </c>
      <c r="B259" s="10" t="s">
        <v>500</v>
      </c>
      <c r="C259" s="4">
        <v>8.559</v>
      </c>
      <c r="D259" s="5">
        <v>44.2</v>
      </c>
      <c r="E259" s="4"/>
      <c r="F259" s="4"/>
      <c r="G259" s="2">
        <f t="shared" si="18"/>
        <v>8.525</v>
      </c>
      <c r="H259" s="11" t="str">
        <f t="shared" si="19"/>
        <v>2.985E-2</v>
      </c>
      <c r="I259" s="2">
        <f t="shared" si="20"/>
        <v>44.8</v>
      </c>
      <c r="J259" s="4">
        <f t="shared" si="21"/>
        <v>8.525</v>
      </c>
      <c r="K259" s="9">
        <f t="shared" si="22"/>
        <v>-3.99999999999998</v>
      </c>
      <c r="L259" s="1">
        <f t="shared" si="23"/>
        <v>-4.49999999999999</v>
      </c>
    </row>
    <row r="260" s="1" customFormat="1" spans="1:12">
      <c r="A260" s="2">
        <v>8.592</v>
      </c>
      <c r="B260" s="10" t="s">
        <v>500</v>
      </c>
      <c r="C260" s="4">
        <v>8.592</v>
      </c>
      <c r="D260" s="5">
        <v>44.4</v>
      </c>
      <c r="E260" s="4"/>
      <c r="F260" s="4"/>
      <c r="G260" s="2">
        <f t="shared" ref="G260:G323" si="24">A259</f>
        <v>8.559</v>
      </c>
      <c r="H260" s="11" t="str">
        <f t="shared" ref="H260:H323" si="25">B259</f>
        <v>2.984E-2</v>
      </c>
      <c r="I260" s="2">
        <f t="shared" ref="I260:I323" si="26">D259</f>
        <v>44.2</v>
      </c>
      <c r="J260" s="4">
        <f t="shared" ref="J260:J323" si="27">G260</f>
        <v>8.559</v>
      </c>
      <c r="K260" s="9">
        <f t="shared" ref="K260:K323" si="28">(H260-$H$4)*10000</f>
        <v>-4.10000000000001</v>
      </c>
      <c r="L260" s="1">
        <f t="shared" ref="L260:L323" si="29">IF(I260&lt;230,MIN(K:K),MAX(K:K))</f>
        <v>-4.49999999999999</v>
      </c>
    </row>
    <row r="261" s="1" customFormat="1" spans="1:12">
      <c r="A261" s="2">
        <v>8.626</v>
      </c>
      <c r="B261" s="10" t="s">
        <v>495</v>
      </c>
      <c r="C261" s="4">
        <v>8.626</v>
      </c>
      <c r="D261" s="5">
        <v>44.6</v>
      </c>
      <c r="E261" s="4"/>
      <c r="F261" s="4"/>
      <c r="G261" s="2">
        <f t="shared" si="24"/>
        <v>8.592</v>
      </c>
      <c r="H261" s="11" t="str">
        <f t="shared" si="25"/>
        <v>2.984E-2</v>
      </c>
      <c r="I261" s="2">
        <f t="shared" si="26"/>
        <v>44.4</v>
      </c>
      <c r="J261" s="4">
        <f t="shared" si="27"/>
        <v>8.592</v>
      </c>
      <c r="K261" s="9">
        <f t="shared" si="28"/>
        <v>-4.10000000000001</v>
      </c>
      <c r="L261" s="1">
        <f t="shared" si="29"/>
        <v>-4.49999999999999</v>
      </c>
    </row>
    <row r="262" s="1" customFormat="1" spans="1:12">
      <c r="A262" s="2">
        <v>8.659</v>
      </c>
      <c r="B262" s="10" t="s">
        <v>502</v>
      </c>
      <c r="C262" s="4">
        <v>8.659</v>
      </c>
      <c r="D262" s="5">
        <v>44.2</v>
      </c>
      <c r="E262" s="4"/>
      <c r="F262" s="4"/>
      <c r="G262" s="2">
        <f t="shared" si="24"/>
        <v>8.626</v>
      </c>
      <c r="H262" s="11" t="str">
        <f t="shared" si="25"/>
        <v>2.987E-2</v>
      </c>
      <c r="I262" s="2">
        <f t="shared" si="26"/>
        <v>44.6</v>
      </c>
      <c r="J262" s="4">
        <f t="shared" si="27"/>
        <v>8.626</v>
      </c>
      <c r="K262" s="9">
        <f t="shared" si="28"/>
        <v>-3.79999999999998</v>
      </c>
      <c r="L262" s="1">
        <f t="shared" si="29"/>
        <v>-4.49999999999999</v>
      </c>
    </row>
    <row r="263" s="1" customFormat="1" spans="1:12">
      <c r="A263" s="2">
        <v>8.692</v>
      </c>
      <c r="B263" s="10" t="s">
        <v>494</v>
      </c>
      <c r="C263" s="4">
        <v>8.692</v>
      </c>
      <c r="D263" s="5">
        <v>44.4</v>
      </c>
      <c r="E263" s="4"/>
      <c r="F263" s="4"/>
      <c r="G263" s="2">
        <f t="shared" si="24"/>
        <v>8.659</v>
      </c>
      <c r="H263" s="11" t="str">
        <f t="shared" si="25"/>
        <v>2.988E-2</v>
      </c>
      <c r="I263" s="2">
        <f t="shared" si="26"/>
        <v>44.2</v>
      </c>
      <c r="J263" s="4">
        <f t="shared" si="27"/>
        <v>8.659</v>
      </c>
      <c r="K263" s="9">
        <f t="shared" si="28"/>
        <v>-3.69999999999999</v>
      </c>
      <c r="L263" s="1">
        <f t="shared" si="29"/>
        <v>-4.49999999999999</v>
      </c>
    </row>
    <row r="264" s="1" customFormat="1" spans="1:12">
      <c r="A264" s="2">
        <v>8.726</v>
      </c>
      <c r="B264" s="10" t="s">
        <v>485</v>
      </c>
      <c r="C264" s="4">
        <v>8.726</v>
      </c>
      <c r="D264" s="5">
        <v>44.3</v>
      </c>
      <c r="E264" s="4"/>
      <c r="F264" s="4"/>
      <c r="G264" s="2">
        <f t="shared" si="24"/>
        <v>8.692</v>
      </c>
      <c r="H264" s="11" t="str">
        <f t="shared" si="25"/>
        <v>2.990E-2</v>
      </c>
      <c r="I264" s="2">
        <f t="shared" si="26"/>
        <v>44.4</v>
      </c>
      <c r="J264" s="4">
        <f t="shared" si="27"/>
        <v>8.692</v>
      </c>
      <c r="K264" s="9">
        <f t="shared" si="28"/>
        <v>-3.5</v>
      </c>
      <c r="L264" s="1">
        <f t="shared" si="29"/>
        <v>-4.49999999999999</v>
      </c>
    </row>
    <row r="265" s="1" customFormat="1" spans="1:12">
      <c r="A265" s="2">
        <v>8.759</v>
      </c>
      <c r="B265" s="10" t="s">
        <v>487</v>
      </c>
      <c r="C265" s="4">
        <v>8.759</v>
      </c>
      <c r="D265" s="5">
        <v>43.7</v>
      </c>
      <c r="E265" s="4"/>
      <c r="F265" s="4"/>
      <c r="G265" s="2">
        <f t="shared" si="24"/>
        <v>8.726</v>
      </c>
      <c r="H265" s="11" t="str">
        <f t="shared" si="25"/>
        <v>2.992E-2</v>
      </c>
      <c r="I265" s="2">
        <f t="shared" si="26"/>
        <v>44.3</v>
      </c>
      <c r="J265" s="4">
        <f t="shared" si="27"/>
        <v>8.726</v>
      </c>
      <c r="K265" s="9">
        <f t="shared" si="28"/>
        <v>-3.3</v>
      </c>
      <c r="L265" s="1">
        <f t="shared" si="29"/>
        <v>-4.49999999999999</v>
      </c>
    </row>
    <row r="266" s="1" customFormat="1" spans="1:12">
      <c r="A266" s="2">
        <v>8.793</v>
      </c>
      <c r="B266" s="10" t="s">
        <v>493</v>
      </c>
      <c r="C266" s="4">
        <v>8.793</v>
      </c>
      <c r="D266" s="5">
        <v>44.1</v>
      </c>
      <c r="E266" s="4"/>
      <c r="F266" s="4"/>
      <c r="G266" s="2">
        <f t="shared" si="24"/>
        <v>8.759</v>
      </c>
      <c r="H266" s="11" t="str">
        <f t="shared" si="25"/>
        <v>2.993E-2</v>
      </c>
      <c r="I266" s="2">
        <f t="shared" si="26"/>
        <v>43.7</v>
      </c>
      <c r="J266" s="4">
        <f t="shared" si="27"/>
        <v>8.759</v>
      </c>
      <c r="K266" s="9">
        <f t="shared" si="28"/>
        <v>-3.20000000000001</v>
      </c>
      <c r="L266" s="1">
        <f t="shared" si="29"/>
        <v>-4.49999999999999</v>
      </c>
    </row>
    <row r="267" s="1" customFormat="1" spans="1:12">
      <c r="A267" s="2">
        <v>8.826</v>
      </c>
      <c r="B267" s="10" t="s">
        <v>491</v>
      </c>
      <c r="C267" s="4">
        <v>8.826</v>
      </c>
      <c r="D267" s="5">
        <v>44.7</v>
      </c>
      <c r="E267" s="4"/>
      <c r="F267" s="4"/>
      <c r="G267" s="2">
        <f t="shared" si="24"/>
        <v>8.793</v>
      </c>
      <c r="H267" s="11" t="str">
        <f t="shared" si="25"/>
        <v>2.996E-2</v>
      </c>
      <c r="I267" s="2">
        <f t="shared" si="26"/>
        <v>44.1</v>
      </c>
      <c r="J267" s="4">
        <f t="shared" si="27"/>
        <v>8.793</v>
      </c>
      <c r="K267" s="9">
        <f t="shared" si="28"/>
        <v>-2.89999999999999</v>
      </c>
      <c r="L267" s="1">
        <f t="shared" si="29"/>
        <v>-4.49999999999999</v>
      </c>
    </row>
    <row r="268" s="1" customFormat="1" spans="1:12">
      <c r="A268" s="2">
        <v>8.86</v>
      </c>
      <c r="B268" s="10" t="s">
        <v>505</v>
      </c>
      <c r="C268" s="4">
        <v>8.86</v>
      </c>
      <c r="D268" s="5">
        <v>44.7</v>
      </c>
      <c r="E268" s="4"/>
      <c r="F268" s="4"/>
      <c r="G268" s="2">
        <f t="shared" si="24"/>
        <v>8.826</v>
      </c>
      <c r="H268" s="11" t="str">
        <f t="shared" si="25"/>
        <v>2.999E-2</v>
      </c>
      <c r="I268" s="2">
        <f t="shared" si="26"/>
        <v>44.7</v>
      </c>
      <c r="J268" s="4">
        <f t="shared" si="27"/>
        <v>8.826</v>
      </c>
      <c r="K268" s="9">
        <f t="shared" si="28"/>
        <v>-2.6</v>
      </c>
      <c r="L268" s="1">
        <f t="shared" si="29"/>
        <v>-4.49999999999999</v>
      </c>
    </row>
    <row r="269" s="1" customFormat="1" spans="1:12">
      <c r="A269" s="2">
        <v>8.893</v>
      </c>
      <c r="B269" s="10" t="s">
        <v>560</v>
      </c>
      <c r="C269" s="4">
        <v>8.893</v>
      </c>
      <c r="D269" s="5">
        <v>44.5</v>
      </c>
      <c r="E269" s="4"/>
      <c r="F269" s="4"/>
      <c r="G269" s="2">
        <f t="shared" si="24"/>
        <v>8.86</v>
      </c>
      <c r="H269" s="11" t="str">
        <f t="shared" si="25"/>
        <v>3.001E-2</v>
      </c>
      <c r="I269" s="2">
        <f t="shared" si="26"/>
        <v>44.7</v>
      </c>
      <c r="J269" s="4">
        <f t="shared" si="27"/>
        <v>8.86</v>
      </c>
      <c r="K269" s="9">
        <f t="shared" si="28"/>
        <v>-2.40000000000001</v>
      </c>
      <c r="L269" s="1">
        <f t="shared" si="29"/>
        <v>-4.49999999999999</v>
      </c>
    </row>
    <row r="270" s="1" customFormat="1" spans="1:12">
      <c r="A270" s="2">
        <v>8.926</v>
      </c>
      <c r="B270" s="10" t="s">
        <v>571</v>
      </c>
      <c r="C270" s="4">
        <v>8.926</v>
      </c>
      <c r="D270" s="5">
        <v>43.8</v>
      </c>
      <c r="E270" s="4"/>
      <c r="F270" s="4"/>
      <c r="G270" s="2">
        <f t="shared" si="24"/>
        <v>8.893</v>
      </c>
      <c r="H270" s="11" t="str">
        <f t="shared" si="25"/>
        <v>3.006E-2</v>
      </c>
      <c r="I270" s="2">
        <f t="shared" si="26"/>
        <v>44.5</v>
      </c>
      <c r="J270" s="4">
        <f t="shared" si="27"/>
        <v>8.893</v>
      </c>
      <c r="K270" s="9">
        <f t="shared" si="28"/>
        <v>-1.89999999999999</v>
      </c>
      <c r="L270" s="1">
        <f t="shared" si="29"/>
        <v>-4.49999999999999</v>
      </c>
    </row>
    <row r="271" s="1" customFormat="1" spans="1:12">
      <c r="A271" s="2">
        <v>8.96</v>
      </c>
      <c r="B271" s="10" t="s">
        <v>569</v>
      </c>
      <c r="C271" s="4">
        <v>8.96</v>
      </c>
      <c r="D271" s="5">
        <v>44.2</v>
      </c>
      <c r="E271" s="4"/>
      <c r="F271" s="4"/>
      <c r="G271" s="2">
        <f t="shared" si="24"/>
        <v>8.926</v>
      </c>
      <c r="H271" s="11" t="str">
        <f t="shared" si="25"/>
        <v>3.007E-2</v>
      </c>
      <c r="I271" s="2">
        <f t="shared" si="26"/>
        <v>43.8</v>
      </c>
      <c r="J271" s="4">
        <f t="shared" si="27"/>
        <v>8.926</v>
      </c>
      <c r="K271" s="9">
        <f t="shared" si="28"/>
        <v>-1.8</v>
      </c>
      <c r="L271" s="1">
        <f t="shared" si="29"/>
        <v>-4.49999999999999</v>
      </c>
    </row>
    <row r="272" s="1" customFormat="1" spans="1:12">
      <c r="A272" s="2">
        <v>8.993</v>
      </c>
      <c r="B272" s="10" t="s">
        <v>559</v>
      </c>
      <c r="C272" s="4">
        <v>8.993</v>
      </c>
      <c r="D272" s="5">
        <v>44.4</v>
      </c>
      <c r="E272" s="4"/>
      <c r="F272" s="4"/>
      <c r="G272" s="2">
        <f t="shared" si="24"/>
        <v>8.96</v>
      </c>
      <c r="H272" s="11" t="str">
        <f t="shared" si="25"/>
        <v>3.010E-2</v>
      </c>
      <c r="I272" s="2">
        <f t="shared" si="26"/>
        <v>44.2</v>
      </c>
      <c r="J272" s="4">
        <f t="shared" si="27"/>
        <v>8.96</v>
      </c>
      <c r="K272" s="9">
        <f t="shared" si="28"/>
        <v>-1.50000000000001</v>
      </c>
      <c r="L272" s="1">
        <f t="shared" si="29"/>
        <v>-4.49999999999999</v>
      </c>
    </row>
    <row r="273" s="1" customFormat="1" spans="1:12">
      <c r="A273" s="2">
        <v>9.027</v>
      </c>
      <c r="B273" s="10" t="s">
        <v>556</v>
      </c>
      <c r="C273" s="4">
        <v>9.027</v>
      </c>
      <c r="D273" s="5">
        <v>44.3</v>
      </c>
      <c r="E273" s="4"/>
      <c r="F273" s="4"/>
      <c r="G273" s="2">
        <f t="shared" si="24"/>
        <v>8.993</v>
      </c>
      <c r="H273" s="11" t="str">
        <f t="shared" si="25"/>
        <v>3.011E-2</v>
      </c>
      <c r="I273" s="2">
        <f t="shared" si="26"/>
        <v>44.4</v>
      </c>
      <c r="J273" s="4">
        <f t="shared" si="27"/>
        <v>8.993</v>
      </c>
      <c r="K273" s="9">
        <f t="shared" si="28"/>
        <v>-1.39999999999998</v>
      </c>
      <c r="L273" s="1">
        <f t="shared" si="29"/>
        <v>-4.49999999999999</v>
      </c>
    </row>
    <row r="274" s="1" customFormat="1" spans="1:12">
      <c r="A274" s="2">
        <v>9.06</v>
      </c>
      <c r="B274" s="10" t="s">
        <v>540</v>
      </c>
      <c r="C274" s="4">
        <v>9.06</v>
      </c>
      <c r="D274" s="5">
        <v>44.4</v>
      </c>
      <c r="E274" s="4"/>
      <c r="F274" s="4"/>
      <c r="G274" s="2">
        <f t="shared" si="24"/>
        <v>9.027</v>
      </c>
      <c r="H274" s="11" t="str">
        <f t="shared" si="25"/>
        <v>3.020E-2</v>
      </c>
      <c r="I274" s="2">
        <f t="shared" si="26"/>
        <v>44.3</v>
      </c>
      <c r="J274" s="4">
        <f t="shared" si="27"/>
        <v>9.027</v>
      </c>
      <c r="K274" s="9">
        <f t="shared" si="28"/>
        <v>-0.49999999999998</v>
      </c>
      <c r="L274" s="1">
        <f t="shared" si="29"/>
        <v>-4.49999999999999</v>
      </c>
    </row>
    <row r="275" s="1" customFormat="1" spans="1:12">
      <c r="A275" s="2">
        <v>9.094</v>
      </c>
      <c r="B275" s="10" t="s">
        <v>542</v>
      </c>
      <c r="C275" s="4">
        <v>9.094</v>
      </c>
      <c r="D275" s="5">
        <v>44.4</v>
      </c>
      <c r="E275" s="4"/>
      <c r="F275" s="4"/>
      <c r="G275" s="2">
        <f t="shared" si="24"/>
        <v>9.06</v>
      </c>
      <c r="H275" s="11" t="str">
        <f t="shared" si="25"/>
        <v>3.025E-2</v>
      </c>
      <c r="I275" s="2">
        <f t="shared" si="26"/>
        <v>44.4</v>
      </c>
      <c r="J275" s="4">
        <f t="shared" si="27"/>
        <v>9.06</v>
      </c>
      <c r="K275" s="9">
        <f t="shared" si="28"/>
        <v>0</v>
      </c>
      <c r="L275" s="1">
        <f t="shared" si="29"/>
        <v>-4.49999999999999</v>
      </c>
    </row>
    <row r="276" s="1" customFormat="1" spans="1:12">
      <c r="A276" s="2">
        <v>9.127</v>
      </c>
      <c r="B276" s="10" t="s">
        <v>547</v>
      </c>
      <c r="C276" s="4">
        <v>9.127</v>
      </c>
      <c r="D276" s="5">
        <v>45.2</v>
      </c>
      <c r="E276" s="4"/>
      <c r="F276" s="4"/>
      <c r="G276" s="2">
        <f t="shared" si="24"/>
        <v>9.094</v>
      </c>
      <c r="H276" s="11" t="str">
        <f t="shared" si="25"/>
        <v>3.027E-2</v>
      </c>
      <c r="I276" s="2">
        <f t="shared" si="26"/>
        <v>44.4</v>
      </c>
      <c r="J276" s="4">
        <f t="shared" si="27"/>
        <v>9.094</v>
      </c>
      <c r="K276" s="9">
        <f t="shared" si="28"/>
        <v>0.199999999999992</v>
      </c>
      <c r="L276" s="1">
        <f t="shared" si="29"/>
        <v>-4.49999999999999</v>
      </c>
    </row>
    <row r="277" s="1" customFormat="1" spans="1:12">
      <c r="A277" s="2">
        <v>9.161</v>
      </c>
      <c r="B277" s="10" t="s">
        <v>573</v>
      </c>
      <c r="C277" s="4">
        <v>9.161</v>
      </c>
      <c r="D277" s="5">
        <v>44.6</v>
      </c>
      <c r="E277" s="4"/>
      <c r="F277" s="4"/>
      <c r="G277" s="2">
        <f t="shared" si="24"/>
        <v>9.127</v>
      </c>
      <c r="H277" s="11" t="str">
        <f t="shared" si="25"/>
        <v>3.030E-2</v>
      </c>
      <c r="I277" s="2">
        <f t="shared" si="26"/>
        <v>45.2</v>
      </c>
      <c r="J277" s="4">
        <f t="shared" si="27"/>
        <v>9.127</v>
      </c>
      <c r="K277" s="9">
        <f t="shared" si="28"/>
        <v>0.500000000000014</v>
      </c>
      <c r="L277" s="1">
        <f t="shared" si="29"/>
        <v>-4.49999999999999</v>
      </c>
    </row>
    <row r="278" s="1" customFormat="1" spans="1:12">
      <c r="A278" s="2">
        <v>9.194</v>
      </c>
      <c r="B278" s="10" t="s">
        <v>573</v>
      </c>
      <c r="C278" s="4">
        <v>9.194</v>
      </c>
      <c r="D278" s="5">
        <v>44</v>
      </c>
      <c r="E278" s="4"/>
      <c r="F278" s="4"/>
      <c r="G278" s="2">
        <f t="shared" si="24"/>
        <v>9.161</v>
      </c>
      <c r="H278" s="11" t="str">
        <f t="shared" si="25"/>
        <v>3.031E-2</v>
      </c>
      <c r="I278" s="2">
        <f t="shared" si="26"/>
        <v>44.6</v>
      </c>
      <c r="J278" s="4">
        <f t="shared" si="27"/>
        <v>9.161</v>
      </c>
      <c r="K278" s="9">
        <f t="shared" si="28"/>
        <v>0.60000000000001</v>
      </c>
      <c r="L278" s="1">
        <f t="shared" si="29"/>
        <v>-4.49999999999999</v>
      </c>
    </row>
    <row r="279" s="1" customFormat="1" spans="1:12">
      <c r="A279" s="2">
        <v>9.227</v>
      </c>
      <c r="B279" s="10" t="s">
        <v>548</v>
      </c>
      <c r="C279" s="4">
        <v>9.227</v>
      </c>
      <c r="D279" s="5">
        <v>44.7</v>
      </c>
      <c r="E279" s="4"/>
      <c r="F279" s="4"/>
      <c r="G279" s="2">
        <f t="shared" si="24"/>
        <v>9.194</v>
      </c>
      <c r="H279" s="11" t="str">
        <f t="shared" si="25"/>
        <v>3.031E-2</v>
      </c>
      <c r="I279" s="2">
        <f t="shared" si="26"/>
        <v>44</v>
      </c>
      <c r="J279" s="4">
        <f t="shared" si="27"/>
        <v>9.194</v>
      </c>
      <c r="K279" s="9">
        <f t="shared" si="28"/>
        <v>0.60000000000001</v>
      </c>
      <c r="L279" s="1">
        <f t="shared" si="29"/>
        <v>-4.49999999999999</v>
      </c>
    </row>
    <row r="280" s="1" customFormat="1" spans="1:12">
      <c r="A280" s="2">
        <v>9.261</v>
      </c>
      <c r="B280" s="10" t="s">
        <v>573</v>
      </c>
      <c r="C280" s="4">
        <v>9.261</v>
      </c>
      <c r="D280" s="5">
        <v>44.7</v>
      </c>
      <c r="E280" s="4"/>
      <c r="F280" s="4"/>
      <c r="G280" s="2">
        <f t="shared" si="24"/>
        <v>9.227</v>
      </c>
      <c r="H280" s="11" t="str">
        <f t="shared" si="25"/>
        <v>3.032E-2</v>
      </c>
      <c r="I280" s="2">
        <f t="shared" si="26"/>
        <v>44.7</v>
      </c>
      <c r="J280" s="4">
        <f t="shared" si="27"/>
        <v>9.227</v>
      </c>
      <c r="K280" s="9">
        <f t="shared" si="28"/>
        <v>0.700000000000006</v>
      </c>
      <c r="L280" s="1">
        <f t="shared" si="29"/>
        <v>-4.49999999999999</v>
      </c>
    </row>
    <row r="281" s="1" customFormat="1" spans="1:12">
      <c r="A281" s="2">
        <v>9.294</v>
      </c>
      <c r="B281" s="10" t="s">
        <v>547</v>
      </c>
      <c r="C281" s="4">
        <v>9.294</v>
      </c>
      <c r="D281" s="5">
        <v>45</v>
      </c>
      <c r="E281" s="4"/>
      <c r="F281" s="4"/>
      <c r="G281" s="2">
        <f t="shared" si="24"/>
        <v>9.261</v>
      </c>
      <c r="H281" s="11" t="str">
        <f t="shared" si="25"/>
        <v>3.031E-2</v>
      </c>
      <c r="I281" s="2">
        <f t="shared" si="26"/>
        <v>44.7</v>
      </c>
      <c r="J281" s="4">
        <f t="shared" si="27"/>
        <v>9.261</v>
      </c>
      <c r="K281" s="9">
        <f t="shared" si="28"/>
        <v>0.60000000000001</v>
      </c>
      <c r="L281" s="1">
        <f t="shared" si="29"/>
        <v>-4.49999999999999</v>
      </c>
    </row>
    <row r="282" s="1" customFormat="1" spans="1:12">
      <c r="A282" s="2">
        <v>9.328</v>
      </c>
      <c r="B282" s="10" t="s">
        <v>555</v>
      </c>
      <c r="C282" s="4">
        <v>9.328</v>
      </c>
      <c r="D282" s="5">
        <v>44.2</v>
      </c>
      <c r="E282" s="4"/>
      <c r="F282" s="4"/>
      <c r="G282" s="2">
        <f t="shared" si="24"/>
        <v>9.294</v>
      </c>
      <c r="H282" s="11" t="str">
        <f t="shared" si="25"/>
        <v>3.030E-2</v>
      </c>
      <c r="I282" s="2">
        <f t="shared" si="26"/>
        <v>45</v>
      </c>
      <c r="J282" s="4">
        <f t="shared" si="27"/>
        <v>9.294</v>
      </c>
      <c r="K282" s="9">
        <f t="shared" si="28"/>
        <v>0.500000000000014</v>
      </c>
      <c r="L282" s="1">
        <f t="shared" si="29"/>
        <v>-4.49999999999999</v>
      </c>
    </row>
    <row r="283" s="1" customFormat="1" spans="1:12">
      <c r="A283" s="2">
        <v>9.361</v>
      </c>
      <c r="B283" s="10" t="s">
        <v>541</v>
      </c>
      <c r="C283" s="4">
        <v>9.361</v>
      </c>
      <c r="D283" s="5">
        <v>44.2</v>
      </c>
      <c r="E283" s="4"/>
      <c r="F283" s="4"/>
      <c r="G283" s="2">
        <f t="shared" si="24"/>
        <v>9.328</v>
      </c>
      <c r="H283" s="11" t="str">
        <f t="shared" si="25"/>
        <v>3.029E-2</v>
      </c>
      <c r="I283" s="2">
        <f t="shared" si="26"/>
        <v>44.2</v>
      </c>
      <c r="J283" s="4">
        <f t="shared" si="27"/>
        <v>9.328</v>
      </c>
      <c r="K283" s="9">
        <f t="shared" si="28"/>
        <v>0.400000000000018</v>
      </c>
      <c r="L283" s="1">
        <f t="shared" si="29"/>
        <v>-4.49999999999999</v>
      </c>
    </row>
    <row r="284" s="1" customFormat="1" spans="1:12">
      <c r="A284" s="2">
        <v>9.395</v>
      </c>
      <c r="B284" s="10" t="s">
        <v>541</v>
      </c>
      <c r="C284" s="4">
        <v>9.395</v>
      </c>
      <c r="D284" s="5">
        <v>44.6</v>
      </c>
      <c r="E284" s="4"/>
      <c r="F284" s="4"/>
      <c r="G284" s="2">
        <f t="shared" si="24"/>
        <v>9.361</v>
      </c>
      <c r="H284" s="11" t="str">
        <f t="shared" si="25"/>
        <v>3.026E-2</v>
      </c>
      <c r="I284" s="2">
        <f t="shared" si="26"/>
        <v>44.2</v>
      </c>
      <c r="J284" s="4">
        <f t="shared" si="27"/>
        <v>9.361</v>
      </c>
      <c r="K284" s="9">
        <f t="shared" si="28"/>
        <v>0.0999999999999959</v>
      </c>
      <c r="L284" s="1">
        <f t="shared" si="29"/>
        <v>-4.49999999999999</v>
      </c>
    </row>
    <row r="285" s="1" customFormat="1" spans="1:12">
      <c r="A285" s="2">
        <v>9.428</v>
      </c>
      <c r="B285" s="10" t="s">
        <v>540</v>
      </c>
      <c r="C285" s="4">
        <v>9.428</v>
      </c>
      <c r="D285" s="5">
        <v>44.4</v>
      </c>
      <c r="E285" s="4"/>
      <c r="F285" s="4"/>
      <c r="G285" s="2">
        <f t="shared" si="24"/>
        <v>9.395</v>
      </c>
      <c r="H285" s="11" t="str">
        <f t="shared" si="25"/>
        <v>3.026E-2</v>
      </c>
      <c r="I285" s="2">
        <f t="shared" si="26"/>
        <v>44.6</v>
      </c>
      <c r="J285" s="4">
        <f t="shared" si="27"/>
        <v>9.395</v>
      </c>
      <c r="K285" s="9">
        <f t="shared" si="28"/>
        <v>0.0999999999999959</v>
      </c>
      <c r="L285" s="1">
        <f t="shared" si="29"/>
        <v>-4.49999999999999</v>
      </c>
    </row>
    <row r="286" s="1" customFormat="1" spans="1:12">
      <c r="A286" s="2">
        <v>9.461</v>
      </c>
      <c r="B286" s="10" t="s">
        <v>546</v>
      </c>
      <c r="C286" s="4">
        <v>9.461</v>
      </c>
      <c r="D286" s="5">
        <v>44.1</v>
      </c>
      <c r="E286" s="4"/>
      <c r="F286" s="4"/>
      <c r="G286" s="2">
        <f t="shared" si="24"/>
        <v>9.428</v>
      </c>
      <c r="H286" s="11" t="str">
        <f t="shared" si="25"/>
        <v>3.025E-2</v>
      </c>
      <c r="I286" s="2">
        <f t="shared" si="26"/>
        <v>44.4</v>
      </c>
      <c r="J286" s="4">
        <f t="shared" si="27"/>
        <v>9.428</v>
      </c>
      <c r="K286" s="9">
        <f t="shared" si="28"/>
        <v>0</v>
      </c>
      <c r="L286" s="1">
        <f t="shared" si="29"/>
        <v>-4.49999999999999</v>
      </c>
    </row>
    <row r="287" s="1" customFormat="1" spans="1:12">
      <c r="A287" s="2">
        <v>9.495</v>
      </c>
      <c r="B287" s="10" t="s">
        <v>562</v>
      </c>
      <c r="C287" s="4">
        <v>9.495</v>
      </c>
      <c r="D287" s="5">
        <v>43.7</v>
      </c>
      <c r="E287" s="4"/>
      <c r="F287" s="4"/>
      <c r="G287" s="2">
        <f t="shared" si="24"/>
        <v>9.461</v>
      </c>
      <c r="H287" s="11" t="str">
        <f t="shared" si="25"/>
        <v>3.022E-2</v>
      </c>
      <c r="I287" s="2">
        <f t="shared" si="26"/>
        <v>44.1</v>
      </c>
      <c r="J287" s="4">
        <f t="shared" si="27"/>
        <v>9.461</v>
      </c>
      <c r="K287" s="9">
        <f t="shared" si="28"/>
        <v>-0.299999999999988</v>
      </c>
      <c r="L287" s="1">
        <f t="shared" si="29"/>
        <v>-4.49999999999999</v>
      </c>
    </row>
    <row r="288" s="1" customFormat="1" spans="1:12">
      <c r="A288" s="2">
        <v>9.528</v>
      </c>
      <c r="B288" s="10" t="s">
        <v>556</v>
      </c>
      <c r="C288" s="4">
        <v>9.528</v>
      </c>
      <c r="D288" s="5">
        <v>43.8</v>
      </c>
      <c r="E288" s="4"/>
      <c r="F288" s="4"/>
      <c r="G288" s="2">
        <f t="shared" si="24"/>
        <v>9.495</v>
      </c>
      <c r="H288" s="11" t="str">
        <f t="shared" si="25"/>
        <v>3.021E-2</v>
      </c>
      <c r="I288" s="2">
        <f t="shared" si="26"/>
        <v>43.7</v>
      </c>
      <c r="J288" s="4">
        <f t="shared" si="27"/>
        <v>9.495</v>
      </c>
      <c r="K288" s="9">
        <f t="shared" si="28"/>
        <v>-0.399999999999984</v>
      </c>
      <c r="L288" s="1">
        <f t="shared" si="29"/>
        <v>-4.49999999999999</v>
      </c>
    </row>
    <row r="289" s="1" customFormat="1" spans="1:12">
      <c r="A289" s="2">
        <v>9.562</v>
      </c>
      <c r="B289" s="10" t="s">
        <v>563</v>
      </c>
      <c r="C289" s="4">
        <v>9.562</v>
      </c>
      <c r="D289" s="5">
        <v>44.5</v>
      </c>
      <c r="E289" s="4"/>
      <c r="F289" s="4"/>
      <c r="G289" s="2">
        <f t="shared" si="24"/>
        <v>9.528</v>
      </c>
      <c r="H289" s="11" t="str">
        <f t="shared" si="25"/>
        <v>3.020E-2</v>
      </c>
      <c r="I289" s="2">
        <f t="shared" si="26"/>
        <v>43.8</v>
      </c>
      <c r="J289" s="4">
        <f t="shared" si="27"/>
        <v>9.528</v>
      </c>
      <c r="K289" s="9">
        <f t="shared" si="28"/>
        <v>-0.49999999999998</v>
      </c>
      <c r="L289" s="1">
        <f t="shared" si="29"/>
        <v>-4.49999999999999</v>
      </c>
    </row>
    <row r="290" s="1" customFormat="1" spans="1:12">
      <c r="A290" s="2">
        <v>9.595</v>
      </c>
      <c r="B290" s="10" t="s">
        <v>565</v>
      </c>
      <c r="C290" s="4">
        <v>9.595</v>
      </c>
      <c r="D290" s="5">
        <v>44.3</v>
      </c>
      <c r="E290" s="4"/>
      <c r="F290" s="4"/>
      <c r="G290" s="2">
        <f t="shared" si="24"/>
        <v>9.562</v>
      </c>
      <c r="H290" s="11" t="str">
        <f t="shared" si="25"/>
        <v>3.019E-2</v>
      </c>
      <c r="I290" s="2">
        <f t="shared" si="26"/>
        <v>44.5</v>
      </c>
      <c r="J290" s="4">
        <f t="shared" si="27"/>
        <v>9.562</v>
      </c>
      <c r="K290" s="9">
        <f t="shared" si="28"/>
        <v>-0.599999999999976</v>
      </c>
      <c r="L290" s="1">
        <f t="shared" si="29"/>
        <v>-4.49999999999999</v>
      </c>
    </row>
    <row r="291" s="1" customFormat="1" spans="1:12">
      <c r="A291" s="2">
        <v>9.629</v>
      </c>
      <c r="B291" s="10" t="s">
        <v>570</v>
      </c>
      <c r="C291" s="4">
        <v>9.629</v>
      </c>
      <c r="D291" s="5">
        <v>43.9</v>
      </c>
      <c r="E291" s="4"/>
      <c r="F291" s="4"/>
      <c r="G291" s="2">
        <f t="shared" si="24"/>
        <v>9.595</v>
      </c>
      <c r="H291" s="11" t="str">
        <f t="shared" si="25"/>
        <v>3.016E-2</v>
      </c>
      <c r="I291" s="2">
        <f t="shared" si="26"/>
        <v>44.3</v>
      </c>
      <c r="J291" s="4">
        <f t="shared" si="27"/>
        <v>9.595</v>
      </c>
      <c r="K291" s="9">
        <f t="shared" si="28"/>
        <v>-0.899999999999998</v>
      </c>
      <c r="L291" s="1">
        <f t="shared" si="29"/>
        <v>-4.49999999999999</v>
      </c>
    </row>
    <row r="292" s="1" customFormat="1" spans="1:12">
      <c r="A292" s="2">
        <v>9.662</v>
      </c>
      <c r="B292" s="10" t="s">
        <v>559</v>
      </c>
      <c r="C292" s="4">
        <v>9.662</v>
      </c>
      <c r="D292" s="5">
        <v>44.2</v>
      </c>
      <c r="E292" s="4"/>
      <c r="F292" s="4"/>
      <c r="G292" s="2">
        <f t="shared" si="24"/>
        <v>9.629</v>
      </c>
      <c r="H292" s="11" t="str">
        <f t="shared" si="25"/>
        <v>3.014E-2</v>
      </c>
      <c r="I292" s="2">
        <f t="shared" si="26"/>
        <v>43.9</v>
      </c>
      <c r="J292" s="4">
        <f t="shared" si="27"/>
        <v>9.629</v>
      </c>
      <c r="K292" s="9">
        <f t="shared" si="28"/>
        <v>-1.09999999999999</v>
      </c>
      <c r="L292" s="1">
        <f t="shared" si="29"/>
        <v>-4.49999999999999</v>
      </c>
    </row>
    <row r="293" s="1" customFormat="1" spans="1:12">
      <c r="A293" s="2">
        <v>9.695</v>
      </c>
      <c r="B293" s="10" t="s">
        <v>561</v>
      </c>
      <c r="C293" s="4">
        <v>9.695</v>
      </c>
      <c r="D293" s="5">
        <v>44.5</v>
      </c>
      <c r="E293" s="4"/>
      <c r="F293" s="4"/>
      <c r="G293" s="2">
        <f t="shared" si="24"/>
        <v>9.662</v>
      </c>
      <c r="H293" s="11" t="str">
        <f t="shared" si="25"/>
        <v>3.011E-2</v>
      </c>
      <c r="I293" s="2">
        <f t="shared" si="26"/>
        <v>44.2</v>
      </c>
      <c r="J293" s="4">
        <f t="shared" si="27"/>
        <v>9.662</v>
      </c>
      <c r="K293" s="9">
        <f t="shared" si="28"/>
        <v>-1.39999999999998</v>
      </c>
      <c r="L293" s="1">
        <f t="shared" si="29"/>
        <v>-4.49999999999999</v>
      </c>
    </row>
    <row r="294" s="1" customFormat="1" spans="1:12">
      <c r="A294" s="2">
        <v>9.729</v>
      </c>
      <c r="B294" s="10" t="s">
        <v>491</v>
      </c>
      <c r="C294" s="4">
        <v>9.729</v>
      </c>
      <c r="D294" s="5">
        <v>44.7</v>
      </c>
      <c r="E294" s="4"/>
      <c r="F294" s="4"/>
      <c r="G294" s="2">
        <f t="shared" si="24"/>
        <v>9.695</v>
      </c>
      <c r="H294" s="11" t="str">
        <f t="shared" si="25"/>
        <v>3.009E-2</v>
      </c>
      <c r="I294" s="2">
        <f t="shared" si="26"/>
        <v>44.5</v>
      </c>
      <c r="J294" s="4">
        <f t="shared" si="27"/>
        <v>9.695</v>
      </c>
      <c r="K294" s="9">
        <f t="shared" si="28"/>
        <v>-1.6</v>
      </c>
      <c r="L294" s="1">
        <f t="shared" si="29"/>
        <v>-4.49999999999999</v>
      </c>
    </row>
    <row r="295" s="1" customFormat="1" spans="1:12">
      <c r="A295" s="2">
        <v>9.762</v>
      </c>
      <c r="B295" s="10" t="s">
        <v>487</v>
      </c>
      <c r="C295" s="4">
        <v>9.762</v>
      </c>
      <c r="D295" s="5">
        <v>43.8</v>
      </c>
      <c r="E295" s="4"/>
      <c r="F295" s="4"/>
      <c r="G295" s="2">
        <f t="shared" si="24"/>
        <v>9.729</v>
      </c>
      <c r="H295" s="11" t="str">
        <f t="shared" si="25"/>
        <v>2.999E-2</v>
      </c>
      <c r="I295" s="2">
        <f t="shared" si="26"/>
        <v>44.7</v>
      </c>
      <c r="J295" s="4">
        <f t="shared" si="27"/>
        <v>9.729</v>
      </c>
      <c r="K295" s="9">
        <f t="shared" si="28"/>
        <v>-2.6</v>
      </c>
      <c r="L295" s="1">
        <f t="shared" si="29"/>
        <v>-4.49999999999999</v>
      </c>
    </row>
    <row r="296" s="1" customFormat="1" spans="1:12">
      <c r="A296" s="2">
        <v>9.796</v>
      </c>
      <c r="B296" s="10" t="s">
        <v>495</v>
      </c>
      <c r="C296" s="4">
        <v>9.796</v>
      </c>
      <c r="D296" s="5">
        <v>44.3</v>
      </c>
      <c r="E296" s="4"/>
      <c r="F296" s="4"/>
      <c r="G296" s="2">
        <f t="shared" si="24"/>
        <v>9.762</v>
      </c>
      <c r="H296" s="11" t="str">
        <f t="shared" si="25"/>
        <v>2.993E-2</v>
      </c>
      <c r="I296" s="2">
        <f t="shared" si="26"/>
        <v>43.8</v>
      </c>
      <c r="J296" s="4">
        <f t="shared" si="27"/>
        <v>9.762</v>
      </c>
      <c r="K296" s="9">
        <f t="shared" si="28"/>
        <v>-3.20000000000001</v>
      </c>
      <c r="L296" s="1">
        <f t="shared" si="29"/>
        <v>-4.49999999999999</v>
      </c>
    </row>
    <row r="297" s="1" customFormat="1" spans="1:12">
      <c r="A297" s="2">
        <v>9.829</v>
      </c>
      <c r="B297" s="10" t="s">
        <v>502</v>
      </c>
      <c r="C297" s="4">
        <v>9.829</v>
      </c>
      <c r="D297" s="5">
        <v>44.2</v>
      </c>
      <c r="E297" s="4"/>
      <c r="F297" s="4"/>
      <c r="G297" s="2">
        <f t="shared" si="24"/>
        <v>9.796</v>
      </c>
      <c r="H297" s="11" t="str">
        <f t="shared" si="25"/>
        <v>2.987E-2</v>
      </c>
      <c r="I297" s="2">
        <f t="shared" si="26"/>
        <v>44.3</v>
      </c>
      <c r="J297" s="4">
        <f t="shared" si="27"/>
        <v>9.796</v>
      </c>
      <c r="K297" s="9">
        <f t="shared" si="28"/>
        <v>-3.79999999999998</v>
      </c>
      <c r="L297" s="1">
        <f t="shared" si="29"/>
        <v>-4.49999999999999</v>
      </c>
    </row>
    <row r="298" s="1" customFormat="1" spans="1:12">
      <c r="A298" s="2">
        <v>9.863</v>
      </c>
      <c r="B298" s="10" t="s">
        <v>572</v>
      </c>
      <c r="C298" s="4">
        <v>9.863</v>
      </c>
      <c r="D298" s="5">
        <v>43.8</v>
      </c>
      <c r="E298" s="4"/>
      <c r="F298" s="4"/>
      <c r="G298" s="2">
        <f t="shared" si="24"/>
        <v>9.829</v>
      </c>
      <c r="H298" s="11" t="str">
        <f t="shared" si="25"/>
        <v>2.988E-2</v>
      </c>
      <c r="I298" s="2">
        <f t="shared" si="26"/>
        <v>44.2</v>
      </c>
      <c r="J298" s="4">
        <f t="shared" si="27"/>
        <v>9.829</v>
      </c>
      <c r="K298" s="9">
        <f t="shared" si="28"/>
        <v>-3.69999999999999</v>
      </c>
      <c r="L298" s="1">
        <f t="shared" si="29"/>
        <v>-4.49999999999999</v>
      </c>
    </row>
    <row r="299" s="1" customFormat="1" spans="1:12">
      <c r="A299" s="2">
        <v>9.896</v>
      </c>
      <c r="B299" s="10" t="s">
        <v>501</v>
      </c>
      <c r="C299" s="4">
        <v>9.896</v>
      </c>
      <c r="D299" s="5">
        <v>44.5</v>
      </c>
      <c r="E299" s="4"/>
      <c r="F299" s="4"/>
      <c r="G299" s="2">
        <f t="shared" si="24"/>
        <v>9.863</v>
      </c>
      <c r="H299" s="11" t="str">
        <f t="shared" si="25"/>
        <v>2.989E-2</v>
      </c>
      <c r="I299" s="2">
        <f t="shared" si="26"/>
        <v>43.8</v>
      </c>
      <c r="J299" s="4">
        <f t="shared" si="27"/>
        <v>9.863</v>
      </c>
      <c r="K299" s="9">
        <f t="shared" si="28"/>
        <v>-3.59999999999999</v>
      </c>
      <c r="L299" s="1">
        <f t="shared" si="29"/>
        <v>-4.49999999999999</v>
      </c>
    </row>
    <row r="300" s="1" customFormat="1" spans="1:12">
      <c r="A300" s="2">
        <v>9.929</v>
      </c>
      <c r="B300" s="10" t="s">
        <v>495</v>
      </c>
      <c r="C300" s="4">
        <v>9.929</v>
      </c>
      <c r="D300" s="5">
        <v>44</v>
      </c>
      <c r="E300" s="4"/>
      <c r="F300" s="4"/>
      <c r="G300" s="2">
        <f t="shared" si="24"/>
        <v>9.896</v>
      </c>
      <c r="H300" s="11" t="str">
        <f t="shared" si="25"/>
        <v>2.986E-2</v>
      </c>
      <c r="I300" s="2">
        <f t="shared" si="26"/>
        <v>44.5</v>
      </c>
      <c r="J300" s="4">
        <f t="shared" si="27"/>
        <v>9.896</v>
      </c>
      <c r="K300" s="9">
        <f t="shared" si="28"/>
        <v>-3.89999999999998</v>
      </c>
      <c r="L300" s="1">
        <f t="shared" si="29"/>
        <v>-4.49999999999999</v>
      </c>
    </row>
    <row r="301" s="1" customFormat="1" spans="1:12">
      <c r="A301" s="2">
        <v>9.963</v>
      </c>
      <c r="B301" s="10" t="s">
        <v>572</v>
      </c>
      <c r="C301" s="4">
        <v>9.963</v>
      </c>
      <c r="D301" s="5">
        <v>43.7</v>
      </c>
      <c r="E301" s="4"/>
      <c r="F301" s="4"/>
      <c r="G301" s="2">
        <f t="shared" si="24"/>
        <v>9.929</v>
      </c>
      <c r="H301" s="11" t="str">
        <f t="shared" si="25"/>
        <v>2.987E-2</v>
      </c>
      <c r="I301" s="2">
        <f t="shared" si="26"/>
        <v>44</v>
      </c>
      <c r="J301" s="4">
        <f t="shared" si="27"/>
        <v>9.929</v>
      </c>
      <c r="K301" s="9">
        <f t="shared" si="28"/>
        <v>-3.79999999999998</v>
      </c>
      <c r="L301" s="1">
        <f t="shared" si="29"/>
        <v>-4.49999999999999</v>
      </c>
    </row>
    <row r="302" s="1" customFormat="1" spans="1:12">
      <c r="A302" s="2">
        <v>9.996</v>
      </c>
      <c r="B302" s="10" t="s">
        <v>486</v>
      </c>
      <c r="C302" s="4">
        <v>9.996</v>
      </c>
      <c r="D302" s="5">
        <v>44.2</v>
      </c>
      <c r="E302" s="4"/>
      <c r="F302" s="4"/>
      <c r="G302" s="2">
        <f t="shared" si="24"/>
        <v>9.963</v>
      </c>
      <c r="H302" s="11" t="str">
        <f t="shared" si="25"/>
        <v>2.989E-2</v>
      </c>
      <c r="I302" s="2">
        <f t="shared" si="26"/>
        <v>43.7</v>
      </c>
      <c r="J302" s="4">
        <f t="shared" si="27"/>
        <v>9.963</v>
      </c>
      <c r="K302" s="9">
        <f t="shared" si="28"/>
        <v>-3.59999999999999</v>
      </c>
      <c r="L302" s="1">
        <f t="shared" si="29"/>
        <v>-4.49999999999999</v>
      </c>
    </row>
    <row r="303" s="1" customFormat="1" spans="1:12">
      <c r="A303" s="2">
        <v>10.03</v>
      </c>
      <c r="B303" s="10" t="s">
        <v>487</v>
      </c>
      <c r="C303" s="4">
        <v>10.03</v>
      </c>
      <c r="D303" s="5">
        <v>43.9</v>
      </c>
      <c r="E303" s="4"/>
      <c r="F303" s="4"/>
      <c r="G303" s="2">
        <f t="shared" si="24"/>
        <v>9.996</v>
      </c>
      <c r="H303" s="11" t="str">
        <f t="shared" si="25"/>
        <v>2.991E-2</v>
      </c>
      <c r="I303" s="2">
        <f t="shared" si="26"/>
        <v>44.2</v>
      </c>
      <c r="J303" s="4">
        <f t="shared" si="27"/>
        <v>9.996</v>
      </c>
      <c r="K303" s="9">
        <f t="shared" si="28"/>
        <v>-3.4</v>
      </c>
      <c r="L303" s="1">
        <f t="shared" si="29"/>
        <v>-4.49999999999999</v>
      </c>
    </row>
    <row r="304" s="1" customFormat="1" spans="1:12">
      <c r="A304" s="2">
        <v>10.063</v>
      </c>
      <c r="B304" s="10" t="s">
        <v>488</v>
      </c>
      <c r="C304" s="4">
        <v>10.063</v>
      </c>
      <c r="D304" s="5">
        <v>44.3</v>
      </c>
      <c r="E304" s="4"/>
      <c r="F304" s="4"/>
      <c r="G304" s="2">
        <f t="shared" si="24"/>
        <v>10.03</v>
      </c>
      <c r="H304" s="11" t="str">
        <f t="shared" si="25"/>
        <v>2.993E-2</v>
      </c>
      <c r="I304" s="2">
        <f t="shared" si="26"/>
        <v>43.9</v>
      </c>
      <c r="J304" s="4">
        <f t="shared" si="27"/>
        <v>10.03</v>
      </c>
      <c r="K304" s="9">
        <f t="shared" si="28"/>
        <v>-3.20000000000001</v>
      </c>
      <c r="L304" s="1">
        <f t="shared" si="29"/>
        <v>-4.49999999999999</v>
      </c>
    </row>
    <row r="305" s="1" customFormat="1" spans="1:12">
      <c r="A305" s="2">
        <v>10.097</v>
      </c>
      <c r="B305" s="10" t="s">
        <v>489</v>
      </c>
      <c r="C305" s="4">
        <v>10.097</v>
      </c>
      <c r="D305" s="5">
        <v>43.8</v>
      </c>
      <c r="E305" s="4"/>
      <c r="F305" s="4"/>
      <c r="G305" s="2">
        <f t="shared" si="24"/>
        <v>10.063</v>
      </c>
      <c r="H305" s="11" t="str">
        <f t="shared" si="25"/>
        <v>2.995E-2</v>
      </c>
      <c r="I305" s="2">
        <f t="shared" si="26"/>
        <v>44.3</v>
      </c>
      <c r="J305" s="4">
        <f t="shared" si="27"/>
        <v>10.063</v>
      </c>
      <c r="K305" s="9">
        <f t="shared" si="28"/>
        <v>-2.99999999999998</v>
      </c>
      <c r="L305" s="1">
        <f t="shared" si="29"/>
        <v>-4.49999999999999</v>
      </c>
    </row>
    <row r="306" s="1" customFormat="1" spans="1:12">
      <c r="A306" s="2">
        <v>10.13</v>
      </c>
      <c r="B306" s="10" t="s">
        <v>492</v>
      </c>
      <c r="C306" s="4">
        <v>10.13</v>
      </c>
      <c r="D306" s="5">
        <v>44</v>
      </c>
      <c r="E306" s="4"/>
      <c r="F306" s="4"/>
      <c r="G306" s="2">
        <f t="shared" si="24"/>
        <v>10.097</v>
      </c>
      <c r="H306" s="11" t="str">
        <f t="shared" si="25"/>
        <v>2.997E-2</v>
      </c>
      <c r="I306" s="2">
        <f t="shared" si="26"/>
        <v>43.8</v>
      </c>
      <c r="J306" s="4">
        <f t="shared" si="27"/>
        <v>10.097</v>
      </c>
      <c r="K306" s="9">
        <f t="shared" si="28"/>
        <v>-2.79999999999999</v>
      </c>
      <c r="L306" s="1">
        <f t="shared" si="29"/>
        <v>-4.49999999999999</v>
      </c>
    </row>
    <row r="307" s="1" customFormat="1" spans="1:12">
      <c r="A307" s="2">
        <v>10.163</v>
      </c>
      <c r="B307" s="10" t="s">
        <v>504</v>
      </c>
      <c r="C307" s="4">
        <v>10.163</v>
      </c>
      <c r="D307" s="5">
        <v>44.5</v>
      </c>
      <c r="E307" s="4"/>
      <c r="F307" s="4"/>
      <c r="G307" s="2">
        <f t="shared" si="24"/>
        <v>10.13</v>
      </c>
      <c r="H307" s="11" t="str">
        <f t="shared" si="25"/>
        <v>3.000E-2</v>
      </c>
      <c r="I307" s="2">
        <f t="shared" si="26"/>
        <v>44</v>
      </c>
      <c r="J307" s="4">
        <f t="shared" si="27"/>
        <v>10.13</v>
      </c>
      <c r="K307" s="9">
        <f t="shared" si="28"/>
        <v>-2.5</v>
      </c>
      <c r="L307" s="1">
        <f t="shared" si="29"/>
        <v>-4.49999999999999</v>
      </c>
    </row>
    <row r="308" s="1" customFormat="1" spans="1:12">
      <c r="A308" s="2">
        <v>10.197</v>
      </c>
      <c r="B308" s="10" t="s">
        <v>574</v>
      </c>
      <c r="C308" s="4">
        <v>10.197</v>
      </c>
      <c r="D308" s="5">
        <v>44.2</v>
      </c>
      <c r="E308" s="4"/>
      <c r="F308" s="4"/>
      <c r="G308" s="2">
        <f t="shared" si="24"/>
        <v>10.163</v>
      </c>
      <c r="H308" s="11" t="str">
        <f t="shared" si="25"/>
        <v>3.002E-2</v>
      </c>
      <c r="I308" s="2">
        <f t="shared" si="26"/>
        <v>44.5</v>
      </c>
      <c r="J308" s="4">
        <f t="shared" si="27"/>
        <v>10.163</v>
      </c>
      <c r="K308" s="9">
        <f t="shared" si="28"/>
        <v>-2.29999999999998</v>
      </c>
      <c r="L308" s="1">
        <f t="shared" si="29"/>
        <v>-4.49999999999999</v>
      </c>
    </row>
    <row r="309" s="1" customFormat="1" spans="1:12">
      <c r="A309" s="2">
        <v>10.23</v>
      </c>
      <c r="B309" s="10" t="s">
        <v>571</v>
      </c>
      <c r="C309" s="4">
        <v>10.23</v>
      </c>
      <c r="D309" s="5">
        <v>44.5</v>
      </c>
      <c r="E309" s="4"/>
      <c r="F309" s="4"/>
      <c r="G309" s="2">
        <f t="shared" si="24"/>
        <v>10.197</v>
      </c>
      <c r="H309" s="11" t="str">
        <f t="shared" si="25"/>
        <v>3.004E-2</v>
      </c>
      <c r="I309" s="2">
        <f t="shared" si="26"/>
        <v>44.2</v>
      </c>
      <c r="J309" s="4">
        <f t="shared" si="27"/>
        <v>10.197</v>
      </c>
      <c r="K309" s="9">
        <f t="shared" si="28"/>
        <v>-2.09999999999998</v>
      </c>
      <c r="L309" s="1">
        <f t="shared" si="29"/>
        <v>-4.49999999999999</v>
      </c>
    </row>
    <row r="310" s="1" customFormat="1" spans="1:12">
      <c r="A310" s="2">
        <v>10.264</v>
      </c>
      <c r="B310" s="10" t="s">
        <v>561</v>
      </c>
      <c r="C310" s="4">
        <v>10.264</v>
      </c>
      <c r="D310" s="5">
        <v>44.3</v>
      </c>
      <c r="E310" s="4"/>
      <c r="F310" s="4"/>
      <c r="G310" s="2">
        <f t="shared" si="24"/>
        <v>10.23</v>
      </c>
      <c r="H310" s="11" t="str">
        <f t="shared" si="25"/>
        <v>3.007E-2</v>
      </c>
      <c r="I310" s="2">
        <f t="shared" si="26"/>
        <v>44.5</v>
      </c>
      <c r="J310" s="4">
        <f t="shared" si="27"/>
        <v>10.23</v>
      </c>
      <c r="K310" s="9">
        <f t="shared" si="28"/>
        <v>-1.8</v>
      </c>
      <c r="L310" s="1">
        <f t="shared" si="29"/>
        <v>-4.49999999999999</v>
      </c>
    </row>
    <row r="311" s="1" customFormat="1" spans="1:12">
      <c r="A311" s="2">
        <v>10.297</v>
      </c>
      <c r="B311" s="10" t="s">
        <v>559</v>
      </c>
      <c r="C311" s="4">
        <v>10.297</v>
      </c>
      <c r="D311" s="5">
        <v>43.9</v>
      </c>
      <c r="E311" s="4"/>
      <c r="F311" s="4"/>
      <c r="G311" s="2">
        <f t="shared" si="24"/>
        <v>10.264</v>
      </c>
      <c r="H311" s="11" t="str">
        <f t="shared" si="25"/>
        <v>3.009E-2</v>
      </c>
      <c r="I311" s="2">
        <f t="shared" si="26"/>
        <v>44.3</v>
      </c>
      <c r="J311" s="4">
        <f t="shared" si="27"/>
        <v>10.264</v>
      </c>
      <c r="K311" s="9">
        <f t="shared" si="28"/>
        <v>-1.6</v>
      </c>
      <c r="L311" s="1">
        <f t="shared" si="29"/>
        <v>-4.49999999999999</v>
      </c>
    </row>
    <row r="312" s="1" customFormat="1" spans="1:12">
      <c r="A312" s="2">
        <v>10.331</v>
      </c>
      <c r="B312" s="10" t="s">
        <v>556</v>
      </c>
      <c r="C312" s="4">
        <v>10.331</v>
      </c>
      <c r="D312" s="5">
        <v>44.2</v>
      </c>
      <c r="E312" s="4"/>
      <c r="F312" s="4"/>
      <c r="G312" s="2">
        <f t="shared" si="24"/>
        <v>10.297</v>
      </c>
      <c r="H312" s="11" t="str">
        <f t="shared" si="25"/>
        <v>3.011E-2</v>
      </c>
      <c r="I312" s="2">
        <f t="shared" si="26"/>
        <v>43.9</v>
      </c>
      <c r="J312" s="4">
        <f t="shared" si="27"/>
        <v>10.297</v>
      </c>
      <c r="K312" s="9">
        <f t="shared" si="28"/>
        <v>-1.39999999999998</v>
      </c>
      <c r="L312" s="1">
        <f t="shared" si="29"/>
        <v>-4.49999999999999</v>
      </c>
    </row>
    <row r="313" s="1" customFormat="1" spans="1:12">
      <c r="A313" s="2">
        <v>10.364</v>
      </c>
      <c r="B313" s="10" t="s">
        <v>540</v>
      </c>
      <c r="C313" s="4">
        <v>10.364</v>
      </c>
      <c r="D313" s="5">
        <v>44.2</v>
      </c>
      <c r="E313" s="4"/>
      <c r="F313" s="4"/>
      <c r="G313" s="2">
        <f t="shared" si="24"/>
        <v>10.331</v>
      </c>
      <c r="H313" s="11" t="str">
        <f t="shared" si="25"/>
        <v>3.020E-2</v>
      </c>
      <c r="I313" s="2">
        <f t="shared" si="26"/>
        <v>44.2</v>
      </c>
      <c r="J313" s="4">
        <f t="shared" si="27"/>
        <v>10.331</v>
      </c>
      <c r="K313" s="9">
        <f t="shared" si="28"/>
        <v>-0.49999999999998</v>
      </c>
      <c r="L313" s="1">
        <f t="shared" si="29"/>
        <v>-4.49999999999999</v>
      </c>
    </row>
    <row r="314" s="1" customFormat="1" spans="1:12">
      <c r="A314" s="2">
        <v>10.398</v>
      </c>
      <c r="B314" s="10" t="s">
        <v>555</v>
      </c>
      <c r="C314" s="4">
        <v>10.398</v>
      </c>
      <c r="D314" s="5">
        <v>44.3</v>
      </c>
      <c r="E314" s="4"/>
      <c r="F314" s="4"/>
      <c r="G314" s="2">
        <f t="shared" si="24"/>
        <v>10.364</v>
      </c>
      <c r="H314" s="11" t="str">
        <f t="shared" si="25"/>
        <v>3.025E-2</v>
      </c>
      <c r="I314" s="2">
        <f t="shared" si="26"/>
        <v>44.2</v>
      </c>
      <c r="J314" s="4">
        <f t="shared" si="27"/>
        <v>10.364</v>
      </c>
      <c r="K314" s="9">
        <f t="shared" si="28"/>
        <v>0</v>
      </c>
      <c r="L314" s="1">
        <f t="shared" si="29"/>
        <v>-4.49999999999999</v>
      </c>
    </row>
    <row r="315" s="1" customFormat="1" spans="1:12">
      <c r="A315" s="2">
        <v>10.431</v>
      </c>
      <c r="B315" s="10" t="s">
        <v>547</v>
      </c>
      <c r="C315" s="4">
        <v>10.431</v>
      </c>
      <c r="D315" s="5">
        <v>44</v>
      </c>
      <c r="E315" s="4"/>
      <c r="F315" s="4"/>
      <c r="G315" s="2">
        <f t="shared" si="24"/>
        <v>10.398</v>
      </c>
      <c r="H315" s="11" t="str">
        <f t="shared" si="25"/>
        <v>3.029E-2</v>
      </c>
      <c r="I315" s="2">
        <f t="shared" si="26"/>
        <v>44.3</v>
      </c>
      <c r="J315" s="4">
        <f t="shared" si="27"/>
        <v>10.398</v>
      </c>
      <c r="K315" s="9">
        <f t="shared" si="28"/>
        <v>0.400000000000018</v>
      </c>
      <c r="L315" s="1">
        <f t="shared" si="29"/>
        <v>-4.49999999999999</v>
      </c>
    </row>
    <row r="316" s="1" customFormat="1" spans="1:12">
      <c r="A316" s="2">
        <v>10.464</v>
      </c>
      <c r="B316" s="10" t="s">
        <v>573</v>
      </c>
      <c r="C316" s="4">
        <v>10.464</v>
      </c>
      <c r="D316" s="5">
        <v>44.1</v>
      </c>
      <c r="E316" s="4"/>
      <c r="F316" s="4"/>
      <c r="G316" s="2">
        <f t="shared" si="24"/>
        <v>10.431</v>
      </c>
      <c r="H316" s="11" t="str">
        <f t="shared" si="25"/>
        <v>3.030E-2</v>
      </c>
      <c r="I316" s="2">
        <f t="shared" si="26"/>
        <v>44</v>
      </c>
      <c r="J316" s="4">
        <f t="shared" si="27"/>
        <v>10.431</v>
      </c>
      <c r="K316" s="9">
        <f t="shared" si="28"/>
        <v>0.500000000000014</v>
      </c>
      <c r="L316" s="1">
        <f t="shared" si="29"/>
        <v>-4.49999999999999</v>
      </c>
    </row>
    <row r="317" s="1" customFormat="1" spans="1:12">
      <c r="A317" s="2">
        <v>10.498</v>
      </c>
      <c r="B317" s="10" t="s">
        <v>548</v>
      </c>
      <c r="C317" s="4">
        <v>10.498</v>
      </c>
      <c r="D317" s="5">
        <v>44.5</v>
      </c>
      <c r="E317" s="4"/>
      <c r="F317" s="4"/>
      <c r="G317" s="2">
        <f t="shared" si="24"/>
        <v>10.464</v>
      </c>
      <c r="H317" s="11" t="str">
        <f t="shared" si="25"/>
        <v>3.031E-2</v>
      </c>
      <c r="I317" s="2">
        <f t="shared" si="26"/>
        <v>44.1</v>
      </c>
      <c r="J317" s="4">
        <f t="shared" si="27"/>
        <v>10.464</v>
      </c>
      <c r="K317" s="9">
        <f t="shared" si="28"/>
        <v>0.60000000000001</v>
      </c>
      <c r="L317" s="1">
        <f t="shared" si="29"/>
        <v>-4.49999999999999</v>
      </c>
    </row>
    <row r="318" s="1" customFormat="1" spans="1:12">
      <c r="A318" s="2">
        <v>10.531</v>
      </c>
      <c r="B318" s="10" t="s">
        <v>548</v>
      </c>
      <c r="C318" s="4">
        <v>10.531</v>
      </c>
      <c r="D318" s="5">
        <v>45</v>
      </c>
      <c r="E318" s="4"/>
      <c r="F318" s="4"/>
      <c r="G318" s="2">
        <f t="shared" si="24"/>
        <v>10.498</v>
      </c>
      <c r="H318" s="11" t="str">
        <f t="shared" si="25"/>
        <v>3.032E-2</v>
      </c>
      <c r="I318" s="2">
        <f t="shared" si="26"/>
        <v>44.5</v>
      </c>
      <c r="J318" s="4">
        <f t="shared" si="27"/>
        <v>10.498</v>
      </c>
      <c r="K318" s="9">
        <f t="shared" si="28"/>
        <v>0.700000000000006</v>
      </c>
      <c r="L318" s="1">
        <f t="shared" si="29"/>
        <v>-4.49999999999999</v>
      </c>
    </row>
    <row r="319" s="1" customFormat="1" spans="1:12">
      <c r="A319" s="2">
        <v>10.565</v>
      </c>
      <c r="B319" s="10" t="s">
        <v>573</v>
      </c>
      <c r="C319" s="4">
        <v>10.565</v>
      </c>
      <c r="D319" s="5">
        <v>44.5</v>
      </c>
      <c r="E319" s="4"/>
      <c r="F319" s="4"/>
      <c r="G319" s="2">
        <f t="shared" si="24"/>
        <v>10.531</v>
      </c>
      <c r="H319" s="11" t="str">
        <f t="shared" si="25"/>
        <v>3.032E-2</v>
      </c>
      <c r="I319" s="2">
        <f t="shared" si="26"/>
        <v>45</v>
      </c>
      <c r="J319" s="4">
        <f t="shared" si="27"/>
        <v>10.531</v>
      </c>
      <c r="K319" s="9">
        <f t="shared" si="28"/>
        <v>0.700000000000006</v>
      </c>
      <c r="L319" s="1">
        <f t="shared" si="29"/>
        <v>-4.49999999999999</v>
      </c>
    </row>
    <row r="320" s="1" customFormat="1" spans="1:12">
      <c r="A320" s="2">
        <v>10.598</v>
      </c>
      <c r="B320" s="10" t="s">
        <v>547</v>
      </c>
      <c r="C320" s="4">
        <v>10.598</v>
      </c>
      <c r="D320" s="5">
        <v>44.2</v>
      </c>
      <c r="E320" s="4"/>
      <c r="F320" s="4"/>
      <c r="G320" s="2">
        <f t="shared" si="24"/>
        <v>10.565</v>
      </c>
      <c r="H320" s="11" t="str">
        <f t="shared" si="25"/>
        <v>3.031E-2</v>
      </c>
      <c r="I320" s="2">
        <f t="shared" si="26"/>
        <v>44.5</v>
      </c>
      <c r="J320" s="4">
        <f t="shared" si="27"/>
        <v>10.565</v>
      </c>
      <c r="K320" s="9">
        <f t="shared" si="28"/>
        <v>0.60000000000001</v>
      </c>
      <c r="L320" s="1">
        <f t="shared" si="29"/>
        <v>-4.49999999999999</v>
      </c>
    </row>
    <row r="321" s="1" customFormat="1" spans="1:12">
      <c r="A321" s="2">
        <v>10.632</v>
      </c>
      <c r="B321" s="10" t="s">
        <v>547</v>
      </c>
      <c r="C321" s="4">
        <v>10.632</v>
      </c>
      <c r="D321" s="5">
        <v>44.4</v>
      </c>
      <c r="E321" s="4"/>
      <c r="F321" s="4"/>
      <c r="G321" s="2">
        <f t="shared" si="24"/>
        <v>10.598</v>
      </c>
      <c r="H321" s="11" t="str">
        <f t="shared" si="25"/>
        <v>3.030E-2</v>
      </c>
      <c r="I321" s="2">
        <f t="shared" si="26"/>
        <v>44.2</v>
      </c>
      <c r="J321" s="4">
        <f t="shared" si="27"/>
        <v>10.598</v>
      </c>
      <c r="K321" s="9">
        <f t="shared" si="28"/>
        <v>0.500000000000014</v>
      </c>
      <c r="L321" s="1">
        <f t="shared" si="29"/>
        <v>-4.49999999999999</v>
      </c>
    </row>
    <row r="322" s="1" customFormat="1" spans="1:12">
      <c r="A322" s="2">
        <v>10.665</v>
      </c>
      <c r="B322" s="10" t="s">
        <v>543</v>
      </c>
      <c r="C322" s="4">
        <v>10.665</v>
      </c>
      <c r="D322" s="5">
        <v>44.3</v>
      </c>
      <c r="E322" s="4"/>
      <c r="F322" s="4"/>
      <c r="G322" s="2">
        <f t="shared" si="24"/>
        <v>10.632</v>
      </c>
      <c r="H322" s="11" t="str">
        <f t="shared" si="25"/>
        <v>3.030E-2</v>
      </c>
      <c r="I322" s="2">
        <f t="shared" si="26"/>
        <v>44.4</v>
      </c>
      <c r="J322" s="4">
        <f t="shared" si="27"/>
        <v>10.632</v>
      </c>
      <c r="K322" s="9">
        <f t="shared" si="28"/>
        <v>0.500000000000014</v>
      </c>
      <c r="L322" s="1">
        <f t="shared" si="29"/>
        <v>-4.49999999999999</v>
      </c>
    </row>
    <row r="323" s="1" customFormat="1" spans="1:12">
      <c r="A323" s="2">
        <v>10.698</v>
      </c>
      <c r="B323" s="10" t="s">
        <v>542</v>
      </c>
      <c r="C323" s="4">
        <v>10.698</v>
      </c>
      <c r="D323" s="5">
        <v>44.6</v>
      </c>
      <c r="E323" s="4"/>
      <c r="F323" s="4"/>
      <c r="G323" s="2">
        <f t="shared" si="24"/>
        <v>10.665</v>
      </c>
      <c r="H323" s="11" t="str">
        <f t="shared" si="25"/>
        <v>3.028E-2</v>
      </c>
      <c r="I323" s="2">
        <f t="shared" si="26"/>
        <v>44.3</v>
      </c>
      <c r="J323" s="4">
        <f t="shared" si="27"/>
        <v>10.665</v>
      </c>
      <c r="K323" s="9">
        <f t="shared" si="28"/>
        <v>0.300000000000022</v>
      </c>
      <c r="L323" s="1">
        <f t="shared" si="29"/>
        <v>-4.49999999999999</v>
      </c>
    </row>
    <row r="324" s="1" customFormat="1" spans="1:12">
      <c r="A324" s="2">
        <v>10.732</v>
      </c>
      <c r="B324" s="10" t="s">
        <v>540</v>
      </c>
      <c r="C324" s="4">
        <v>10.732</v>
      </c>
      <c r="D324" s="5">
        <v>43.9</v>
      </c>
      <c r="E324" s="4"/>
      <c r="F324" s="4"/>
      <c r="G324" s="2">
        <f t="shared" ref="G324:G361" si="30">A323</f>
        <v>10.698</v>
      </c>
      <c r="H324" s="11" t="str">
        <f t="shared" ref="H324:H361" si="31">B323</f>
        <v>3.027E-2</v>
      </c>
      <c r="I324" s="2">
        <f t="shared" ref="I324:I361" si="32">D323</f>
        <v>44.6</v>
      </c>
      <c r="J324" s="4">
        <f t="shared" ref="J324:J361" si="33">G324</f>
        <v>10.698</v>
      </c>
      <c r="K324" s="9">
        <f t="shared" ref="K324:K361" si="34">(H324-$H$4)*10000</f>
        <v>0.199999999999992</v>
      </c>
      <c r="L324" s="1">
        <f t="shared" ref="L324:L361" si="35">IF(I324&lt;230,MIN(K:K),MAX(K:K))</f>
        <v>-4.49999999999999</v>
      </c>
    </row>
    <row r="325" s="1" customFormat="1" spans="1:12">
      <c r="A325" s="2">
        <v>10.765</v>
      </c>
      <c r="B325" s="10" t="s">
        <v>545</v>
      </c>
      <c r="C325" s="4">
        <v>10.765</v>
      </c>
      <c r="D325" s="5">
        <v>44.3</v>
      </c>
      <c r="E325" s="4"/>
      <c r="F325" s="4"/>
      <c r="G325" s="2">
        <f t="shared" si="30"/>
        <v>10.732</v>
      </c>
      <c r="H325" s="11" t="str">
        <f t="shared" si="31"/>
        <v>3.025E-2</v>
      </c>
      <c r="I325" s="2">
        <f t="shared" si="32"/>
        <v>43.9</v>
      </c>
      <c r="J325" s="4">
        <f t="shared" si="33"/>
        <v>10.732</v>
      </c>
      <c r="K325" s="9">
        <f t="shared" si="34"/>
        <v>0</v>
      </c>
      <c r="L325" s="1">
        <f t="shared" si="35"/>
        <v>-4.49999999999999</v>
      </c>
    </row>
    <row r="326" s="1" customFormat="1" spans="1:12">
      <c r="A326" s="2">
        <v>10.799</v>
      </c>
      <c r="B326" s="10" t="s">
        <v>562</v>
      </c>
      <c r="C326" s="4">
        <v>10.799</v>
      </c>
      <c r="D326" s="5">
        <v>44.9</v>
      </c>
      <c r="E326" s="4"/>
      <c r="F326" s="4"/>
      <c r="G326" s="2">
        <f t="shared" si="30"/>
        <v>10.765</v>
      </c>
      <c r="H326" s="11" t="str">
        <f t="shared" si="31"/>
        <v>3.023E-2</v>
      </c>
      <c r="I326" s="2">
        <f t="shared" si="32"/>
        <v>44.3</v>
      </c>
      <c r="J326" s="4">
        <f t="shared" si="33"/>
        <v>10.765</v>
      </c>
      <c r="K326" s="9">
        <f t="shared" si="34"/>
        <v>-0.199999999999992</v>
      </c>
      <c r="L326" s="1">
        <f t="shared" si="35"/>
        <v>-4.49999999999999</v>
      </c>
    </row>
    <row r="327" s="1" customFormat="1" spans="1:12">
      <c r="A327" s="2">
        <v>10.832</v>
      </c>
      <c r="B327" s="10" t="s">
        <v>563</v>
      </c>
      <c r="C327" s="4">
        <v>10.832</v>
      </c>
      <c r="D327" s="5">
        <v>44</v>
      </c>
      <c r="E327" s="4"/>
      <c r="F327" s="4"/>
      <c r="G327" s="2">
        <f t="shared" si="30"/>
        <v>10.799</v>
      </c>
      <c r="H327" s="11" t="str">
        <f t="shared" si="31"/>
        <v>3.021E-2</v>
      </c>
      <c r="I327" s="2">
        <f t="shared" si="32"/>
        <v>44.9</v>
      </c>
      <c r="J327" s="4">
        <f t="shared" si="33"/>
        <v>10.799</v>
      </c>
      <c r="K327" s="9">
        <f t="shared" si="34"/>
        <v>-0.399999999999984</v>
      </c>
      <c r="L327" s="1">
        <f t="shared" si="35"/>
        <v>-4.49999999999999</v>
      </c>
    </row>
    <row r="328" s="1" customFormat="1" spans="1:12">
      <c r="A328" s="2">
        <v>10.866</v>
      </c>
      <c r="B328" s="10" t="s">
        <v>563</v>
      </c>
      <c r="C328" s="4">
        <v>10.866</v>
      </c>
      <c r="D328" s="5">
        <v>44.1</v>
      </c>
      <c r="E328" s="4"/>
      <c r="F328" s="4"/>
      <c r="G328" s="2">
        <f t="shared" si="30"/>
        <v>10.832</v>
      </c>
      <c r="H328" s="11" t="str">
        <f t="shared" si="31"/>
        <v>3.019E-2</v>
      </c>
      <c r="I328" s="2">
        <f t="shared" si="32"/>
        <v>44</v>
      </c>
      <c r="J328" s="4">
        <f t="shared" si="33"/>
        <v>10.832</v>
      </c>
      <c r="K328" s="9">
        <f t="shared" si="34"/>
        <v>-0.599999999999976</v>
      </c>
      <c r="L328" s="1">
        <f t="shared" si="35"/>
        <v>-4.49999999999999</v>
      </c>
    </row>
    <row r="329" s="1" customFormat="1" spans="1:12">
      <c r="A329" s="2">
        <v>10.899</v>
      </c>
      <c r="B329" s="10" t="s">
        <v>557</v>
      </c>
      <c r="C329" s="4">
        <v>10.899</v>
      </c>
      <c r="D329" s="5">
        <v>44.5</v>
      </c>
      <c r="E329" s="4"/>
      <c r="F329" s="4"/>
      <c r="G329" s="2">
        <f t="shared" si="30"/>
        <v>10.866</v>
      </c>
      <c r="H329" s="11" t="str">
        <f t="shared" si="31"/>
        <v>3.019E-2</v>
      </c>
      <c r="I329" s="2">
        <f t="shared" si="32"/>
        <v>44.1</v>
      </c>
      <c r="J329" s="4">
        <f t="shared" si="33"/>
        <v>10.866</v>
      </c>
      <c r="K329" s="9">
        <f t="shared" si="34"/>
        <v>-0.599999999999976</v>
      </c>
      <c r="L329" s="1">
        <f t="shared" si="35"/>
        <v>-4.49999999999999</v>
      </c>
    </row>
    <row r="330" s="1" customFormat="1" spans="1:12">
      <c r="A330" s="2">
        <v>10.932</v>
      </c>
      <c r="B330" s="10" t="s">
        <v>575</v>
      </c>
      <c r="C330" s="4">
        <v>10.932</v>
      </c>
      <c r="D330" s="5">
        <v>44.1</v>
      </c>
      <c r="E330" s="4"/>
      <c r="F330" s="4"/>
      <c r="G330" s="2">
        <f t="shared" si="30"/>
        <v>10.899</v>
      </c>
      <c r="H330" s="11" t="str">
        <f t="shared" si="31"/>
        <v>3.017E-2</v>
      </c>
      <c r="I330" s="2">
        <f t="shared" si="32"/>
        <v>44.5</v>
      </c>
      <c r="J330" s="4">
        <f t="shared" si="33"/>
        <v>10.899</v>
      </c>
      <c r="K330" s="9">
        <f t="shared" si="34"/>
        <v>-0.800000000000002</v>
      </c>
      <c r="L330" s="1">
        <f t="shared" si="35"/>
        <v>-4.49999999999999</v>
      </c>
    </row>
    <row r="331" s="1" customFormat="1" spans="1:12">
      <c r="A331" s="2">
        <v>10.966</v>
      </c>
      <c r="B331" s="10" t="s">
        <v>558</v>
      </c>
      <c r="C331" s="4">
        <v>10.966</v>
      </c>
      <c r="D331" s="5">
        <v>44.7</v>
      </c>
      <c r="E331" s="4"/>
      <c r="F331" s="4"/>
      <c r="G331" s="2">
        <f t="shared" si="30"/>
        <v>10.932</v>
      </c>
      <c r="H331" s="11" t="str">
        <f t="shared" si="31"/>
        <v>3.015E-2</v>
      </c>
      <c r="I331" s="2">
        <f t="shared" si="32"/>
        <v>44.1</v>
      </c>
      <c r="J331" s="4">
        <f t="shared" si="33"/>
        <v>10.932</v>
      </c>
      <c r="K331" s="9">
        <f t="shared" si="34"/>
        <v>-0.999999999999994</v>
      </c>
      <c r="L331" s="1">
        <f t="shared" si="35"/>
        <v>-4.49999999999999</v>
      </c>
    </row>
    <row r="332" s="1" customFormat="1" spans="1:12">
      <c r="A332" s="2">
        <v>10.999</v>
      </c>
      <c r="B332" s="10" t="s">
        <v>559</v>
      </c>
      <c r="C332" s="4">
        <v>10.999</v>
      </c>
      <c r="D332" s="5">
        <v>44.7</v>
      </c>
      <c r="E332" s="4"/>
      <c r="F332" s="4"/>
      <c r="G332" s="2">
        <f t="shared" si="30"/>
        <v>10.966</v>
      </c>
      <c r="H332" s="11" t="str">
        <f t="shared" si="31"/>
        <v>3.013E-2</v>
      </c>
      <c r="I332" s="2">
        <f t="shared" si="32"/>
        <v>44.7</v>
      </c>
      <c r="J332" s="4">
        <f t="shared" si="33"/>
        <v>10.966</v>
      </c>
      <c r="K332" s="9">
        <f t="shared" si="34"/>
        <v>-1.19999999999999</v>
      </c>
      <c r="L332" s="1">
        <f t="shared" si="35"/>
        <v>-4.49999999999999</v>
      </c>
    </row>
    <row r="333" s="1" customFormat="1" spans="1:12">
      <c r="A333" s="2">
        <v>11.033</v>
      </c>
      <c r="B333" s="10" t="s">
        <v>569</v>
      </c>
      <c r="C333" s="4">
        <v>11.033</v>
      </c>
      <c r="D333" s="5">
        <v>43.9</v>
      </c>
      <c r="E333" s="4"/>
      <c r="F333" s="4"/>
      <c r="G333" s="2">
        <f t="shared" si="30"/>
        <v>10.999</v>
      </c>
      <c r="H333" s="11" t="str">
        <f t="shared" si="31"/>
        <v>3.011E-2</v>
      </c>
      <c r="I333" s="2">
        <f t="shared" si="32"/>
        <v>44.7</v>
      </c>
      <c r="J333" s="4">
        <f t="shared" si="33"/>
        <v>10.999</v>
      </c>
      <c r="K333" s="9">
        <f t="shared" si="34"/>
        <v>-1.39999999999998</v>
      </c>
      <c r="L333" s="1">
        <f t="shared" si="35"/>
        <v>-4.49999999999999</v>
      </c>
    </row>
    <row r="334" s="1" customFormat="1" spans="1:12">
      <c r="A334" s="2">
        <v>11.066</v>
      </c>
      <c r="B334" s="10" t="s">
        <v>568</v>
      </c>
      <c r="C334" s="4">
        <v>11.066</v>
      </c>
      <c r="D334" s="4">
        <v>43.8</v>
      </c>
      <c r="E334" s="4"/>
      <c r="F334" s="4"/>
      <c r="G334" s="2">
        <f t="shared" si="30"/>
        <v>11.033</v>
      </c>
      <c r="H334" s="11" t="str">
        <f t="shared" si="31"/>
        <v>3.010E-2</v>
      </c>
      <c r="I334" s="2">
        <f t="shared" si="32"/>
        <v>43.9</v>
      </c>
      <c r="J334" s="4">
        <f t="shared" si="33"/>
        <v>11.033</v>
      </c>
      <c r="K334" s="9">
        <f t="shared" si="34"/>
        <v>-1.50000000000001</v>
      </c>
      <c r="L334" s="1">
        <f t="shared" si="35"/>
        <v>-4.49999999999999</v>
      </c>
    </row>
    <row r="335" spans="1:12">
      <c r="A335" s="2">
        <v>11.1</v>
      </c>
      <c r="B335" s="10" t="s">
        <v>491</v>
      </c>
      <c r="C335" s="4">
        <v>11.1</v>
      </c>
      <c r="D335" s="4">
        <v>44.3</v>
      </c>
      <c r="G335" s="2">
        <f t="shared" si="30"/>
        <v>11.066</v>
      </c>
      <c r="H335" s="11" t="str">
        <f t="shared" si="31"/>
        <v>3.008E-2</v>
      </c>
      <c r="I335" s="2">
        <f t="shared" si="32"/>
        <v>43.8</v>
      </c>
      <c r="J335" s="4">
        <f t="shared" si="33"/>
        <v>11.066</v>
      </c>
      <c r="K335" s="9">
        <f t="shared" si="34"/>
        <v>-1.7</v>
      </c>
      <c r="L335" s="1">
        <f t="shared" si="35"/>
        <v>-4.49999999999999</v>
      </c>
    </row>
    <row r="336" spans="1:12">
      <c r="A336" s="2">
        <v>11.133</v>
      </c>
      <c r="B336" s="10" t="s">
        <v>503</v>
      </c>
      <c r="C336" s="4">
        <v>11.133</v>
      </c>
      <c r="D336" s="4">
        <v>44.7</v>
      </c>
      <c r="G336" s="2">
        <f t="shared" si="30"/>
        <v>11.1</v>
      </c>
      <c r="H336" s="11" t="str">
        <f t="shared" si="31"/>
        <v>2.999E-2</v>
      </c>
      <c r="I336" s="2">
        <f t="shared" si="32"/>
        <v>44.3</v>
      </c>
      <c r="J336" s="4">
        <f t="shared" si="33"/>
        <v>11.1</v>
      </c>
      <c r="K336" s="9">
        <f t="shared" si="34"/>
        <v>-2.6</v>
      </c>
      <c r="L336" s="1">
        <f t="shared" si="35"/>
        <v>-4.49999999999999</v>
      </c>
    </row>
    <row r="337" spans="1:12">
      <c r="A337" s="2">
        <v>11.166</v>
      </c>
      <c r="B337" s="10" t="s">
        <v>486</v>
      </c>
      <c r="C337" s="4">
        <v>11.166</v>
      </c>
      <c r="D337" s="4">
        <v>44.5</v>
      </c>
      <c r="G337" s="2">
        <f t="shared" si="30"/>
        <v>11.133</v>
      </c>
      <c r="H337" s="11" t="str">
        <f t="shared" si="31"/>
        <v>2.994E-2</v>
      </c>
      <c r="I337" s="2">
        <f t="shared" si="32"/>
        <v>44.7</v>
      </c>
      <c r="J337" s="4">
        <f t="shared" si="33"/>
        <v>11.133</v>
      </c>
      <c r="K337" s="9">
        <f t="shared" si="34"/>
        <v>-3.09999999999998</v>
      </c>
      <c r="L337" s="1">
        <f t="shared" si="35"/>
        <v>-4.49999999999999</v>
      </c>
    </row>
    <row r="338" spans="1:12">
      <c r="A338" s="2">
        <v>11.2</v>
      </c>
      <c r="B338" s="10" t="s">
        <v>494</v>
      </c>
      <c r="C338" s="4">
        <v>11.2</v>
      </c>
      <c r="D338" s="4">
        <v>44</v>
      </c>
      <c r="G338" s="2">
        <f t="shared" si="30"/>
        <v>11.166</v>
      </c>
      <c r="H338" s="11" t="str">
        <f t="shared" si="31"/>
        <v>2.991E-2</v>
      </c>
      <c r="I338" s="2">
        <f t="shared" si="32"/>
        <v>44.5</v>
      </c>
      <c r="J338" s="4">
        <f t="shared" si="33"/>
        <v>11.166</v>
      </c>
      <c r="K338" s="9">
        <f t="shared" si="34"/>
        <v>-3.4</v>
      </c>
      <c r="L338" s="1">
        <f t="shared" si="35"/>
        <v>-4.49999999999999</v>
      </c>
    </row>
    <row r="339" spans="1:12">
      <c r="A339" s="2">
        <v>11.233</v>
      </c>
      <c r="B339" s="10" t="s">
        <v>494</v>
      </c>
      <c r="C339" s="4">
        <v>11.233</v>
      </c>
      <c r="D339" s="4">
        <v>44.2</v>
      </c>
      <c r="G339" s="2">
        <f t="shared" si="30"/>
        <v>11.2</v>
      </c>
      <c r="H339" s="11" t="str">
        <f t="shared" si="31"/>
        <v>2.990E-2</v>
      </c>
      <c r="I339" s="2">
        <f t="shared" si="32"/>
        <v>44</v>
      </c>
      <c r="J339" s="4">
        <f t="shared" si="33"/>
        <v>11.2</v>
      </c>
      <c r="K339" s="9">
        <f t="shared" si="34"/>
        <v>-3.5</v>
      </c>
      <c r="L339" s="1">
        <f t="shared" si="35"/>
        <v>-4.49999999999999</v>
      </c>
    </row>
    <row r="340" spans="1:12">
      <c r="A340" s="2">
        <v>11.267</v>
      </c>
      <c r="B340" s="10" t="s">
        <v>486</v>
      </c>
      <c r="C340" s="4">
        <v>11.267</v>
      </c>
      <c r="D340" s="4">
        <v>44.5</v>
      </c>
      <c r="G340" s="2">
        <f t="shared" si="30"/>
        <v>11.233</v>
      </c>
      <c r="H340" s="11" t="str">
        <f t="shared" si="31"/>
        <v>2.990E-2</v>
      </c>
      <c r="I340" s="2">
        <f t="shared" si="32"/>
        <v>44.2</v>
      </c>
      <c r="J340" s="4">
        <f t="shared" si="33"/>
        <v>11.233</v>
      </c>
      <c r="K340" s="9">
        <f t="shared" si="34"/>
        <v>-3.5</v>
      </c>
      <c r="L340" s="1">
        <f t="shared" si="35"/>
        <v>-4.49999999999999</v>
      </c>
    </row>
    <row r="341" spans="1:12">
      <c r="A341" s="2">
        <v>11.3</v>
      </c>
      <c r="B341" s="10" t="s">
        <v>487</v>
      </c>
      <c r="C341" s="4">
        <v>11.3</v>
      </c>
      <c r="D341" s="4">
        <v>44.3</v>
      </c>
      <c r="G341" s="2">
        <f t="shared" si="30"/>
        <v>11.267</v>
      </c>
      <c r="H341" s="11" t="str">
        <f t="shared" si="31"/>
        <v>2.991E-2</v>
      </c>
      <c r="I341" s="2">
        <f t="shared" si="32"/>
        <v>44.5</v>
      </c>
      <c r="J341" s="4">
        <f t="shared" si="33"/>
        <v>11.267</v>
      </c>
      <c r="K341" s="9">
        <f t="shared" si="34"/>
        <v>-3.4</v>
      </c>
      <c r="L341" s="1">
        <f t="shared" si="35"/>
        <v>-4.49999999999999</v>
      </c>
    </row>
    <row r="342" spans="1:12">
      <c r="A342" s="2">
        <v>11.334</v>
      </c>
      <c r="B342" s="10" t="s">
        <v>503</v>
      </c>
      <c r="C342" s="4">
        <v>11.334</v>
      </c>
      <c r="D342" s="4">
        <v>44.5</v>
      </c>
      <c r="G342" s="2">
        <f t="shared" si="30"/>
        <v>11.3</v>
      </c>
      <c r="H342" s="11" t="str">
        <f t="shared" si="31"/>
        <v>2.993E-2</v>
      </c>
      <c r="I342" s="2">
        <f t="shared" si="32"/>
        <v>44.3</v>
      </c>
      <c r="J342" s="4">
        <f t="shared" si="33"/>
        <v>11.3</v>
      </c>
      <c r="K342" s="9">
        <f t="shared" si="34"/>
        <v>-3.20000000000001</v>
      </c>
      <c r="L342" s="1">
        <f t="shared" si="35"/>
        <v>-4.49999999999999</v>
      </c>
    </row>
    <row r="343" spans="1:12">
      <c r="A343" s="2">
        <v>11.367</v>
      </c>
      <c r="B343" s="10" t="s">
        <v>488</v>
      </c>
      <c r="C343" s="4">
        <v>11.367</v>
      </c>
      <c r="D343" s="4">
        <v>44.1</v>
      </c>
      <c r="G343" s="2">
        <f t="shared" si="30"/>
        <v>11.334</v>
      </c>
      <c r="H343" s="11" t="str">
        <f t="shared" si="31"/>
        <v>2.994E-2</v>
      </c>
      <c r="I343" s="2">
        <f t="shared" si="32"/>
        <v>44.5</v>
      </c>
      <c r="J343" s="4">
        <f t="shared" si="33"/>
        <v>11.334</v>
      </c>
      <c r="K343" s="9">
        <f t="shared" si="34"/>
        <v>-3.09999999999998</v>
      </c>
      <c r="L343" s="1">
        <f t="shared" si="35"/>
        <v>-4.49999999999999</v>
      </c>
    </row>
    <row r="344" spans="1:12">
      <c r="A344" s="2">
        <v>11.4</v>
      </c>
      <c r="B344" s="10" t="s">
        <v>490</v>
      </c>
      <c r="C344" s="4">
        <v>11.4</v>
      </c>
      <c r="D344" s="4">
        <v>44.3</v>
      </c>
      <c r="G344" s="2">
        <f t="shared" si="30"/>
        <v>11.367</v>
      </c>
      <c r="H344" s="11" t="str">
        <f t="shared" si="31"/>
        <v>2.995E-2</v>
      </c>
      <c r="I344" s="2">
        <f t="shared" si="32"/>
        <v>44.1</v>
      </c>
      <c r="J344" s="4">
        <f t="shared" si="33"/>
        <v>11.367</v>
      </c>
      <c r="K344" s="9">
        <f t="shared" si="34"/>
        <v>-2.99999999999998</v>
      </c>
      <c r="L344" s="1">
        <f t="shared" si="35"/>
        <v>-4.49999999999999</v>
      </c>
    </row>
    <row r="345" spans="1:12">
      <c r="A345" s="2">
        <v>11.434</v>
      </c>
      <c r="B345" s="10" t="s">
        <v>492</v>
      </c>
      <c r="C345" s="4">
        <v>11.434</v>
      </c>
      <c r="D345" s="4">
        <v>44.8</v>
      </c>
      <c r="G345" s="2">
        <f t="shared" si="30"/>
        <v>11.4</v>
      </c>
      <c r="H345" s="11" t="str">
        <f t="shared" si="31"/>
        <v>2.998E-2</v>
      </c>
      <c r="I345" s="2">
        <f t="shared" si="32"/>
        <v>44.3</v>
      </c>
      <c r="J345" s="4">
        <f t="shared" si="33"/>
        <v>11.4</v>
      </c>
      <c r="K345" s="9">
        <f t="shared" si="34"/>
        <v>-2.69999999999999</v>
      </c>
      <c r="L345" s="1">
        <f t="shared" si="35"/>
        <v>-4.49999999999999</v>
      </c>
    </row>
    <row r="346" spans="1:12">
      <c r="A346" s="2">
        <v>11.467</v>
      </c>
      <c r="B346" s="10" t="s">
        <v>504</v>
      </c>
      <c r="C346" s="4">
        <v>11.467</v>
      </c>
      <c r="D346" s="4">
        <v>43.8</v>
      </c>
      <c r="G346" s="2">
        <f t="shared" si="30"/>
        <v>11.434</v>
      </c>
      <c r="H346" s="11" t="str">
        <f t="shared" si="31"/>
        <v>3.000E-2</v>
      </c>
      <c r="I346" s="2">
        <f t="shared" si="32"/>
        <v>44.8</v>
      </c>
      <c r="J346" s="4">
        <f t="shared" si="33"/>
        <v>11.434</v>
      </c>
      <c r="K346" s="9">
        <f t="shared" si="34"/>
        <v>-2.5</v>
      </c>
      <c r="L346" s="1">
        <f t="shared" si="35"/>
        <v>-4.49999999999999</v>
      </c>
    </row>
    <row r="347" spans="1:12">
      <c r="A347" s="2">
        <v>11.501</v>
      </c>
      <c r="B347" s="10" t="s">
        <v>576</v>
      </c>
      <c r="C347" s="4">
        <v>11.501</v>
      </c>
      <c r="D347" s="4">
        <v>44.8</v>
      </c>
      <c r="G347" s="2">
        <f t="shared" si="30"/>
        <v>11.467</v>
      </c>
      <c r="H347" s="11" t="str">
        <f t="shared" si="31"/>
        <v>3.002E-2</v>
      </c>
      <c r="I347" s="2">
        <f t="shared" si="32"/>
        <v>43.8</v>
      </c>
      <c r="J347" s="4">
        <f t="shared" si="33"/>
        <v>11.467</v>
      </c>
      <c r="K347" s="9">
        <f t="shared" si="34"/>
        <v>-2.29999999999998</v>
      </c>
      <c r="L347" s="1">
        <f t="shared" si="35"/>
        <v>-4.49999999999999</v>
      </c>
    </row>
    <row r="348" spans="1:12">
      <c r="A348" s="2">
        <v>11.534</v>
      </c>
      <c r="B348" s="10" t="s">
        <v>560</v>
      </c>
      <c r="C348" s="4">
        <v>11.534</v>
      </c>
      <c r="D348" s="4">
        <v>44.1</v>
      </c>
      <c r="G348" s="2">
        <f t="shared" si="30"/>
        <v>11.501</v>
      </c>
      <c r="H348" s="11" t="str">
        <f t="shared" si="31"/>
        <v>3.005E-2</v>
      </c>
      <c r="I348" s="2">
        <f t="shared" si="32"/>
        <v>44.8</v>
      </c>
      <c r="J348" s="4">
        <f t="shared" si="33"/>
        <v>11.501</v>
      </c>
      <c r="K348" s="9">
        <f t="shared" si="34"/>
        <v>-1.99999999999999</v>
      </c>
      <c r="L348" s="1">
        <f t="shared" si="35"/>
        <v>-4.49999999999999</v>
      </c>
    </row>
    <row r="349" spans="1:12">
      <c r="A349" s="2">
        <v>11.568</v>
      </c>
      <c r="B349" s="10" t="s">
        <v>569</v>
      </c>
      <c r="C349" s="4">
        <v>11.568</v>
      </c>
      <c r="D349" s="4">
        <v>44.7</v>
      </c>
      <c r="G349" s="2">
        <f t="shared" si="30"/>
        <v>11.534</v>
      </c>
      <c r="H349" s="11" t="str">
        <f t="shared" si="31"/>
        <v>3.006E-2</v>
      </c>
      <c r="I349" s="2">
        <f t="shared" si="32"/>
        <v>44.1</v>
      </c>
      <c r="J349" s="4">
        <f t="shared" si="33"/>
        <v>11.534</v>
      </c>
      <c r="K349" s="9">
        <f t="shared" si="34"/>
        <v>-1.89999999999999</v>
      </c>
      <c r="L349" s="1">
        <f t="shared" si="35"/>
        <v>-4.49999999999999</v>
      </c>
    </row>
    <row r="350" spans="1:12">
      <c r="A350" s="2">
        <v>11.601</v>
      </c>
      <c r="B350" s="10" t="s">
        <v>564</v>
      </c>
      <c r="C350" s="4">
        <v>11.601</v>
      </c>
      <c r="D350" s="4">
        <v>44</v>
      </c>
      <c r="G350" s="2">
        <f t="shared" si="30"/>
        <v>11.568</v>
      </c>
      <c r="H350" s="11" t="str">
        <f t="shared" si="31"/>
        <v>3.010E-2</v>
      </c>
      <c r="I350" s="2">
        <f t="shared" si="32"/>
        <v>44.7</v>
      </c>
      <c r="J350" s="4">
        <f t="shared" si="33"/>
        <v>11.568</v>
      </c>
      <c r="K350" s="9">
        <f t="shared" si="34"/>
        <v>-1.50000000000001</v>
      </c>
      <c r="L350" s="1">
        <f t="shared" si="35"/>
        <v>-4.49999999999999</v>
      </c>
    </row>
    <row r="351" spans="1:12">
      <c r="A351" s="2">
        <v>11.635</v>
      </c>
      <c r="B351" s="10" t="s">
        <v>544</v>
      </c>
      <c r="C351" s="4">
        <v>11.635</v>
      </c>
      <c r="D351" s="4">
        <v>44</v>
      </c>
      <c r="G351" s="2">
        <f t="shared" si="30"/>
        <v>11.601</v>
      </c>
      <c r="H351" s="11" t="str">
        <f t="shared" si="31"/>
        <v>3.018E-2</v>
      </c>
      <c r="I351" s="2">
        <f t="shared" si="32"/>
        <v>44</v>
      </c>
      <c r="J351" s="4">
        <f t="shared" si="33"/>
        <v>11.601</v>
      </c>
      <c r="K351" s="9">
        <f t="shared" si="34"/>
        <v>-0.700000000000006</v>
      </c>
      <c r="L351" s="1">
        <f t="shared" si="35"/>
        <v>-4.49999999999999</v>
      </c>
    </row>
    <row r="352" spans="1:12">
      <c r="A352" s="2">
        <v>11.668</v>
      </c>
      <c r="B352" s="10" t="s">
        <v>543</v>
      </c>
      <c r="C352" s="4">
        <v>11.668</v>
      </c>
      <c r="D352" s="4">
        <v>44.3</v>
      </c>
      <c r="G352" s="2">
        <f t="shared" si="30"/>
        <v>11.635</v>
      </c>
      <c r="H352" s="11" t="str">
        <f t="shared" si="31"/>
        <v>3.024E-2</v>
      </c>
      <c r="I352" s="2">
        <f t="shared" si="32"/>
        <v>44</v>
      </c>
      <c r="J352" s="4">
        <f t="shared" si="33"/>
        <v>11.635</v>
      </c>
      <c r="K352" s="9">
        <f t="shared" si="34"/>
        <v>-0.0999999999999959</v>
      </c>
      <c r="L352" s="1">
        <f t="shared" si="35"/>
        <v>-4.49999999999999</v>
      </c>
    </row>
    <row r="353" spans="1:12">
      <c r="A353" s="2">
        <v>11.701</v>
      </c>
      <c r="B353" s="10" t="s">
        <v>573</v>
      </c>
      <c r="C353" s="4">
        <v>11.701</v>
      </c>
      <c r="D353" s="4">
        <v>44.2</v>
      </c>
      <c r="G353" s="2">
        <f t="shared" si="30"/>
        <v>11.668</v>
      </c>
      <c r="H353" s="11" t="str">
        <f t="shared" si="31"/>
        <v>3.028E-2</v>
      </c>
      <c r="I353" s="2">
        <f t="shared" si="32"/>
        <v>44.3</v>
      </c>
      <c r="J353" s="4">
        <f t="shared" si="33"/>
        <v>11.668</v>
      </c>
      <c r="K353" s="9">
        <f t="shared" si="34"/>
        <v>0.300000000000022</v>
      </c>
      <c r="L353" s="1">
        <f t="shared" si="35"/>
        <v>-4.49999999999999</v>
      </c>
    </row>
    <row r="354" spans="1:12">
      <c r="A354" s="2">
        <v>11.735</v>
      </c>
      <c r="B354" s="10" t="s">
        <v>548</v>
      </c>
      <c r="C354" s="4">
        <v>11.735</v>
      </c>
      <c r="D354" s="4">
        <v>44.3</v>
      </c>
      <c r="G354" s="2">
        <f t="shared" si="30"/>
        <v>11.701</v>
      </c>
      <c r="H354" s="11" t="str">
        <f t="shared" si="31"/>
        <v>3.031E-2</v>
      </c>
      <c r="I354" s="2">
        <f t="shared" si="32"/>
        <v>44.2</v>
      </c>
      <c r="J354" s="4">
        <f t="shared" si="33"/>
        <v>11.701</v>
      </c>
      <c r="K354" s="9">
        <f t="shared" si="34"/>
        <v>0.60000000000001</v>
      </c>
      <c r="L354" s="1">
        <f t="shared" si="35"/>
        <v>-4.49999999999999</v>
      </c>
    </row>
    <row r="355" spans="1:12">
      <c r="A355" s="2">
        <v>11.768</v>
      </c>
      <c r="B355" s="10" t="s">
        <v>548</v>
      </c>
      <c r="C355" s="4">
        <v>11.768</v>
      </c>
      <c r="D355" s="4">
        <v>44.9</v>
      </c>
      <c r="G355" s="2">
        <f t="shared" si="30"/>
        <v>11.735</v>
      </c>
      <c r="H355" s="11" t="str">
        <f t="shared" si="31"/>
        <v>3.032E-2</v>
      </c>
      <c r="I355" s="2">
        <f t="shared" si="32"/>
        <v>44.3</v>
      </c>
      <c r="J355" s="4">
        <f t="shared" si="33"/>
        <v>11.735</v>
      </c>
      <c r="K355" s="9">
        <f t="shared" si="34"/>
        <v>0.700000000000006</v>
      </c>
      <c r="L355" s="1">
        <f t="shared" si="35"/>
        <v>-4.49999999999999</v>
      </c>
    </row>
    <row r="356" spans="1:12">
      <c r="A356" s="2">
        <v>11.802</v>
      </c>
      <c r="B356" s="10" t="s">
        <v>554</v>
      </c>
      <c r="C356" s="4">
        <v>11.802</v>
      </c>
      <c r="D356" s="4">
        <v>44.2</v>
      </c>
      <c r="G356" s="2">
        <f t="shared" si="30"/>
        <v>11.768</v>
      </c>
      <c r="H356" s="11" t="str">
        <f t="shared" si="31"/>
        <v>3.032E-2</v>
      </c>
      <c r="I356" s="2">
        <f t="shared" si="32"/>
        <v>44.9</v>
      </c>
      <c r="J356" s="4">
        <f t="shared" si="33"/>
        <v>11.768</v>
      </c>
      <c r="K356" s="9">
        <f t="shared" si="34"/>
        <v>0.700000000000006</v>
      </c>
      <c r="L356" s="1">
        <f t="shared" si="35"/>
        <v>-4.49999999999999</v>
      </c>
    </row>
    <row r="357" spans="1:12">
      <c r="A357" s="2">
        <v>11.835</v>
      </c>
      <c r="B357" s="10" t="s">
        <v>554</v>
      </c>
      <c r="C357" s="4">
        <v>11.835</v>
      </c>
      <c r="D357" s="4">
        <v>44.5</v>
      </c>
      <c r="G357" s="2">
        <f t="shared" si="30"/>
        <v>11.802</v>
      </c>
      <c r="H357" s="11" t="str">
        <f t="shared" si="31"/>
        <v>3.033E-2</v>
      </c>
      <c r="I357" s="2">
        <f t="shared" si="32"/>
        <v>44.2</v>
      </c>
      <c r="J357" s="4">
        <f t="shared" si="33"/>
        <v>11.802</v>
      </c>
      <c r="K357" s="9">
        <f t="shared" si="34"/>
        <v>0.800000000000002</v>
      </c>
      <c r="L357" s="1">
        <f t="shared" si="35"/>
        <v>-4.49999999999999</v>
      </c>
    </row>
    <row r="358" spans="1:12">
      <c r="A358" s="2">
        <v>11.869</v>
      </c>
      <c r="B358" s="10" t="s">
        <v>548</v>
      </c>
      <c r="C358" s="4">
        <v>11.869</v>
      </c>
      <c r="D358" s="4">
        <v>44.3</v>
      </c>
      <c r="G358" s="2">
        <f t="shared" si="30"/>
        <v>11.835</v>
      </c>
      <c r="H358" s="11" t="str">
        <f t="shared" si="31"/>
        <v>3.033E-2</v>
      </c>
      <c r="I358" s="2">
        <f t="shared" si="32"/>
        <v>44.5</v>
      </c>
      <c r="J358" s="4">
        <f t="shared" si="33"/>
        <v>11.835</v>
      </c>
      <c r="K358" s="9">
        <f t="shared" si="34"/>
        <v>0.800000000000002</v>
      </c>
      <c r="L358" s="1">
        <f t="shared" si="35"/>
        <v>-4.49999999999999</v>
      </c>
    </row>
    <row r="359" spans="1:12">
      <c r="A359" s="2">
        <v>11.902</v>
      </c>
      <c r="B359" s="10" t="s">
        <v>573</v>
      </c>
      <c r="C359" s="4">
        <v>11.902</v>
      </c>
      <c r="D359" s="4">
        <v>44.2</v>
      </c>
      <c r="G359" s="2">
        <f t="shared" si="30"/>
        <v>11.869</v>
      </c>
      <c r="H359" s="11" t="str">
        <f t="shared" si="31"/>
        <v>3.032E-2</v>
      </c>
      <c r="I359" s="2">
        <f t="shared" si="32"/>
        <v>44.3</v>
      </c>
      <c r="J359" s="4">
        <f t="shared" si="33"/>
        <v>11.869</v>
      </c>
      <c r="K359" s="9">
        <f t="shared" si="34"/>
        <v>0.700000000000006</v>
      </c>
      <c r="L359" s="1">
        <f t="shared" si="35"/>
        <v>-4.49999999999999</v>
      </c>
    </row>
    <row r="360" spans="1:12">
      <c r="A360" s="2">
        <v>11.935</v>
      </c>
      <c r="B360" s="10" t="s">
        <v>547</v>
      </c>
      <c r="C360" s="4">
        <v>11.935</v>
      </c>
      <c r="D360" s="4">
        <v>44.4</v>
      </c>
      <c r="G360" s="2">
        <f t="shared" si="30"/>
        <v>11.902</v>
      </c>
      <c r="H360" s="11" t="str">
        <f t="shared" si="31"/>
        <v>3.031E-2</v>
      </c>
      <c r="I360" s="2">
        <f t="shared" si="32"/>
        <v>44.2</v>
      </c>
      <c r="J360" s="4">
        <f t="shared" si="33"/>
        <v>11.902</v>
      </c>
      <c r="K360" s="9">
        <f t="shared" si="34"/>
        <v>0.60000000000001</v>
      </c>
      <c r="L360" s="1">
        <f t="shared" si="35"/>
        <v>-4.49999999999999</v>
      </c>
    </row>
    <row r="361" spans="1:12">
      <c r="A361" s="2">
        <v>11.969</v>
      </c>
      <c r="B361" s="10" t="s">
        <v>543</v>
      </c>
      <c r="C361" s="4">
        <v>11.969</v>
      </c>
      <c r="D361" s="4">
        <v>44.4</v>
      </c>
      <c r="G361" s="2">
        <f t="shared" si="30"/>
        <v>11.935</v>
      </c>
      <c r="H361" s="11" t="str">
        <f t="shared" si="31"/>
        <v>3.030E-2</v>
      </c>
      <c r="I361" s="2">
        <f t="shared" si="32"/>
        <v>44.4</v>
      </c>
      <c r="J361" s="4">
        <f t="shared" si="33"/>
        <v>11.935</v>
      </c>
      <c r="K361" s="9">
        <f t="shared" si="34"/>
        <v>0.500000000000014</v>
      </c>
      <c r="L361" s="1">
        <f t="shared" si="35"/>
        <v>-4.49999999999999</v>
      </c>
    </row>
    <row r="362" spans="1:12">
      <c r="A362" s="2">
        <v>12.002</v>
      </c>
      <c r="B362" s="10" t="s">
        <v>542</v>
      </c>
      <c r="C362" s="4">
        <v>12.002</v>
      </c>
      <c r="D362" s="4">
        <v>44.1</v>
      </c>
      <c r="G362" s="2">
        <f t="shared" ref="G362:G383" si="36">A361</f>
        <v>11.969</v>
      </c>
      <c r="H362" s="11" t="str">
        <f t="shared" ref="H362:H383" si="37">B361</f>
        <v>3.028E-2</v>
      </c>
      <c r="I362" s="2">
        <f t="shared" ref="I362:I383" si="38">D361</f>
        <v>44.4</v>
      </c>
      <c r="J362" s="4">
        <f t="shared" ref="J362:J383" si="39">G362</f>
        <v>11.969</v>
      </c>
      <c r="K362" s="9">
        <f t="shared" ref="K362:K383" si="40">(H362-$H$4)*10000</f>
        <v>0.300000000000022</v>
      </c>
      <c r="L362" s="1">
        <f t="shared" ref="L362:L383" si="41">IF(I362&lt;230,MIN(K:K),MAX(K:K))</f>
        <v>-4.49999999999999</v>
      </c>
    </row>
    <row r="363" spans="1:12">
      <c r="A363" s="2">
        <v>12.036</v>
      </c>
      <c r="B363" s="10" t="s">
        <v>541</v>
      </c>
      <c r="C363" s="4">
        <v>12.036</v>
      </c>
      <c r="D363" s="4">
        <v>44.9</v>
      </c>
      <c r="G363" s="2">
        <f t="shared" si="36"/>
        <v>12.002</v>
      </c>
      <c r="H363" s="11" t="str">
        <f t="shared" si="37"/>
        <v>3.027E-2</v>
      </c>
      <c r="I363" s="2">
        <f t="shared" si="38"/>
        <v>44.1</v>
      </c>
      <c r="J363" s="4">
        <f t="shared" si="39"/>
        <v>12.002</v>
      </c>
      <c r="K363" s="9">
        <f t="shared" si="40"/>
        <v>0.199999999999992</v>
      </c>
      <c r="L363" s="1">
        <f t="shared" si="41"/>
        <v>-4.49999999999999</v>
      </c>
    </row>
    <row r="364" spans="1:12">
      <c r="A364" s="2">
        <v>12.069</v>
      </c>
      <c r="B364" s="10" t="s">
        <v>545</v>
      </c>
      <c r="C364" s="4">
        <v>12.069</v>
      </c>
      <c r="D364" s="4">
        <v>44.1</v>
      </c>
      <c r="G364" s="2">
        <f t="shared" si="36"/>
        <v>12.036</v>
      </c>
      <c r="H364" s="11" t="str">
        <f t="shared" si="37"/>
        <v>3.026E-2</v>
      </c>
      <c r="I364" s="2">
        <f t="shared" si="38"/>
        <v>44.9</v>
      </c>
      <c r="J364" s="4">
        <f t="shared" si="39"/>
        <v>12.036</v>
      </c>
      <c r="K364" s="9">
        <f t="shared" si="40"/>
        <v>0.0999999999999959</v>
      </c>
      <c r="L364" s="1">
        <f t="shared" si="41"/>
        <v>-4.49999999999999</v>
      </c>
    </row>
    <row r="365" spans="1:12">
      <c r="A365" s="2">
        <v>12.103</v>
      </c>
      <c r="B365" s="10" t="s">
        <v>546</v>
      </c>
      <c r="C365" s="4">
        <v>12.103</v>
      </c>
      <c r="D365" s="4">
        <v>44.8</v>
      </c>
      <c r="G365" s="2">
        <f t="shared" si="36"/>
        <v>12.069</v>
      </c>
      <c r="H365" s="11" t="str">
        <f t="shared" si="37"/>
        <v>3.023E-2</v>
      </c>
      <c r="I365" s="2">
        <f t="shared" si="38"/>
        <v>44.1</v>
      </c>
      <c r="J365" s="4">
        <f t="shared" si="39"/>
        <v>12.069</v>
      </c>
      <c r="K365" s="9">
        <f t="shared" si="40"/>
        <v>-0.199999999999992</v>
      </c>
      <c r="L365" s="1">
        <f t="shared" si="41"/>
        <v>-4.49999999999999</v>
      </c>
    </row>
    <row r="366" spans="1:12">
      <c r="A366" s="2">
        <v>12.136</v>
      </c>
      <c r="B366" s="10" t="s">
        <v>556</v>
      </c>
      <c r="C366" s="4">
        <v>12.136</v>
      </c>
      <c r="D366" s="4">
        <v>44</v>
      </c>
      <c r="G366" s="2">
        <f t="shared" si="36"/>
        <v>12.103</v>
      </c>
      <c r="H366" s="11" t="str">
        <f t="shared" si="37"/>
        <v>3.022E-2</v>
      </c>
      <c r="I366" s="2">
        <f t="shared" si="38"/>
        <v>44.8</v>
      </c>
      <c r="J366" s="4">
        <f t="shared" si="39"/>
        <v>12.103</v>
      </c>
      <c r="K366" s="9">
        <f t="shared" si="40"/>
        <v>-0.299999999999988</v>
      </c>
      <c r="L366" s="1">
        <f t="shared" si="41"/>
        <v>-4.49999999999999</v>
      </c>
    </row>
    <row r="367" spans="1:12">
      <c r="A367" s="2">
        <v>12.169</v>
      </c>
      <c r="B367" s="10" t="s">
        <v>563</v>
      </c>
      <c r="C367" s="4">
        <v>12.169</v>
      </c>
      <c r="D367" s="4">
        <v>44.3</v>
      </c>
      <c r="G367" s="2">
        <f t="shared" si="36"/>
        <v>12.136</v>
      </c>
      <c r="H367" s="11" t="str">
        <f t="shared" si="37"/>
        <v>3.020E-2</v>
      </c>
      <c r="I367" s="2">
        <f t="shared" si="38"/>
        <v>44</v>
      </c>
      <c r="J367" s="4">
        <f t="shared" si="39"/>
        <v>12.136</v>
      </c>
      <c r="K367" s="9">
        <f t="shared" si="40"/>
        <v>-0.49999999999998</v>
      </c>
      <c r="L367" s="1">
        <f t="shared" si="41"/>
        <v>-4.49999999999999</v>
      </c>
    </row>
    <row r="368" spans="1:12">
      <c r="A368" s="2">
        <v>12.203</v>
      </c>
      <c r="B368" s="10" t="s">
        <v>564</v>
      </c>
      <c r="C368" s="4">
        <v>12.203</v>
      </c>
      <c r="D368" s="4">
        <v>44.4</v>
      </c>
      <c r="G368" s="2">
        <f t="shared" si="36"/>
        <v>12.169</v>
      </c>
      <c r="H368" s="11" t="str">
        <f t="shared" si="37"/>
        <v>3.019E-2</v>
      </c>
      <c r="I368" s="2">
        <f t="shared" si="38"/>
        <v>44.3</v>
      </c>
      <c r="J368" s="4">
        <f t="shared" si="39"/>
        <v>12.169</v>
      </c>
      <c r="K368" s="9">
        <f t="shared" si="40"/>
        <v>-0.599999999999976</v>
      </c>
      <c r="L368" s="1">
        <f t="shared" si="41"/>
        <v>-4.49999999999999</v>
      </c>
    </row>
    <row r="369" spans="1:12">
      <c r="A369" s="2">
        <v>12.236</v>
      </c>
      <c r="B369" s="10" t="s">
        <v>565</v>
      </c>
      <c r="C369" s="4">
        <v>12.236</v>
      </c>
      <c r="D369" s="4">
        <v>44.2</v>
      </c>
      <c r="G369" s="2">
        <f t="shared" si="36"/>
        <v>12.203</v>
      </c>
      <c r="H369" s="11" t="str">
        <f t="shared" si="37"/>
        <v>3.018E-2</v>
      </c>
      <c r="I369" s="2">
        <f t="shared" si="38"/>
        <v>44.4</v>
      </c>
      <c r="J369" s="4">
        <f t="shared" si="39"/>
        <v>12.203</v>
      </c>
      <c r="K369" s="9">
        <f t="shared" si="40"/>
        <v>-0.700000000000006</v>
      </c>
      <c r="L369" s="1">
        <f t="shared" si="41"/>
        <v>-4.49999999999999</v>
      </c>
    </row>
    <row r="370" spans="1:12">
      <c r="A370" s="2">
        <v>12.27</v>
      </c>
      <c r="B370" s="10" t="s">
        <v>558</v>
      </c>
      <c r="C370" s="4">
        <v>12.27</v>
      </c>
      <c r="D370" s="4">
        <v>44.2</v>
      </c>
      <c r="G370" s="2">
        <f t="shared" si="36"/>
        <v>12.236</v>
      </c>
      <c r="H370" s="11" t="str">
        <f t="shared" si="37"/>
        <v>3.016E-2</v>
      </c>
      <c r="I370" s="2">
        <f t="shared" si="38"/>
        <v>44.2</v>
      </c>
      <c r="J370" s="4">
        <f t="shared" si="39"/>
        <v>12.236</v>
      </c>
      <c r="K370" s="9">
        <f t="shared" si="40"/>
        <v>-0.899999999999998</v>
      </c>
      <c r="L370" s="1">
        <f t="shared" si="41"/>
        <v>-4.49999999999999</v>
      </c>
    </row>
    <row r="371" spans="1:12">
      <c r="A371" s="2">
        <v>12.303</v>
      </c>
      <c r="B371" s="10" t="s">
        <v>577</v>
      </c>
      <c r="C371" s="4">
        <v>12.303</v>
      </c>
      <c r="D371" s="4">
        <v>44.9</v>
      </c>
      <c r="G371" s="2">
        <f t="shared" si="36"/>
        <v>12.27</v>
      </c>
      <c r="H371" s="11" t="str">
        <f t="shared" si="37"/>
        <v>3.013E-2</v>
      </c>
      <c r="I371" s="2">
        <f t="shared" si="38"/>
        <v>44.2</v>
      </c>
      <c r="J371" s="4">
        <f t="shared" si="39"/>
        <v>12.27</v>
      </c>
      <c r="K371" s="9">
        <f t="shared" si="40"/>
        <v>-1.19999999999999</v>
      </c>
      <c r="L371" s="1">
        <f t="shared" si="41"/>
        <v>-4.49999999999999</v>
      </c>
    </row>
    <row r="372" spans="1:12">
      <c r="A372" s="2">
        <v>12.337</v>
      </c>
      <c r="B372" s="10" t="s">
        <v>559</v>
      </c>
      <c r="C372" s="4">
        <v>12.337</v>
      </c>
      <c r="D372" s="4">
        <v>44.4</v>
      </c>
      <c r="G372" s="2">
        <f t="shared" si="36"/>
        <v>12.303</v>
      </c>
      <c r="H372" s="11" t="str">
        <f t="shared" si="37"/>
        <v>3.012E-2</v>
      </c>
      <c r="I372" s="2">
        <f t="shared" si="38"/>
        <v>44.9</v>
      </c>
      <c r="J372" s="4">
        <f t="shared" si="39"/>
        <v>12.303</v>
      </c>
      <c r="K372" s="9">
        <f t="shared" si="40"/>
        <v>-1.29999999999998</v>
      </c>
      <c r="L372" s="1">
        <f t="shared" si="41"/>
        <v>-4.49999999999999</v>
      </c>
    </row>
    <row r="373" spans="1:12">
      <c r="A373" s="2">
        <v>12.37</v>
      </c>
      <c r="B373" s="10" t="s">
        <v>561</v>
      </c>
      <c r="C373" s="4">
        <v>12.37</v>
      </c>
      <c r="D373" s="4">
        <v>44.2</v>
      </c>
      <c r="G373" s="2">
        <f t="shared" si="36"/>
        <v>12.337</v>
      </c>
      <c r="H373" s="11" t="str">
        <f t="shared" si="37"/>
        <v>3.011E-2</v>
      </c>
      <c r="I373" s="2">
        <f t="shared" si="38"/>
        <v>44.4</v>
      </c>
      <c r="J373" s="4">
        <f t="shared" si="39"/>
        <v>12.337</v>
      </c>
      <c r="K373" s="9">
        <f t="shared" si="40"/>
        <v>-1.39999999999998</v>
      </c>
      <c r="L373" s="1">
        <f t="shared" si="41"/>
        <v>-4.49999999999999</v>
      </c>
    </row>
    <row r="374" spans="1:12">
      <c r="A374" s="2">
        <v>12.403</v>
      </c>
      <c r="B374" s="10" t="s">
        <v>492</v>
      </c>
      <c r="C374" s="4">
        <v>12.403</v>
      </c>
      <c r="D374" s="4">
        <v>44.6</v>
      </c>
      <c r="G374" s="2">
        <f t="shared" si="36"/>
        <v>12.37</v>
      </c>
      <c r="H374" s="11" t="str">
        <f t="shared" si="37"/>
        <v>3.009E-2</v>
      </c>
      <c r="I374" s="2">
        <f t="shared" si="38"/>
        <v>44.2</v>
      </c>
      <c r="J374" s="4">
        <f t="shared" si="39"/>
        <v>12.37</v>
      </c>
      <c r="K374" s="9">
        <f t="shared" si="40"/>
        <v>-1.6</v>
      </c>
      <c r="L374" s="1">
        <f t="shared" si="41"/>
        <v>-4.49999999999999</v>
      </c>
    </row>
    <row r="375" spans="1:12">
      <c r="A375" s="2">
        <v>12.437</v>
      </c>
      <c r="B375" s="10" t="s">
        <v>488</v>
      </c>
      <c r="C375" s="4">
        <v>12.437</v>
      </c>
      <c r="D375" s="4">
        <v>44</v>
      </c>
      <c r="G375" s="2">
        <f t="shared" si="36"/>
        <v>12.403</v>
      </c>
      <c r="H375" s="11" t="str">
        <f t="shared" si="37"/>
        <v>3.000E-2</v>
      </c>
      <c r="I375" s="2">
        <f t="shared" si="38"/>
        <v>44.6</v>
      </c>
      <c r="J375" s="4">
        <f t="shared" si="39"/>
        <v>12.403</v>
      </c>
      <c r="K375" s="9">
        <f t="shared" si="40"/>
        <v>-2.5</v>
      </c>
      <c r="L375" s="1">
        <f t="shared" si="41"/>
        <v>-4.49999999999999</v>
      </c>
    </row>
    <row r="376" spans="1:12">
      <c r="A376" s="2">
        <v>12.47</v>
      </c>
      <c r="B376" s="10" t="s">
        <v>487</v>
      </c>
      <c r="C376" s="4">
        <v>12.47</v>
      </c>
      <c r="D376" s="4">
        <v>44</v>
      </c>
      <c r="G376" s="2">
        <f t="shared" si="36"/>
        <v>12.437</v>
      </c>
      <c r="H376" s="11" t="str">
        <f t="shared" si="37"/>
        <v>2.995E-2</v>
      </c>
      <c r="I376" s="2">
        <f t="shared" si="38"/>
        <v>44</v>
      </c>
      <c r="J376" s="4">
        <f t="shared" si="39"/>
        <v>12.437</v>
      </c>
      <c r="K376" s="9">
        <f t="shared" si="40"/>
        <v>-2.99999999999998</v>
      </c>
      <c r="L376" s="1">
        <f t="shared" si="41"/>
        <v>-4.49999999999999</v>
      </c>
    </row>
    <row r="377" spans="1:12">
      <c r="A377" s="2">
        <v>12.504</v>
      </c>
      <c r="B377" s="10" t="s">
        <v>494</v>
      </c>
      <c r="C377" s="4">
        <v>12.504</v>
      </c>
      <c r="D377" s="4">
        <v>44.6</v>
      </c>
      <c r="G377" s="2">
        <f t="shared" si="36"/>
        <v>12.47</v>
      </c>
      <c r="H377" s="11" t="str">
        <f t="shared" si="37"/>
        <v>2.993E-2</v>
      </c>
      <c r="I377" s="2">
        <f t="shared" si="38"/>
        <v>44</v>
      </c>
      <c r="J377" s="4">
        <f t="shared" si="39"/>
        <v>12.47</v>
      </c>
      <c r="K377" s="9">
        <f t="shared" si="40"/>
        <v>-3.20000000000001</v>
      </c>
      <c r="L377" s="1">
        <f t="shared" si="41"/>
        <v>-4.49999999999999</v>
      </c>
    </row>
    <row r="378" spans="1:12">
      <c r="A378" s="2">
        <v>12.537</v>
      </c>
      <c r="B378" s="10" t="s">
        <v>486</v>
      </c>
      <c r="C378" s="4">
        <v>12.537</v>
      </c>
      <c r="D378" s="4">
        <v>44.7</v>
      </c>
      <c r="G378" s="2">
        <f t="shared" si="36"/>
        <v>12.504</v>
      </c>
      <c r="H378" s="11" t="str">
        <f t="shared" si="37"/>
        <v>2.990E-2</v>
      </c>
      <c r="I378" s="2">
        <f t="shared" si="38"/>
        <v>44.6</v>
      </c>
      <c r="J378" s="4">
        <f t="shared" si="39"/>
        <v>12.504</v>
      </c>
      <c r="K378" s="9">
        <f t="shared" si="40"/>
        <v>-3.5</v>
      </c>
      <c r="L378" s="1">
        <f t="shared" si="41"/>
        <v>-4.49999999999999</v>
      </c>
    </row>
    <row r="379" spans="1:12">
      <c r="A379" s="2">
        <v>12.571</v>
      </c>
      <c r="B379" s="10" t="s">
        <v>486</v>
      </c>
      <c r="C379" s="4">
        <v>12.571</v>
      </c>
      <c r="D379" s="4">
        <v>44.4</v>
      </c>
      <c r="G379" s="2">
        <f t="shared" si="36"/>
        <v>12.537</v>
      </c>
      <c r="H379" s="11" t="str">
        <f t="shared" si="37"/>
        <v>2.991E-2</v>
      </c>
      <c r="I379" s="2">
        <f t="shared" si="38"/>
        <v>44.7</v>
      </c>
      <c r="J379" s="4">
        <f t="shared" si="39"/>
        <v>12.537</v>
      </c>
      <c r="K379" s="9">
        <f t="shared" si="40"/>
        <v>-3.4</v>
      </c>
      <c r="L379" s="1">
        <f t="shared" si="41"/>
        <v>-4.49999999999999</v>
      </c>
    </row>
    <row r="380" spans="1:12">
      <c r="A380" s="2">
        <v>12.604</v>
      </c>
      <c r="B380" s="10" t="s">
        <v>485</v>
      </c>
      <c r="C380" s="4">
        <v>12.604</v>
      </c>
      <c r="D380" s="4">
        <v>44</v>
      </c>
      <c r="G380" s="2">
        <f t="shared" si="36"/>
        <v>12.571</v>
      </c>
      <c r="H380" s="11" t="str">
        <f t="shared" si="37"/>
        <v>2.991E-2</v>
      </c>
      <c r="I380" s="2">
        <f t="shared" si="38"/>
        <v>44.4</v>
      </c>
      <c r="J380" s="4">
        <f t="shared" si="39"/>
        <v>12.571</v>
      </c>
      <c r="K380" s="9">
        <f t="shared" si="40"/>
        <v>-3.4</v>
      </c>
      <c r="L380" s="1">
        <f t="shared" si="41"/>
        <v>-4.49999999999999</v>
      </c>
    </row>
    <row r="381" spans="1:12">
      <c r="A381" s="2">
        <v>12.638</v>
      </c>
      <c r="B381" s="10" t="s">
        <v>488</v>
      </c>
      <c r="C381" s="4">
        <v>12.638</v>
      </c>
      <c r="D381" s="4">
        <v>44.5</v>
      </c>
      <c r="G381" s="2">
        <f t="shared" si="36"/>
        <v>12.604</v>
      </c>
      <c r="H381" s="11" t="str">
        <f t="shared" si="37"/>
        <v>2.992E-2</v>
      </c>
      <c r="I381" s="2">
        <f t="shared" si="38"/>
        <v>44</v>
      </c>
      <c r="J381" s="4">
        <f t="shared" si="39"/>
        <v>12.604</v>
      </c>
      <c r="K381" s="9">
        <f t="shared" si="40"/>
        <v>-3.3</v>
      </c>
      <c r="L381" s="1">
        <f t="shared" si="41"/>
        <v>-4.49999999999999</v>
      </c>
    </row>
    <row r="382" spans="1:12">
      <c r="A382" s="2">
        <v>12.671</v>
      </c>
      <c r="B382" s="10" t="s">
        <v>493</v>
      </c>
      <c r="C382" s="4">
        <v>12.671</v>
      </c>
      <c r="D382" s="4">
        <v>44.3</v>
      </c>
      <c r="G382" s="2">
        <f t="shared" si="36"/>
        <v>12.638</v>
      </c>
      <c r="H382" s="11" t="str">
        <f t="shared" si="37"/>
        <v>2.995E-2</v>
      </c>
      <c r="I382" s="2">
        <f t="shared" si="38"/>
        <v>44.5</v>
      </c>
      <c r="J382" s="4">
        <f t="shared" si="39"/>
        <v>12.638</v>
      </c>
      <c r="K382" s="9">
        <f t="shared" si="40"/>
        <v>-2.99999999999998</v>
      </c>
      <c r="L382" s="1">
        <f t="shared" si="41"/>
        <v>-4.49999999999999</v>
      </c>
    </row>
    <row r="383" spans="1:12">
      <c r="A383" s="2">
        <v>12.704</v>
      </c>
      <c r="B383" s="10" t="s">
        <v>490</v>
      </c>
      <c r="C383" s="4">
        <v>12.704</v>
      </c>
      <c r="D383" s="4">
        <v>44.5</v>
      </c>
      <c r="G383" s="2">
        <f t="shared" si="36"/>
        <v>12.671</v>
      </c>
      <c r="H383" s="11" t="str">
        <f t="shared" si="37"/>
        <v>2.996E-2</v>
      </c>
      <c r="I383" s="2">
        <f t="shared" si="38"/>
        <v>44.3</v>
      </c>
      <c r="J383" s="4">
        <f t="shared" si="39"/>
        <v>12.671</v>
      </c>
      <c r="K383" s="9">
        <f t="shared" si="40"/>
        <v>-2.89999999999999</v>
      </c>
      <c r="L383" s="1">
        <f t="shared" si="41"/>
        <v>-4.49999999999999</v>
      </c>
    </row>
  </sheetData>
  <mergeCells count="2">
    <mergeCell ref="G1:I1"/>
    <mergeCell ref="J1:L1"/>
  </mergeCells>
  <conditionalFormatting sqref="C$1:C$1048576">
    <cfRule type="cellIs" dxfId="0" priority="7" operator="greaterThan">
      <formula>250</formula>
    </cfRule>
    <cfRule type="cellIs" dxfId="0" priority="5" operator="greaterThan">
      <formula>248</formula>
    </cfRule>
    <cfRule type="cellIs" dxfId="0" priority="4" operator="greaterThan">
      <formula>230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383">
    <cfRule type="cellIs" dxfId="0" priority="3" operator="greaterThan">
      <formula>250</formula>
    </cfRule>
    <cfRule type="cellIs" dxfId="0" priority="2" operator="greaterThan">
      <formula>248</formula>
    </cfRule>
    <cfRule type="cellIs" dxfId="0" priority="1" operator="greaterThan">
      <formula>230</formula>
    </cfRule>
  </conditionalFormatting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5"/>
  <sheetViews>
    <sheetView topLeftCell="C1" workbookViewId="0">
      <selection activeCell="V7" sqref="V7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4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578</v>
      </c>
      <c r="C3" s="4">
        <v>0</v>
      </c>
      <c r="D3" s="5">
        <v>45.3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578</v>
      </c>
      <c r="C4" s="4">
        <v>0.033</v>
      </c>
      <c r="D4" s="5">
        <v>45.8</v>
      </c>
      <c r="E4" s="4"/>
      <c r="F4" s="4"/>
      <c r="G4" s="2">
        <f t="shared" ref="G4:G67" si="0">A3</f>
        <v>0</v>
      </c>
      <c r="H4" s="11" t="str">
        <f t="shared" ref="H4:H67" si="1">B3</f>
        <v>3.252E-2</v>
      </c>
      <c r="I4" s="2">
        <f t="shared" ref="I4:I67" si="2">D3</f>
        <v>45.3</v>
      </c>
      <c r="J4" s="4">
        <f t="shared" ref="J4:J67" si="3">G4</f>
        <v>0</v>
      </c>
      <c r="K4" s="9">
        <f t="shared" ref="K4:K67" si="4">(H4-$H$4)*10000</f>
        <v>0</v>
      </c>
      <c r="L4" s="1">
        <f t="shared" ref="L4:L67" si="5">IF(I4&lt;230,MIN(K:K),MAX(K:K))</f>
        <v>-24.8</v>
      </c>
    </row>
    <row r="5" s="1" customFormat="1" spans="1:12">
      <c r="A5" s="2">
        <v>0.067</v>
      </c>
      <c r="B5" s="10" t="s">
        <v>579</v>
      </c>
      <c r="C5" s="4">
        <v>0.067</v>
      </c>
      <c r="D5" s="5">
        <v>45.5</v>
      </c>
      <c r="E5" s="4"/>
      <c r="F5" s="4"/>
      <c r="G5" s="2">
        <f t="shared" si="0"/>
        <v>0.033</v>
      </c>
      <c r="H5" s="11" t="str">
        <f t="shared" si="1"/>
        <v>3.252E-2</v>
      </c>
      <c r="I5" s="2">
        <f t="shared" si="2"/>
        <v>45.8</v>
      </c>
      <c r="J5" s="4">
        <f t="shared" si="3"/>
        <v>0.033</v>
      </c>
      <c r="K5" s="9">
        <f t="shared" si="4"/>
        <v>0</v>
      </c>
      <c r="L5" s="1">
        <f t="shared" si="5"/>
        <v>-24.8</v>
      </c>
    </row>
    <row r="6" s="1" customFormat="1" spans="1:12">
      <c r="A6" s="2">
        <v>0.1</v>
      </c>
      <c r="B6" s="10" t="s">
        <v>579</v>
      </c>
      <c r="C6" s="4">
        <v>0.1</v>
      </c>
      <c r="D6" s="5">
        <v>45.8</v>
      </c>
      <c r="E6" s="4"/>
      <c r="F6" s="4"/>
      <c r="G6" s="2">
        <f t="shared" si="0"/>
        <v>0.067</v>
      </c>
      <c r="H6" s="11" t="str">
        <f t="shared" si="1"/>
        <v>3.251E-2</v>
      </c>
      <c r="I6" s="2">
        <f t="shared" si="2"/>
        <v>45.5</v>
      </c>
      <c r="J6" s="4">
        <f t="shared" si="3"/>
        <v>0.067</v>
      </c>
      <c r="K6" s="9">
        <f t="shared" si="4"/>
        <v>-0.100000000000031</v>
      </c>
      <c r="L6" s="1">
        <f t="shared" si="5"/>
        <v>-24.8</v>
      </c>
    </row>
    <row r="7" s="1" customFormat="1" spans="1:12">
      <c r="A7" s="2">
        <v>0.134</v>
      </c>
      <c r="B7" s="10" t="s">
        <v>579</v>
      </c>
      <c r="C7" s="4">
        <v>0.134</v>
      </c>
      <c r="D7" s="5">
        <v>45.4</v>
      </c>
      <c r="E7" s="4"/>
      <c r="F7" s="4"/>
      <c r="G7" s="2">
        <f t="shared" si="0"/>
        <v>0.1</v>
      </c>
      <c r="H7" s="11" t="str">
        <f t="shared" si="1"/>
        <v>3.251E-2</v>
      </c>
      <c r="I7" s="2">
        <f t="shared" si="2"/>
        <v>45.8</v>
      </c>
      <c r="J7" s="4">
        <f t="shared" si="3"/>
        <v>0.1</v>
      </c>
      <c r="K7" s="9">
        <f t="shared" si="4"/>
        <v>-0.100000000000031</v>
      </c>
      <c r="L7" s="1">
        <f t="shared" si="5"/>
        <v>-24.8</v>
      </c>
    </row>
    <row r="8" s="1" customFormat="1" spans="1:12">
      <c r="A8" s="2">
        <v>0.167</v>
      </c>
      <c r="B8" s="10" t="s">
        <v>580</v>
      </c>
      <c r="C8" s="4">
        <v>0.167</v>
      </c>
      <c r="D8" s="5">
        <v>45</v>
      </c>
      <c r="E8" s="4"/>
      <c r="F8" s="4"/>
      <c r="G8" s="2">
        <f t="shared" si="0"/>
        <v>0.134</v>
      </c>
      <c r="H8" s="11" t="str">
        <f t="shared" si="1"/>
        <v>3.251E-2</v>
      </c>
      <c r="I8" s="2">
        <f t="shared" si="2"/>
        <v>45.4</v>
      </c>
      <c r="J8" s="4">
        <f t="shared" si="3"/>
        <v>0.134</v>
      </c>
      <c r="K8" s="9">
        <f t="shared" si="4"/>
        <v>-0.100000000000031</v>
      </c>
      <c r="L8" s="1">
        <f t="shared" si="5"/>
        <v>-24.8</v>
      </c>
    </row>
    <row r="9" s="1" customFormat="1" spans="1:12">
      <c r="A9" s="2">
        <v>0.2</v>
      </c>
      <c r="B9" s="10" t="s">
        <v>581</v>
      </c>
      <c r="C9" s="4">
        <v>0.2</v>
      </c>
      <c r="D9" s="5">
        <v>45.5</v>
      </c>
      <c r="E9" s="4"/>
      <c r="F9" s="4"/>
      <c r="G9" s="2">
        <f t="shared" si="0"/>
        <v>0.167</v>
      </c>
      <c r="H9" s="11" t="str">
        <f t="shared" si="1"/>
        <v>3.250E-2</v>
      </c>
      <c r="I9" s="2">
        <f t="shared" si="2"/>
        <v>45</v>
      </c>
      <c r="J9" s="4">
        <f t="shared" si="3"/>
        <v>0.167</v>
      </c>
      <c r="K9" s="9">
        <f t="shared" si="4"/>
        <v>-0.199999999999992</v>
      </c>
      <c r="L9" s="1">
        <f t="shared" si="5"/>
        <v>-24.8</v>
      </c>
    </row>
    <row r="10" s="1" customFormat="1" spans="1:12">
      <c r="A10" s="2">
        <v>0.234</v>
      </c>
      <c r="B10" s="10" t="s">
        <v>582</v>
      </c>
      <c r="C10" s="4">
        <v>0.234</v>
      </c>
      <c r="D10" s="5">
        <v>45.4</v>
      </c>
      <c r="E10" s="4"/>
      <c r="F10" s="4"/>
      <c r="G10" s="2">
        <f t="shared" si="0"/>
        <v>0.2</v>
      </c>
      <c r="H10" s="11" t="str">
        <f t="shared" si="1"/>
        <v>3.249E-2</v>
      </c>
      <c r="I10" s="2">
        <f t="shared" si="2"/>
        <v>45.5</v>
      </c>
      <c r="J10" s="4">
        <f t="shared" si="3"/>
        <v>0.2</v>
      </c>
      <c r="K10" s="9">
        <f t="shared" si="4"/>
        <v>-0.300000000000022</v>
      </c>
      <c r="L10" s="1">
        <f t="shared" si="5"/>
        <v>-24.8</v>
      </c>
    </row>
    <row r="11" s="1" customFormat="1" spans="1:12">
      <c r="A11" s="2">
        <v>0.267</v>
      </c>
      <c r="B11" s="10" t="s">
        <v>583</v>
      </c>
      <c r="C11" s="4">
        <v>0.267</v>
      </c>
      <c r="D11" s="5">
        <v>45.9</v>
      </c>
      <c r="E11" s="4"/>
      <c r="F11" s="4"/>
      <c r="G11" s="2">
        <f t="shared" si="0"/>
        <v>0.234</v>
      </c>
      <c r="H11" s="11" t="str">
        <f t="shared" si="1"/>
        <v>3.248E-2</v>
      </c>
      <c r="I11" s="2">
        <f t="shared" si="2"/>
        <v>45.4</v>
      </c>
      <c r="J11" s="4">
        <f t="shared" si="3"/>
        <v>0.234</v>
      </c>
      <c r="K11" s="9">
        <f t="shared" si="4"/>
        <v>-0.399999999999984</v>
      </c>
      <c r="L11" s="1">
        <f t="shared" si="5"/>
        <v>-24.8</v>
      </c>
    </row>
    <row r="12" s="1" customFormat="1" spans="1:12">
      <c r="A12" s="2">
        <v>0.301</v>
      </c>
      <c r="B12" s="10" t="s">
        <v>584</v>
      </c>
      <c r="C12" s="4">
        <v>0.301</v>
      </c>
      <c r="D12" s="5">
        <v>45.8</v>
      </c>
      <c r="E12" s="4"/>
      <c r="F12" s="4"/>
      <c r="G12" s="2">
        <f t="shared" si="0"/>
        <v>0.267</v>
      </c>
      <c r="H12" s="11" t="str">
        <f t="shared" si="1"/>
        <v>3.247E-2</v>
      </c>
      <c r="I12" s="2">
        <f t="shared" si="2"/>
        <v>45.9</v>
      </c>
      <c r="J12" s="4">
        <f t="shared" si="3"/>
        <v>0.267</v>
      </c>
      <c r="K12" s="9">
        <f t="shared" si="4"/>
        <v>-0.500000000000014</v>
      </c>
      <c r="L12" s="1">
        <f t="shared" si="5"/>
        <v>-24.8</v>
      </c>
    </row>
    <row r="13" s="1" customFormat="1" spans="1:12">
      <c r="A13" s="2">
        <v>0.334</v>
      </c>
      <c r="B13" s="10" t="s">
        <v>584</v>
      </c>
      <c r="C13" s="4">
        <v>0.334</v>
      </c>
      <c r="D13" s="5">
        <v>45.8</v>
      </c>
      <c r="E13" s="4"/>
      <c r="F13" s="4"/>
      <c r="G13" s="2">
        <f t="shared" si="0"/>
        <v>0.301</v>
      </c>
      <c r="H13" s="11" t="str">
        <f t="shared" si="1"/>
        <v>3.246E-2</v>
      </c>
      <c r="I13" s="2">
        <f t="shared" si="2"/>
        <v>45.8</v>
      </c>
      <c r="J13" s="4">
        <f t="shared" si="3"/>
        <v>0.301</v>
      </c>
      <c r="K13" s="9">
        <f t="shared" si="4"/>
        <v>-0.599999999999976</v>
      </c>
      <c r="L13" s="1">
        <f t="shared" si="5"/>
        <v>-24.8</v>
      </c>
    </row>
    <row r="14" s="1" customFormat="1" spans="1:12">
      <c r="A14" s="2">
        <v>0.367</v>
      </c>
      <c r="B14" s="10" t="s">
        <v>583</v>
      </c>
      <c r="C14" s="4">
        <v>0.367</v>
      </c>
      <c r="D14" s="5">
        <v>45.4</v>
      </c>
      <c r="E14" s="4"/>
      <c r="F14" s="4"/>
      <c r="G14" s="2">
        <f t="shared" si="0"/>
        <v>0.334</v>
      </c>
      <c r="H14" s="11" t="str">
        <f t="shared" si="1"/>
        <v>3.246E-2</v>
      </c>
      <c r="I14" s="2">
        <f t="shared" si="2"/>
        <v>45.8</v>
      </c>
      <c r="J14" s="4">
        <f t="shared" si="3"/>
        <v>0.334</v>
      </c>
      <c r="K14" s="9">
        <f t="shared" si="4"/>
        <v>-0.599999999999976</v>
      </c>
      <c r="L14" s="1">
        <f t="shared" si="5"/>
        <v>-24.8</v>
      </c>
    </row>
    <row r="15" s="1" customFormat="1" spans="1:12">
      <c r="A15" s="2">
        <v>0.401</v>
      </c>
      <c r="B15" s="10" t="s">
        <v>584</v>
      </c>
      <c r="C15" s="4">
        <v>0.401</v>
      </c>
      <c r="D15" s="5">
        <v>45.7</v>
      </c>
      <c r="E15" s="4"/>
      <c r="F15" s="4"/>
      <c r="G15" s="2">
        <f t="shared" si="0"/>
        <v>0.367</v>
      </c>
      <c r="H15" s="11" t="str">
        <f t="shared" si="1"/>
        <v>3.247E-2</v>
      </c>
      <c r="I15" s="2">
        <f t="shared" si="2"/>
        <v>45.4</v>
      </c>
      <c r="J15" s="4">
        <f t="shared" si="3"/>
        <v>0.367</v>
      </c>
      <c r="K15" s="9">
        <f t="shared" si="4"/>
        <v>-0.500000000000014</v>
      </c>
      <c r="L15" s="1">
        <f t="shared" si="5"/>
        <v>-24.8</v>
      </c>
    </row>
    <row r="16" s="1" customFormat="1" spans="1:12">
      <c r="A16" s="2">
        <v>0.434</v>
      </c>
      <c r="B16" s="10" t="s">
        <v>585</v>
      </c>
      <c r="C16" s="4">
        <v>0.434</v>
      </c>
      <c r="D16" s="5">
        <v>45.6</v>
      </c>
      <c r="E16" s="4"/>
      <c r="F16" s="4"/>
      <c r="G16" s="2">
        <f t="shared" si="0"/>
        <v>0.401</v>
      </c>
      <c r="H16" s="11" t="str">
        <f t="shared" si="1"/>
        <v>3.246E-2</v>
      </c>
      <c r="I16" s="2">
        <f t="shared" si="2"/>
        <v>45.7</v>
      </c>
      <c r="J16" s="4">
        <f t="shared" si="3"/>
        <v>0.401</v>
      </c>
      <c r="K16" s="9">
        <f t="shared" si="4"/>
        <v>-0.599999999999976</v>
      </c>
      <c r="L16" s="1">
        <f t="shared" si="5"/>
        <v>-24.8</v>
      </c>
    </row>
    <row r="17" s="1" customFormat="1" spans="1:12">
      <c r="A17" s="2">
        <v>0.468</v>
      </c>
      <c r="B17" s="10" t="s">
        <v>585</v>
      </c>
      <c r="C17" s="4">
        <v>0.468</v>
      </c>
      <c r="D17" s="5">
        <v>45.5</v>
      </c>
      <c r="E17" s="4"/>
      <c r="F17" s="4"/>
      <c r="G17" s="2">
        <f t="shared" si="0"/>
        <v>0.434</v>
      </c>
      <c r="H17" s="11" t="str">
        <f t="shared" si="1"/>
        <v>3.245E-2</v>
      </c>
      <c r="I17" s="2">
        <f t="shared" si="2"/>
        <v>45.6</v>
      </c>
      <c r="J17" s="4">
        <f t="shared" si="3"/>
        <v>0.434</v>
      </c>
      <c r="K17" s="9">
        <f t="shared" si="4"/>
        <v>-0.700000000000006</v>
      </c>
      <c r="L17" s="1">
        <f t="shared" si="5"/>
        <v>-24.8</v>
      </c>
    </row>
    <row r="18" s="1" customFormat="1" spans="1:12">
      <c r="A18" s="2">
        <v>0.501</v>
      </c>
      <c r="B18" s="10" t="s">
        <v>584</v>
      </c>
      <c r="C18" s="4">
        <v>0.501</v>
      </c>
      <c r="D18" s="5">
        <v>44.8</v>
      </c>
      <c r="E18" s="4"/>
      <c r="F18" s="4"/>
      <c r="G18" s="2">
        <f t="shared" si="0"/>
        <v>0.468</v>
      </c>
      <c r="H18" s="11" t="str">
        <f t="shared" si="1"/>
        <v>3.245E-2</v>
      </c>
      <c r="I18" s="2">
        <f t="shared" si="2"/>
        <v>45.5</v>
      </c>
      <c r="J18" s="4">
        <f t="shared" si="3"/>
        <v>0.468</v>
      </c>
      <c r="K18" s="9">
        <f t="shared" si="4"/>
        <v>-0.700000000000006</v>
      </c>
      <c r="L18" s="1">
        <f t="shared" si="5"/>
        <v>-24.8</v>
      </c>
    </row>
    <row r="19" s="1" customFormat="1" spans="1:12">
      <c r="A19" s="2">
        <v>0.535</v>
      </c>
      <c r="B19" s="10" t="s">
        <v>584</v>
      </c>
      <c r="C19" s="4">
        <v>0.535</v>
      </c>
      <c r="D19" s="5">
        <v>45.6</v>
      </c>
      <c r="E19" s="4"/>
      <c r="F19" s="4"/>
      <c r="G19" s="2">
        <f t="shared" si="0"/>
        <v>0.501</v>
      </c>
      <c r="H19" s="11" t="str">
        <f t="shared" si="1"/>
        <v>3.246E-2</v>
      </c>
      <c r="I19" s="2">
        <f t="shared" si="2"/>
        <v>44.8</v>
      </c>
      <c r="J19" s="4">
        <f t="shared" si="3"/>
        <v>0.501</v>
      </c>
      <c r="K19" s="9">
        <f t="shared" si="4"/>
        <v>-0.599999999999976</v>
      </c>
      <c r="L19" s="1">
        <f t="shared" si="5"/>
        <v>-24.8</v>
      </c>
    </row>
    <row r="20" s="1" customFormat="1" spans="1:12">
      <c r="A20" s="2">
        <v>0.568</v>
      </c>
      <c r="B20" s="10" t="s">
        <v>583</v>
      </c>
      <c r="C20" s="4">
        <v>0.568</v>
      </c>
      <c r="D20" s="5">
        <v>45.8</v>
      </c>
      <c r="E20" s="4"/>
      <c r="F20" s="4"/>
      <c r="G20" s="2">
        <f t="shared" si="0"/>
        <v>0.535</v>
      </c>
      <c r="H20" s="11" t="str">
        <f t="shared" si="1"/>
        <v>3.246E-2</v>
      </c>
      <c r="I20" s="2">
        <f t="shared" si="2"/>
        <v>45.6</v>
      </c>
      <c r="J20" s="4">
        <f t="shared" si="3"/>
        <v>0.535</v>
      </c>
      <c r="K20" s="9">
        <f t="shared" si="4"/>
        <v>-0.599999999999976</v>
      </c>
      <c r="L20" s="1">
        <f t="shared" si="5"/>
        <v>-24.8</v>
      </c>
    </row>
    <row r="21" s="1" customFormat="1" spans="1:12">
      <c r="A21" s="2">
        <v>0.601</v>
      </c>
      <c r="B21" s="10" t="s">
        <v>582</v>
      </c>
      <c r="C21" s="4">
        <v>0.601</v>
      </c>
      <c r="D21" s="5">
        <v>45.8</v>
      </c>
      <c r="E21" s="4"/>
      <c r="F21" s="4"/>
      <c r="G21" s="2">
        <f t="shared" si="0"/>
        <v>0.568</v>
      </c>
      <c r="H21" s="11" t="str">
        <f t="shared" si="1"/>
        <v>3.247E-2</v>
      </c>
      <c r="I21" s="2">
        <f t="shared" si="2"/>
        <v>45.8</v>
      </c>
      <c r="J21" s="4">
        <f t="shared" si="3"/>
        <v>0.568</v>
      </c>
      <c r="K21" s="9">
        <f t="shared" si="4"/>
        <v>-0.500000000000014</v>
      </c>
      <c r="L21" s="1">
        <f t="shared" si="5"/>
        <v>-24.8</v>
      </c>
    </row>
    <row r="22" s="1" customFormat="1" spans="1:12">
      <c r="A22" s="2">
        <v>0.635</v>
      </c>
      <c r="B22" s="10" t="s">
        <v>581</v>
      </c>
      <c r="C22" s="4">
        <v>0.635</v>
      </c>
      <c r="D22" s="5">
        <v>45.5</v>
      </c>
      <c r="E22" s="4"/>
      <c r="F22" s="4"/>
      <c r="G22" s="2">
        <f t="shared" si="0"/>
        <v>0.601</v>
      </c>
      <c r="H22" s="11" t="str">
        <f t="shared" si="1"/>
        <v>3.248E-2</v>
      </c>
      <c r="I22" s="2">
        <f t="shared" si="2"/>
        <v>45.8</v>
      </c>
      <c r="J22" s="4">
        <f t="shared" si="3"/>
        <v>0.601</v>
      </c>
      <c r="K22" s="9">
        <f t="shared" si="4"/>
        <v>-0.399999999999984</v>
      </c>
      <c r="L22" s="1">
        <f t="shared" si="5"/>
        <v>-24.8</v>
      </c>
    </row>
    <row r="23" s="1" customFormat="1" spans="1:12">
      <c r="A23" s="2">
        <v>0.668</v>
      </c>
      <c r="B23" s="10" t="s">
        <v>581</v>
      </c>
      <c r="C23" s="4">
        <v>0.668</v>
      </c>
      <c r="D23" s="5">
        <v>45.8</v>
      </c>
      <c r="E23" s="4"/>
      <c r="F23" s="4"/>
      <c r="G23" s="2">
        <f t="shared" si="0"/>
        <v>0.635</v>
      </c>
      <c r="H23" s="11" t="str">
        <f t="shared" si="1"/>
        <v>3.249E-2</v>
      </c>
      <c r="I23" s="2">
        <f t="shared" si="2"/>
        <v>45.5</v>
      </c>
      <c r="J23" s="4">
        <f t="shared" si="3"/>
        <v>0.635</v>
      </c>
      <c r="K23" s="9">
        <f t="shared" si="4"/>
        <v>-0.300000000000022</v>
      </c>
      <c r="L23" s="1">
        <f t="shared" si="5"/>
        <v>-24.8</v>
      </c>
    </row>
    <row r="24" s="1" customFormat="1" spans="1:12">
      <c r="A24" s="2">
        <v>0.702</v>
      </c>
      <c r="B24" s="10" t="s">
        <v>581</v>
      </c>
      <c r="C24" s="4">
        <v>0.702</v>
      </c>
      <c r="D24" s="5">
        <v>45.8</v>
      </c>
      <c r="E24" s="4"/>
      <c r="F24" s="4"/>
      <c r="G24" s="2">
        <f t="shared" si="0"/>
        <v>0.668</v>
      </c>
      <c r="H24" s="11" t="str">
        <f t="shared" si="1"/>
        <v>3.249E-2</v>
      </c>
      <c r="I24" s="2">
        <f t="shared" si="2"/>
        <v>45.8</v>
      </c>
      <c r="J24" s="4">
        <f t="shared" si="3"/>
        <v>0.668</v>
      </c>
      <c r="K24" s="9">
        <f t="shared" si="4"/>
        <v>-0.300000000000022</v>
      </c>
      <c r="L24" s="1">
        <f t="shared" si="5"/>
        <v>-24.8</v>
      </c>
    </row>
    <row r="25" s="1" customFormat="1" spans="1:12">
      <c r="A25" s="2">
        <v>0.735</v>
      </c>
      <c r="B25" s="10" t="s">
        <v>580</v>
      </c>
      <c r="C25" s="4">
        <v>0.735</v>
      </c>
      <c r="D25" s="5">
        <v>45.6</v>
      </c>
      <c r="E25" s="4"/>
      <c r="F25" s="4"/>
      <c r="G25" s="2">
        <f t="shared" si="0"/>
        <v>0.702</v>
      </c>
      <c r="H25" s="11" t="str">
        <f t="shared" si="1"/>
        <v>3.249E-2</v>
      </c>
      <c r="I25" s="2">
        <f t="shared" si="2"/>
        <v>45.8</v>
      </c>
      <c r="J25" s="4">
        <f t="shared" si="3"/>
        <v>0.702</v>
      </c>
      <c r="K25" s="9">
        <f t="shared" si="4"/>
        <v>-0.300000000000022</v>
      </c>
      <c r="L25" s="1">
        <f t="shared" si="5"/>
        <v>-24.8</v>
      </c>
    </row>
    <row r="26" s="1" customFormat="1" spans="1:12">
      <c r="A26" s="2">
        <v>0.768</v>
      </c>
      <c r="B26" s="10" t="s">
        <v>580</v>
      </c>
      <c r="C26" s="4">
        <v>0.768</v>
      </c>
      <c r="D26" s="5">
        <v>45.9</v>
      </c>
      <c r="E26" s="4"/>
      <c r="F26" s="4"/>
      <c r="G26" s="2">
        <f t="shared" si="0"/>
        <v>0.735</v>
      </c>
      <c r="H26" s="11" t="str">
        <f t="shared" si="1"/>
        <v>3.250E-2</v>
      </c>
      <c r="I26" s="2">
        <f t="shared" si="2"/>
        <v>45.6</v>
      </c>
      <c r="J26" s="4">
        <f t="shared" si="3"/>
        <v>0.735</v>
      </c>
      <c r="K26" s="9">
        <f t="shared" si="4"/>
        <v>-0.199999999999992</v>
      </c>
      <c r="L26" s="1">
        <f t="shared" si="5"/>
        <v>-24.8</v>
      </c>
    </row>
    <row r="27" s="1" customFormat="1" spans="1:12">
      <c r="A27" s="2">
        <v>0.802</v>
      </c>
      <c r="B27" s="10" t="s">
        <v>579</v>
      </c>
      <c r="C27" s="4">
        <v>0.802</v>
      </c>
      <c r="D27" s="5">
        <v>45.6</v>
      </c>
      <c r="E27" s="4"/>
      <c r="F27" s="4"/>
      <c r="G27" s="2">
        <f t="shared" si="0"/>
        <v>0.768</v>
      </c>
      <c r="H27" s="11" t="str">
        <f t="shared" si="1"/>
        <v>3.250E-2</v>
      </c>
      <c r="I27" s="2">
        <f t="shared" si="2"/>
        <v>45.9</v>
      </c>
      <c r="J27" s="4">
        <f t="shared" si="3"/>
        <v>0.768</v>
      </c>
      <c r="K27" s="9">
        <f t="shared" si="4"/>
        <v>-0.199999999999992</v>
      </c>
      <c r="L27" s="1">
        <f t="shared" si="5"/>
        <v>-24.8</v>
      </c>
    </row>
    <row r="28" s="1" customFormat="1" spans="1:12">
      <c r="A28" s="2">
        <v>0.835</v>
      </c>
      <c r="B28" s="10" t="s">
        <v>578</v>
      </c>
      <c r="C28" s="4">
        <v>0.835</v>
      </c>
      <c r="D28" s="5">
        <v>45.4</v>
      </c>
      <c r="E28" s="4"/>
      <c r="F28" s="4"/>
      <c r="G28" s="2">
        <f t="shared" si="0"/>
        <v>0.802</v>
      </c>
      <c r="H28" s="11" t="str">
        <f t="shared" si="1"/>
        <v>3.251E-2</v>
      </c>
      <c r="I28" s="2">
        <f t="shared" si="2"/>
        <v>45.6</v>
      </c>
      <c r="J28" s="4">
        <f t="shared" si="3"/>
        <v>0.802</v>
      </c>
      <c r="K28" s="9">
        <f t="shared" si="4"/>
        <v>-0.100000000000031</v>
      </c>
      <c r="L28" s="1">
        <f t="shared" si="5"/>
        <v>-24.8</v>
      </c>
    </row>
    <row r="29" s="1" customFormat="1" spans="1:12">
      <c r="A29" s="2">
        <v>0.869</v>
      </c>
      <c r="B29" s="10" t="s">
        <v>578</v>
      </c>
      <c r="C29" s="4">
        <v>0.869</v>
      </c>
      <c r="D29" s="5">
        <v>45.2</v>
      </c>
      <c r="E29" s="4"/>
      <c r="F29" s="4"/>
      <c r="G29" s="2">
        <f t="shared" si="0"/>
        <v>0.835</v>
      </c>
      <c r="H29" s="11" t="str">
        <f t="shared" si="1"/>
        <v>3.252E-2</v>
      </c>
      <c r="I29" s="2">
        <f t="shared" si="2"/>
        <v>45.4</v>
      </c>
      <c r="J29" s="4">
        <f t="shared" si="3"/>
        <v>0.835</v>
      </c>
      <c r="K29" s="9">
        <f t="shared" si="4"/>
        <v>0</v>
      </c>
      <c r="L29" s="1">
        <f t="shared" si="5"/>
        <v>-24.8</v>
      </c>
    </row>
    <row r="30" s="1" customFormat="1" spans="1:12">
      <c r="A30" s="2">
        <v>0.902</v>
      </c>
      <c r="B30" s="10" t="s">
        <v>586</v>
      </c>
      <c r="C30" s="4">
        <v>0.902</v>
      </c>
      <c r="D30" s="5">
        <v>46</v>
      </c>
      <c r="E30" s="4"/>
      <c r="F30" s="4"/>
      <c r="G30" s="2">
        <f t="shared" si="0"/>
        <v>0.869</v>
      </c>
      <c r="H30" s="11" t="str">
        <f t="shared" si="1"/>
        <v>3.252E-2</v>
      </c>
      <c r="I30" s="2">
        <f t="shared" si="2"/>
        <v>45.2</v>
      </c>
      <c r="J30" s="4">
        <f t="shared" si="3"/>
        <v>0.869</v>
      </c>
      <c r="K30" s="9">
        <f t="shared" si="4"/>
        <v>0</v>
      </c>
      <c r="L30" s="1">
        <f t="shared" si="5"/>
        <v>-24.8</v>
      </c>
    </row>
    <row r="31" s="1" customFormat="1" spans="1:12">
      <c r="A31" s="2">
        <v>0.935</v>
      </c>
      <c r="B31" s="10" t="s">
        <v>586</v>
      </c>
      <c r="C31" s="4">
        <v>0.935</v>
      </c>
      <c r="D31" s="5">
        <v>45.8</v>
      </c>
      <c r="E31" s="4"/>
      <c r="F31" s="4"/>
      <c r="G31" s="2">
        <f t="shared" si="0"/>
        <v>0.902</v>
      </c>
      <c r="H31" s="11" t="str">
        <f t="shared" si="1"/>
        <v>3.254E-2</v>
      </c>
      <c r="I31" s="2">
        <f t="shared" si="2"/>
        <v>46</v>
      </c>
      <c r="J31" s="4">
        <f t="shared" si="3"/>
        <v>0.902</v>
      </c>
      <c r="K31" s="9">
        <f t="shared" si="4"/>
        <v>0.199999999999992</v>
      </c>
      <c r="L31" s="1">
        <f t="shared" si="5"/>
        <v>-24.8</v>
      </c>
    </row>
    <row r="32" s="1" customFormat="1" spans="1:12">
      <c r="A32" s="2">
        <v>0.969</v>
      </c>
      <c r="B32" s="10" t="s">
        <v>586</v>
      </c>
      <c r="C32" s="4">
        <v>0.969</v>
      </c>
      <c r="D32" s="5">
        <v>45.9</v>
      </c>
      <c r="E32" s="4"/>
      <c r="F32" s="4"/>
      <c r="G32" s="2">
        <f t="shared" si="0"/>
        <v>0.935</v>
      </c>
      <c r="H32" s="11" t="str">
        <f t="shared" si="1"/>
        <v>3.254E-2</v>
      </c>
      <c r="I32" s="2">
        <f t="shared" si="2"/>
        <v>45.8</v>
      </c>
      <c r="J32" s="4">
        <f t="shared" si="3"/>
        <v>0.935</v>
      </c>
      <c r="K32" s="9">
        <f t="shared" si="4"/>
        <v>0.199999999999992</v>
      </c>
      <c r="L32" s="1">
        <f t="shared" si="5"/>
        <v>-24.8</v>
      </c>
    </row>
    <row r="33" s="1" customFormat="1" spans="1:12">
      <c r="A33" s="2">
        <v>1.002</v>
      </c>
      <c r="B33" s="10" t="s">
        <v>587</v>
      </c>
      <c r="C33" s="4">
        <v>1.002</v>
      </c>
      <c r="D33" s="5">
        <v>45.7</v>
      </c>
      <c r="E33" s="4"/>
      <c r="F33" s="4"/>
      <c r="G33" s="2">
        <f t="shared" si="0"/>
        <v>0.969</v>
      </c>
      <c r="H33" s="11" t="str">
        <f t="shared" si="1"/>
        <v>3.254E-2</v>
      </c>
      <c r="I33" s="2">
        <f t="shared" si="2"/>
        <v>45.9</v>
      </c>
      <c r="J33" s="4">
        <f t="shared" si="3"/>
        <v>0.969</v>
      </c>
      <c r="K33" s="9">
        <f t="shared" si="4"/>
        <v>0.199999999999992</v>
      </c>
      <c r="L33" s="1">
        <f t="shared" si="5"/>
        <v>-24.8</v>
      </c>
    </row>
    <row r="34" s="1" customFormat="1" spans="1:12">
      <c r="A34" s="2">
        <v>1.036</v>
      </c>
      <c r="B34" s="10" t="s">
        <v>588</v>
      </c>
      <c r="C34" s="4">
        <v>1.036</v>
      </c>
      <c r="D34" s="5">
        <v>45.7</v>
      </c>
      <c r="E34" s="4"/>
      <c r="F34" s="4"/>
      <c r="G34" s="2">
        <f t="shared" si="0"/>
        <v>1.002</v>
      </c>
      <c r="H34" s="11" t="str">
        <f t="shared" si="1"/>
        <v>3.255E-2</v>
      </c>
      <c r="I34" s="2">
        <f t="shared" si="2"/>
        <v>45.7</v>
      </c>
      <c r="J34" s="4">
        <f t="shared" si="3"/>
        <v>1.002</v>
      </c>
      <c r="K34" s="9">
        <f t="shared" si="4"/>
        <v>0.300000000000022</v>
      </c>
      <c r="L34" s="1">
        <f t="shared" si="5"/>
        <v>-24.8</v>
      </c>
    </row>
    <row r="35" s="1" customFormat="1" spans="1:12">
      <c r="A35" s="2">
        <v>1.069</v>
      </c>
      <c r="B35" s="10" t="s">
        <v>587</v>
      </c>
      <c r="C35" s="4">
        <v>1.069</v>
      </c>
      <c r="D35" s="5">
        <v>45.5</v>
      </c>
      <c r="E35" s="4"/>
      <c r="F35" s="4"/>
      <c r="G35" s="2">
        <f t="shared" si="0"/>
        <v>1.036</v>
      </c>
      <c r="H35" s="11" t="str">
        <f t="shared" si="1"/>
        <v>3.256E-2</v>
      </c>
      <c r="I35" s="2">
        <f t="shared" si="2"/>
        <v>45.7</v>
      </c>
      <c r="J35" s="4">
        <f t="shared" si="3"/>
        <v>1.036</v>
      </c>
      <c r="K35" s="9">
        <f t="shared" si="4"/>
        <v>0.399999999999984</v>
      </c>
      <c r="L35" s="1">
        <f t="shared" si="5"/>
        <v>-24.8</v>
      </c>
    </row>
    <row r="36" s="1" customFormat="1" spans="1:12">
      <c r="A36" s="2">
        <v>1.102</v>
      </c>
      <c r="B36" s="10" t="s">
        <v>587</v>
      </c>
      <c r="C36" s="4">
        <v>1.102</v>
      </c>
      <c r="D36" s="5">
        <v>45.4</v>
      </c>
      <c r="E36" s="4"/>
      <c r="F36" s="4"/>
      <c r="G36" s="2">
        <f t="shared" si="0"/>
        <v>1.069</v>
      </c>
      <c r="H36" s="11" t="str">
        <f t="shared" si="1"/>
        <v>3.255E-2</v>
      </c>
      <c r="I36" s="2">
        <f t="shared" si="2"/>
        <v>45.5</v>
      </c>
      <c r="J36" s="4">
        <f t="shared" si="3"/>
        <v>1.069</v>
      </c>
      <c r="K36" s="9">
        <f t="shared" si="4"/>
        <v>0.300000000000022</v>
      </c>
      <c r="L36" s="1">
        <f t="shared" si="5"/>
        <v>-24.8</v>
      </c>
    </row>
    <row r="37" s="1" customFormat="1" spans="1:12">
      <c r="A37" s="2">
        <v>1.136</v>
      </c>
      <c r="B37" s="10" t="s">
        <v>587</v>
      </c>
      <c r="C37" s="4">
        <v>1.136</v>
      </c>
      <c r="D37" s="5">
        <v>45.6</v>
      </c>
      <c r="E37" s="4"/>
      <c r="F37" s="4"/>
      <c r="G37" s="2">
        <f t="shared" si="0"/>
        <v>1.102</v>
      </c>
      <c r="H37" s="11" t="str">
        <f t="shared" si="1"/>
        <v>3.255E-2</v>
      </c>
      <c r="I37" s="2">
        <f t="shared" si="2"/>
        <v>45.4</v>
      </c>
      <c r="J37" s="4">
        <f t="shared" si="3"/>
        <v>1.102</v>
      </c>
      <c r="K37" s="9">
        <f t="shared" si="4"/>
        <v>0.300000000000022</v>
      </c>
      <c r="L37" s="1">
        <f t="shared" si="5"/>
        <v>-24.8</v>
      </c>
    </row>
    <row r="38" s="1" customFormat="1" spans="1:12">
      <c r="A38" s="2">
        <v>1.169</v>
      </c>
      <c r="B38" s="10" t="s">
        <v>586</v>
      </c>
      <c r="C38" s="4">
        <v>1.169</v>
      </c>
      <c r="D38" s="5">
        <v>45.8</v>
      </c>
      <c r="E38" s="4"/>
      <c r="F38" s="4"/>
      <c r="G38" s="2">
        <f t="shared" si="0"/>
        <v>1.136</v>
      </c>
      <c r="H38" s="11" t="str">
        <f t="shared" si="1"/>
        <v>3.255E-2</v>
      </c>
      <c r="I38" s="2">
        <f t="shared" si="2"/>
        <v>45.6</v>
      </c>
      <c r="J38" s="4">
        <f t="shared" si="3"/>
        <v>1.136</v>
      </c>
      <c r="K38" s="9">
        <f t="shared" si="4"/>
        <v>0.300000000000022</v>
      </c>
      <c r="L38" s="1">
        <f t="shared" si="5"/>
        <v>-24.8</v>
      </c>
    </row>
    <row r="39" s="1" customFormat="1" spans="1:12">
      <c r="A39" s="2">
        <v>1.203</v>
      </c>
      <c r="B39" s="10" t="s">
        <v>587</v>
      </c>
      <c r="C39" s="4">
        <v>1.203</v>
      </c>
      <c r="D39" s="5">
        <v>46</v>
      </c>
      <c r="E39" s="4"/>
      <c r="F39" s="4"/>
      <c r="G39" s="2">
        <f t="shared" si="0"/>
        <v>1.169</v>
      </c>
      <c r="H39" s="11" t="str">
        <f t="shared" si="1"/>
        <v>3.254E-2</v>
      </c>
      <c r="I39" s="2">
        <f t="shared" si="2"/>
        <v>45.8</v>
      </c>
      <c r="J39" s="4">
        <f t="shared" si="3"/>
        <v>1.169</v>
      </c>
      <c r="K39" s="9">
        <f t="shared" si="4"/>
        <v>0.199999999999992</v>
      </c>
      <c r="L39" s="1">
        <f t="shared" si="5"/>
        <v>-24.8</v>
      </c>
    </row>
    <row r="40" s="1" customFormat="1" spans="1:12">
      <c r="A40" s="2">
        <v>1.236</v>
      </c>
      <c r="B40" s="10" t="s">
        <v>586</v>
      </c>
      <c r="C40" s="4">
        <v>1.236</v>
      </c>
      <c r="D40" s="5">
        <v>45.4</v>
      </c>
      <c r="E40" s="4"/>
      <c r="F40" s="4"/>
      <c r="G40" s="2">
        <f t="shared" si="0"/>
        <v>1.203</v>
      </c>
      <c r="H40" s="11" t="str">
        <f t="shared" si="1"/>
        <v>3.255E-2</v>
      </c>
      <c r="I40" s="2">
        <f t="shared" si="2"/>
        <v>46</v>
      </c>
      <c r="J40" s="4">
        <f t="shared" si="3"/>
        <v>1.203</v>
      </c>
      <c r="K40" s="9">
        <f t="shared" si="4"/>
        <v>0.300000000000022</v>
      </c>
      <c r="L40" s="1">
        <f t="shared" si="5"/>
        <v>-24.8</v>
      </c>
    </row>
    <row r="41" s="1" customFormat="1" spans="1:12">
      <c r="A41" s="2">
        <v>1.269</v>
      </c>
      <c r="B41" s="10" t="s">
        <v>589</v>
      </c>
      <c r="C41" s="4">
        <v>1.269</v>
      </c>
      <c r="D41" s="5">
        <v>45.6</v>
      </c>
      <c r="E41" s="4"/>
      <c r="F41" s="4"/>
      <c r="G41" s="2">
        <f t="shared" si="0"/>
        <v>1.236</v>
      </c>
      <c r="H41" s="11" t="str">
        <f t="shared" si="1"/>
        <v>3.254E-2</v>
      </c>
      <c r="I41" s="2">
        <f t="shared" si="2"/>
        <v>45.4</v>
      </c>
      <c r="J41" s="4">
        <f t="shared" si="3"/>
        <v>1.236</v>
      </c>
      <c r="K41" s="9">
        <f t="shared" si="4"/>
        <v>0.199999999999992</v>
      </c>
      <c r="L41" s="1">
        <f t="shared" si="5"/>
        <v>-24.8</v>
      </c>
    </row>
    <row r="42" s="1" customFormat="1" spans="1:12">
      <c r="A42" s="2">
        <v>1.303</v>
      </c>
      <c r="B42" s="10" t="s">
        <v>589</v>
      </c>
      <c r="C42" s="4">
        <v>1.303</v>
      </c>
      <c r="D42" s="5">
        <v>45.7</v>
      </c>
      <c r="E42" s="4"/>
      <c r="F42" s="4"/>
      <c r="G42" s="2">
        <f t="shared" si="0"/>
        <v>1.269</v>
      </c>
      <c r="H42" s="11" t="str">
        <f t="shared" si="1"/>
        <v>3.253E-2</v>
      </c>
      <c r="I42" s="2">
        <f t="shared" si="2"/>
        <v>45.6</v>
      </c>
      <c r="J42" s="4">
        <f t="shared" si="3"/>
        <v>1.269</v>
      </c>
      <c r="K42" s="9">
        <f t="shared" si="4"/>
        <v>0.100000000000031</v>
      </c>
      <c r="L42" s="1">
        <f t="shared" si="5"/>
        <v>-24.8</v>
      </c>
    </row>
    <row r="43" s="1" customFormat="1" spans="1:12">
      <c r="A43" s="2">
        <v>1.336</v>
      </c>
      <c r="B43" s="10" t="s">
        <v>589</v>
      </c>
      <c r="C43" s="4">
        <v>1.336</v>
      </c>
      <c r="D43" s="5">
        <v>45.5</v>
      </c>
      <c r="E43" s="4"/>
      <c r="F43" s="4"/>
      <c r="G43" s="2">
        <f t="shared" si="0"/>
        <v>1.303</v>
      </c>
      <c r="H43" s="11" t="str">
        <f t="shared" si="1"/>
        <v>3.253E-2</v>
      </c>
      <c r="I43" s="2">
        <f t="shared" si="2"/>
        <v>45.7</v>
      </c>
      <c r="J43" s="4">
        <f t="shared" si="3"/>
        <v>1.303</v>
      </c>
      <c r="K43" s="9">
        <f t="shared" si="4"/>
        <v>0.100000000000031</v>
      </c>
      <c r="L43" s="1">
        <f t="shared" si="5"/>
        <v>-24.8</v>
      </c>
    </row>
    <row r="44" s="1" customFormat="1" spans="1:12">
      <c r="A44" s="2">
        <v>1.37</v>
      </c>
      <c r="B44" s="10" t="s">
        <v>580</v>
      </c>
      <c r="C44" s="4">
        <v>1.37</v>
      </c>
      <c r="D44" s="5">
        <v>46.2</v>
      </c>
      <c r="E44" s="4"/>
      <c r="F44" s="4"/>
      <c r="G44" s="2">
        <f t="shared" si="0"/>
        <v>1.336</v>
      </c>
      <c r="H44" s="11" t="str">
        <f t="shared" si="1"/>
        <v>3.253E-2</v>
      </c>
      <c r="I44" s="2">
        <f t="shared" si="2"/>
        <v>45.5</v>
      </c>
      <c r="J44" s="4">
        <f t="shared" si="3"/>
        <v>1.336</v>
      </c>
      <c r="K44" s="9">
        <f t="shared" si="4"/>
        <v>0.100000000000031</v>
      </c>
      <c r="L44" s="1">
        <f t="shared" si="5"/>
        <v>-24.8</v>
      </c>
    </row>
    <row r="45" s="1" customFormat="1" spans="1:12">
      <c r="A45" s="2">
        <v>1.403</v>
      </c>
      <c r="B45" s="10" t="s">
        <v>579</v>
      </c>
      <c r="C45" s="4">
        <v>1.403</v>
      </c>
      <c r="D45" s="5">
        <v>45.3</v>
      </c>
      <c r="E45" s="4"/>
      <c r="F45" s="4"/>
      <c r="G45" s="2">
        <f t="shared" si="0"/>
        <v>1.37</v>
      </c>
      <c r="H45" s="11" t="str">
        <f t="shared" si="1"/>
        <v>3.250E-2</v>
      </c>
      <c r="I45" s="2">
        <f t="shared" si="2"/>
        <v>46.2</v>
      </c>
      <c r="J45" s="4">
        <f t="shared" si="3"/>
        <v>1.37</v>
      </c>
      <c r="K45" s="9">
        <f t="shared" si="4"/>
        <v>-0.199999999999992</v>
      </c>
      <c r="L45" s="1">
        <f t="shared" si="5"/>
        <v>-24.8</v>
      </c>
    </row>
    <row r="46" s="1" customFormat="1" spans="1:12">
      <c r="A46" s="2">
        <v>1.437</v>
      </c>
      <c r="B46" s="10" t="s">
        <v>580</v>
      </c>
      <c r="C46" s="4">
        <v>1.437</v>
      </c>
      <c r="D46" s="5">
        <v>45.9</v>
      </c>
      <c r="E46" s="4"/>
      <c r="F46" s="4"/>
      <c r="G46" s="2">
        <f t="shared" si="0"/>
        <v>1.403</v>
      </c>
      <c r="H46" s="11" t="str">
        <f t="shared" si="1"/>
        <v>3.251E-2</v>
      </c>
      <c r="I46" s="2">
        <f t="shared" si="2"/>
        <v>45.3</v>
      </c>
      <c r="J46" s="4">
        <f t="shared" si="3"/>
        <v>1.403</v>
      </c>
      <c r="K46" s="9">
        <f t="shared" si="4"/>
        <v>-0.100000000000031</v>
      </c>
      <c r="L46" s="1">
        <f t="shared" si="5"/>
        <v>-24.8</v>
      </c>
    </row>
    <row r="47" s="1" customFormat="1" spans="1:12">
      <c r="A47" s="2">
        <v>1.47</v>
      </c>
      <c r="B47" s="10" t="s">
        <v>580</v>
      </c>
      <c r="C47" s="4">
        <v>1.47</v>
      </c>
      <c r="D47" s="5">
        <v>45.4</v>
      </c>
      <c r="E47" s="4"/>
      <c r="F47" s="4"/>
      <c r="G47" s="2">
        <f t="shared" si="0"/>
        <v>1.437</v>
      </c>
      <c r="H47" s="11" t="str">
        <f t="shared" si="1"/>
        <v>3.250E-2</v>
      </c>
      <c r="I47" s="2">
        <f t="shared" si="2"/>
        <v>45.9</v>
      </c>
      <c r="J47" s="4">
        <f t="shared" si="3"/>
        <v>1.437</v>
      </c>
      <c r="K47" s="9">
        <f t="shared" si="4"/>
        <v>-0.199999999999992</v>
      </c>
      <c r="L47" s="1">
        <f t="shared" si="5"/>
        <v>-24.8</v>
      </c>
    </row>
    <row r="48" s="1" customFormat="1" spans="1:12">
      <c r="A48" s="2">
        <v>1.503</v>
      </c>
      <c r="B48" s="10" t="s">
        <v>581</v>
      </c>
      <c r="C48" s="4">
        <v>1.503</v>
      </c>
      <c r="D48" s="5">
        <v>45.7</v>
      </c>
      <c r="E48" s="4"/>
      <c r="F48" s="4"/>
      <c r="G48" s="2">
        <f t="shared" si="0"/>
        <v>1.47</v>
      </c>
      <c r="H48" s="11" t="str">
        <f t="shared" si="1"/>
        <v>3.250E-2</v>
      </c>
      <c r="I48" s="2">
        <f t="shared" si="2"/>
        <v>45.4</v>
      </c>
      <c r="J48" s="4">
        <f t="shared" si="3"/>
        <v>1.47</v>
      </c>
      <c r="K48" s="9">
        <f t="shared" si="4"/>
        <v>-0.199999999999992</v>
      </c>
      <c r="L48" s="1">
        <f t="shared" si="5"/>
        <v>-24.8</v>
      </c>
    </row>
    <row r="49" s="1" customFormat="1" spans="1:12">
      <c r="A49" s="2">
        <v>1.537</v>
      </c>
      <c r="B49" s="10" t="s">
        <v>582</v>
      </c>
      <c r="C49" s="4">
        <v>1.537</v>
      </c>
      <c r="D49" s="5">
        <v>45.8</v>
      </c>
      <c r="E49" s="4"/>
      <c r="F49" s="4"/>
      <c r="G49" s="2">
        <f t="shared" si="0"/>
        <v>1.503</v>
      </c>
      <c r="H49" s="11" t="str">
        <f t="shared" si="1"/>
        <v>3.249E-2</v>
      </c>
      <c r="I49" s="2">
        <f t="shared" si="2"/>
        <v>45.7</v>
      </c>
      <c r="J49" s="4">
        <f t="shared" si="3"/>
        <v>1.503</v>
      </c>
      <c r="K49" s="9">
        <f t="shared" si="4"/>
        <v>-0.300000000000022</v>
      </c>
      <c r="L49" s="1">
        <f t="shared" si="5"/>
        <v>-24.8</v>
      </c>
    </row>
    <row r="50" s="1" customFormat="1" spans="1:12">
      <c r="A50" s="2">
        <v>1.57</v>
      </c>
      <c r="B50" s="10" t="s">
        <v>582</v>
      </c>
      <c r="C50" s="4">
        <v>1.57</v>
      </c>
      <c r="D50" s="5">
        <v>45.7</v>
      </c>
      <c r="E50" s="4"/>
      <c r="F50" s="4"/>
      <c r="G50" s="2">
        <f t="shared" si="0"/>
        <v>1.537</v>
      </c>
      <c r="H50" s="11" t="str">
        <f t="shared" si="1"/>
        <v>3.248E-2</v>
      </c>
      <c r="I50" s="2">
        <f t="shared" si="2"/>
        <v>45.8</v>
      </c>
      <c r="J50" s="4">
        <f t="shared" si="3"/>
        <v>1.537</v>
      </c>
      <c r="K50" s="9">
        <f t="shared" si="4"/>
        <v>-0.399999999999984</v>
      </c>
      <c r="L50" s="1">
        <f t="shared" si="5"/>
        <v>-24.8</v>
      </c>
    </row>
    <row r="51" s="1" customFormat="1" spans="1:12">
      <c r="A51" s="2">
        <v>1.604</v>
      </c>
      <c r="B51" s="10" t="s">
        <v>584</v>
      </c>
      <c r="C51" s="4">
        <v>1.604</v>
      </c>
      <c r="D51" s="5">
        <v>45.8</v>
      </c>
      <c r="E51" s="4"/>
      <c r="F51" s="4"/>
      <c r="G51" s="2">
        <f t="shared" si="0"/>
        <v>1.57</v>
      </c>
      <c r="H51" s="11" t="str">
        <f t="shared" si="1"/>
        <v>3.248E-2</v>
      </c>
      <c r="I51" s="2">
        <f t="shared" si="2"/>
        <v>45.7</v>
      </c>
      <c r="J51" s="4">
        <f t="shared" si="3"/>
        <v>1.57</v>
      </c>
      <c r="K51" s="9">
        <f t="shared" si="4"/>
        <v>-0.399999999999984</v>
      </c>
      <c r="L51" s="1">
        <f t="shared" si="5"/>
        <v>-24.8</v>
      </c>
    </row>
    <row r="52" s="1" customFormat="1" spans="1:12">
      <c r="A52" s="2">
        <v>1.637</v>
      </c>
      <c r="B52" s="10" t="s">
        <v>584</v>
      </c>
      <c r="C52" s="4">
        <v>1.637</v>
      </c>
      <c r="D52" s="5">
        <v>46.1</v>
      </c>
      <c r="E52" s="4"/>
      <c r="F52" s="4"/>
      <c r="G52" s="2">
        <f t="shared" si="0"/>
        <v>1.604</v>
      </c>
      <c r="H52" s="11" t="str">
        <f t="shared" si="1"/>
        <v>3.246E-2</v>
      </c>
      <c r="I52" s="2">
        <f t="shared" si="2"/>
        <v>45.8</v>
      </c>
      <c r="J52" s="4">
        <f t="shared" si="3"/>
        <v>1.604</v>
      </c>
      <c r="K52" s="9">
        <f t="shared" si="4"/>
        <v>-0.599999999999976</v>
      </c>
      <c r="L52" s="1">
        <f t="shared" si="5"/>
        <v>-24.8</v>
      </c>
    </row>
    <row r="53" s="1" customFormat="1" spans="1:12">
      <c r="A53" s="2">
        <v>1.67</v>
      </c>
      <c r="B53" s="10" t="s">
        <v>584</v>
      </c>
      <c r="C53" s="4">
        <v>1.67</v>
      </c>
      <c r="D53" s="5">
        <v>45.1</v>
      </c>
      <c r="E53" s="4"/>
      <c r="F53" s="4"/>
      <c r="G53" s="2">
        <f t="shared" si="0"/>
        <v>1.637</v>
      </c>
      <c r="H53" s="11" t="str">
        <f t="shared" si="1"/>
        <v>3.246E-2</v>
      </c>
      <c r="I53" s="2">
        <f t="shared" si="2"/>
        <v>46.1</v>
      </c>
      <c r="J53" s="4">
        <f t="shared" si="3"/>
        <v>1.637</v>
      </c>
      <c r="K53" s="9">
        <f t="shared" si="4"/>
        <v>-0.599999999999976</v>
      </c>
      <c r="L53" s="1">
        <f t="shared" si="5"/>
        <v>-24.8</v>
      </c>
    </row>
    <row r="54" s="1" customFormat="1" spans="1:12">
      <c r="A54" s="2">
        <v>1.704</v>
      </c>
      <c r="B54" s="10" t="s">
        <v>584</v>
      </c>
      <c r="C54" s="4">
        <v>1.704</v>
      </c>
      <c r="D54" s="5">
        <v>45.8</v>
      </c>
      <c r="E54" s="4"/>
      <c r="F54" s="4"/>
      <c r="G54" s="2">
        <f t="shared" si="0"/>
        <v>1.67</v>
      </c>
      <c r="H54" s="11" t="str">
        <f t="shared" si="1"/>
        <v>3.246E-2</v>
      </c>
      <c r="I54" s="2">
        <f t="shared" si="2"/>
        <v>45.1</v>
      </c>
      <c r="J54" s="4">
        <f t="shared" si="3"/>
        <v>1.67</v>
      </c>
      <c r="K54" s="9">
        <f t="shared" si="4"/>
        <v>-0.599999999999976</v>
      </c>
      <c r="L54" s="1">
        <f t="shared" si="5"/>
        <v>-24.8</v>
      </c>
    </row>
    <row r="55" s="1" customFormat="1" spans="1:12">
      <c r="A55" s="2">
        <v>1.737</v>
      </c>
      <c r="B55" s="10" t="s">
        <v>585</v>
      </c>
      <c r="C55" s="4">
        <v>1.737</v>
      </c>
      <c r="D55" s="5">
        <v>45.7</v>
      </c>
      <c r="E55" s="4"/>
      <c r="F55" s="4"/>
      <c r="G55" s="2">
        <f t="shared" si="0"/>
        <v>1.704</v>
      </c>
      <c r="H55" s="11" t="str">
        <f t="shared" si="1"/>
        <v>3.246E-2</v>
      </c>
      <c r="I55" s="2">
        <f t="shared" si="2"/>
        <v>45.8</v>
      </c>
      <c r="J55" s="4">
        <f t="shared" si="3"/>
        <v>1.704</v>
      </c>
      <c r="K55" s="9">
        <f t="shared" si="4"/>
        <v>-0.599999999999976</v>
      </c>
      <c r="L55" s="1">
        <f t="shared" si="5"/>
        <v>-24.8</v>
      </c>
    </row>
    <row r="56" s="1" customFormat="1" spans="1:12">
      <c r="A56" s="2">
        <v>1.771</v>
      </c>
      <c r="B56" s="10" t="s">
        <v>585</v>
      </c>
      <c r="C56" s="4">
        <v>1.771</v>
      </c>
      <c r="D56" s="5">
        <v>45.5</v>
      </c>
      <c r="E56" s="4"/>
      <c r="F56" s="4"/>
      <c r="G56" s="2">
        <f t="shared" si="0"/>
        <v>1.737</v>
      </c>
      <c r="H56" s="11" t="str">
        <f t="shared" si="1"/>
        <v>3.245E-2</v>
      </c>
      <c r="I56" s="2">
        <f t="shared" si="2"/>
        <v>45.7</v>
      </c>
      <c r="J56" s="4">
        <f t="shared" si="3"/>
        <v>1.737</v>
      </c>
      <c r="K56" s="9">
        <f t="shared" si="4"/>
        <v>-0.700000000000006</v>
      </c>
      <c r="L56" s="1">
        <f t="shared" si="5"/>
        <v>-24.8</v>
      </c>
    </row>
    <row r="57" s="1" customFormat="1" spans="1:12">
      <c r="A57" s="2">
        <v>1.804</v>
      </c>
      <c r="B57" s="10" t="s">
        <v>584</v>
      </c>
      <c r="C57" s="4">
        <v>1.804</v>
      </c>
      <c r="D57" s="5">
        <v>45.5</v>
      </c>
      <c r="E57" s="4"/>
      <c r="F57" s="4"/>
      <c r="G57" s="2">
        <f t="shared" si="0"/>
        <v>1.771</v>
      </c>
      <c r="H57" s="11" t="str">
        <f t="shared" si="1"/>
        <v>3.245E-2</v>
      </c>
      <c r="I57" s="2">
        <f t="shared" si="2"/>
        <v>45.5</v>
      </c>
      <c r="J57" s="4">
        <f t="shared" si="3"/>
        <v>1.771</v>
      </c>
      <c r="K57" s="9">
        <f t="shared" si="4"/>
        <v>-0.700000000000006</v>
      </c>
      <c r="L57" s="1">
        <f t="shared" si="5"/>
        <v>-24.8</v>
      </c>
    </row>
    <row r="58" s="1" customFormat="1" spans="1:12">
      <c r="A58" s="2">
        <v>1.837</v>
      </c>
      <c r="B58" s="10" t="s">
        <v>584</v>
      </c>
      <c r="C58" s="4">
        <v>1.837</v>
      </c>
      <c r="D58" s="5">
        <v>46</v>
      </c>
      <c r="E58" s="4"/>
      <c r="F58" s="4"/>
      <c r="G58" s="2">
        <f t="shared" si="0"/>
        <v>1.804</v>
      </c>
      <c r="H58" s="11" t="str">
        <f t="shared" si="1"/>
        <v>3.246E-2</v>
      </c>
      <c r="I58" s="2">
        <f t="shared" si="2"/>
        <v>45.5</v>
      </c>
      <c r="J58" s="4">
        <f t="shared" si="3"/>
        <v>1.804</v>
      </c>
      <c r="K58" s="9">
        <f t="shared" si="4"/>
        <v>-0.599999999999976</v>
      </c>
      <c r="L58" s="1">
        <f t="shared" si="5"/>
        <v>-24.8</v>
      </c>
    </row>
    <row r="59" s="1" customFormat="1" spans="1:12">
      <c r="A59" s="2">
        <v>1.871</v>
      </c>
      <c r="B59" s="10" t="s">
        <v>584</v>
      </c>
      <c r="C59" s="4">
        <v>1.871</v>
      </c>
      <c r="D59" s="5">
        <v>45.4</v>
      </c>
      <c r="E59" s="4"/>
      <c r="F59" s="4"/>
      <c r="G59" s="2">
        <f t="shared" si="0"/>
        <v>1.837</v>
      </c>
      <c r="H59" s="11" t="str">
        <f t="shared" si="1"/>
        <v>3.246E-2</v>
      </c>
      <c r="I59" s="2">
        <f t="shared" si="2"/>
        <v>46</v>
      </c>
      <c r="J59" s="4">
        <f t="shared" si="3"/>
        <v>1.837</v>
      </c>
      <c r="K59" s="9">
        <f t="shared" si="4"/>
        <v>-0.599999999999976</v>
      </c>
      <c r="L59" s="1">
        <f t="shared" si="5"/>
        <v>-24.8</v>
      </c>
    </row>
    <row r="60" s="1" customFormat="1" spans="1:12">
      <c r="A60" s="2">
        <v>1.904</v>
      </c>
      <c r="B60" s="10" t="s">
        <v>583</v>
      </c>
      <c r="C60" s="4">
        <v>1.904</v>
      </c>
      <c r="D60" s="5">
        <v>45.7</v>
      </c>
      <c r="E60" s="4"/>
      <c r="F60" s="4"/>
      <c r="G60" s="2">
        <f t="shared" si="0"/>
        <v>1.871</v>
      </c>
      <c r="H60" s="11" t="str">
        <f t="shared" si="1"/>
        <v>3.246E-2</v>
      </c>
      <c r="I60" s="2">
        <f t="shared" si="2"/>
        <v>45.4</v>
      </c>
      <c r="J60" s="4">
        <f t="shared" si="3"/>
        <v>1.871</v>
      </c>
      <c r="K60" s="9">
        <f t="shared" si="4"/>
        <v>-0.599999999999976</v>
      </c>
      <c r="L60" s="1">
        <f t="shared" si="5"/>
        <v>-24.8</v>
      </c>
    </row>
    <row r="61" s="1" customFormat="1" spans="1:12">
      <c r="A61" s="2">
        <v>1.938</v>
      </c>
      <c r="B61" s="10" t="s">
        <v>582</v>
      </c>
      <c r="C61" s="4">
        <v>1.938</v>
      </c>
      <c r="D61" s="5">
        <v>46</v>
      </c>
      <c r="E61" s="4"/>
      <c r="F61" s="4"/>
      <c r="G61" s="2">
        <f t="shared" si="0"/>
        <v>1.904</v>
      </c>
      <c r="H61" s="11" t="str">
        <f t="shared" si="1"/>
        <v>3.247E-2</v>
      </c>
      <c r="I61" s="2">
        <f t="shared" si="2"/>
        <v>45.7</v>
      </c>
      <c r="J61" s="4">
        <f t="shared" si="3"/>
        <v>1.904</v>
      </c>
      <c r="K61" s="9">
        <f t="shared" si="4"/>
        <v>-0.500000000000014</v>
      </c>
      <c r="L61" s="1">
        <f t="shared" si="5"/>
        <v>-24.8</v>
      </c>
    </row>
    <row r="62" s="1" customFormat="1" spans="1:12">
      <c r="A62" s="2">
        <v>1.971</v>
      </c>
      <c r="B62" s="10" t="s">
        <v>581</v>
      </c>
      <c r="C62" s="4">
        <v>1.971</v>
      </c>
      <c r="D62" s="5">
        <v>45.9</v>
      </c>
      <c r="E62" s="4"/>
      <c r="F62" s="4"/>
      <c r="G62" s="2">
        <f t="shared" si="0"/>
        <v>1.938</v>
      </c>
      <c r="H62" s="11" t="str">
        <f t="shared" si="1"/>
        <v>3.248E-2</v>
      </c>
      <c r="I62" s="2">
        <f t="shared" si="2"/>
        <v>46</v>
      </c>
      <c r="J62" s="4">
        <f t="shared" si="3"/>
        <v>1.938</v>
      </c>
      <c r="K62" s="9">
        <f t="shared" si="4"/>
        <v>-0.399999999999984</v>
      </c>
      <c r="L62" s="1">
        <f t="shared" si="5"/>
        <v>-24.8</v>
      </c>
    </row>
    <row r="63" s="1" customFormat="1" spans="1:12">
      <c r="A63" s="2">
        <v>2.004</v>
      </c>
      <c r="B63" s="10" t="s">
        <v>582</v>
      </c>
      <c r="C63" s="4">
        <v>2.004</v>
      </c>
      <c r="D63" s="5">
        <v>45.9</v>
      </c>
      <c r="E63" s="4"/>
      <c r="F63" s="4"/>
      <c r="G63" s="2">
        <f t="shared" si="0"/>
        <v>1.971</v>
      </c>
      <c r="H63" s="11" t="str">
        <f t="shared" si="1"/>
        <v>3.249E-2</v>
      </c>
      <c r="I63" s="2">
        <f t="shared" si="2"/>
        <v>45.9</v>
      </c>
      <c r="J63" s="4">
        <f t="shared" si="3"/>
        <v>1.971</v>
      </c>
      <c r="K63" s="9">
        <f t="shared" si="4"/>
        <v>-0.300000000000022</v>
      </c>
      <c r="L63" s="1">
        <f t="shared" si="5"/>
        <v>-24.8</v>
      </c>
    </row>
    <row r="64" s="1" customFormat="1" spans="1:12">
      <c r="A64" s="2">
        <v>2.038</v>
      </c>
      <c r="B64" s="10" t="s">
        <v>580</v>
      </c>
      <c r="C64" s="4">
        <v>2.038</v>
      </c>
      <c r="D64" s="5">
        <v>45.5</v>
      </c>
      <c r="E64" s="4"/>
      <c r="F64" s="4"/>
      <c r="G64" s="2">
        <f t="shared" si="0"/>
        <v>2.004</v>
      </c>
      <c r="H64" s="11" t="str">
        <f t="shared" si="1"/>
        <v>3.248E-2</v>
      </c>
      <c r="I64" s="2">
        <f t="shared" si="2"/>
        <v>45.9</v>
      </c>
      <c r="J64" s="4">
        <f t="shared" si="3"/>
        <v>2.004</v>
      </c>
      <c r="K64" s="9">
        <f t="shared" si="4"/>
        <v>-0.399999999999984</v>
      </c>
      <c r="L64" s="1">
        <f t="shared" si="5"/>
        <v>-24.8</v>
      </c>
    </row>
    <row r="65" s="1" customFormat="1" spans="1:12">
      <c r="A65" s="2">
        <v>2.071</v>
      </c>
      <c r="B65" s="10" t="s">
        <v>580</v>
      </c>
      <c r="C65" s="4">
        <v>2.071</v>
      </c>
      <c r="D65" s="5">
        <v>46.1</v>
      </c>
      <c r="E65" s="4"/>
      <c r="F65" s="4"/>
      <c r="G65" s="2">
        <f t="shared" si="0"/>
        <v>2.038</v>
      </c>
      <c r="H65" s="11" t="str">
        <f t="shared" si="1"/>
        <v>3.250E-2</v>
      </c>
      <c r="I65" s="2">
        <f t="shared" si="2"/>
        <v>45.5</v>
      </c>
      <c r="J65" s="4">
        <f t="shared" si="3"/>
        <v>2.038</v>
      </c>
      <c r="K65" s="9">
        <f t="shared" si="4"/>
        <v>-0.199999999999992</v>
      </c>
      <c r="L65" s="1">
        <f t="shared" si="5"/>
        <v>-24.8</v>
      </c>
    </row>
    <row r="66" s="1" customFormat="1" spans="1:12">
      <c r="A66" s="2">
        <v>2.105</v>
      </c>
      <c r="B66" s="10" t="s">
        <v>579</v>
      </c>
      <c r="C66" s="4">
        <v>2.105</v>
      </c>
      <c r="D66" s="5">
        <v>45.5</v>
      </c>
      <c r="E66" s="4"/>
      <c r="F66" s="4"/>
      <c r="G66" s="2">
        <f t="shared" si="0"/>
        <v>2.071</v>
      </c>
      <c r="H66" s="11" t="str">
        <f t="shared" si="1"/>
        <v>3.250E-2</v>
      </c>
      <c r="I66" s="2">
        <f t="shared" si="2"/>
        <v>46.1</v>
      </c>
      <c r="J66" s="4">
        <f t="shared" si="3"/>
        <v>2.071</v>
      </c>
      <c r="K66" s="9">
        <f t="shared" si="4"/>
        <v>-0.199999999999992</v>
      </c>
      <c r="L66" s="1">
        <f t="shared" si="5"/>
        <v>-24.8</v>
      </c>
    </row>
    <row r="67" s="1" customFormat="1" spans="1:12">
      <c r="A67" s="2">
        <v>2.138</v>
      </c>
      <c r="B67" s="10" t="s">
        <v>578</v>
      </c>
      <c r="C67" s="4">
        <v>2.138</v>
      </c>
      <c r="D67" s="5">
        <v>46</v>
      </c>
      <c r="E67" s="4"/>
      <c r="F67" s="4"/>
      <c r="G67" s="2">
        <f t="shared" si="0"/>
        <v>2.105</v>
      </c>
      <c r="H67" s="11" t="str">
        <f t="shared" si="1"/>
        <v>3.251E-2</v>
      </c>
      <c r="I67" s="2">
        <f t="shared" si="2"/>
        <v>45.5</v>
      </c>
      <c r="J67" s="4">
        <f t="shared" si="3"/>
        <v>2.105</v>
      </c>
      <c r="K67" s="9">
        <f t="shared" si="4"/>
        <v>-0.100000000000031</v>
      </c>
      <c r="L67" s="1">
        <f t="shared" si="5"/>
        <v>-24.8</v>
      </c>
    </row>
    <row r="68" s="1" customFormat="1" spans="1:12">
      <c r="A68" s="2">
        <v>2.171</v>
      </c>
      <c r="B68" s="10" t="s">
        <v>589</v>
      </c>
      <c r="C68" s="4">
        <v>2.171</v>
      </c>
      <c r="D68" s="5">
        <v>45.7</v>
      </c>
      <c r="E68" s="4"/>
      <c r="F68" s="4"/>
      <c r="G68" s="2">
        <f t="shared" ref="G68:G131" si="6">A67</f>
        <v>2.138</v>
      </c>
      <c r="H68" s="11" t="str">
        <f t="shared" ref="H68:H131" si="7">B67</f>
        <v>3.252E-2</v>
      </c>
      <c r="I68" s="2">
        <f t="shared" ref="I68:I131" si="8">D67</f>
        <v>46</v>
      </c>
      <c r="J68" s="4">
        <f t="shared" ref="J68:J131" si="9">G68</f>
        <v>2.138</v>
      </c>
      <c r="K68" s="9">
        <f t="shared" ref="K68:K131" si="10">(H68-$H$4)*10000</f>
        <v>0</v>
      </c>
      <c r="L68" s="1">
        <f t="shared" ref="L68:L131" si="11">IF(I68&lt;230,MIN(K:K),MAX(K:K))</f>
        <v>-24.8</v>
      </c>
    </row>
    <row r="69" s="1" customFormat="1" spans="1:12">
      <c r="A69" s="2">
        <v>2.205</v>
      </c>
      <c r="B69" s="10" t="s">
        <v>586</v>
      </c>
      <c r="C69" s="4">
        <v>2.205</v>
      </c>
      <c r="D69" s="5">
        <v>46.1</v>
      </c>
      <c r="E69" s="4"/>
      <c r="F69" s="4"/>
      <c r="G69" s="2">
        <f t="shared" si="6"/>
        <v>2.171</v>
      </c>
      <c r="H69" s="11" t="str">
        <f t="shared" si="7"/>
        <v>3.253E-2</v>
      </c>
      <c r="I69" s="2">
        <f t="shared" si="8"/>
        <v>45.7</v>
      </c>
      <c r="J69" s="4">
        <f t="shared" si="9"/>
        <v>2.171</v>
      </c>
      <c r="K69" s="9">
        <f t="shared" si="10"/>
        <v>0.100000000000031</v>
      </c>
      <c r="L69" s="1">
        <f t="shared" si="11"/>
        <v>-24.8</v>
      </c>
    </row>
    <row r="70" s="1" customFormat="1" spans="1:12">
      <c r="A70" s="2">
        <v>2.238</v>
      </c>
      <c r="B70" s="10" t="s">
        <v>587</v>
      </c>
      <c r="C70" s="4">
        <v>2.238</v>
      </c>
      <c r="D70" s="5">
        <v>45.5</v>
      </c>
      <c r="E70" s="4"/>
      <c r="F70" s="4"/>
      <c r="G70" s="2">
        <f t="shared" si="6"/>
        <v>2.205</v>
      </c>
      <c r="H70" s="11" t="str">
        <f t="shared" si="7"/>
        <v>3.254E-2</v>
      </c>
      <c r="I70" s="2">
        <f t="shared" si="8"/>
        <v>46.1</v>
      </c>
      <c r="J70" s="4">
        <f t="shared" si="9"/>
        <v>2.205</v>
      </c>
      <c r="K70" s="9">
        <f t="shared" si="10"/>
        <v>0.199999999999992</v>
      </c>
      <c r="L70" s="1">
        <f t="shared" si="11"/>
        <v>-24.8</v>
      </c>
    </row>
    <row r="71" s="1" customFormat="1" spans="1:12">
      <c r="A71" s="2">
        <v>2.272</v>
      </c>
      <c r="B71" s="10" t="s">
        <v>586</v>
      </c>
      <c r="C71" s="4">
        <v>2.272</v>
      </c>
      <c r="D71" s="5">
        <v>45.7</v>
      </c>
      <c r="E71" s="4"/>
      <c r="F71" s="4"/>
      <c r="G71" s="2">
        <f t="shared" si="6"/>
        <v>2.238</v>
      </c>
      <c r="H71" s="11" t="str">
        <f t="shared" si="7"/>
        <v>3.255E-2</v>
      </c>
      <c r="I71" s="2">
        <f t="shared" si="8"/>
        <v>45.5</v>
      </c>
      <c r="J71" s="4">
        <f t="shared" si="9"/>
        <v>2.238</v>
      </c>
      <c r="K71" s="9">
        <f t="shared" si="10"/>
        <v>0.300000000000022</v>
      </c>
      <c r="L71" s="1">
        <f t="shared" si="11"/>
        <v>-24.8</v>
      </c>
    </row>
    <row r="72" s="1" customFormat="1" spans="1:12">
      <c r="A72" s="2">
        <v>2.305</v>
      </c>
      <c r="B72" s="10" t="s">
        <v>586</v>
      </c>
      <c r="C72" s="4">
        <v>2.305</v>
      </c>
      <c r="D72" s="5">
        <v>46.2</v>
      </c>
      <c r="E72" s="4"/>
      <c r="F72" s="4"/>
      <c r="G72" s="2">
        <f t="shared" si="6"/>
        <v>2.272</v>
      </c>
      <c r="H72" s="11" t="str">
        <f t="shared" si="7"/>
        <v>3.254E-2</v>
      </c>
      <c r="I72" s="2">
        <f t="shared" si="8"/>
        <v>45.7</v>
      </c>
      <c r="J72" s="4">
        <f t="shared" si="9"/>
        <v>2.272</v>
      </c>
      <c r="K72" s="9">
        <f t="shared" si="10"/>
        <v>0.199999999999992</v>
      </c>
      <c r="L72" s="1">
        <f t="shared" si="11"/>
        <v>-24.8</v>
      </c>
    </row>
    <row r="73" s="1" customFormat="1" spans="1:12">
      <c r="A73" s="2">
        <v>2.339</v>
      </c>
      <c r="B73" s="10" t="s">
        <v>587</v>
      </c>
      <c r="C73" s="4">
        <v>2.339</v>
      </c>
      <c r="D73" s="5">
        <v>46</v>
      </c>
      <c r="E73" s="4"/>
      <c r="F73" s="4"/>
      <c r="G73" s="2">
        <f t="shared" si="6"/>
        <v>2.305</v>
      </c>
      <c r="H73" s="11" t="str">
        <f t="shared" si="7"/>
        <v>3.254E-2</v>
      </c>
      <c r="I73" s="2">
        <f t="shared" si="8"/>
        <v>46.2</v>
      </c>
      <c r="J73" s="4">
        <f t="shared" si="9"/>
        <v>2.305</v>
      </c>
      <c r="K73" s="9">
        <f t="shared" si="10"/>
        <v>0.199999999999992</v>
      </c>
      <c r="L73" s="1">
        <f t="shared" si="11"/>
        <v>-24.8</v>
      </c>
    </row>
    <row r="74" s="1" customFormat="1" spans="1:12">
      <c r="A74" s="2">
        <v>2.372</v>
      </c>
      <c r="B74" s="10" t="s">
        <v>587</v>
      </c>
      <c r="C74" s="4">
        <v>2.372</v>
      </c>
      <c r="D74" s="5">
        <v>45.2</v>
      </c>
      <c r="E74" s="4"/>
      <c r="F74" s="4"/>
      <c r="G74" s="2">
        <f t="shared" si="6"/>
        <v>2.339</v>
      </c>
      <c r="H74" s="11" t="str">
        <f t="shared" si="7"/>
        <v>3.255E-2</v>
      </c>
      <c r="I74" s="2">
        <f t="shared" si="8"/>
        <v>46</v>
      </c>
      <c r="J74" s="4">
        <f t="shared" si="9"/>
        <v>2.339</v>
      </c>
      <c r="K74" s="9">
        <f t="shared" si="10"/>
        <v>0.300000000000022</v>
      </c>
      <c r="L74" s="1">
        <f t="shared" si="11"/>
        <v>-24.8</v>
      </c>
    </row>
    <row r="75" s="1" customFormat="1" spans="1:12">
      <c r="A75" s="2">
        <v>2.405</v>
      </c>
      <c r="B75" s="10" t="s">
        <v>587</v>
      </c>
      <c r="C75" s="4">
        <v>2.405</v>
      </c>
      <c r="D75" s="5">
        <v>45.6</v>
      </c>
      <c r="E75" s="4"/>
      <c r="F75" s="4"/>
      <c r="G75" s="2">
        <f t="shared" si="6"/>
        <v>2.372</v>
      </c>
      <c r="H75" s="11" t="str">
        <f t="shared" si="7"/>
        <v>3.255E-2</v>
      </c>
      <c r="I75" s="2">
        <f t="shared" si="8"/>
        <v>45.2</v>
      </c>
      <c r="J75" s="4">
        <f t="shared" si="9"/>
        <v>2.372</v>
      </c>
      <c r="K75" s="9">
        <f t="shared" si="10"/>
        <v>0.300000000000022</v>
      </c>
      <c r="L75" s="1">
        <f t="shared" si="11"/>
        <v>-24.8</v>
      </c>
    </row>
    <row r="76" s="1" customFormat="1" spans="1:12">
      <c r="A76" s="2">
        <v>2.439</v>
      </c>
      <c r="B76" s="10" t="s">
        <v>586</v>
      </c>
      <c r="C76" s="4">
        <v>2.439</v>
      </c>
      <c r="D76" s="5">
        <v>46</v>
      </c>
      <c r="E76" s="4"/>
      <c r="F76" s="4"/>
      <c r="G76" s="2">
        <f t="shared" si="6"/>
        <v>2.405</v>
      </c>
      <c r="H76" s="11" t="str">
        <f t="shared" si="7"/>
        <v>3.255E-2</v>
      </c>
      <c r="I76" s="2">
        <f t="shared" si="8"/>
        <v>45.6</v>
      </c>
      <c r="J76" s="4">
        <f t="shared" si="9"/>
        <v>2.405</v>
      </c>
      <c r="K76" s="9">
        <f t="shared" si="10"/>
        <v>0.300000000000022</v>
      </c>
      <c r="L76" s="1">
        <f t="shared" si="11"/>
        <v>-24.8</v>
      </c>
    </row>
    <row r="77" s="1" customFormat="1" spans="1:12">
      <c r="A77" s="2">
        <v>2.472</v>
      </c>
      <c r="B77" s="10" t="s">
        <v>587</v>
      </c>
      <c r="C77" s="4">
        <v>2.472</v>
      </c>
      <c r="D77" s="5">
        <v>45.7</v>
      </c>
      <c r="E77" s="4"/>
      <c r="F77" s="4"/>
      <c r="G77" s="2">
        <f t="shared" si="6"/>
        <v>2.439</v>
      </c>
      <c r="H77" s="11" t="str">
        <f t="shared" si="7"/>
        <v>3.254E-2</v>
      </c>
      <c r="I77" s="2">
        <f t="shared" si="8"/>
        <v>46</v>
      </c>
      <c r="J77" s="4">
        <f t="shared" si="9"/>
        <v>2.439</v>
      </c>
      <c r="K77" s="9">
        <f t="shared" si="10"/>
        <v>0.199999999999992</v>
      </c>
      <c r="L77" s="1">
        <f t="shared" si="11"/>
        <v>-24.8</v>
      </c>
    </row>
    <row r="78" s="1" customFormat="1" spans="1:12">
      <c r="A78" s="2">
        <v>2.506</v>
      </c>
      <c r="B78" s="10" t="s">
        <v>586</v>
      </c>
      <c r="C78" s="4">
        <v>2.506</v>
      </c>
      <c r="D78" s="5">
        <v>45.8</v>
      </c>
      <c r="E78" s="4"/>
      <c r="F78" s="4"/>
      <c r="G78" s="2">
        <f t="shared" si="6"/>
        <v>2.472</v>
      </c>
      <c r="H78" s="11" t="str">
        <f t="shared" si="7"/>
        <v>3.255E-2</v>
      </c>
      <c r="I78" s="2">
        <f t="shared" si="8"/>
        <v>45.7</v>
      </c>
      <c r="J78" s="4">
        <f t="shared" si="9"/>
        <v>2.472</v>
      </c>
      <c r="K78" s="9">
        <f t="shared" si="10"/>
        <v>0.300000000000022</v>
      </c>
      <c r="L78" s="1">
        <f t="shared" si="11"/>
        <v>-24.8</v>
      </c>
    </row>
    <row r="79" s="1" customFormat="1" spans="1:12">
      <c r="A79" s="2">
        <v>2.539</v>
      </c>
      <c r="B79" s="10" t="s">
        <v>586</v>
      </c>
      <c r="C79" s="4">
        <v>2.539</v>
      </c>
      <c r="D79" s="5">
        <v>45.7</v>
      </c>
      <c r="E79" s="4"/>
      <c r="F79" s="4"/>
      <c r="G79" s="2">
        <f t="shared" si="6"/>
        <v>2.506</v>
      </c>
      <c r="H79" s="11" t="str">
        <f t="shared" si="7"/>
        <v>3.254E-2</v>
      </c>
      <c r="I79" s="2">
        <f t="shared" si="8"/>
        <v>45.8</v>
      </c>
      <c r="J79" s="4">
        <f t="shared" si="9"/>
        <v>2.506</v>
      </c>
      <c r="K79" s="9">
        <f t="shared" si="10"/>
        <v>0.199999999999992</v>
      </c>
      <c r="L79" s="1">
        <f t="shared" si="11"/>
        <v>-24.8</v>
      </c>
    </row>
    <row r="80" s="1" customFormat="1" spans="1:12">
      <c r="A80" s="2">
        <v>2.572</v>
      </c>
      <c r="B80" s="10" t="s">
        <v>586</v>
      </c>
      <c r="C80" s="4">
        <v>2.572</v>
      </c>
      <c r="D80" s="5">
        <v>45.4</v>
      </c>
      <c r="E80" s="4"/>
      <c r="F80" s="4"/>
      <c r="G80" s="2">
        <f t="shared" si="6"/>
        <v>2.539</v>
      </c>
      <c r="H80" s="11" t="str">
        <f t="shared" si="7"/>
        <v>3.254E-2</v>
      </c>
      <c r="I80" s="2">
        <f t="shared" si="8"/>
        <v>45.7</v>
      </c>
      <c r="J80" s="4">
        <f t="shared" si="9"/>
        <v>2.539</v>
      </c>
      <c r="K80" s="9">
        <f t="shared" si="10"/>
        <v>0.199999999999992</v>
      </c>
      <c r="L80" s="1">
        <f t="shared" si="11"/>
        <v>-24.8</v>
      </c>
    </row>
    <row r="81" s="1" customFormat="1" spans="1:12">
      <c r="A81" s="2">
        <v>2.606</v>
      </c>
      <c r="B81" s="10" t="s">
        <v>578</v>
      </c>
      <c r="C81" s="4">
        <v>2.606</v>
      </c>
      <c r="D81" s="5">
        <v>149.5</v>
      </c>
      <c r="E81" s="4"/>
      <c r="F81" s="4"/>
      <c r="G81" s="2">
        <f t="shared" si="6"/>
        <v>2.572</v>
      </c>
      <c r="H81" s="11" t="str">
        <f t="shared" si="7"/>
        <v>3.254E-2</v>
      </c>
      <c r="I81" s="2">
        <f t="shared" si="8"/>
        <v>45.4</v>
      </c>
      <c r="J81" s="4">
        <f t="shared" si="9"/>
        <v>2.572</v>
      </c>
      <c r="K81" s="9">
        <f t="shared" si="10"/>
        <v>0.199999999999992</v>
      </c>
      <c r="L81" s="1">
        <f t="shared" si="11"/>
        <v>-24.8</v>
      </c>
    </row>
    <row r="82" s="1" customFormat="1" spans="1:12">
      <c r="A82" s="2">
        <v>2.639</v>
      </c>
      <c r="B82" s="10" t="s">
        <v>589</v>
      </c>
      <c r="C82" s="4">
        <v>2.639</v>
      </c>
      <c r="D82" s="5">
        <v>253.8</v>
      </c>
      <c r="E82" s="4"/>
      <c r="F82" s="4"/>
      <c r="G82" s="2">
        <f t="shared" si="6"/>
        <v>2.606</v>
      </c>
      <c r="H82" s="11" t="str">
        <f t="shared" si="7"/>
        <v>3.252E-2</v>
      </c>
      <c r="I82" s="2">
        <f t="shared" si="8"/>
        <v>149.5</v>
      </c>
      <c r="J82" s="4">
        <f t="shared" si="9"/>
        <v>2.606</v>
      </c>
      <c r="K82" s="9">
        <f t="shared" si="10"/>
        <v>0</v>
      </c>
      <c r="L82" s="1">
        <f t="shared" si="11"/>
        <v>-24.8</v>
      </c>
    </row>
    <row r="83" s="1" customFormat="1" spans="1:12">
      <c r="A83" s="2">
        <v>2.673</v>
      </c>
      <c r="B83" s="10" t="s">
        <v>578</v>
      </c>
      <c r="C83" s="4">
        <v>2.673</v>
      </c>
      <c r="D83" s="5">
        <v>253.8</v>
      </c>
      <c r="E83" s="4"/>
      <c r="F83" s="4"/>
      <c r="G83" s="2">
        <f t="shared" si="6"/>
        <v>2.639</v>
      </c>
      <c r="H83" s="11" t="str">
        <f t="shared" si="7"/>
        <v>3.253E-2</v>
      </c>
      <c r="I83" s="2">
        <f t="shared" si="8"/>
        <v>253.8</v>
      </c>
      <c r="J83" s="4">
        <f t="shared" si="9"/>
        <v>2.639</v>
      </c>
      <c r="K83" s="9">
        <f t="shared" si="10"/>
        <v>0.100000000000031</v>
      </c>
      <c r="L83" s="1">
        <f t="shared" si="11"/>
        <v>13.5</v>
      </c>
    </row>
    <row r="84" s="1" customFormat="1" spans="1:12">
      <c r="A84" s="2">
        <v>2.706</v>
      </c>
      <c r="B84" s="10" t="s">
        <v>589</v>
      </c>
      <c r="C84" s="4">
        <v>2.706</v>
      </c>
      <c r="D84" s="5">
        <v>253.8</v>
      </c>
      <c r="E84" s="4"/>
      <c r="F84" s="4"/>
      <c r="G84" s="2">
        <f t="shared" si="6"/>
        <v>2.673</v>
      </c>
      <c r="H84" s="11" t="str">
        <f t="shared" si="7"/>
        <v>3.252E-2</v>
      </c>
      <c r="I84" s="2">
        <f t="shared" si="8"/>
        <v>253.8</v>
      </c>
      <c r="J84" s="4">
        <f t="shared" si="9"/>
        <v>2.673</v>
      </c>
      <c r="K84" s="9">
        <f t="shared" si="10"/>
        <v>0</v>
      </c>
      <c r="L84" s="1">
        <f t="shared" si="11"/>
        <v>13.5</v>
      </c>
    </row>
    <row r="85" s="1" customFormat="1" spans="1:12">
      <c r="A85" s="2">
        <v>2.739</v>
      </c>
      <c r="B85" s="10" t="s">
        <v>589</v>
      </c>
      <c r="C85" s="4">
        <v>2.739</v>
      </c>
      <c r="D85" s="5">
        <v>253.8</v>
      </c>
      <c r="E85" s="4"/>
      <c r="F85" s="4"/>
      <c r="G85" s="2">
        <f t="shared" si="6"/>
        <v>2.706</v>
      </c>
      <c r="H85" s="11" t="str">
        <f t="shared" si="7"/>
        <v>3.253E-2</v>
      </c>
      <c r="I85" s="2">
        <f t="shared" si="8"/>
        <v>253.8</v>
      </c>
      <c r="J85" s="4">
        <f t="shared" si="9"/>
        <v>2.706</v>
      </c>
      <c r="K85" s="9">
        <f t="shared" si="10"/>
        <v>0.100000000000031</v>
      </c>
      <c r="L85" s="1">
        <f t="shared" si="11"/>
        <v>13.5</v>
      </c>
    </row>
    <row r="86" s="1" customFormat="1" spans="1:12">
      <c r="A86" s="2">
        <v>2.773</v>
      </c>
      <c r="B86" s="10" t="s">
        <v>586</v>
      </c>
      <c r="C86" s="4">
        <v>2.773</v>
      </c>
      <c r="D86" s="5">
        <v>253.8</v>
      </c>
      <c r="E86" s="4"/>
      <c r="F86" s="4"/>
      <c r="G86" s="2">
        <f t="shared" si="6"/>
        <v>2.739</v>
      </c>
      <c r="H86" s="11" t="str">
        <f t="shared" si="7"/>
        <v>3.253E-2</v>
      </c>
      <c r="I86" s="2">
        <f t="shared" si="8"/>
        <v>253.8</v>
      </c>
      <c r="J86" s="4">
        <f t="shared" si="9"/>
        <v>2.739</v>
      </c>
      <c r="K86" s="9">
        <f t="shared" si="10"/>
        <v>0.100000000000031</v>
      </c>
      <c r="L86" s="1">
        <f t="shared" si="11"/>
        <v>13.5</v>
      </c>
    </row>
    <row r="87" s="1" customFormat="1" spans="1:12">
      <c r="A87" s="2">
        <v>2.806</v>
      </c>
      <c r="B87" s="10" t="s">
        <v>587</v>
      </c>
      <c r="C87" s="4">
        <v>2.806</v>
      </c>
      <c r="D87" s="5">
        <v>253.8</v>
      </c>
      <c r="E87" s="4"/>
      <c r="F87" s="4"/>
      <c r="G87" s="2">
        <f t="shared" si="6"/>
        <v>2.773</v>
      </c>
      <c r="H87" s="11" t="str">
        <f t="shared" si="7"/>
        <v>3.254E-2</v>
      </c>
      <c r="I87" s="2">
        <f t="shared" si="8"/>
        <v>253.8</v>
      </c>
      <c r="J87" s="4">
        <f t="shared" si="9"/>
        <v>2.773</v>
      </c>
      <c r="K87" s="9">
        <f t="shared" si="10"/>
        <v>0.199999999999992</v>
      </c>
      <c r="L87" s="1">
        <f t="shared" si="11"/>
        <v>13.5</v>
      </c>
    </row>
    <row r="88" s="1" customFormat="1" spans="1:12">
      <c r="A88" s="2">
        <v>2.84</v>
      </c>
      <c r="B88" s="10" t="s">
        <v>587</v>
      </c>
      <c r="C88" s="4">
        <v>2.84</v>
      </c>
      <c r="D88" s="5">
        <v>253.8</v>
      </c>
      <c r="E88" s="4"/>
      <c r="F88" s="4"/>
      <c r="G88" s="2">
        <f t="shared" si="6"/>
        <v>2.806</v>
      </c>
      <c r="H88" s="11" t="str">
        <f t="shared" si="7"/>
        <v>3.255E-2</v>
      </c>
      <c r="I88" s="2">
        <f t="shared" si="8"/>
        <v>253.8</v>
      </c>
      <c r="J88" s="4">
        <f t="shared" si="9"/>
        <v>2.806</v>
      </c>
      <c r="K88" s="9">
        <f t="shared" si="10"/>
        <v>0.300000000000022</v>
      </c>
      <c r="L88" s="1">
        <f t="shared" si="11"/>
        <v>13.5</v>
      </c>
    </row>
    <row r="89" s="1" customFormat="1" spans="1:12">
      <c r="A89" s="2">
        <v>2.873</v>
      </c>
      <c r="B89" s="10" t="s">
        <v>588</v>
      </c>
      <c r="C89" s="4">
        <v>2.873</v>
      </c>
      <c r="D89" s="5">
        <v>253.8</v>
      </c>
      <c r="E89" s="4"/>
      <c r="F89" s="4"/>
      <c r="G89" s="2">
        <f t="shared" si="6"/>
        <v>2.84</v>
      </c>
      <c r="H89" s="11" t="str">
        <f t="shared" si="7"/>
        <v>3.255E-2</v>
      </c>
      <c r="I89" s="2">
        <f t="shared" si="8"/>
        <v>253.8</v>
      </c>
      <c r="J89" s="4">
        <f t="shared" si="9"/>
        <v>2.84</v>
      </c>
      <c r="K89" s="9">
        <f t="shared" si="10"/>
        <v>0.300000000000022</v>
      </c>
      <c r="L89" s="1">
        <f t="shared" si="11"/>
        <v>13.5</v>
      </c>
    </row>
    <row r="90" s="1" customFormat="1" spans="1:12">
      <c r="A90" s="2">
        <v>2.906</v>
      </c>
      <c r="B90" s="10" t="s">
        <v>590</v>
      </c>
      <c r="C90" s="4">
        <v>2.906</v>
      </c>
      <c r="D90" s="5">
        <v>253.8</v>
      </c>
      <c r="E90" s="4"/>
      <c r="F90" s="4"/>
      <c r="G90" s="2">
        <f t="shared" si="6"/>
        <v>2.873</v>
      </c>
      <c r="H90" s="11" t="str">
        <f t="shared" si="7"/>
        <v>3.256E-2</v>
      </c>
      <c r="I90" s="2">
        <f t="shared" si="8"/>
        <v>253.8</v>
      </c>
      <c r="J90" s="4">
        <f t="shared" si="9"/>
        <v>2.873</v>
      </c>
      <c r="K90" s="9">
        <f t="shared" si="10"/>
        <v>0.399999999999984</v>
      </c>
      <c r="L90" s="1">
        <f t="shared" si="11"/>
        <v>13.5</v>
      </c>
    </row>
    <row r="91" s="1" customFormat="1" spans="1:12">
      <c r="A91" s="2">
        <v>2.94</v>
      </c>
      <c r="B91" s="10" t="s">
        <v>590</v>
      </c>
      <c r="C91" s="4">
        <v>2.94</v>
      </c>
      <c r="D91" s="5">
        <v>253.8</v>
      </c>
      <c r="E91" s="4"/>
      <c r="F91" s="4"/>
      <c r="G91" s="2">
        <f t="shared" si="6"/>
        <v>2.906</v>
      </c>
      <c r="H91" s="11" t="str">
        <f t="shared" si="7"/>
        <v>3.258E-2</v>
      </c>
      <c r="I91" s="2">
        <f t="shared" si="8"/>
        <v>253.8</v>
      </c>
      <c r="J91" s="4">
        <f t="shared" si="9"/>
        <v>2.906</v>
      </c>
      <c r="K91" s="9">
        <f t="shared" si="10"/>
        <v>0.599999999999976</v>
      </c>
      <c r="L91" s="1">
        <f t="shared" si="11"/>
        <v>13.5</v>
      </c>
    </row>
    <row r="92" s="1" customFormat="1" spans="1:12">
      <c r="A92" s="2">
        <v>2.973</v>
      </c>
      <c r="B92" s="10" t="s">
        <v>588</v>
      </c>
      <c r="C92" s="4">
        <v>2.973</v>
      </c>
      <c r="D92" s="5">
        <v>253.8</v>
      </c>
      <c r="E92" s="4"/>
      <c r="F92" s="4"/>
      <c r="G92" s="2">
        <f t="shared" si="6"/>
        <v>2.94</v>
      </c>
      <c r="H92" s="11" t="str">
        <f t="shared" si="7"/>
        <v>3.258E-2</v>
      </c>
      <c r="I92" s="2">
        <f t="shared" si="8"/>
        <v>253.8</v>
      </c>
      <c r="J92" s="4">
        <f t="shared" si="9"/>
        <v>2.94</v>
      </c>
      <c r="K92" s="9">
        <f t="shared" si="10"/>
        <v>0.599999999999976</v>
      </c>
      <c r="L92" s="1">
        <f t="shared" si="11"/>
        <v>13.5</v>
      </c>
    </row>
    <row r="93" s="1" customFormat="1" spans="1:12">
      <c r="A93" s="2">
        <v>3.007</v>
      </c>
      <c r="B93" s="10" t="s">
        <v>590</v>
      </c>
      <c r="C93" s="4">
        <v>3.007</v>
      </c>
      <c r="D93" s="5">
        <v>253.8</v>
      </c>
      <c r="E93" s="4"/>
      <c r="F93" s="4"/>
      <c r="G93" s="2">
        <f t="shared" si="6"/>
        <v>2.973</v>
      </c>
      <c r="H93" s="11" t="str">
        <f t="shared" si="7"/>
        <v>3.256E-2</v>
      </c>
      <c r="I93" s="2">
        <f t="shared" si="8"/>
        <v>253.8</v>
      </c>
      <c r="J93" s="4">
        <f t="shared" si="9"/>
        <v>2.973</v>
      </c>
      <c r="K93" s="9">
        <f t="shared" si="10"/>
        <v>0.399999999999984</v>
      </c>
      <c r="L93" s="1">
        <f t="shared" si="11"/>
        <v>13.5</v>
      </c>
    </row>
    <row r="94" s="1" customFormat="1" spans="1:12">
      <c r="A94" s="2">
        <v>3.04</v>
      </c>
      <c r="B94" s="10" t="s">
        <v>591</v>
      </c>
      <c r="C94" s="4">
        <v>3.04</v>
      </c>
      <c r="D94" s="5">
        <v>253.8</v>
      </c>
      <c r="E94" s="4"/>
      <c r="F94" s="4"/>
      <c r="G94" s="2">
        <f t="shared" si="6"/>
        <v>3.007</v>
      </c>
      <c r="H94" s="11" t="str">
        <f t="shared" si="7"/>
        <v>3.258E-2</v>
      </c>
      <c r="I94" s="2">
        <f t="shared" si="8"/>
        <v>253.8</v>
      </c>
      <c r="J94" s="4">
        <f t="shared" si="9"/>
        <v>3.007</v>
      </c>
      <c r="K94" s="9">
        <f t="shared" si="10"/>
        <v>0.599999999999976</v>
      </c>
      <c r="L94" s="1">
        <f t="shared" si="11"/>
        <v>13.5</v>
      </c>
    </row>
    <row r="95" s="1" customFormat="1" spans="1:12">
      <c r="A95" s="2">
        <v>3.073</v>
      </c>
      <c r="B95" s="10" t="s">
        <v>591</v>
      </c>
      <c r="C95" s="4">
        <v>3.073</v>
      </c>
      <c r="D95" s="5">
        <v>253.8</v>
      </c>
      <c r="E95" s="4"/>
      <c r="F95" s="4"/>
      <c r="G95" s="2">
        <f t="shared" si="6"/>
        <v>3.04</v>
      </c>
      <c r="H95" s="11" t="str">
        <f t="shared" si="7"/>
        <v>3.257E-2</v>
      </c>
      <c r="I95" s="2">
        <f t="shared" si="8"/>
        <v>253.8</v>
      </c>
      <c r="J95" s="4">
        <f t="shared" si="9"/>
        <v>3.04</v>
      </c>
      <c r="K95" s="9">
        <f t="shared" si="10"/>
        <v>0.500000000000014</v>
      </c>
      <c r="L95" s="1">
        <f t="shared" si="11"/>
        <v>13.5</v>
      </c>
    </row>
    <row r="96" s="1" customFormat="1" spans="1:12">
      <c r="A96" s="2">
        <v>3.107</v>
      </c>
      <c r="B96" s="10" t="s">
        <v>588</v>
      </c>
      <c r="C96" s="4">
        <v>3.107</v>
      </c>
      <c r="D96" s="5">
        <v>253.8</v>
      </c>
      <c r="E96" s="4"/>
      <c r="F96" s="4"/>
      <c r="G96" s="2">
        <f t="shared" si="6"/>
        <v>3.073</v>
      </c>
      <c r="H96" s="11" t="str">
        <f t="shared" si="7"/>
        <v>3.257E-2</v>
      </c>
      <c r="I96" s="2">
        <f t="shared" si="8"/>
        <v>253.8</v>
      </c>
      <c r="J96" s="4">
        <f t="shared" si="9"/>
        <v>3.073</v>
      </c>
      <c r="K96" s="9">
        <f t="shared" si="10"/>
        <v>0.500000000000014</v>
      </c>
      <c r="L96" s="1">
        <f t="shared" si="11"/>
        <v>13.5</v>
      </c>
    </row>
    <row r="97" s="1" customFormat="1" spans="1:12">
      <c r="A97" s="2">
        <v>3.14</v>
      </c>
      <c r="B97" s="10" t="s">
        <v>588</v>
      </c>
      <c r="C97" s="4">
        <v>3.14</v>
      </c>
      <c r="D97" s="5">
        <v>253.8</v>
      </c>
      <c r="E97" s="4"/>
      <c r="F97" s="4"/>
      <c r="G97" s="2">
        <f t="shared" si="6"/>
        <v>3.107</v>
      </c>
      <c r="H97" s="11" t="str">
        <f t="shared" si="7"/>
        <v>3.256E-2</v>
      </c>
      <c r="I97" s="2">
        <f t="shared" si="8"/>
        <v>253.8</v>
      </c>
      <c r="J97" s="4">
        <f t="shared" si="9"/>
        <v>3.107</v>
      </c>
      <c r="K97" s="9">
        <f t="shared" si="10"/>
        <v>0.399999999999984</v>
      </c>
      <c r="L97" s="1">
        <f t="shared" si="11"/>
        <v>13.5</v>
      </c>
    </row>
    <row r="98" s="1" customFormat="1" spans="1:12">
      <c r="A98" s="2">
        <v>3.174</v>
      </c>
      <c r="B98" s="10" t="s">
        <v>587</v>
      </c>
      <c r="C98" s="4">
        <v>3.174</v>
      </c>
      <c r="D98" s="5">
        <v>253.8</v>
      </c>
      <c r="E98" s="4"/>
      <c r="F98" s="4"/>
      <c r="G98" s="2">
        <f t="shared" si="6"/>
        <v>3.14</v>
      </c>
      <c r="H98" s="11" t="str">
        <f t="shared" si="7"/>
        <v>3.256E-2</v>
      </c>
      <c r="I98" s="2">
        <f t="shared" si="8"/>
        <v>253.8</v>
      </c>
      <c r="J98" s="4">
        <f t="shared" si="9"/>
        <v>3.14</v>
      </c>
      <c r="K98" s="9">
        <f t="shared" si="10"/>
        <v>0.399999999999984</v>
      </c>
      <c r="L98" s="1">
        <f t="shared" si="11"/>
        <v>13.5</v>
      </c>
    </row>
    <row r="99" s="1" customFormat="1" spans="1:12">
      <c r="A99" s="2">
        <v>3.207</v>
      </c>
      <c r="B99" s="10" t="s">
        <v>589</v>
      </c>
      <c r="C99" s="4">
        <v>3.207</v>
      </c>
      <c r="D99" s="5">
        <v>253.8</v>
      </c>
      <c r="E99" s="4"/>
      <c r="F99" s="4"/>
      <c r="G99" s="2">
        <f t="shared" si="6"/>
        <v>3.174</v>
      </c>
      <c r="H99" s="11" t="str">
        <f t="shared" si="7"/>
        <v>3.255E-2</v>
      </c>
      <c r="I99" s="2">
        <f t="shared" si="8"/>
        <v>253.8</v>
      </c>
      <c r="J99" s="4">
        <f t="shared" si="9"/>
        <v>3.174</v>
      </c>
      <c r="K99" s="9">
        <f t="shared" si="10"/>
        <v>0.300000000000022</v>
      </c>
      <c r="L99" s="1">
        <f t="shared" si="11"/>
        <v>13.5</v>
      </c>
    </row>
    <row r="100" s="1" customFormat="1" spans="1:12">
      <c r="A100" s="2">
        <v>3.241</v>
      </c>
      <c r="B100" s="10" t="s">
        <v>589</v>
      </c>
      <c r="C100" s="4">
        <v>3.241</v>
      </c>
      <c r="D100" s="5">
        <v>45.5</v>
      </c>
      <c r="E100" s="4"/>
      <c r="F100" s="4"/>
      <c r="G100" s="2">
        <f t="shared" si="6"/>
        <v>3.207</v>
      </c>
      <c r="H100" s="11" t="str">
        <f t="shared" si="7"/>
        <v>3.253E-2</v>
      </c>
      <c r="I100" s="2">
        <f t="shared" si="8"/>
        <v>253.8</v>
      </c>
      <c r="J100" s="4">
        <f t="shared" si="9"/>
        <v>3.207</v>
      </c>
      <c r="K100" s="9">
        <f t="shared" si="10"/>
        <v>0.100000000000031</v>
      </c>
      <c r="L100" s="1">
        <f t="shared" si="11"/>
        <v>13.5</v>
      </c>
    </row>
    <row r="101" s="1" customFormat="1" spans="1:12">
      <c r="A101" s="2">
        <v>3.274</v>
      </c>
      <c r="B101" s="10" t="s">
        <v>580</v>
      </c>
      <c r="C101" s="4">
        <v>3.274</v>
      </c>
      <c r="D101" s="5">
        <v>45.3</v>
      </c>
      <c r="E101" s="4"/>
      <c r="F101" s="4"/>
      <c r="G101" s="2">
        <f t="shared" si="6"/>
        <v>3.241</v>
      </c>
      <c r="H101" s="11" t="str">
        <f t="shared" si="7"/>
        <v>3.253E-2</v>
      </c>
      <c r="I101" s="2">
        <f t="shared" si="8"/>
        <v>45.5</v>
      </c>
      <c r="J101" s="4">
        <f t="shared" si="9"/>
        <v>3.241</v>
      </c>
      <c r="K101" s="9">
        <f t="shared" si="10"/>
        <v>0.100000000000031</v>
      </c>
      <c r="L101" s="1">
        <f t="shared" si="11"/>
        <v>-24.8</v>
      </c>
    </row>
    <row r="102" s="1" customFormat="1" spans="1:12">
      <c r="A102" s="2">
        <v>3.307</v>
      </c>
      <c r="B102" s="10" t="s">
        <v>582</v>
      </c>
      <c r="C102" s="4">
        <v>3.307</v>
      </c>
      <c r="D102" s="5">
        <v>45.9</v>
      </c>
      <c r="E102" s="4"/>
      <c r="F102" s="4"/>
      <c r="G102" s="2">
        <f t="shared" si="6"/>
        <v>3.274</v>
      </c>
      <c r="H102" s="11" t="str">
        <f t="shared" si="7"/>
        <v>3.250E-2</v>
      </c>
      <c r="I102" s="2">
        <f t="shared" si="8"/>
        <v>45.3</v>
      </c>
      <c r="J102" s="4">
        <f t="shared" si="9"/>
        <v>3.274</v>
      </c>
      <c r="K102" s="9">
        <f t="shared" si="10"/>
        <v>-0.199999999999992</v>
      </c>
      <c r="L102" s="1">
        <f t="shared" si="11"/>
        <v>-24.8</v>
      </c>
    </row>
    <row r="103" s="1" customFormat="1" spans="1:12">
      <c r="A103" s="2">
        <v>3.341</v>
      </c>
      <c r="B103" s="10" t="s">
        <v>584</v>
      </c>
      <c r="C103" s="4">
        <v>3.341</v>
      </c>
      <c r="D103" s="5">
        <v>45.9</v>
      </c>
      <c r="E103" s="4"/>
      <c r="F103" s="4"/>
      <c r="G103" s="2">
        <f t="shared" si="6"/>
        <v>3.307</v>
      </c>
      <c r="H103" s="11" t="str">
        <f t="shared" si="7"/>
        <v>3.248E-2</v>
      </c>
      <c r="I103" s="2">
        <f t="shared" si="8"/>
        <v>45.9</v>
      </c>
      <c r="J103" s="4">
        <f t="shared" si="9"/>
        <v>3.307</v>
      </c>
      <c r="K103" s="9">
        <f t="shared" si="10"/>
        <v>-0.399999999999984</v>
      </c>
      <c r="L103" s="1">
        <f t="shared" si="11"/>
        <v>-24.8</v>
      </c>
    </row>
    <row r="104" s="1" customFormat="1" spans="1:12">
      <c r="A104" s="2">
        <v>3.374</v>
      </c>
      <c r="B104" s="10" t="s">
        <v>592</v>
      </c>
      <c r="C104" s="4">
        <v>3.374</v>
      </c>
      <c r="D104" s="5">
        <v>45.6</v>
      </c>
      <c r="E104" s="4"/>
      <c r="F104" s="4"/>
      <c r="G104" s="2">
        <f t="shared" si="6"/>
        <v>3.341</v>
      </c>
      <c r="H104" s="11" t="str">
        <f t="shared" si="7"/>
        <v>3.246E-2</v>
      </c>
      <c r="I104" s="2">
        <f t="shared" si="8"/>
        <v>45.9</v>
      </c>
      <c r="J104" s="4">
        <f t="shared" si="9"/>
        <v>3.341</v>
      </c>
      <c r="K104" s="9">
        <f t="shared" si="10"/>
        <v>-0.599999999999976</v>
      </c>
      <c r="L104" s="1">
        <f t="shared" si="11"/>
        <v>-24.8</v>
      </c>
    </row>
    <row r="105" s="1" customFormat="1" spans="1:12">
      <c r="A105" s="2">
        <v>3.408</v>
      </c>
      <c r="B105" s="10" t="s">
        <v>593</v>
      </c>
      <c r="C105" s="4">
        <v>3.408</v>
      </c>
      <c r="D105" s="5">
        <v>45.5</v>
      </c>
      <c r="E105" s="4"/>
      <c r="F105" s="4"/>
      <c r="G105" s="2">
        <f t="shared" si="6"/>
        <v>3.374</v>
      </c>
      <c r="H105" s="11" t="str">
        <f t="shared" si="7"/>
        <v>3.242E-2</v>
      </c>
      <c r="I105" s="2">
        <f t="shared" si="8"/>
        <v>45.6</v>
      </c>
      <c r="J105" s="4">
        <f t="shared" si="9"/>
        <v>3.374</v>
      </c>
      <c r="K105" s="9">
        <f t="shared" si="10"/>
        <v>-1.00000000000003</v>
      </c>
      <c r="L105" s="1">
        <f t="shared" si="11"/>
        <v>-24.8</v>
      </c>
    </row>
    <row r="106" s="1" customFormat="1" spans="1:12">
      <c r="A106" s="2">
        <v>3.441</v>
      </c>
      <c r="B106" s="10" t="s">
        <v>594</v>
      </c>
      <c r="C106" s="4">
        <v>3.441</v>
      </c>
      <c r="D106" s="5">
        <v>45.5</v>
      </c>
      <c r="E106" s="4"/>
      <c r="F106" s="4"/>
      <c r="G106" s="2">
        <f t="shared" si="6"/>
        <v>3.408</v>
      </c>
      <c r="H106" s="11" t="str">
        <f t="shared" si="7"/>
        <v>3.238E-2</v>
      </c>
      <c r="I106" s="2">
        <f t="shared" si="8"/>
        <v>45.5</v>
      </c>
      <c r="J106" s="4">
        <f t="shared" si="9"/>
        <v>3.408</v>
      </c>
      <c r="K106" s="9">
        <f t="shared" si="10"/>
        <v>-1.40000000000001</v>
      </c>
      <c r="L106" s="1">
        <f t="shared" si="11"/>
        <v>-24.8</v>
      </c>
    </row>
    <row r="107" s="1" customFormat="1" spans="1:12">
      <c r="A107" s="2">
        <v>3.474</v>
      </c>
      <c r="B107" s="10" t="s">
        <v>595</v>
      </c>
      <c r="C107" s="4">
        <v>3.474</v>
      </c>
      <c r="D107" s="5">
        <v>45.6</v>
      </c>
      <c r="E107" s="4"/>
      <c r="F107" s="4"/>
      <c r="G107" s="2">
        <f t="shared" si="6"/>
        <v>3.441</v>
      </c>
      <c r="H107" s="11" t="str">
        <f t="shared" si="7"/>
        <v>3.233E-2</v>
      </c>
      <c r="I107" s="2">
        <f t="shared" si="8"/>
        <v>45.5</v>
      </c>
      <c r="J107" s="4">
        <f t="shared" si="9"/>
        <v>3.441</v>
      </c>
      <c r="K107" s="9">
        <f t="shared" si="10"/>
        <v>-1.90000000000003</v>
      </c>
      <c r="L107" s="1">
        <f t="shared" si="11"/>
        <v>-24.8</v>
      </c>
    </row>
    <row r="108" s="1" customFormat="1" spans="1:12">
      <c r="A108" s="2">
        <v>3.508</v>
      </c>
      <c r="B108" s="10" t="s">
        <v>596</v>
      </c>
      <c r="C108" s="4">
        <v>3.508</v>
      </c>
      <c r="D108" s="5">
        <v>45.7</v>
      </c>
      <c r="E108" s="4"/>
      <c r="F108" s="4"/>
      <c r="G108" s="2">
        <f t="shared" si="6"/>
        <v>3.474</v>
      </c>
      <c r="H108" s="11" t="str">
        <f t="shared" si="7"/>
        <v>3.220E-2</v>
      </c>
      <c r="I108" s="2">
        <f t="shared" si="8"/>
        <v>45.6</v>
      </c>
      <c r="J108" s="4">
        <f t="shared" si="9"/>
        <v>3.474</v>
      </c>
      <c r="K108" s="9">
        <f t="shared" si="10"/>
        <v>-3.20000000000001</v>
      </c>
      <c r="L108" s="1">
        <f t="shared" si="11"/>
        <v>-24.8</v>
      </c>
    </row>
    <row r="109" s="1" customFormat="1" spans="1:12">
      <c r="A109" s="2">
        <v>3.541</v>
      </c>
      <c r="B109" s="10" t="s">
        <v>597</v>
      </c>
      <c r="C109" s="4">
        <v>3.541</v>
      </c>
      <c r="D109" s="5">
        <v>45.5</v>
      </c>
      <c r="E109" s="4"/>
      <c r="F109" s="4"/>
      <c r="G109" s="2">
        <f t="shared" si="6"/>
        <v>3.508</v>
      </c>
      <c r="H109" s="11" t="str">
        <f t="shared" si="7"/>
        <v>3.212E-2</v>
      </c>
      <c r="I109" s="2">
        <f t="shared" si="8"/>
        <v>45.7</v>
      </c>
      <c r="J109" s="4">
        <f t="shared" si="9"/>
        <v>3.508</v>
      </c>
      <c r="K109" s="9">
        <f t="shared" si="10"/>
        <v>-3.99999999999998</v>
      </c>
      <c r="L109" s="1">
        <f t="shared" si="11"/>
        <v>-24.8</v>
      </c>
    </row>
    <row r="110" s="1" customFormat="1" spans="1:12">
      <c r="A110" s="2">
        <v>3.575</v>
      </c>
      <c r="B110" s="10" t="s">
        <v>598</v>
      </c>
      <c r="C110" s="4">
        <v>3.575</v>
      </c>
      <c r="D110" s="5">
        <v>46.1</v>
      </c>
      <c r="E110" s="4"/>
      <c r="F110" s="4"/>
      <c r="G110" s="2">
        <f t="shared" si="6"/>
        <v>3.541</v>
      </c>
      <c r="H110" s="11" t="str">
        <f t="shared" si="7"/>
        <v>3.208E-2</v>
      </c>
      <c r="I110" s="2">
        <f t="shared" si="8"/>
        <v>45.5</v>
      </c>
      <c r="J110" s="4">
        <f t="shared" si="9"/>
        <v>3.541</v>
      </c>
      <c r="K110" s="9">
        <f t="shared" si="10"/>
        <v>-4.40000000000003</v>
      </c>
      <c r="L110" s="1">
        <f t="shared" si="11"/>
        <v>-24.8</v>
      </c>
    </row>
    <row r="111" s="1" customFormat="1" spans="1:12">
      <c r="A111" s="2">
        <v>3.608</v>
      </c>
      <c r="B111" s="10" t="s">
        <v>599</v>
      </c>
      <c r="C111" s="4">
        <v>3.608</v>
      </c>
      <c r="D111" s="5">
        <v>45.5</v>
      </c>
      <c r="E111" s="4"/>
      <c r="F111" s="4"/>
      <c r="G111" s="2">
        <f t="shared" si="6"/>
        <v>3.575</v>
      </c>
      <c r="H111" s="11" t="str">
        <f t="shared" si="7"/>
        <v>3.204E-2</v>
      </c>
      <c r="I111" s="2">
        <f t="shared" si="8"/>
        <v>46.1</v>
      </c>
      <c r="J111" s="4">
        <f t="shared" si="9"/>
        <v>3.575</v>
      </c>
      <c r="K111" s="9">
        <f t="shared" si="10"/>
        <v>-4.80000000000001</v>
      </c>
      <c r="L111" s="1">
        <f t="shared" si="11"/>
        <v>-24.8</v>
      </c>
    </row>
    <row r="112" s="1" customFormat="1" spans="1:12">
      <c r="A112" s="2">
        <v>3.641</v>
      </c>
      <c r="B112" s="10" t="s">
        <v>600</v>
      </c>
      <c r="C112" s="4">
        <v>3.641</v>
      </c>
      <c r="D112" s="5">
        <v>45.9</v>
      </c>
      <c r="E112" s="4"/>
      <c r="F112" s="4"/>
      <c r="G112" s="2">
        <f t="shared" si="6"/>
        <v>3.608</v>
      </c>
      <c r="H112" s="11" t="str">
        <f t="shared" si="7"/>
        <v>3.194E-2</v>
      </c>
      <c r="I112" s="2">
        <f t="shared" si="8"/>
        <v>45.5</v>
      </c>
      <c r="J112" s="4">
        <f t="shared" si="9"/>
        <v>3.608</v>
      </c>
      <c r="K112" s="9">
        <f t="shared" si="10"/>
        <v>-5.79999999999997</v>
      </c>
      <c r="L112" s="1">
        <f t="shared" si="11"/>
        <v>-24.8</v>
      </c>
    </row>
    <row r="113" s="1" customFormat="1" spans="1:12">
      <c r="A113" s="2">
        <v>3.675</v>
      </c>
      <c r="B113" s="10" t="s">
        <v>601</v>
      </c>
      <c r="C113" s="4">
        <v>3.675</v>
      </c>
      <c r="D113" s="5">
        <v>45.7</v>
      </c>
      <c r="E113" s="4"/>
      <c r="F113" s="4"/>
      <c r="G113" s="2">
        <f t="shared" si="6"/>
        <v>3.641</v>
      </c>
      <c r="H113" s="11" t="str">
        <f t="shared" si="7"/>
        <v>3.189E-2</v>
      </c>
      <c r="I113" s="2">
        <f t="shared" si="8"/>
        <v>45.9</v>
      </c>
      <c r="J113" s="4">
        <f t="shared" si="9"/>
        <v>3.641</v>
      </c>
      <c r="K113" s="9">
        <f t="shared" si="10"/>
        <v>-6.29999999999999</v>
      </c>
      <c r="L113" s="1">
        <f t="shared" si="11"/>
        <v>-24.8</v>
      </c>
    </row>
    <row r="114" s="1" customFormat="1" spans="1:12">
      <c r="A114" s="2">
        <v>3.708</v>
      </c>
      <c r="B114" s="10" t="s">
        <v>602</v>
      </c>
      <c r="C114" s="4">
        <v>3.708</v>
      </c>
      <c r="D114" s="5">
        <v>45.8</v>
      </c>
      <c r="E114" s="4"/>
      <c r="F114" s="4"/>
      <c r="G114" s="2">
        <f t="shared" si="6"/>
        <v>3.675</v>
      </c>
      <c r="H114" s="11" t="str">
        <f t="shared" si="7"/>
        <v>3.186E-2</v>
      </c>
      <c r="I114" s="2">
        <f t="shared" si="8"/>
        <v>45.7</v>
      </c>
      <c r="J114" s="4">
        <f t="shared" si="9"/>
        <v>3.675</v>
      </c>
      <c r="K114" s="9">
        <f t="shared" si="10"/>
        <v>-6.60000000000001</v>
      </c>
      <c r="L114" s="1">
        <f t="shared" si="11"/>
        <v>-24.8</v>
      </c>
    </row>
    <row r="115" s="1" customFormat="1" spans="1:12">
      <c r="A115" s="2">
        <v>3.742</v>
      </c>
      <c r="B115" s="10" t="s">
        <v>603</v>
      </c>
      <c r="C115" s="4">
        <v>3.742</v>
      </c>
      <c r="D115" s="5">
        <v>45.7</v>
      </c>
      <c r="E115" s="4"/>
      <c r="F115" s="4"/>
      <c r="G115" s="2">
        <f t="shared" si="6"/>
        <v>3.708</v>
      </c>
      <c r="H115" s="11" t="str">
        <f t="shared" si="7"/>
        <v>3.185E-2</v>
      </c>
      <c r="I115" s="2">
        <f t="shared" si="8"/>
        <v>45.8</v>
      </c>
      <c r="J115" s="4">
        <f t="shared" si="9"/>
        <v>3.708</v>
      </c>
      <c r="K115" s="9">
        <f t="shared" si="10"/>
        <v>-6.69999999999997</v>
      </c>
      <c r="L115" s="1">
        <f t="shared" si="11"/>
        <v>-24.8</v>
      </c>
    </row>
    <row r="116" s="1" customFormat="1" spans="1:12">
      <c r="A116" s="2">
        <v>3.775</v>
      </c>
      <c r="B116" s="10" t="s">
        <v>603</v>
      </c>
      <c r="C116" s="4">
        <v>3.775</v>
      </c>
      <c r="D116" s="5">
        <v>45.5</v>
      </c>
      <c r="E116" s="4"/>
      <c r="F116" s="4"/>
      <c r="G116" s="2">
        <f t="shared" si="6"/>
        <v>3.742</v>
      </c>
      <c r="H116" s="11" t="str">
        <f t="shared" si="7"/>
        <v>3.187E-2</v>
      </c>
      <c r="I116" s="2">
        <f t="shared" si="8"/>
        <v>45.7</v>
      </c>
      <c r="J116" s="4">
        <f t="shared" si="9"/>
        <v>3.742</v>
      </c>
      <c r="K116" s="9">
        <f t="shared" si="10"/>
        <v>-6.49999999999998</v>
      </c>
      <c r="L116" s="1">
        <f t="shared" si="11"/>
        <v>-24.8</v>
      </c>
    </row>
    <row r="117" s="1" customFormat="1" spans="1:12">
      <c r="A117" s="2">
        <v>3.808</v>
      </c>
      <c r="B117" s="10" t="s">
        <v>600</v>
      </c>
      <c r="C117" s="4">
        <v>3.808</v>
      </c>
      <c r="D117" s="5">
        <v>250.5</v>
      </c>
      <c r="E117" s="4"/>
      <c r="F117" s="4"/>
      <c r="G117" s="2">
        <f t="shared" si="6"/>
        <v>3.775</v>
      </c>
      <c r="H117" s="11" t="str">
        <f t="shared" si="7"/>
        <v>3.187E-2</v>
      </c>
      <c r="I117" s="2">
        <f t="shared" si="8"/>
        <v>45.5</v>
      </c>
      <c r="J117" s="4">
        <f t="shared" si="9"/>
        <v>3.775</v>
      </c>
      <c r="K117" s="9">
        <f t="shared" si="10"/>
        <v>-6.49999999999998</v>
      </c>
      <c r="L117" s="1">
        <f t="shared" si="11"/>
        <v>-24.8</v>
      </c>
    </row>
    <row r="118" s="1" customFormat="1" spans="1:12">
      <c r="A118" s="2">
        <v>3.842</v>
      </c>
      <c r="B118" s="10" t="s">
        <v>604</v>
      </c>
      <c r="C118" s="4">
        <v>3.842</v>
      </c>
      <c r="D118" s="5">
        <v>253.7</v>
      </c>
      <c r="E118" s="4"/>
      <c r="F118" s="4"/>
      <c r="G118" s="2">
        <f t="shared" si="6"/>
        <v>3.808</v>
      </c>
      <c r="H118" s="11" t="str">
        <f t="shared" si="7"/>
        <v>3.189E-2</v>
      </c>
      <c r="I118" s="2">
        <f t="shared" si="8"/>
        <v>250.5</v>
      </c>
      <c r="J118" s="4">
        <f t="shared" si="9"/>
        <v>3.808</v>
      </c>
      <c r="K118" s="9">
        <f t="shared" si="10"/>
        <v>-6.29999999999999</v>
      </c>
      <c r="L118" s="1">
        <f t="shared" si="11"/>
        <v>13.5</v>
      </c>
    </row>
    <row r="119" s="1" customFormat="1" spans="1:12">
      <c r="A119" s="2">
        <v>3.875</v>
      </c>
      <c r="B119" s="10" t="s">
        <v>599</v>
      </c>
      <c r="C119" s="4">
        <v>3.875</v>
      </c>
      <c r="D119" s="5">
        <v>253.7</v>
      </c>
      <c r="E119" s="4"/>
      <c r="F119" s="4"/>
      <c r="G119" s="2">
        <f t="shared" si="6"/>
        <v>3.842</v>
      </c>
      <c r="H119" s="11" t="str">
        <f t="shared" si="7"/>
        <v>3.191E-2</v>
      </c>
      <c r="I119" s="2">
        <f t="shared" si="8"/>
        <v>253.7</v>
      </c>
      <c r="J119" s="4">
        <f t="shared" si="9"/>
        <v>3.842</v>
      </c>
      <c r="K119" s="9">
        <f t="shared" si="10"/>
        <v>-6.09999999999999</v>
      </c>
      <c r="L119" s="1">
        <f t="shared" si="11"/>
        <v>13.5</v>
      </c>
    </row>
    <row r="120" s="1" customFormat="1" spans="1:12">
      <c r="A120" s="2">
        <v>3.909</v>
      </c>
      <c r="B120" s="10" t="s">
        <v>605</v>
      </c>
      <c r="C120" s="4">
        <v>3.909</v>
      </c>
      <c r="D120" s="5">
        <v>253.7</v>
      </c>
      <c r="E120" s="4"/>
      <c r="F120" s="4"/>
      <c r="G120" s="2">
        <f t="shared" si="6"/>
        <v>3.875</v>
      </c>
      <c r="H120" s="11" t="str">
        <f t="shared" si="7"/>
        <v>3.194E-2</v>
      </c>
      <c r="I120" s="2">
        <f t="shared" si="8"/>
        <v>253.7</v>
      </c>
      <c r="J120" s="4">
        <f t="shared" si="9"/>
        <v>3.875</v>
      </c>
      <c r="K120" s="9">
        <f t="shared" si="10"/>
        <v>-5.79999999999997</v>
      </c>
      <c r="L120" s="1">
        <f t="shared" si="11"/>
        <v>13.5</v>
      </c>
    </row>
    <row r="121" s="1" customFormat="1" spans="1:12">
      <c r="A121" s="2">
        <v>3.942</v>
      </c>
      <c r="B121" s="10" t="s">
        <v>606</v>
      </c>
      <c r="C121" s="4">
        <v>3.942</v>
      </c>
      <c r="D121" s="5">
        <v>253.7</v>
      </c>
      <c r="E121" s="4"/>
      <c r="F121" s="4"/>
      <c r="G121" s="2">
        <f t="shared" si="6"/>
        <v>3.909</v>
      </c>
      <c r="H121" s="11" t="str">
        <f t="shared" si="7"/>
        <v>3.198E-2</v>
      </c>
      <c r="I121" s="2">
        <f t="shared" si="8"/>
        <v>253.7</v>
      </c>
      <c r="J121" s="4">
        <f t="shared" si="9"/>
        <v>3.909</v>
      </c>
      <c r="K121" s="9">
        <f t="shared" si="10"/>
        <v>-5.39999999999999</v>
      </c>
      <c r="L121" s="1">
        <f t="shared" si="11"/>
        <v>13.5</v>
      </c>
    </row>
    <row r="122" s="1" customFormat="1" spans="1:12">
      <c r="A122" s="2">
        <v>3.975</v>
      </c>
      <c r="B122" s="10" t="s">
        <v>607</v>
      </c>
      <c r="C122" s="4">
        <v>3.975</v>
      </c>
      <c r="D122" s="5">
        <v>253.7</v>
      </c>
      <c r="E122" s="4"/>
      <c r="F122" s="4"/>
      <c r="G122" s="2">
        <f t="shared" si="6"/>
        <v>3.942</v>
      </c>
      <c r="H122" s="11" t="str">
        <f t="shared" si="7"/>
        <v>3.203E-2</v>
      </c>
      <c r="I122" s="2">
        <f t="shared" si="8"/>
        <v>253.7</v>
      </c>
      <c r="J122" s="4">
        <f t="shared" si="9"/>
        <v>3.942</v>
      </c>
      <c r="K122" s="9">
        <f t="shared" si="10"/>
        <v>-4.89999999999997</v>
      </c>
      <c r="L122" s="1">
        <f t="shared" si="11"/>
        <v>13.5</v>
      </c>
    </row>
    <row r="123" s="1" customFormat="1" spans="1:12">
      <c r="A123" s="2">
        <v>4.009</v>
      </c>
      <c r="B123" s="10" t="s">
        <v>608</v>
      </c>
      <c r="C123" s="4">
        <v>4.009</v>
      </c>
      <c r="D123" s="5">
        <v>253.8</v>
      </c>
      <c r="E123" s="4"/>
      <c r="F123" s="4"/>
      <c r="G123" s="2">
        <f t="shared" si="6"/>
        <v>3.975</v>
      </c>
      <c r="H123" s="11" t="str">
        <f t="shared" si="7"/>
        <v>3.213E-2</v>
      </c>
      <c r="I123" s="2">
        <f t="shared" si="8"/>
        <v>253.7</v>
      </c>
      <c r="J123" s="4">
        <f t="shared" si="9"/>
        <v>3.975</v>
      </c>
      <c r="K123" s="9">
        <f t="shared" si="10"/>
        <v>-3.90000000000001</v>
      </c>
      <c r="L123" s="1">
        <f t="shared" si="11"/>
        <v>13.5</v>
      </c>
    </row>
    <row r="124" s="1" customFormat="1" spans="1:12">
      <c r="A124" s="2">
        <v>4.042</v>
      </c>
      <c r="B124" s="10" t="s">
        <v>609</v>
      </c>
      <c r="C124" s="4">
        <v>4.042</v>
      </c>
      <c r="D124" s="5">
        <v>253.8</v>
      </c>
      <c r="E124" s="4"/>
      <c r="F124" s="4"/>
      <c r="G124" s="2">
        <f t="shared" si="6"/>
        <v>4.009</v>
      </c>
      <c r="H124" s="11" t="str">
        <f t="shared" si="7"/>
        <v>3.226E-2</v>
      </c>
      <c r="I124" s="2">
        <f t="shared" si="8"/>
        <v>253.8</v>
      </c>
      <c r="J124" s="4">
        <f t="shared" si="9"/>
        <v>4.009</v>
      </c>
      <c r="K124" s="9">
        <f t="shared" si="10"/>
        <v>-2.60000000000003</v>
      </c>
      <c r="L124" s="1">
        <f t="shared" si="11"/>
        <v>13.5</v>
      </c>
    </row>
    <row r="125" s="1" customFormat="1" spans="1:12">
      <c r="A125" s="2">
        <v>4.076</v>
      </c>
      <c r="B125" s="10" t="s">
        <v>586</v>
      </c>
      <c r="C125" s="4">
        <v>4.076</v>
      </c>
      <c r="D125" s="5">
        <v>253.8</v>
      </c>
      <c r="E125" s="4"/>
      <c r="F125" s="4"/>
      <c r="G125" s="2">
        <f t="shared" si="6"/>
        <v>4.042</v>
      </c>
      <c r="H125" s="11" t="str">
        <f t="shared" si="7"/>
        <v>3.240E-2</v>
      </c>
      <c r="I125" s="2">
        <f t="shared" si="8"/>
        <v>253.8</v>
      </c>
      <c r="J125" s="4">
        <f t="shared" si="9"/>
        <v>4.042</v>
      </c>
      <c r="K125" s="9">
        <f t="shared" si="10"/>
        <v>-1.20000000000002</v>
      </c>
      <c r="L125" s="1">
        <f t="shared" si="11"/>
        <v>13.5</v>
      </c>
    </row>
    <row r="126" s="1" customFormat="1" spans="1:12">
      <c r="A126" s="2">
        <v>4.109</v>
      </c>
      <c r="B126" s="10" t="s">
        <v>610</v>
      </c>
      <c r="C126" s="4">
        <v>4.109</v>
      </c>
      <c r="D126" s="5">
        <v>253.8</v>
      </c>
      <c r="E126" s="4"/>
      <c r="F126" s="4"/>
      <c r="G126" s="2">
        <f t="shared" si="6"/>
        <v>4.076</v>
      </c>
      <c r="H126" s="11" t="str">
        <f t="shared" si="7"/>
        <v>3.254E-2</v>
      </c>
      <c r="I126" s="2">
        <f t="shared" si="8"/>
        <v>253.8</v>
      </c>
      <c r="J126" s="4">
        <f t="shared" si="9"/>
        <v>4.076</v>
      </c>
      <c r="K126" s="9">
        <f t="shared" si="10"/>
        <v>0.199999999999992</v>
      </c>
      <c r="L126" s="1">
        <f t="shared" si="11"/>
        <v>13.5</v>
      </c>
    </row>
    <row r="127" s="1" customFormat="1" spans="1:12">
      <c r="A127" s="2">
        <v>4.143</v>
      </c>
      <c r="B127" s="10" t="s">
        <v>611</v>
      </c>
      <c r="C127" s="4">
        <v>4.143</v>
      </c>
      <c r="D127" s="5">
        <v>253.8</v>
      </c>
      <c r="E127" s="4"/>
      <c r="F127" s="4"/>
      <c r="G127" s="2">
        <f t="shared" si="6"/>
        <v>4.109</v>
      </c>
      <c r="H127" s="11" t="str">
        <f t="shared" si="7"/>
        <v>3.263E-2</v>
      </c>
      <c r="I127" s="2">
        <f t="shared" si="8"/>
        <v>253.8</v>
      </c>
      <c r="J127" s="4">
        <f t="shared" si="9"/>
        <v>4.109</v>
      </c>
      <c r="K127" s="9">
        <f t="shared" si="10"/>
        <v>1.09999999999999</v>
      </c>
      <c r="L127" s="1">
        <f t="shared" si="11"/>
        <v>13.5</v>
      </c>
    </row>
    <row r="128" s="1" customFormat="1" spans="1:12">
      <c r="A128" s="2">
        <v>4.176</v>
      </c>
      <c r="B128" s="10" t="s">
        <v>612</v>
      </c>
      <c r="C128" s="4">
        <v>4.176</v>
      </c>
      <c r="D128" s="5">
        <v>253.8</v>
      </c>
      <c r="E128" s="4"/>
      <c r="F128" s="4"/>
      <c r="G128" s="2">
        <f t="shared" si="6"/>
        <v>4.143</v>
      </c>
      <c r="H128" s="11" t="str">
        <f t="shared" si="7"/>
        <v>3.269E-2</v>
      </c>
      <c r="I128" s="2">
        <f t="shared" si="8"/>
        <v>253.8</v>
      </c>
      <c r="J128" s="4">
        <f t="shared" si="9"/>
        <v>4.143</v>
      </c>
      <c r="K128" s="9">
        <f t="shared" si="10"/>
        <v>1.69999999999997</v>
      </c>
      <c r="L128" s="1">
        <f t="shared" si="11"/>
        <v>13.5</v>
      </c>
    </row>
    <row r="129" s="1" customFormat="1" spans="1:12">
      <c r="A129" s="2">
        <v>4.209</v>
      </c>
      <c r="B129" s="10" t="s">
        <v>613</v>
      </c>
      <c r="C129" s="4">
        <v>4.209</v>
      </c>
      <c r="D129" s="5">
        <v>253.8</v>
      </c>
      <c r="E129" s="4"/>
      <c r="F129" s="4"/>
      <c r="G129" s="2">
        <f t="shared" si="6"/>
        <v>4.176</v>
      </c>
      <c r="H129" s="11" t="str">
        <f t="shared" si="7"/>
        <v>3.283E-2</v>
      </c>
      <c r="I129" s="2">
        <f t="shared" si="8"/>
        <v>253.8</v>
      </c>
      <c r="J129" s="4">
        <f t="shared" si="9"/>
        <v>4.176</v>
      </c>
      <c r="K129" s="9">
        <f t="shared" si="10"/>
        <v>3.09999999999998</v>
      </c>
      <c r="L129" s="1">
        <f t="shared" si="11"/>
        <v>13.5</v>
      </c>
    </row>
    <row r="130" s="1" customFormat="1" spans="1:12">
      <c r="A130" s="2">
        <v>4.243</v>
      </c>
      <c r="B130" s="10" t="s">
        <v>614</v>
      </c>
      <c r="C130" s="4">
        <v>4.243</v>
      </c>
      <c r="D130" s="5">
        <v>253.8</v>
      </c>
      <c r="E130" s="4"/>
      <c r="F130" s="4"/>
      <c r="G130" s="2">
        <f t="shared" si="6"/>
        <v>4.209</v>
      </c>
      <c r="H130" s="11" t="str">
        <f t="shared" si="7"/>
        <v>3.291E-2</v>
      </c>
      <c r="I130" s="2">
        <f t="shared" si="8"/>
        <v>253.8</v>
      </c>
      <c r="J130" s="4">
        <f t="shared" si="9"/>
        <v>4.209</v>
      </c>
      <c r="K130" s="9">
        <f t="shared" si="10"/>
        <v>3.90000000000001</v>
      </c>
      <c r="L130" s="1">
        <f t="shared" si="11"/>
        <v>13.5</v>
      </c>
    </row>
    <row r="131" s="1" customFormat="1" spans="1:12">
      <c r="A131" s="2">
        <v>4.276</v>
      </c>
      <c r="B131" s="10" t="s">
        <v>614</v>
      </c>
      <c r="C131" s="4">
        <v>4.276</v>
      </c>
      <c r="D131" s="5">
        <v>253.8</v>
      </c>
      <c r="E131" s="4"/>
      <c r="F131" s="4"/>
      <c r="G131" s="2">
        <f t="shared" si="6"/>
        <v>4.243</v>
      </c>
      <c r="H131" s="11" t="str">
        <f t="shared" si="7"/>
        <v>3.297E-2</v>
      </c>
      <c r="I131" s="2">
        <f t="shared" si="8"/>
        <v>253.8</v>
      </c>
      <c r="J131" s="4">
        <f t="shared" si="9"/>
        <v>4.243</v>
      </c>
      <c r="K131" s="9">
        <f t="shared" si="10"/>
        <v>4.49999999999999</v>
      </c>
      <c r="L131" s="1">
        <f t="shared" si="11"/>
        <v>13.5</v>
      </c>
    </row>
    <row r="132" s="1" customFormat="1" spans="1:12">
      <c r="A132" s="2">
        <v>4.31</v>
      </c>
      <c r="B132" s="10" t="s">
        <v>615</v>
      </c>
      <c r="C132" s="4">
        <v>4.31</v>
      </c>
      <c r="D132" s="5">
        <v>253.8</v>
      </c>
      <c r="E132" s="4"/>
      <c r="F132" s="4"/>
      <c r="G132" s="2">
        <f t="shared" ref="G132:G195" si="12">A131</f>
        <v>4.276</v>
      </c>
      <c r="H132" s="11" t="str">
        <f t="shared" ref="H132:H195" si="13">B131</f>
        <v>3.297E-2</v>
      </c>
      <c r="I132" s="2">
        <f t="shared" ref="I132:I195" si="14">D131</f>
        <v>253.8</v>
      </c>
      <c r="J132" s="4">
        <f t="shared" ref="J132:J195" si="15">G132</f>
        <v>4.276</v>
      </c>
      <c r="K132" s="9">
        <f t="shared" ref="K132:K195" si="16">(H132-$H$4)*10000</f>
        <v>4.49999999999999</v>
      </c>
      <c r="L132" s="1">
        <f t="shared" ref="L132:L195" si="17">IF(I132&lt;230,MIN(K:K),MAX(K:K))</f>
        <v>13.5</v>
      </c>
    </row>
    <row r="133" s="1" customFormat="1" spans="1:12">
      <c r="A133" s="2">
        <v>4.343</v>
      </c>
      <c r="B133" s="10" t="s">
        <v>616</v>
      </c>
      <c r="C133" s="4">
        <v>4.343</v>
      </c>
      <c r="D133" s="5">
        <v>253.8</v>
      </c>
      <c r="E133" s="4"/>
      <c r="F133" s="4"/>
      <c r="G133" s="2">
        <f t="shared" si="12"/>
        <v>4.31</v>
      </c>
      <c r="H133" s="11" t="str">
        <f t="shared" si="13"/>
        <v>3.298E-2</v>
      </c>
      <c r="I133" s="2">
        <f t="shared" si="14"/>
        <v>253.8</v>
      </c>
      <c r="J133" s="4">
        <f t="shared" si="15"/>
        <v>4.31</v>
      </c>
      <c r="K133" s="9">
        <f t="shared" si="16"/>
        <v>4.60000000000002</v>
      </c>
      <c r="L133" s="1">
        <f t="shared" si="17"/>
        <v>13.5</v>
      </c>
    </row>
    <row r="134" s="1" customFormat="1" spans="1:12">
      <c r="A134" s="2">
        <v>4.376</v>
      </c>
      <c r="B134" s="10" t="s">
        <v>617</v>
      </c>
      <c r="C134" s="4">
        <v>4.376</v>
      </c>
      <c r="D134" s="5">
        <v>253.8</v>
      </c>
      <c r="E134" s="4"/>
      <c r="F134" s="4"/>
      <c r="G134" s="2">
        <f t="shared" si="12"/>
        <v>4.343</v>
      </c>
      <c r="H134" s="11" t="str">
        <f t="shared" si="13"/>
        <v>3.309E-2</v>
      </c>
      <c r="I134" s="2">
        <f t="shared" si="14"/>
        <v>253.8</v>
      </c>
      <c r="J134" s="4">
        <f t="shared" si="15"/>
        <v>4.343</v>
      </c>
      <c r="K134" s="9">
        <f t="shared" si="16"/>
        <v>5.70000000000001</v>
      </c>
      <c r="L134" s="1">
        <f t="shared" si="17"/>
        <v>13.5</v>
      </c>
    </row>
    <row r="135" s="1" customFormat="1" spans="1:12">
      <c r="A135" s="2">
        <v>4.41</v>
      </c>
      <c r="B135" s="10" t="s">
        <v>618</v>
      </c>
      <c r="C135" s="4">
        <v>4.41</v>
      </c>
      <c r="D135" s="5">
        <v>254</v>
      </c>
      <c r="E135" s="4"/>
      <c r="F135" s="4"/>
      <c r="G135" s="2">
        <f t="shared" si="12"/>
        <v>4.376</v>
      </c>
      <c r="H135" s="11" t="str">
        <f t="shared" si="13"/>
        <v>3.311E-2</v>
      </c>
      <c r="I135" s="2">
        <f t="shared" si="14"/>
        <v>253.8</v>
      </c>
      <c r="J135" s="4">
        <f t="shared" si="15"/>
        <v>4.376</v>
      </c>
      <c r="K135" s="9">
        <f t="shared" si="16"/>
        <v>5.9</v>
      </c>
      <c r="L135" s="1">
        <f t="shared" si="17"/>
        <v>13.5</v>
      </c>
    </row>
    <row r="136" s="1" customFormat="1" spans="1:12">
      <c r="A136" s="2">
        <v>4.443</v>
      </c>
      <c r="B136" s="10" t="s">
        <v>619</v>
      </c>
      <c r="C136" s="4">
        <v>4.443</v>
      </c>
      <c r="D136" s="5">
        <v>67.8</v>
      </c>
      <c r="E136" s="4"/>
      <c r="F136" s="4"/>
      <c r="G136" s="2">
        <f t="shared" si="12"/>
        <v>4.41</v>
      </c>
      <c r="H136" s="11" t="str">
        <f t="shared" si="13"/>
        <v>3.312E-2</v>
      </c>
      <c r="I136" s="2">
        <f t="shared" si="14"/>
        <v>254</v>
      </c>
      <c r="J136" s="4">
        <f t="shared" si="15"/>
        <v>4.41</v>
      </c>
      <c r="K136" s="9">
        <f t="shared" si="16"/>
        <v>5.99999999999996</v>
      </c>
      <c r="L136" s="1">
        <f t="shared" si="17"/>
        <v>13.5</v>
      </c>
    </row>
    <row r="137" s="1" customFormat="1" spans="1:12">
      <c r="A137" s="2">
        <v>4.477</v>
      </c>
      <c r="B137" s="10" t="s">
        <v>620</v>
      </c>
      <c r="C137" s="4">
        <v>4.477</v>
      </c>
      <c r="D137" s="5">
        <v>67.4</v>
      </c>
      <c r="E137" s="4"/>
      <c r="F137" s="4"/>
      <c r="G137" s="2">
        <f t="shared" si="12"/>
        <v>4.443</v>
      </c>
      <c r="H137" s="11" t="str">
        <f t="shared" si="13"/>
        <v>3.310E-2</v>
      </c>
      <c r="I137" s="2">
        <f t="shared" si="14"/>
        <v>67.8</v>
      </c>
      <c r="J137" s="4">
        <f t="shared" si="15"/>
        <v>4.443</v>
      </c>
      <c r="K137" s="9">
        <f t="shared" si="16"/>
        <v>5.79999999999997</v>
      </c>
      <c r="L137" s="1">
        <f t="shared" si="17"/>
        <v>-24.8</v>
      </c>
    </row>
    <row r="138" s="1" customFormat="1" spans="1:12">
      <c r="A138" s="2">
        <v>4.51</v>
      </c>
      <c r="B138" s="10" t="s">
        <v>621</v>
      </c>
      <c r="C138" s="4">
        <v>4.51</v>
      </c>
      <c r="D138" s="5">
        <v>67</v>
      </c>
      <c r="E138" s="4"/>
      <c r="F138" s="4"/>
      <c r="G138" s="2">
        <f t="shared" si="12"/>
        <v>4.477</v>
      </c>
      <c r="H138" s="11" t="str">
        <f t="shared" si="13"/>
        <v>3.306E-2</v>
      </c>
      <c r="I138" s="2">
        <f t="shared" si="14"/>
        <v>67.4</v>
      </c>
      <c r="J138" s="4">
        <f t="shared" si="15"/>
        <v>4.477</v>
      </c>
      <c r="K138" s="9">
        <f t="shared" si="16"/>
        <v>5.39999999999999</v>
      </c>
      <c r="L138" s="1">
        <f t="shared" si="17"/>
        <v>-24.8</v>
      </c>
    </row>
    <row r="139" s="1" customFormat="1" spans="1:12">
      <c r="A139" s="2">
        <v>4.543</v>
      </c>
      <c r="B139" s="10" t="s">
        <v>622</v>
      </c>
      <c r="C139" s="4">
        <v>4.543</v>
      </c>
      <c r="D139" s="5">
        <v>66.3</v>
      </c>
      <c r="E139" s="4"/>
      <c r="F139" s="4"/>
      <c r="G139" s="2">
        <f t="shared" si="12"/>
        <v>4.51</v>
      </c>
      <c r="H139" s="11" t="str">
        <f t="shared" si="13"/>
        <v>3.302E-2</v>
      </c>
      <c r="I139" s="2">
        <f t="shared" si="14"/>
        <v>67</v>
      </c>
      <c r="J139" s="4">
        <f t="shared" si="15"/>
        <v>4.51</v>
      </c>
      <c r="K139" s="9">
        <f t="shared" si="16"/>
        <v>5</v>
      </c>
      <c r="L139" s="1">
        <f t="shared" si="17"/>
        <v>-24.8</v>
      </c>
    </row>
    <row r="140" s="1" customFormat="1" spans="1:12">
      <c r="A140" s="2">
        <v>4.577</v>
      </c>
      <c r="B140" s="10" t="s">
        <v>623</v>
      </c>
      <c r="C140" s="4">
        <v>4.577</v>
      </c>
      <c r="D140" s="5">
        <v>66</v>
      </c>
      <c r="E140" s="4"/>
      <c r="F140" s="4"/>
      <c r="G140" s="2">
        <f t="shared" si="12"/>
        <v>4.543</v>
      </c>
      <c r="H140" s="11" t="str">
        <f t="shared" si="13"/>
        <v>3.294E-2</v>
      </c>
      <c r="I140" s="2">
        <f t="shared" si="14"/>
        <v>66.3</v>
      </c>
      <c r="J140" s="4">
        <f t="shared" si="15"/>
        <v>4.543</v>
      </c>
      <c r="K140" s="9">
        <f t="shared" si="16"/>
        <v>4.19999999999997</v>
      </c>
      <c r="L140" s="1">
        <f t="shared" si="17"/>
        <v>-24.8</v>
      </c>
    </row>
    <row r="141" s="1" customFormat="1" spans="1:12">
      <c r="A141" s="2">
        <v>4.61</v>
      </c>
      <c r="B141" s="10" t="s">
        <v>624</v>
      </c>
      <c r="C141" s="4">
        <v>4.61</v>
      </c>
      <c r="D141" s="5">
        <v>65.1</v>
      </c>
      <c r="E141" s="4"/>
      <c r="F141" s="4"/>
      <c r="G141" s="2">
        <f t="shared" si="12"/>
        <v>4.577</v>
      </c>
      <c r="H141" s="11" t="str">
        <f t="shared" si="13"/>
        <v>3.279E-2</v>
      </c>
      <c r="I141" s="2">
        <f t="shared" si="14"/>
        <v>66</v>
      </c>
      <c r="J141" s="4">
        <f t="shared" si="15"/>
        <v>4.577</v>
      </c>
      <c r="K141" s="9">
        <f t="shared" si="16"/>
        <v>2.69999999999999</v>
      </c>
      <c r="L141" s="1">
        <f t="shared" si="17"/>
        <v>-24.8</v>
      </c>
    </row>
    <row r="142" s="1" customFormat="1" spans="1:12">
      <c r="A142" s="2">
        <v>4.644</v>
      </c>
      <c r="B142" s="10" t="s">
        <v>584</v>
      </c>
      <c r="C142" s="4">
        <v>4.644</v>
      </c>
      <c r="D142" s="5">
        <v>64.8</v>
      </c>
      <c r="E142" s="4"/>
      <c r="F142" s="4"/>
      <c r="G142" s="2">
        <f t="shared" si="12"/>
        <v>4.61</v>
      </c>
      <c r="H142" s="11" t="str">
        <f t="shared" si="13"/>
        <v>3.265E-2</v>
      </c>
      <c r="I142" s="2">
        <f t="shared" si="14"/>
        <v>65.1</v>
      </c>
      <c r="J142" s="4">
        <f t="shared" si="15"/>
        <v>4.61</v>
      </c>
      <c r="K142" s="9">
        <f t="shared" si="16"/>
        <v>1.29999999999998</v>
      </c>
      <c r="L142" s="1">
        <f t="shared" si="17"/>
        <v>-24.8</v>
      </c>
    </row>
    <row r="143" s="1" customFormat="1" spans="1:12">
      <c r="A143" s="2">
        <v>4.677</v>
      </c>
      <c r="B143" s="10" t="s">
        <v>625</v>
      </c>
      <c r="C143" s="4">
        <v>4.677</v>
      </c>
      <c r="D143" s="5">
        <v>63.8</v>
      </c>
      <c r="E143" s="4"/>
      <c r="F143" s="4"/>
      <c r="G143" s="2">
        <f t="shared" si="12"/>
        <v>4.644</v>
      </c>
      <c r="H143" s="11" t="str">
        <f t="shared" si="13"/>
        <v>3.246E-2</v>
      </c>
      <c r="I143" s="2">
        <f t="shared" si="14"/>
        <v>64.8</v>
      </c>
      <c r="J143" s="4">
        <f t="shared" si="15"/>
        <v>4.644</v>
      </c>
      <c r="K143" s="9">
        <f t="shared" si="16"/>
        <v>-0.599999999999976</v>
      </c>
      <c r="L143" s="1">
        <f t="shared" si="17"/>
        <v>-24.8</v>
      </c>
    </row>
    <row r="144" s="1" customFormat="1" spans="1:12">
      <c r="A144" s="2">
        <v>4.71</v>
      </c>
      <c r="B144" s="10" t="s">
        <v>626</v>
      </c>
      <c r="C144" s="4">
        <v>4.71</v>
      </c>
      <c r="D144" s="5">
        <v>63.7</v>
      </c>
      <c r="E144" s="4"/>
      <c r="F144" s="4"/>
      <c r="G144" s="2">
        <f t="shared" si="12"/>
        <v>4.677</v>
      </c>
      <c r="H144" s="11" t="str">
        <f t="shared" si="13"/>
        <v>3.227E-2</v>
      </c>
      <c r="I144" s="2">
        <f t="shared" si="14"/>
        <v>63.8</v>
      </c>
      <c r="J144" s="4">
        <f t="shared" si="15"/>
        <v>4.677</v>
      </c>
      <c r="K144" s="9">
        <f t="shared" si="16"/>
        <v>-2.5</v>
      </c>
      <c r="L144" s="1">
        <f t="shared" si="17"/>
        <v>-24.8</v>
      </c>
    </row>
    <row r="145" s="1" customFormat="1" spans="1:12">
      <c r="A145" s="2">
        <v>4.744</v>
      </c>
      <c r="B145" s="10" t="s">
        <v>627</v>
      </c>
      <c r="C145" s="4">
        <v>4.744</v>
      </c>
      <c r="D145" s="5">
        <v>62.4</v>
      </c>
      <c r="E145" s="4"/>
      <c r="F145" s="4"/>
      <c r="G145" s="2">
        <f t="shared" si="12"/>
        <v>4.71</v>
      </c>
      <c r="H145" s="11" t="str">
        <f t="shared" si="13"/>
        <v>3.206E-2</v>
      </c>
      <c r="I145" s="2">
        <f t="shared" si="14"/>
        <v>63.7</v>
      </c>
      <c r="J145" s="4">
        <f t="shared" si="15"/>
        <v>4.71</v>
      </c>
      <c r="K145" s="9">
        <f t="shared" si="16"/>
        <v>-4.60000000000002</v>
      </c>
      <c r="L145" s="1">
        <f t="shared" si="17"/>
        <v>-24.8</v>
      </c>
    </row>
    <row r="146" s="1" customFormat="1" spans="1:12">
      <c r="A146" s="2">
        <v>4.777</v>
      </c>
      <c r="B146" s="10" t="s">
        <v>628</v>
      </c>
      <c r="C146" s="4">
        <v>4.777</v>
      </c>
      <c r="D146" s="5">
        <v>61</v>
      </c>
      <c r="E146" s="4"/>
      <c r="F146" s="4"/>
      <c r="G146" s="2">
        <f t="shared" si="12"/>
        <v>4.744</v>
      </c>
      <c r="H146" s="11" t="str">
        <f t="shared" si="13"/>
        <v>3.182E-2</v>
      </c>
      <c r="I146" s="2">
        <f t="shared" si="14"/>
        <v>62.4</v>
      </c>
      <c r="J146" s="4">
        <f t="shared" si="15"/>
        <v>4.744</v>
      </c>
      <c r="K146" s="9">
        <f t="shared" si="16"/>
        <v>-6.99999999999999</v>
      </c>
      <c r="L146" s="1">
        <f t="shared" si="17"/>
        <v>-24.8</v>
      </c>
    </row>
    <row r="147" s="1" customFormat="1" spans="1:12">
      <c r="A147" s="2">
        <v>4.811</v>
      </c>
      <c r="B147" s="10" t="s">
        <v>629</v>
      </c>
      <c r="C147" s="4">
        <v>4.811</v>
      </c>
      <c r="D147" s="5">
        <v>61.1</v>
      </c>
      <c r="E147" s="4"/>
      <c r="F147" s="4"/>
      <c r="G147" s="2">
        <f t="shared" si="12"/>
        <v>4.777</v>
      </c>
      <c r="H147" s="11" t="str">
        <f t="shared" si="13"/>
        <v>3.168E-2</v>
      </c>
      <c r="I147" s="2">
        <f t="shared" si="14"/>
        <v>61</v>
      </c>
      <c r="J147" s="4">
        <f t="shared" si="15"/>
        <v>4.777</v>
      </c>
      <c r="K147" s="9">
        <f t="shared" si="16"/>
        <v>-8.4</v>
      </c>
      <c r="L147" s="1">
        <f t="shared" si="17"/>
        <v>-24.8</v>
      </c>
    </row>
    <row r="148" s="1" customFormat="1" spans="1:12">
      <c r="A148" s="2">
        <v>4.844</v>
      </c>
      <c r="B148" s="10" t="s">
        <v>630</v>
      </c>
      <c r="C148" s="4">
        <v>4.844</v>
      </c>
      <c r="D148" s="5">
        <v>60.1</v>
      </c>
      <c r="E148" s="4"/>
      <c r="F148" s="4"/>
      <c r="G148" s="2">
        <f t="shared" si="12"/>
        <v>4.811</v>
      </c>
      <c r="H148" s="11" t="str">
        <f t="shared" si="13"/>
        <v>3.146E-2</v>
      </c>
      <c r="I148" s="2">
        <f t="shared" si="14"/>
        <v>61.1</v>
      </c>
      <c r="J148" s="4">
        <f t="shared" si="15"/>
        <v>4.811</v>
      </c>
      <c r="K148" s="9">
        <f t="shared" si="16"/>
        <v>-10.6</v>
      </c>
      <c r="L148" s="1">
        <f t="shared" si="17"/>
        <v>-24.8</v>
      </c>
    </row>
    <row r="149" s="1" customFormat="1" spans="1:12">
      <c r="A149" s="2">
        <v>4.877</v>
      </c>
      <c r="B149" s="10" t="s">
        <v>631</v>
      </c>
      <c r="C149" s="4">
        <v>4.877</v>
      </c>
      <c r="D149" s="5">
        <v>59.5</v>
      </c>
      <c r="E149" s="4"/>
      <c r="F149" s="4"/>
      <c r="G149" s="2">
        <f t="shared" si="12"/>
        <v>4.844</v>
      </c>
      <c r="H149" s="11" t="str">
        <f t="shared" si="13"/>
        <v>3.134E-2</v>
      </c>
      <c r="I149" s="2">
        <f t="shared" si="14"/>
        <v>60.1</v>
      </c>
      <c r="J149" s="4">
        <f t="shared" si="15"/>
        <v>4.844</v>
      </c>
      <c r="K149" s="9">
        <f t="shared" si="16"/>
        <v>-11.8</v>
      </c>
      <c r="L149" s="1">
        <f t="shared" si="17"/>
        <v>-24.8</v>
      </c>
    </row>
    <row r="150" s="1" customFormat="1" spans="1:12">
      <c r="A150" s="2">
        <v>4.911</v>
      </c>
      <c r="B150" s="10" t="s">
        <v>632</v>
      </c>
      <c r="C150" s="4">
        <v>4.911</v>
      </c>
      <c r="D150" s="5">
        <v>58.9</v>
      </c>
      <c r="E150" s="4"/>
      <c r="F150" s="4"/>
      <c r="G150" s="2">
        <f t="shared" si="12"/>
        <v>4.877</v>
      </c>
      <c r="H150" s="11" t="str">
        <f t="shared" si="13"/>
        <v>3.117E-2</v>
      </c>
      <c r="I150" s="2">
        <f t="shared" si="14"/>
        <v>59.5</v>
      </c>
      <c r="J150" s="4">
        <f t="shared" si="15"/>
        <v>4.877</v>
      </c>
      <c r="K150" s="9">
        <f t="shared" si="16"/>
        <v>-13.5</v>
      </c>
      <c r="L150" s="1">
        <f t="shared" si="17"/>
        <v>-24.8</v>
      </c>
    </row>
    <row r="151" s="1" customFormat="1" spans="1:12">
      <c r="A151" s="2">
        <v>4.944</v>
      </c>
      <c r="B151" s="10" t="s">
        <v>633</v>
      </c>
      <c r="C151" s="4">
        <v>4.944</v>
      </c>
      <c r="D151" s="5">
        <v>58.2</v>
      </c>
      <c r="E151" s="4"/>
      <c r="F151" s="4"/>
      <c r="G151" s="2">
        <f t="shared" si="12"/>
        <v>4.911</v>
      </c>
      <c r="H151" s="11" t="str">
        <f t="shared" si="13"/>
        <v>3.109E-2</v>
      </c>
      <c r="I151" s="2">
        <f t="shared" si="14"/>
        <v>58.9</v>
      </c>
      <c r="J151" s="4">
        <f t="shared" si="15"/>
        <v>4.911</v>
      </c>
      <c r="K151" s="9">
        <f t="shared" si="16"/>
        <v>-14.3</v>
      </c>
      <c r="L151" s="1">
        <f t="shared" si="17"/>
        <v>-24.8</v>
      </c>
    </row>
    <row r="152" s="1" customFormat="1" spans="1:12">
      <c r="A152" s="2">
        <v>4.978</v>
      </c>
      <c r="B152" s="10" t="s">
        <v>634</v>
      </c>
      <c r="C152" s="4">
        <v>4.978</v>
      </c>
      <c r="D152" s="5">
        <v>57</v>
      </c>
      <c r="E152" s="4"/>
      <c r="F152" s="4"/>
      <c r="G152" s="2">
        <f t="shared" si="12"/>
        <v>4.944</v>
      </c>
      <c r="H152" s="11" t="str">
        <f t="shared" si="13"/>
        <v>3.096E-2</v>
      </c>
      <c r="I152" s="2">
        <f t="shared" si="14"/>
        <v>58.2</v>
      </c>
      <c r="J152" s="4">
        <f t="shared" si="15"/>
        <v>4.944</v>
      </c>
      <c r="K152" s="9">
        <f t="shared" si="16"/>
        <v>-15.6</v>
      </c>
      <c r="L152" s="1">
        <f t="shared" si="17"/>
        <v>-24.8</v>
      </c>
    </row>
    <row r="153" s="1" customFormat="1" spans="1:12">
      <c r="A153" s="2">
        <v>5.011</v>
      </c>
      <c r="B153" s="10" t="s">
        <v>635</v>
      </c>
      <c r="C153" s="4">
        <v>5.011</v>
      </c>
      <c r="D153" s="5">
        <v>201.2</v>
      </c>
      <c r="E153" s="4"/>
      <c r="F153" s="4"/>
      <c r="G153" s="2">
        <f t="shared" si="12"/>
        <v>4.978</v>
      </c>
      <c r="H153" s="11" t="str">
        <f t="shared" si="13"/>
        <v>3.092E-2</v>
      </c>
      <c r="I153" s="2">
        <f t="shared" si="14"/>
        <v>57</v>
      </c>
      <c r="J153" s="4">
        <f t="shared" si="15"/>
        <v>4.978</v>
      </c>
      <c r="K153" s="9">
        <f t="shared" si="16"/>
        <v>-16</v>
      </c>
      <c r="L153" s="1">
        <f t="shared" si="17"/>
        <v>-24.8</v>
      </c>
    </row>
    <row r="154" s="1" customFormat="1" spans="1:12">
      <c r="A154" s="2">
        <v>5.045</v>
      </c>
      <c r="B154" s="10" t="s">
        <v>634</v>
      </c>
      <c r="C154" s="4">
        <v>5.045</v>
      </c>
      <c r="D154" s="5">
        <v>253.7</v>
      </c>
      <c r="E154" s="4"/>
      <c r="F154" s="4"/>
      <c r="G154" s="2">
        <f t="shared" si="12"/>
        <v>5.011</v>
      </c>
      <c r="H154" s="11" t="str">
        <f t="shared" si="13"/>
        <v>3.091E-2</v>
      </c>
      <c r="I154" s="2">
        <f t="shared" si="14"/>
        <v>201.2</v>
      </c>
      <c r="J154" s="4">
        <f t="shared" si="15"/>
        <v>5.011</v>
      </c>
      <c r="K154" s="9">
        <f t="shared" si="16"/>
        <v>-16.1</v>
      </c>
      <c r="L154" s="1">
        <f t="shared" si="17"/>
        <v>-24.8</v>
      </c>
    </row>
    <row r="155" s="1" customFormat="1" spans="1:12">
      <c r="A155" s="2">
        <v>5.078</v>
      </c>
      <c r="B155" s="10" t="s">
        <v>636</v>
      </c>
      <c r="C155" s="4">
        <v>5.078</v>
      </c>
      <c r="D155" s="5">
        <v>253.7</v>
      </c>
      <c r="E155" s="4"/>
      <c r="F155" s="4"/>
      <c r="G155" s="2">
        <f t="shared" si="12"/>
        <v>5.045</v>
      </c>
      <c r="H155" s="11" t="str">
        <f t="shared" si="13"/>
        <v>3.092E-2</v>
      </c>
      <c r="I155" s="2">
        <f t="shared" si="14"/>
        <v>253.7</v>
      </c>
      <c r="J155" s="4">
        <f t="shared" si="15"/>
        <v>5.045</v>
      </c>
      <c r="K155" s="9">
        <f t="shared" si="16"/>
        <v>-16</v>
      </c>
      <c r="L155" s="1">
        <f t="shared" si="17"/>
        <v>13.5</v>
      </c>
    </row>
    <row r="156" s="1" customFormat="1" spans="1:12">
      <c r="A156" s="2">
        <v>5.111</v>
      </c>
      <c r="B156" s="10" t="s">
        <v>637</v>
      </c>
      <c r="C156" s="4">
        <v>5.111</v>
      </c>
      <c r="D156" s="5">
        <v>253.7</v>
      </c>
      <c r="E156" s="4"/>
      <c r="F156" s="4"/>
      <c r="G156" s="2">
        <f t="shared" si="12"/>
        <v>5.078</v>
      </c>
      <c r="H156" s="11" t="str">
        <f t="shared" si="13"/>
        <v>3.094E-2</v>
      </c>
      <c r="I156" s="2">
        <f t="shared" si="14"/>
        <v>253.7</v>
      </c>
      <c r="J156" s="4">
        <f t="shared" si="15"/>
        <v>5.078</v>
      </c>
      <c r="K156" s="9">
        <f t="shared" si="16"/>
        <v>-15.8</v>
      </c>
      <c r="L156" s="1">
        <f t="shared" si="17"/>
        <v>13.5</v>
      </c>
    </row>
    <row r="157" s="1" customFormat="1" spans="1:12">
      <c r="A157" s="2">
        <v>5.145</v>
      </c>
      <c r="B157" s="10" t="s">
        <v>638</v>
      </c>
      <c r="C157" s="4">
        <v>5.145</v>
      </c>
      <c r="D157" s="5">
        <v>253.7</v>
      </c>
      <c r="E157" s="4"/>
      <c r="F157" s="4"/>
      <c r="G157" s="2">
        <f t="shared" si="12"/>
        <v>5.111</v>
      </c>
      <c r="H157" s="11" t="str">
        <f t="shared" si="13"/>
        <v>3.100E-2</v>
      </c>
      <c r="I157" s="2">
        <f t="shared" si="14"/>
        <v>253.7</v>
      </c>
      <c r="J157" s="4">
        <f t="shared" si="15"/>
        <v>5.111</v>
      </c>
      <c r="K157" s="9">
        <f t="shared" si="16"/>
        <v>-15.2</v>
      </c>
      <c r="L157" s="1">
        <f t="shared" si="17"/>
        <v>13.5</v>
      </c>
    </row>
    <row r="158" s="1" customFormat="1" spans="1:12">
      <c r="A158" s="2">
        <v>5.178</v>
      </c>
      <c r="B158" s="10" t="s">
        <v>639</v>
      </c>
      <c r="C158" s="4">
        <v>5.178</v>
      </c>
      <c r="D158" s="5">
        <v>253.7</v>
      </c>
      <c r="E158" s="4"/>
      <c r="F158" s="4"/>
      <c r="G158" s="2">
        <f t="shared" si="12"/>
        <v>5.145</v>
      </c>
      <c r="H158" s="11" t="str">
        <f t="shared" si="13"/>
        <v>3.106E-2</v>
      </c>
      <c r="I158" s="2">
        <f t="shared" si="14"/>
        <v>253.7</v>
      </c>
      <c r="J158" s="4">
        <f t="shared" si="15"/>
        <v>5.145</v>
      </c>
      <c r="K158" s="9">
        <f t="shared" si="16"/>
        <v>-14.6</v>
      </c>
      <c r="L158" s="1">
        <f t="shared" si="17"/>
        <v>13.5</v>
      </c>
    </row>
    <row r="159" s="1" customFormat="1" spans="1:12">
      <c r="A159" s="2">
        <v>5.212</v>
      </c>
      <c r="B159" s="10" t="s">
        <v>640</v>
      </c>
      <c r="C159" s="4">
        <v>5.212</v>
      </c>
      <c r="D159" s="5">
        <v>253.7</v>
      </c>
      <c r="E159" s="4"/>
      <c r="F159" s="4"/>
      <c r="G159" s="2">
        <f t="shared" si="12"/>
        <v>5.178</v>
      </c>
      <c r="H159" s="11" t="str">
        <f t="shared" si="13"/>
        <v>3.113E-2</v>
      </c>
      <c r="I159" s="2">
        <f t="shared" si="14"/>
        <v>253.7</v>
      </c>
      <c r="J159" s="4">
        <f t="shared" si="15"/>
        <v>5.178</v>
      </c>
      <c r="K159" s="9">
        <f t="shared" si="16"/>
        <v>-13.9</v>
      </c>
      <c r="L159" s="1">
        <f t="shared" si="17"/>
        <v>13.5</v>
      </c>
    </row>
    <row r="160" s="1" customFormat="1" spans="1:12">
      <c r="A160" s="2">
        <v>5.245</v>
      </c>
      <c r="B160" s="10" t="s">
        <v>641</v>
      </c>
      <c r="C160" s="4">
        <v>5.245</v>
      </c>
      <c r="D160" s="5">
        <v>253.7</v>
      </c>
      <c r="E160" s="4"/>
      <c r="F160" s="4"/>
      <c r="G160" s="2">
        <f t="shared" si="12"/>
        <v>5.212</v>
      </c>
      <c r="H160" s="11" t="str">
        <f t="shared" si="13"/>
        <v>3.125E-2</v>
      </c>
      <c r="I160" s="2">
        <f t="shared" si="14"/>
        <v>253.7</v>
      </c>
      <c r="J160" s="4">
        <f t="shared" si="15"/>
        <v>5.212</v>
      </c>
      <c r="K160" s="9">
        <f t="shared" si="16"/>
        <v>-12.7</v>
      </c>
      <c r="L160" s="1">
        <f t="shared" si="17"/>
        <v>13.5</v>
      </c>
    </row>
    <row r="161" s="1" customFormat="1" spans="1:12">
      <c r="A161" s="2">
        <v>5.278</v>
      </c>
      <c r="B161" s="10" t="s">
        <v>642</v>
      </c>
      <c r="C161" s="4">
        <v>5.278</v>
      </c>
      <c r="D161" s="5">
        <v>253.7</v>
      </c>
      <c r="E161" s="4"/>
      <c r="F161" s="4"/>
      <c r="G161" s="2">
        <f t="shared" si="12"/>
        <v>5.245</v>
      </c>
      <c r="H161" s="11" t="str">
        <f t="shared" si="13"/>
        <v>3.144E-2</v>
      </c>
      <c r="I161" s="2">
        <f t="shared" si="14"/>
        <v>253.7</v>
      </c>
      <c r="J161" s="4">
        <f t="shared" si="15"/>
        <v>5.245</v>
      </c>
      <c r="K161" s="9">
        <f t="shared" si="16"/>
        <v>-10.8</v>
      </c>
      <c r="L161" s="1">
        <f t="shared" si="17"/>
        <v>13.5</v>
      </c>
    </row>
    <row r="162" s="1" customFormat="1" spans="1:12">
      <c r="A162" s="2">
        <v>5.312</v>
      </c>
      <c r="B162" s="10" t="s">
        <v>627</v>
      </c>
      <c r="C162" s="4">
        <v>5.312</v>
      </c>
      <c r="D162" s="5">
        <v>253.7</v>
      </c>
      <c r="E162" s="4"/>
      <c r="F162" s="4"/>
      <c r="G162" s="2">
        <f t="shared" si="12"/>
        <v>5.278</v>
      </c>
      <c r="H162" s="11" t="str">
        <f t="shared" si="13"/>
        <v>3.165E-2</v>
      </c>
      <c r="I162" s="2">
        <f t="shared" si="14"/>
        <v>253.7</v>
      </c>
      <c r="J162" s="4">
        <f t="shared" si="15"/>
        <v>5.278</v>
      </c>
      <c r="K162" s="9">
        <f t="shared" si="16"/>
        <v>-8.70000000000003</v>
      </c>
      <c r="L162" s="1">
        <f t="shared" si="17"/>
        <v>13.5</v>
      </c>
    </row>
    <row r="163" s="1" customFormat="1" spans="1:12">
      <c r="A163" s="2">
        <v>5.345</v>
      </c>
      <c r="B163" s="10" t="s">
        <v>643</v>
      </c>
      <c r="C163" s="4">
        <v>5.345</v>
      </c>
      <c r="D163" s="5">
        <v>253.7</v>
      </c>
      <c r="E163" s="4"/>
      <c r="F163" s="4"/>
      <c r="G163" s="2">
        <f t="shared" si="12"/>
        <v>5.312</v>
      </c>
      <c r="H163" s="11" t="str">
        <f t="shared" si="13"/>
        <v>3.182E-2</v>
      </c>
      <c r="I163" s="2">
        <f t="shared" si="14"/>
        <v>253.7</v>
      </c>
      <c r="J163" s="4">
        <f t="shared" si="15"/>
        <v>5.312</v>
      </c>
      <c r="K163" s="9">
        <f t="shared" si="16"/>
        <v>-6.99999999999999</v>
      </c>
      <c r="L163" s="1">
        <f t="shared" si="17"/>
        <v>13.5</v>
      </c>
    </row>
    <row r="164" s="1" customFormat="1" spans="1:12">
      <c r="A164" s="2">
        <v>5.379</v>
      </c>
      <c r="B164" s="10" t="s">
        <v>644</v>
      </c>
      <c r="C164" s="4">
        <v>5.379</v>
      </c>
      <c r="D164" s="5">
        <v>253.7</v>
      </c>
      <c r="E164" s="4"/>
      <c r="F164" s="4"/>
      <c r="G164" s="2">
        <f t="shared" si="12"/>
        <v>5.345</v>
      </c>
      <c r="H164" s="11" t="str">
        <f t="shared" si="13"/>
        <v>3.210E-2</v>
      </c>
      <c r="I164" s="2">
        <f t="shared" si="14"/>
        <v>253.7</v>
      </c>
      <c r="J164" s="4">
        <f t="shared" si="15"/>
        <v>5.345</v>
      </c>
      <c r="K164" s="9">
        <f t="shared" si="16"/>
        <v>-4.20000000000004</v>
      </c>
      <c r="L164" s="1">
        <f t="shared" si="17"/>
        <v>13.5</v>
      </c>
    </row>
    <row r="165" s="1" customFormat="1" spans="1:12">
      <c r="A165" s="2">
        <v>5.412</v>
      </c>
      <c r="B165" s="10" t="s">
        <v>589</v>
      </c>
      <c r="C165" s="4">
        <v>5.412</v>
      </c>
      <c r="D165" s="5">
        <v>253.7</v>
      </c>
      <c r="E165" s="4"/>
      <c r="F165" s="4"/>
      <c r="G165" s="2">
        <f t="shared" si="12"/>
        <v>5.379</v>
      </c>
      <c r="H165" s="11" t="str">
        <f t="shared" si="13"/>
        <v>3.236E-2</v>
      </c>
      <c r="I165" s="2">
        <f t="shared" si="14"/>
        <v>253.7</v>
      </c>
      <c r="J165" s="4">
        <f t="shared" si="15"/>
        <v>5.379</v>
      </c>
      <c r="K165" s="9">
        <f t="shared" si="16"/>
        <v>-1.6</v>
      </c>
      <c r="L165" s="1">
        <f t="shared" si="17"/>
        <v>13.5</v>
      </c>
    </row>
    <row r="166" s="1" customFormat="1" spans="1:12">
      <c r="A166" s="2">
        <v>5.445</v>
      </c>
      <c r="B166" s="10" t="s">
        <v>611</v>
      </c>
      <c r="C166" s="4">
        <v>5.445</v>
      </c>
      <c r="D166" s="5">
        <v>253.7</v>
      </c>
      <c r="E166" s="4"/>
      <c r="F166" s="4"/>
      <c r="G166" s="2">
        <f t="shared" si="12"/>
        <v>5.412</v>
      </c>
      <c r="H166" s="11" t="str">
        <f t="shared" si="13"/>
        <v>3.253E-2</v>
      </c>
      <c r="I166" s="2">
        <f t="shared" si="14"/>
        <v>253.7</v>
      </c>
      <c r="J166" s="4">
        <f t="shared" si="15"/>
        <v>5.412</v>
      </c>
      <c r="K166" s="9">
        <f t="shared" si="16"/>
        <v>0.100000000000031</v>
      </c>
      <c r="L166" s="1">
        <f t="shared" si="17"/>
        <v>13.5</v>
      </c>
    </row>
    <row r="167" s="1" customFormat="1" spans="1:12">
      <c r="A167" s="2">
        <v>5.479</v>
      </c>
      <c r="B167" s="10" t="s">
        <v>613</v>
      </c>
      <c r="C167" s="4">
        <v>5.479</v>
      </c>
      <c r="D167" s="5">
        <v>253.7</v>
      </c>
      <c r="E167" s="4"/>
      <c r="F167" s="4"/>
      <c r="G167" s="2">
        <f t="shared" si="12"/>
        <v>5.445</v>
      </c>
      <c r="H167" s="11" t="str">
        <f t="shared" si="13"/>
        <v>3.269E-2</v>
      </c>
      <c r="I167" s="2">
        <f t="shared" si="14"/>
        <v>253.7</v>
      </c>
      <c r="J167" s="4">
        <f t="shared" si="15"/>
        <v>5.445</v>
      </c>
      <c r="K167" s="9">
        <f t="shared" si="16"/>
        <v>1.69999999999997</v>
      </c>
      <c r="L167" s="1">
        <f t="shared" si="17"/>
        <v>13.5</v>
      </c>
    </row>
    <row r="168" s="1" customFormat="1" spans="1:12">
      <c r="A168" s="2">
        <v>5.512</v>
      </c>
      <c r="B168" s="10" t="s">
        <v>645</v>
      </c>
      <c r="C168" s="4">
        <v>5.512</v>
      </c>
      <c r="D168" s="5">
        <v>253.7</v>
      </c>
      <c r="E168" s="4"/>
      <c r="F168" s="4"/>
      <c r="G168" s="2">
        <f t="shared" si="12"/>
        <v>5.479</v>
      </c>
      <c r="H168" s="11" t="str">
        <f t="shared" si="13"/>
        <v>3.291E-2</v>
      </c>
      <c r="I168" s="2">
        <f t="shared" si="14"/>
        <v>253.7</v>
      </c>
      <c r="J168" s="4">
        <f t="shared" si="15"/>
        <v>5.479</v>
      </c>
      <c r="K168" s="9">
        <f t="shared" si="16"/>
        <v>3.90000000000001</v>
      </c>
      <c r="L168" s="1">
        <f t="shared" si="17"/>
        <v>13.5</v>
      </c>
    </row>
    <row r="169" s="1" customFormat="1" spans="1:12">
      <c r="A169" s="2">
        <v>5.546</v>
      </c>
      <c r="B169" s="10" t="s">
        <v>646</v>
      </c>
      <c r="C169" s="4">
        <v>5.546</v>
      </c>
      <c r="D169" s="5">
        <v>253.7</v>
      </c>
      <c r="E169" s="4"/>
      <c r="F169" s="4"/>
      <c r="G169" s="2">
        <f t="shared" si="12"/>
        <v>5.512</v>
      </c>
      <c r="H169" s="11" t="str">
        <f t="shared" si="13"/>
        <v>3.304E-2</v>
      </c>
      <c r="I169" s="2">
        <f t="shared" si="14"/>
        <v>253.7</v>
      </c>
      <c r="J169" s="4">
        <f t="shared" si="15"/>
        <v>5.512</v>
      </c>
      <c r="K169" s="9">
        <f t="shared" si="16"/>
        <v>5.2</v>
      </c>
      <c r="L169" s="1">
        <f t="shared" si="17"/>
        <v>13.5</v>
      </c>
    </row>
    <row r="170" s="1" customFormat="1" spans="1:12">
      <c r="A170" s="2">
        <v>5.579</v>
      </c>
      <c r="B170" s="10" t="s">
        <v>260</v>
      </c>
      <c r="C170" s="4">
        <v>5.579</v>
      </c>
      <c r="D170" s="5">
        <v>253.7</v>
      </c>
      <c r="E170" s="4"/>
      <c r="F170" s="4"/>
      <c r="G170" s="2">
        <f t="shared" si="12"/>
        <v>5.546</v>
      </c>
      <c r="H170" s="11" t="str">
        <f t="shared" si="13"/>
        <v>3.324E-2</v>
      </c>
      <c r="I170" s="2">
        <f t="shared" si="14"/>
        <v>253.7</v>
      </c>
      <c r="J170" s="4">
        <f t="shared" si="15"/>
        <v>5.546</v>
      </c>
      <c r="K170" s="9">
        <f t="shared" si="16"/>
        <v>7.19999999999998</v>
      </c>
      <c r="L170" s="1">
        <f t="shared" si="17"/>
        <v>13.5</v>
      </c>
    </row>
    <row r="171" s="1" customFormat="1" spans="1:12">
      <c r="A171" s="2">
        <v>5.612</v>
      </c>
      <c r="B171" s="10" t="s">
        <v>266</v>
      </c>
      <c r="C171" s="4">
        <v>5.612</v>
      </c>
      <c r="D171" s="5">
        <v>253.7</v>
      </c>
      <c r="E171" s="4"/>
      <c r="F171" s="4"/>
      <c r="G171" s="2">
        <f t="shared" si="12"/>
        <v>5.579</v>
      </c>
      <c r="H171" s="11" t="str">
        <f t="shared" si="13"/>
        <v>3.337E-2</v>
      </c>
      <c r="I171" s="2">
        <f t="shared" si="14"/>
        <v>253.7</v>
      </c>
      <c r="J171" s="4">
        <f t="shared" si="15"/>
        <v>5.579</v>
      </c>
      <c r="K171" s="9">
        <f t="shared" si="16"/>
        <v>8.49999999999997</v>
      </c>
      <c r="L171" s="1">
        <f t="shared" si="17"/>
        <v>13.5</v>
      </c>
    </row>
    <row r="172" s="1" customFormat="1" spans="1:12">
      <c r="A172" s="2">
        <v>5.646</v>
      </c>
      <c r="B172" s="10" t="s">
        <v>311</v>
      </c>
      <c r="C172" s="4">
        <v>5.646</v>
      </c>
      <c r="D172" s="5">
        <v>166</v>
      </c>
      <c r="E172" s="4"/>
      <c r="F172" s="4"/>
      <c r="G172" s="2">
        <f t="shared" si="12"/>
        <v>5.612</v>
      </c>
      <c r="H172" s="11" t="str">
        <f t="shared" si="13"/>
        <v>3.349E-2</v>
      </c>
      <c r="I172" s="2">
        <f t="shared" si="14"/>
        <v>253.7</v>
      </c>
      <c r="J172" s="4">
        <f t="shared" si="15"/>
        <v>5.612</v>
      </c>
      <c r="K172" s="9">
        <f t="shared" si="16"/>
        <v>9.69999999999999</v>
      </c>
      <c r="L172" s="1">
        <f t="shared" si="17"/>
        <v>13.5</v>
      </c>
    </row>
    <row r="173" s="1" customFormat="1" spans="1:12">
      <c r="A173" s="2">
        <v>5.679</v>
      </c>
      <c r="B173" s="10" t="s">
        <v>315</v>
      </c>
      <c r="C173" s="4">
        <v>5.679</v>
      </c>
      <c r="D173" s="5">
        <v>68.7</v>
      </c>
      <c r="E173" s="4"/>
      <c r="F173" s="4"/>
      <c r="G173" s="2">
        <f t="shared" si="12"/>
        <v>5.646</v>
      </c>
      <c r="H173" s="11" t="str">
        <f t="shared" si="13"/>
        <v>3.352E-2</v>
      </c>
      <c r="I173" s="2">
        <f t="shared" si="14"/>
        <v>166</v>
      </c>
      <c r="J173" s="4">
        <f t="shared" si="15"/>
        <v>5.646</v>
      </c>
      <c r="K173" s="9">
        <f t="shared" si="16"/>
        <v>10</v>
      </c>
      <c r="L173" s="1">
        <f t="shared" si="17"/>
        <v>-24.8</v>
      </c>
    </row>
    <row r="174" s="1" customFormat="1" spans="1:12">
      <c r="A174" s="2">
        <v>5.713</v>
      </c>
      <c r="B174" s="10" t="s">
        <v>276</v>
      </c>
      <c r="C174" s="4">
        <v>5.713</v>
      </c>
      <c r="D174" s="5">
        <v>69.9</v>
      </c>
      <c r="E174" s="4"/>
      <c r="F174" s="4"/>
      <c r="G174" s="2">
        <f t="shared" si="12"/>
        <v>5.679</v>
      </c>
      <c r="H174" s="11" t="str">
        <f t="shared" si="13"/>
        <v>3.351E-2</v>
      </c>
      <c r="I174" s="2">
        <f t="shared" si="14"/>
        <v>68.7</v>
      </c>
      <c r="J174" s="4">
        <f t="shared" si="15"/>
        <v>5.679</v>
      </c>
      <c r="K174" s="9">
        <f t="shared" si="16"/>
        <v>9.89999999999998</v>
      </c>
      <c r="L174" s="1">
        <f t="shared" si="17"/>
        <v>-24.8</v>
      </c>
    </row>
    <row r="175" s="1" customFormat="1" spans="1:12">
      <c r="A175" s="2">
        <v>5.746</v>
      </c>
      <c r="B175" s="10" t="s">
        <v>264</v>
      </c>
      <c r="C175" s="4">
        <v>5.746</v>
      </c>
      <c r="D175" s="5">
        <v>69.2</v>
      </c>
      <c r="E175" s="4"/>
      <c r="F175" s="4"/>
      <c r="G175" s="2">
        <f t="shared" si="12"/>
        <v>5.713</v>
      </c>
      <c r="H175" s="11" t="str">
        <f t="shared" si="13"/>
        <v>3.348E-2</v>
      </c>
      <c r="I175" s="2">
        <f t="shared" si="14"/>
        <v>69.9</v>
      </c>
      <c r="J175" s="4">
        <f t="shared" si="15"/>
        <v>5.713</v>
      </c>
      <c r="K175" s="9">
        <f t="shared" si="16"/>
        <v>9.60000000000002</v>
      </c>
      <c r="L175" s="1">
        <f t="shared" si="17"/>
        <v>-24.8</v>
      </c>
    </row>
    <row r="176" s="1" customFormat="1" spans="1:12">
      <c r="A176" s="2">
        <v>5.779</v>
      </c>
      <c r="B176" s="10" t="s">
        <v>262</v>
      </c>
      <c r="C176" s="4">
        <v>5.779</v>
      </c>
      <c r="D176" s="5">
        <v>68.9</v>
      </c>
      <c r="E176" s="4"/>
      <c r="F176" s="4"/>
      <c r="G176" s="2">
        <f t="shared" si="12"/>
        <v>5.746</v>
      </c>
      <c r="H176" s="11" t="str">
        <f t="shared" si="13"/>
        <v>3.342E-2</v>
      </c>
      <c r="I176" s="2">
        <f t="shared" si="14"/>
        <v>69.2</v>
      </c>
      <c r="J176" s="4">
        <f t="shared" si="15"/>
        <v>5.746</v>
      </c>
      <c r="K176" s="9">
        <f t="shared" si="16"/>
        <v>8.99999999999998</v>
      </c>
      <c r="L176" s="1">
        <f t="shared" si="17"/>
        <v>-24.8</v>
      </c>
    </row>
    <row r="177" s="1" customFormat="1" spans="1:12">
      <c r="A177" s="2">
        <v>5.813</v>
      </c>
      <c r="B177" s="10" t="s">
        <v>647</v>
      </c>
      <c r="C177" s="4">
        <v>5.813</v>
      </c>
      <c r="D177" s="5">
        <v>68.5</v>
      </c>
      <c r="E177" s="4"/>
      <c r="F177" s="4"/>
      <c r="G177" s="2">
        <f t="shared" si="12"/>
        <v>5.779</v>
      </c>
      <c r="H177" s="11" t="str">
        <f t="shared" si="13"/>
        <v>3.334E-2</v>
      </c>
      <c r="I177" s="2">
        <f t="shared" si="14"/>
        <v>68.9</v>
      </c>
      <c r="J177" s="4">
        <f t="shared" si="15"/>
        <v>5.779</v>
      </c>
      <c r="K177" s="9">
        <f t="shared" si="16"/>
        <v>8.20000000000001</v>
      </c>
      <c r="L177" s="1">
        <f t="shared" si="17"/>
        <v>-24.8</v>
      </c>
    </row>
    <row r="178" s="1" customFormat="1" spans="1:12">
      <c r="A178" s="2">
        <v>5.846</v>
      </c>
      <c r="B178" s="10" t="s">
        <v>614</v>
      </c>
      <c r="C178" s="4">
        <v>5.846</v>
      </c>
      <c r="D178" s="5">
        <v>68.8</v>
      </c>
      <c r="E178" s="4"/>
      <c r="F178" s="4"/>
      <c r="G178" s="2">
        <f t="shared" si="12"/>
        <v>5.813</v>
      </c>
      <c r="H178" s="11" t="str">
        <f t="shared" si="13"/>
        <v>3.318E-2</v>
      </c>
      <c r="I178" s="2">
        <f t="shared" si="14"/>
        <v>68.5</v>
      </c>
      <c r="J178" s="4">
        <f t="shared" si="15"/>
        <v>5.813</v>
      </c>
      <c r="K178" s="9">
        <f t="shared" si="16"/>
        <v>6.60000000000001</v>
      </c>
      <c r="L178" s="1">
        <f t="shared" si="17"/>
        <v>-24.8</v>
      </c>
    </row>
    <row r="179" s="1" customFormat="1" spans="1:12">
      <c r="A179" s="2">
        <v>5.88</v>
      </c>
      <c r="B179" s="10" t="s">
        <v>648</v>
      </c>
      <c r="C179" s="4">
        <v>5.88</v>
      </c>
      <c r="D179" s="5">
        <v>68.9</v>
      </c>
      <c r="E179" s="4"/>
      <c r="F179" s="4"/>
      <c r="G179" s="2">
        <f t="shared" si="12"/>
        <v>5.846</v>
      </c>
      <c r="H179" s="11" t="str">
        <f t="shared" si="13"/>
        <v>3.297E-2</v>
      </c>
      <c r="I179" s="2">
        <f t="shared" si="14"/>
        <v>68.8</v>
      </c>
      <c r="J179" s="4">
        <f t="shared" si="15"/>
        <v>5.846</v>
      </c>
      <c r="K179" s="9">
        <f t="shared" si="16"/>
        <v>4.49999999999999</v>
      </c>
      <c r="L179" s="1">
        <f t="shared" si="17"/>
        <v>-24.8</v>
      </c>
    </row>
    <row r="180" s="1" customFormat="1" spans="1:12">
      <c r="A180" s="2">
        <v>5.913</v>
      </c>
      <c r="B180" s="10" t="s">
        <v>589</v>
      </c>
      <c r="C180" s="4">
        <v>5.913</v>
      </c>
      <c r="D180" s="5">
        <v>68.6</v>
      </c>
      <c r="E180" s="4"/>
      <c r="F180" s="4"/>
      <c r="G180" s="2">
        <f t="shared" si="12"/>
        <v>5.88</v>
      </c>
      <c r="H180" s="11" t="str">
        <f t="shared" si="13"/>
        <v>3.273E-2</v>
      </c>
      <c r="I180" s="2">
        <f t="shared" si="14"/>
        <v>68.9</v>
      </c>
      <c r="J180" s="4">
        <f t="shared" si="15"/>
        <v>5.88</v>
      </c>
      <c r="K180" s="9">
        <f t="shared" si="16"/>
        <v>2.10000000000002</v>
      </c>
      <c r="L180" s="1">
        <f t="shared" si="17"/>
        <v>-24.8</v>
      </c>
    </row>
    <row r="181" s="1" customFormat="1" spans="1:12">
      <c r="A181" s="2">
        <v>5.947</v>
      </c>
      <c r="B181" s="10" t="s">
        <v>625</v>
      </c>
      <c r="C181" s="4">
        <v>5.947</v>
      </c>
      <c r="D181" s="5">
        <v>68.3</v>
      </c>
      <c r="E181" s="4"/>
      <c r="F181" s="4"/>
      <c r="G181" s="2">
        <f t="shared" si="12"/>
        <v>5.913</v>
      </c>
      <c r="H181" s="11" t="str">
        <f t="shared" si="13"/>
        <v>3.253E-2</v>
      </c>
      <c r="I181" s="2">
        <f t="shared" si="14"/>
        <v>68.6</v>
      </c>
      <c r="J181" s="4">
        <f t="shared" si="15"/>
        <v>5.913</v>
      </c>
      <c r="K181" s="9">
        <f t="shared" si="16"/>
        <v>0.100000000000031</v>
      </c>
      <c r="L181" s="1">
        <f t="shared" si="17"/>
        <v>-24.8</v>
      </c>
    </row>
    <row r="182" s="1" customFormat="1" spans="1:12">
      <c r="A182" s="2">
        <v>5.98</v>
      </c>
      <c r="B182" s="10" t="s">
        <v>649</v>
      </c>
      <c r="C182" s="4">
        <v>5.98</v>
      </c>
      <c r="D182" s="5">
        <v>68.4</v>
      </c>
      <c r="E182" s="4"/>
      <c r="F182" s="4"/>
      <c r="G182" s="2">
        <f t="shared" si="12"/>
        <v>5.947</v>
      </c>
      <c r="H182" s="11" t="str">
        <f t="shared" si="13"/>
        <v>3.227E-2</v>
      </c>
      <c r="I182" s="2">
        <f t="shared" si="14"/>
        <v>68.3</v>
      </c>
      <c r="J182" s="4">
        <f t="shared" si="15"/>
        <v>5.947</v>
      </c>
      <c r="K182" s="9">
        <f t="shared" si="16"/>
        <v>-2.5</v>
      </c>
      <c r="L182" s="1">
        <f t="shared" si="17"/>
        <v>-24.8</v>
      </c>
    </row>
    <row r="183" s="1" customFormat="1" spans="1:12">
      <c r="A183" s="2">
        <v>6.013</v>
      </c>
      <c r="B183" s="10" t="s">
        <v>628</v>
      </c>
      <c r="C183" s="4">
        <v>6.013</v>
      </c>
      <c r="D183" s="5">
        <v>68.2</v>
      </c>
      <c r="E183" s="4"/>
      <c r="F183" s="4"/>
      <c r="G183" s="2">
        <f t="shared" si="12"/>
        <v>5.98</v>
      </c>
      <c r="H183" s="11" t="str">
        <f t="shared" si="13"/>
        <v>3.197E-2</v>
      </c>
      <c r="I183" s="2">
        <f t="shared" si="14"/>
        <v>68.4</v>
      </c>
      <c r="J183" s="4">
        <f t="shared" si="15"/>
        <v>5.98</v>
      </c>
      <c r="K183" s="9">
        <f t="shared" si="16"/>
        <v>-5.50000000000002</v>
      </c>
      <c r="L183" s="1">
        <f t="shared" si="17"/>
        <v>-24.8</v>
      </c>
    </row>
    <row r="184" s="1" customFormat="1" spans="1:12">
      <c r="A184" s="2">
        <v>6.047</v>
      </c>
      <c r="B184" s="10" t="s">
        <v>650</v>
      </c>
      <c r="C184" s="4">
        <v>6.047</v>
      </c>
      <c r="D184" s="5">
        <v>68.5</v>
      </c>
      <c r="E184" s="4"/>
      <c r="F184" s="4"/>
      <c r="G184" s="2">
        <f t="shared" si="12"/>
        <v>6.013</v>
      </c>
      <c r="H184" s="11" t="str">
        <f t="shared" si="13"/>
        <v>3.168E-2</v>
      </c>
      <c r="I184" s="2">
        <f t="shared" si="14"/>
        <v>68.2</v>
      </c>
      <c r="J184" s="4">
        <f t="shared" si="15"/>
        <v>6.013</v>
      </c>
      <c r="K184" s="9">
        <f t="shared" si="16"/>
        <v>-8.4</v>
      </c>
      <c r="L184" s="1">
        <f t="shared" si="17"/>
        <v>-24.8</v>
      </c>
    </row>
    <row r="185" s="1" customFormat="1" spans="1:12">
      <c r="A185" s="2">
        <v>6.08</v>
      </c>
      <c r="B185" s="10" t="s">
        <v>651</v>
      </c>
      <c r="C185" s="4">
        <v>6.08</v>
      </c>
      <c r="D185" s="5">
        <v>68.2</v>
      </c>
      <c r="E185" s="4"/>
      <c r="F185" s="4"/>
      <c r="G185" s="2">
        <f t="shared" si="12"/>
        <v>6.047</v>
      </c>
      <c r="H185" s="11" t="str">
        <f t="shared" si="13"/>
        <v>3.138E-2</v>
      </c>
      <c r="I185" s="2">
        <f t="shared" si="14"/>
        <v>68.5</v>
      </c>
      <c r="J185" s="4">
        <f t="shared" si="15"/>
        <v>6.047</v>
      </c>
      <c r="K185" s="9">
        <f t="shared" si="16"/>
        <v>-11.4</v>
      </c>
      <c r="L185" s="1">
        <f t="shared" si="17"/>
        <v>-24.8</v>
      </c>
    </row>
    <row r="186" s="1" customFormat="1" spans="1:12">
      <c r="A186" s="2">
        <v>6.114</v>
      </c>
      <c r="B186" s="10" t="s">
        <v>652</v>
      </c>
      <c r="C186" s="4">
        <v>6.114</v>
      </c>
      <c r="D186" s="5">
        <v>68.2</v>
      </c>
      <c r="E186" s="4"/>
      <c r="F186" s="4"/>
      <c r="G186" s="2">
        <f t="shared" si="12"/>
        <v>6.08</v>
      </c>
      <c r="H186" s="11" t="str">
        <f t="shared" si="13"/>
        <v>3.110E-2</v>
      </c>
      <c r="I186" s="2">
        <f t="shared" si="14"/>
        <v>68.2</v>
      </c>
      <c r="J186" s="4">
        <f t="shared" si="15"/>
        <v>6.08</v>
      </c>
      <c r="K186" s="9">
        <f t="shared" si="16"/>
        <v>-14.2</v>
      </c>
      <c r="L186" s="1">
        <f t="shared" si="17"/>
        <v>-24.8</v>
      </c>
    </row>
    <row r="187" s="1" customFormat="1" spans="1:12">
      <c r="A187" s="2">
        <v>6.147</v>
      </c>
      <c r="B187" s="10" t="s">
        <v>653</v>
      </c>
      <c r="C187" s="4">
        <v>6.147</v>
      </c>
      <c r="D187" s="5">
        <v>68.2</v>
      </c>
      <c r="E187" s="4"/>
      <c r="F187" s="4"/>
      <c r="G187" s="2">
        <f t="shared" si="12"/>
        <v>6.114</v>
      </c>
      <c r="H187" s="11" t="str">
        <f t="shared" si="13"/>
        <v>3.085E-2</v>
      </c>
      <c r="I187" s="2">
        <f t="shared" si="14"/>
        <v>68.2</v>
      </c>
      <c r="J187" s="4">
        <f t="shared" si="15"/>
        <v>6.114</v>
      </c>
      <c r="K187" s="9">
        <f t="shared" si="16"/>
        <v>-16.7</v>
      </c>
      <c r="L187" s="1">
        <f t="shared" si="17"/>
        <v>-24.8</v>
      </c>
    </row>
    <row r="188" s="1" customFormat="1" spans="1:12">
      <c r="A188" s="2">
        <v>6.18</v>
      </c>
      <c r="B188" s="10" t="s">
        <v>654</v>
      </c>
      <c r="C188" s="4">
        <v>6.18</v>
      </c>
      <c r="D188" s="5">
        <v>68.3</v>
      </c>
      <c r="E188" s="4"/>
      <c r="F188" s="4"/>
      <c r="G188" s="2">
        <f t="shared" si="12"/>
        <v>6.147</v>
      </c>
      <c r="H188" s="11" t="str">
        <f t="shared" si="13"/>
        <v>3.069E-2</v>
      </c>
      <c r="I188" s="2">
        <f t="shared" si="14"/>
        <v>68.2</v>
      </c>
      <c r="J188" s="4">
        <f t="shared" si="15"/>
        <v>6.147</v>
      </c>
      <c r="K188" s="9">
        <f t="shared" si="16"/>
        <v>-18.3</v>
      </c>
      <c r="L188" s="1">
        <f t="shared" si="17"/>
        <v>-24.8</v>
      </c>
    </row>
    <row r="189" s="1" customFormat="1" spans="1:12">
      <c r="A189" s="2">
        <v>6.214</v>
      </c>
      <c r="B189" s="10" t="s">
        <v>573</v>
      </c>
      <c r="C189" s="4">
        <v>6.214</v>
      </c>
      <c r="D189" s="5">
        <v>68.2</v>
      </c>
      <c r="E189" s="4"/>
      <c r="F189" s="4"/>
      <c r="G189" s="2">
        <f t="shared" si="12"/>
        <v>6.18</v>
      </c>
      <c r="H189" s="11" t="str">
        <f t="shared" si="13"/>
        <v>3.048E-2</v>
      </c>
      <c r="I189" s="2">
        <f t="shared" si="14"/>
        <v>68.3</v>
      </c>
      <c r="J189" s="4">
        <f t="shared" si="15"/>
        <v>6.18</v>
      </c>
      <c r="K189" s="9">
        <f t="shared" si="16"/>
        <v>-20.4</v>
      </c>
      <c r="L189" s="1">
        <f t="shared" si="17"/>
        <v>-24.8</v>
      </c>
    </row>
    <row r="190" s="1" customFormat="1" spans="1:12">
      <c r="A190" s="2">
        <v>6.247</v>
      </c>
      <c r="B190" s="10" t="s">
        <v>562</v>
      </c>
      <c r="C190" s="4">
        <v>6.247</v>
      </c>
      <c r="D190" s="5">
        <v>68.3</v>
      </c>
      <c r="E190" s="4"/>
      <c r="F190" s="4"/>
      <c r="G190" s="2">
        <f t="shared" si="12"/>
        <v>6.214</v>
      </c>
      <c r="H190" s="11" t="str">
        <f t="shared" si="13"/>
        <v>3.031E-2</v>
      </c>
      <c r="I190" s="2">
        <f t="shared" si="14"/>
        <v>68.2</v>
      </c>
      <c r="J190" s="4">
        <f t="shared" si="15"/>
        <v>6.214</v>
      </c>
      <c r="K190" s="9">
        <f t="shared" si="16"/>
        <v>-22.1</v>
      </c>
      <c r="L190" s="1">
        <f t="shared" si="17"/>
        <v>-24.8</v>
      </c>
    </row>
    <row r="191" s="1" customFormat="1" spans="1:12">
      <c r="A191" s="2">
        <v>6.281</v>
      </c>
      <c r="B191" s="10" t="s">
        <v>560</v>
      </c>
      <c r="C191" s="4">
        <v>6.281</v>
      </c>
      <c r="D191" s="5">
        <v>68.4</v>
      </c>
      <c r="E191" s="4"/>
      <c r="F191" s="4"/>
      <c r="G191" s="2">
        <f t="shared" si="12"/>
        <v>6.247</v>
      </c>
      <c r="H191" s="11" t="str">
        <f t="shared" si="13"/>
        <v>3.021E-2</v>
      </c>
      <c r="I191" s="2">
        <f t="shared" si="14"/>
        <v>68.3</v>
      </c>
      <c r="J191" s="4">
        <f t="shared" si="15"/>
        <v>6.247</v>
      </c>
      <c r="K191" s="9">
        <f t="shared" si="16"/>
        <v>-23.1</v>
      </c>
      <c r="L191" s="1">
        <f t="shared" si="17"/>
        <v>-24.8</v>
      </c>
    </row>
    <row r="192" s="1" customFormat="1" spans="1:12">
      <c r="A192" s="2">
        <v>6.314</v>
      </c>
      <c r="B192" s="10" t="s">
        <v>574</v>
      </c>
      <c r="C192" s="4">
        <v>6.314</v>
      </c>
      <c r="D192" s="5">
        <v>68.2</v>
      </c>
      <c r="E192" s="4"/>
      <c r="F192" s="4"/>
      <c r="G192" s="2">
        <f t="shared" si="12"/>
        <v>6.281</v>
      </c>
      <c r="H192" s="11" t="str">
        <f t="shared" si="13"/>
        <v>3.006E-2</v>
      </c>
      <c r="I192" s="2">
        <f t="shared" si="14"/>
        <v>68.4</v>
      </c>
      <c r="J192" s="4">
        <f t="shared" si="15"/>
        <v>6.281</v>
      </c>
      <c r="K192" s="9">
        <f t="shared" si="16"/>
        <v>-24.6</v>
      </c>
      <c r="L192" s="1">
        <f t="shared" si="17"/>
        <v>-24.8</v>
      </c>
    </row>
    <row r="193" s="1" customFormat="1" spans="1:12">
      <c r="A193" s="2">
        <v>6.347</v>
      </c>
      <c r="B193" s="10" t="s">
        <v>560</v>
      </c>
      <c r="C193" s="4">
        <v>6.347</v>
      </c>
      <c r="D193" s="5">
        <v>68.2</v>
      </c>
      <c r="E193" s="4"/>
      <c r="F193" s="4"/>
      <c r="G193" s="2">
        <f t="shared" si="12"/>
        <v>6.314</v>
      </c>
      <c r="H193" s="11" t="str">
        <f t="shared" si="13"/>
        <v>3.004E-2</v>
      </c>
      <c r="I193" s="2">
        <f t="shared" si="14"/>
        <v>68.2</v>
      </c>
      <c r="J193" s="4">
        <f t="shared" si="15"/>
        <v>6.314</v>
      </c>
      <c r="K193" s="9">
        <f t="shared" si="16"/>
        <v>-24.8</v>
      </c>
      <c r="L193" s="1">
        <f t="shared" si="17"/>
        <v>-24.8</v>
      </c>
    </row>
    <row r="194" s="1" customFormat="1" spans="1:12">
      <c r="A194" s="2">
        <v>6.381</v>
      </c>
      <c r="B194" s="10" t="s">
        <v>559</v>
      </c>
      <c r="C194" s="4">
        <v>6.381</v>
      </c>
      <c r="D194" s="5">
        <v>68.3</v>
      </c>
      <c r="E194" s="4"/>
      <c r="F194" s="4"/>
      <c r="G194" s="2">
        <f t="shared" si="12"/>
        <v>6.347</v>
      </c>
      <c r="H194" s="11" t="str">
        <f t="shared" si="13"/>
        <v>3.006E-2</v>
      </c>
      <c r="I194" s="2">
        <f t="shared" si="14"/>
        <v>68.2</v>
      </c>
      <c r="J194" s="4">
        <f t="shared" si="15"/>
        <v>6.347</v>
      </c>
      <c r="K194" s="9">
        <f t="shared" si="16"/>
        <v>-24.6</v>
      </c>
      <c r="L194" s="1">
        <f t="shared" si="17"/>
        <v>-24.8</v>
      </c>
    </row>
    <row r="195" s="1" customFormat="1" spans="1:12">
      <c r="A195" s="2">
        <v>6.414</v>
      </c>
      <c r="B195" s="10" t="s">
        <v>564</v>
      </c>
      <c r="C195" s="4">
        <v>6.414</v>
      </c>
      <c r="D195" s="5">
        <v>68.3</v>
      </c>
      <c r="E195" s="4"/>
      <c r="F195" s="4"/>
      <c r="G195" s="2">
        <f t="shared" si="12"/>
        <v>6.381</v>
      </c>
      <c r="H195" s="11" t="str">
        <f t="shared" si="13"/>
        <v>3.011E-2</v>
      </c>
      <c r="I195" s="2">
        <f t="shared" si="14"/>
        <v>68.3</v>
      </c>
      <c r="J195" s="4">
        <f t="shared" si="15"/>
        <v>6.381</v>
      </c>
      <c r="K195" s="9">
        <f t="shared" si="16"/>
        <v>-24.1</v>
      </c>
      <c r="L195" s="1">
        <f t="shared" si="17"/>
        <v>-24.8</v>
      </c>
    </row>
    <row r="196" s="1" customFormat="1" spans="1:12">
      <c r="A196" s="2">
        <v>6.448</v>
      </c>
      <c r="B196" s="10" t="s">
        <v>542</v>
      </c>
      <c r="C196" s="4">
        <v>6.448</v>
      </c>
      <c r="D196" s="5">
        <v>68.2</v>
      </c>
      <c r="E196" s="4"/>
      <c r="F196" s="4"/>
      <c r="G196" s="2">
        <f t="shared" ref="G196:G259" si="18">A195</f>
        <v>6.414</v>
      </c>
      <c r="H196" s="11" t="str">
        <f t="shared" ref="H196:H259" si="19">B195</f>
        <v>3.018E-2</v>
      </c>
      <c r="I196" s="2">
        <f t="shared" ref="I196:I259" si="20">D195</f>
        <v>68.3</v>
      </c>
      <c r="J196" s="4">
        <f t="shared" ref="J196:J259" si="21">G196</f>
        <v>6.414</v>
      </c>
      <c r="K196" s="9">
        <f t="shared" ref="K196:K259" si="22">(H196-$H$4)*10000</f>
        <v>-23.4</v>
      </c>
      <c r="L196" s="1">
        <f t="shared" ref="L196:L259" si="23">IF(I196&lt;230,MIN(K:K),MAX(K:K))</f>
        <v>-24.8</v>
      </c>
    </row>
    <row r="197" s="1" customFormat="1" spans="1:12">
      <c r="A197" s="2">
        <v>6.481</v>
      </c>
      <c r="B197" s="10" t="s">
        <v>654</v>
      </c>
      <c r="C197" s="4">
        <v>6.481</v>
      </c>
      <c r="D197" s="5">
        <v>68.3</v>
      </c>
      <c r="E197" s="4"/>
      <c r="F197" s="4"/>
      <c r="G197" s="2">
        <f t="shared" si="18"/>
        <v>6.448</v>
      </c>
      <c r="H197" s="11" t="str">
        <f t="shared" si="19"/>
        <v>3.027E-2</v>
      </c>
      <c r="I197" s="2">
        <f t="shared" si="20"/>
        <v>68.2</v>
      </c>
      <c r="J197" s="4">
        <f t="shared" si="21"/>
        <v>6.448</v>
      </c>
      <c r="K197" s="9">
        <f t="shared" si="22"/>
        <v>-22.5</v>
      </c>
      <c r="L197" s="1">
        <f t="shared" si="23"/>
        <v>-24.8</v>
      </c>
    </row>
    <row r="198" s="1" customFormat="1" spans="1:12">
      <c r="A198" s="2">
        <v>6.514</v>
      </c>
      <c r="B198" s="10" t="s">
        <v>655</v>
      </c>
      <c r="C198" s="4">
        <v>6.514</v>
      </c>
      <c r="D198" s="5">
        <v>68.2</v>
      </c>
      <c r="E198" s="4"/>
      <c r="F198" s="4"/>
      <c r="G198" s="2">
        <f t="shared" si="18"/>
        <v>6.481</v>
      </c>
      <c r="H198" s="11" t="str">
        <f t="shared" si="19"/>
        <v>3.048E-2</v>
      </c>
      <c r="I198" s="2">
        <f t="shared" si="20"/>
        <v>68.3</v>
      </c>
      <c r="J198" s="4">
        <f t="shared" si="21"/>
        <v>6.481</v>
      </c>
      <c r="K198" s="9">
        <f t="shared" si="22"/>
        <v>-20.4</v>
      </c>
      <c r="L198" s="1">
        <f t="shared" si="23"/>
        <v>-24.8</v>
      </c>
    </row>
    <row r="199" s="1" customFormat="1" spans="1:12">
      <c r="A199" s="2">
        <v>6.548</v>
      </c>
      <c r="B199" s="10" t="s">
        <v>635</v>
      </c>
      <c r="C199" s="4">
        <v>6.548</v>
      </c>
      <c r="D199" s="5">
        <v>68.2</v>
      </c>
      <c r="E199" s="4"/>
      <c r="F199" s="4"/>
      <c r="G199" s="2">
        <f t="shared" si="18"/>
        <v>6.514</v>
      </c>
      <c r="H199" s="11" t="str">
        <f t="shared" si="19"/>
        <v>3.066E-2</v>
      </c>
      <c r="I199" s="2">
        <f t="shared" si="20"/>
        <v>68.2</v>
      </c>
      <c r="J199" s="4">
        <f t="shared" si="21"/>
        <v>6.514</v>
      </c>
      <c r="K199" s="9">
        <f t="shared" si="22"/>
        <v>-18.6</v>
      </c>
      <c r="L199" s="1">
        <f t="shared" si="23"/>
        <v>-24.8</v>
      </c>
    </row>
    <row r="200" s="1" customFormat="1" spans="1:12">
      <c r="A200" s="2">
        <v>6.581</v>
      </c>
      <c r="B200" s="10" t="s">
        <v>656</v>
      </c>
      <c r="C200" s="4">
        <v>6.581</v>
      </c>
      <c r="D200" s="5">
        <v>68.1</v>
      </c>
      <c r="E200" s="4"/>
      <c r="F200" s="4"/>
      <c r="G200" s="2">
        <f t="shared" si="18"/>
        <v>6.548</v>
      </c>
      <c r="H200" s="11" t="str">
        <f t="shared" si="19"/>
        <v>3.091E-2</v>
      </c>
      <c r="I200" s="2">
        <f t="shared" si="20"/>
        <v>68.2</v>
      </c>
      <c r="J200" s="4">
        <f t="shared" si="21"/>
        <v>6.548</v>
      </c>
      <c r="K200" s="9">
        <f t="shared" si="22"/>
        <v>-16.1</v>
      </c>
      <c r="L200" s="1">
        <f t="shared" si="23"/>
        <v>-24.8</v>
      </c>
    </row>
    <row r="201" s="1" customFormat="1" spans="1:12">
      <c r="A201" s="2">
        <v>6.615</v>
      </c>
      <c r="B201" s="10" t="s">
        <v>657</v>
      </c>
      <c r="C201" s="4">
        <v>6.615</v>
      </c>
      <c r="D201" s="5">
        <v>68.3</v>
      </c>
      <c r="E201" s="4"/>
      <c r="F201" s="4"/>
      <c r="G201" s="2">
        <f t="shared" si="18"/>
        <v>6.581</v>
      </c>
      <c r="H201" s="11" t="str">
        <f t="shared" si="19"/>
        <v>3.121E-2</v>
      </c>
      <c r="I201" s="2">
        <f t="shared" si="20"/>
        <v>68.1</v>
      </c>
      <c r="J201" s="4">
        <f t="shared" si="21"/>
        <v>6.581</v>
      </c>
      <c r="K201" s="9">
        <f t="shared" si="22"/>
        <v>-13.1</v>
      </c>
      <c r="L201" s="1">
        <f t="shared" si="23"/>
        <v>-24.8</v>
      </c>
    </row>
    <row r="202" s="1" customFormat="1" spans="1:12">
      <c r="A202" s="2">
        <v>6.648</v>
      </c>
      <c r="B202" s="10" t="s">
        <v>658</v>
      </c>
      <c r="C202" s="4">
        <v>6.648</v>
      </c>
      <c r="D202" s="5">
        <v>68.3</v>
      </c>
      <c r="E202" s="4"/>
      <c r="F202" s="4"/>
      <c r="G202" s="2">
        <f t="shared" si="18"/>
        <v>6.615</v>
      </c>
      <c r="H202" s="11" t="str">
        <f t="shared" si="19"/>
        <v>3.152E-2</v>
      </c>
      <c r="I202" s="2">
        <f t="shared" si="20"/>
        <v>68.3</v>
      </c>
      <c r="J202" s="4">
        <f t="shared" si="21"/>
        <v>6.615</v>
      </c>
      <c r="K202" s="9">
        <f t="shared" si="22"/>
        <v>-10</v>
      </c>
      <c r="L202" s="1">
        <f t="shared" si="23"/>
        <v>-24.8</v>
      </c>
    </row>
    <row r="203" s="1" customFormat="1" spans="1:12">
      <c r="A203" s="2">
        <v>6.681</v>
      </c>
      <c r="B203" s="10" t="s">
        <v>607</v>
      </c>
      <c r="C203" s="4">
        <v>6.681</v>
      </c>
      <c r="D203" s="5">
        <v>68.3</v>
      </c>
      <c r="E203" s="4"/>
      <c r="F203" s="4"/>
      <c r="G203" s="2">
        <f t="shared" si="18"/>
        <v>6.648</v>
      </c>
      <c r="H203" s="11" t="str">
        <f t="shared" si="19"/>
        <v>3.180E-2</v>
      </c>
      <c r="I203" s="2">
        <f t="shared" si="20"/>
        <v>68.3</v>
      </c>
      <c r="J203" s="4">
        <f t="shared" si="21"/>
        <v>6.648</v>
      </c>
      <c r="K203" s="9">
        <f t="shared" si="22"/>
        <v>-7.19999999999998</v>
      </c>
      <c r="L203" s="1">
        <f t="shared" si="23"/>
        <v>-24.8</v>
      </c>
    </row>
    <row r="204" s="1" customFormat="1" spans="1:12">
      <c r="A204" s="2">
        <v>6.715</v>
      </c>
      <c r="B204" s="10" t="s">
        <v>585</v>
      </c>
      <c r="C204" s="4">
        <v>6.715</v>
      </c>
      <c r="D204" s="5">
        <v>68</v>
      </c>
      <c r="E204" s="4"/>
      <c r="F204" s="4"/>
      <c r="G204" s="2">
        <f t="shared" si="18"/>
        <v>6.681</v>
      </c>
      <c r="H204" s="11" t="str">
        <f t="shared" si="19"/>
        <v>3.213E-2</v>
      </c>
      <c r="I204" s="2">
        <f t="shared" si="20"/>
        <v>68.3</v>
      </c>
      <c r="J204" s="4">
        <f t="shared" si="21"/>
        <v>6.681</v>
      </c>
      <c r="K204" s="9">
        <f t="shared" si="22"/>
        <v>-3.90000000000001</v>
      </c>
      <c r="L204" s="1">
        <f t="shared" si="23"/>
        <v>-24.8</v>
      </c>
    </row>
    <row r="205" s="1" customFormat="1" spans="1:12">
      <c r="A205" s="2">
        <v>6.748</v>
      </c>
      <c r="B205" s="10" t="s">
        <v>611</v>
      </c>
      <c r="C205" s="4">
        <v>6.748</v>
      </c>
      <c r="D205" s="5">
        <v>68</v>
      </c>
      <c r="E205" s="4"/>
      <c r="F205" s="4"/>
      <c r="G205" s="2">
        <f t="shared" si="18"/>
        <v>6.715</v>
      </c>
      <c r="H205" s="11" t="str">
        <f t="shared" si="19"/>
        <v>3.245E-2</v>
      </c>
      <c r="I205" s="2">
        <f t="shared" si="20"/>
        <v>68</v>
      </c>
      <c r="J205" s="4">
        <f t="shared" si="21"/>
        <v>6.715</v>
      </c>
      <c r="K205" s="9">
        <f t="shared" si="22"/>
        <v>-0.700000000000006</v>
      </c>
      <c r="L205" s="1">
        <f t="shared" si="23"/>
        <v>-24.8</v>
      </c>
    </row>
    <row r="206" s="1" customFormat="1" spans="1:12">
      <c r="A206" s="2">
        <v>6.782</v>
      </c>
      <c r="B206" s="10" t="s">
        <v>622</v>
      </c>
      <c r="C206" s="4">
        <v>6.782</v>
      </c>
      <c r="D206" s="5">
        <v>68.2</v>
      </c>
      <c r="E206" s="4"/>
      <c r="F206" s="4"/>
      <c r="G206" s="2">
        <f t="shared" si="18"/>
        <v>6.748</v>
      </c>
      <c r="H206" s="11" t="str">
        <f t="shared" si="19"/>
        <v>3.269E-2</v>
      </c>
      <c r="I206" s="2">
        <f t="shared" si="20"/>
        <v>68</v>
      </c>
      <c r="J206" s="4">
        <f t="shared" si="21"/>
        <v>6.748</v>
      </c>
      <c r="K206" s="9">
        <f t="shared" si="22"/>
        <v>1.69999999999997</v>
      </c>
      <c r="L206" s="1">
        <f t="shared" si="23"/>
        <v>-24.8</v>
      </c>
    </row>
    <row r="207" s="1" customFormat="1" spans="1:12">
      <c r="A207" s="2">
        <v>6.815</v>
      </c>
      <c r="B207" s="10" t="s">
        <v>659</v>
      </c>
      <c r="C207" s="4">
        <v>6.815</v>
      </c>
      <c r="D207" s="5">
        <v>68.2</v>
      </c>
      <c r="E207" s="4"/>
      <c r="F207" s="4"/>
      <c r="G207" s="2">
        <f t="shared" si="18"/>
        <v>6.782</v>
      </c>
      <c r="H207" s="11" t="str">
        <f t="shared" si="19"/>
        <v>3.294E-2</v>
      </c>
      <c r="I207" s="2">
        <f t="shared" si="20"/>
        <v>68.2</v>
      </c>
      <c r="J207" s="4">
        <f t="shared" si="21"/>
        <v>6.782</v>
      </c>
      <c r="K207" s="9">
        <f t="shared" si="22"/>
        <v>4.19999999999997</v>
      </c>
      <c r="L207" s="1">
        <f t="shared" si="23"/>
        <v>-24.8</v>
      </c>
    </row>
    <row r="208" s="1" customFormat="1" spans="1:12">
      <c r="A208" s="2">
        <v>6.849</v>
      </c>
      <c r="B208" s="10" t="s">
        <v>261</v>
      </c>
      <c r="C208" s="4">
        <v>6.849</v>
      </c>
      <c r="D208" s="5">
        <v>68.1</v>
      </c>
      <c r="E208" s="4"/>
      <c r="F208" s="4"/>
      <c r="G208" s="2">
        <f t="shared" si="18"/>
        <v>6.815</v>
      </c>
      <c r="H208" s="11" t="str">
        <f t="shared" si="19"/>
        <v>3.314E-2</v>
      </c>
      <c r="I208" s="2">
        <f t="shared" si="20"/>
        <v>68.2</v>
      </c>
      <c r="J208" s="4">
        <f t="shared" si="21"/>
        <v>6.815</v>
      </c>
      <c r="K208" s="9">
        <f t="shared" si="22"/>
        <v>6.20000000000003</v>
      </c>
      <c r="L208" s="1">
        <f t="shared" si="23"/>
        <v>-24.8</v>
      </c>
    </row>
    <row r="209" s="1" customFormat="1" spans="1:12">
      <c r="A209" s="2">
        <v>6.882</v>
      </c>
      <c r="B209" s="10" t="s">
        <v>308</v>
      </c>
      <c r="C209" s="4">
        <v>6.882</v>
      </c>
      <c r="D209" s="5">
        <v>68.1</v>
      </c>
      <c r="E209" s="4"/>
      <c r="F209" s="4"/>
      <c r="G209" s="2">
        <f t="shared" si="18"/>
        <v>6.849</v>
      </c>
      <c r="H209" s="11" t="str">
        <f t="shared" si="19"/>
        <v>3.338E-2</v>
      </c>
      <c r="I209" s="2">
        <f t="shared" si="20"/>
        <v>68.1</v>
      </c>
      <c r="J209" s="4">
        <f t="shared" si="21"/>
        <v>6.849</v>
      </c>
      <c r="K209" s="9">
        <f t="shared" si="22"/>
        <v>8.6</v>
      </c>
      <c r="L209" s="1">
        <f t="shared" si="23"/>
        <v>-24.8</v>
      </c>
    </row>
    <row r="210" s="1" customFormat="1" spans="1:12">
      <c r="A210" s="2">
        <v>6.915</v>
      </c>
      <c r="B210" s="10" t="s">
        <v>307</v>
      </c>
      <c r="C210" s="4">
        <v>6.915</v>
      </c>
      <c r="D210" s="5">
        <v>68.1</v>
      </c>
      <c r="E210" s="4"/>
      <c r="F210" s="4"/>
      <c r="G210" s="2">
        <f t="shared" si="18"/>
        <v>6.882</v>
      </c>
      <c r="H210" s="11" t="str">
        <f t="shared" si="19"/>
        <v>3.356E-2</v>
      </c>
      <c r="I210" s="2">
        <f t="shared" si="20"/>
        <v>68.1</v>
      </c>
      <c r="J210" s="4">
        <f t="shared" si="21"/>
        <v>6.882</v>
      </c>
      <c r="K210" s="9">
        <f t="shared" si="22"/>
        <v>10.4</v>
      </c>
      <c r="L210" s="1">
        <f t="shared" si="23"/>
        <v>-24.8</v>
      </c>
    </row>
    <row r="211" s="1" customFormat="1" spans="1:12">
      <c r="A211" s="2">
        <v>6.949</v>
      </c>
      <c r="B211" s="10" t="s">
        <v>246</v>
      </c>
      <c r="C211" s="4">
        <v>6.949</v>
      </c>
      <c r="D211" s="5">
        <v>67.9</v>
      </c>
      <c r="E211" s="4"/>
      <c r="F211" s="4"/>
      <c r="G211" s="2">
        <f t="shared" si="18"/>
        <v>6.915</v>
      </c>
      <c r="H211" s="11" t="str">
        <f t="shared" si="19"/>
        <v>3.365E-2</v>
      </c>
      <c r="I211" s="2">
        <f t="shared" si="20"/>
        <v>68.1</v>
      </c>
      <c r="J211" s="4">
        <f t="shared" si="21"/>
        <v>6.915</v>
      </c>
      <c r="K211" s="9">
        <f t="shared" si="22"/>
        <v>11.3</v>
      </c>
      <c r="L211" s="1">
        <f t="shared" si="23"/>
        <v>-24.8</v>
      </c>
    </row>
    <row r="212" s="1" customFormat="1" spans="1:12">
      <c r="A212" s="2">
        <v>6.982</v>
      </c>
      <c r="B212" s="10" t="s">
        <v>50</v>
      </c>
      <c r="C212" s="4">
        <v>6.982</v>
      </c>
      <c r="D212" s="5">
        <v>67.8</v>
      </c>
      <c r="E212" s="4"/>
      <c r="F212" s="4"/>
      <c r="G212" s="2">
        <f t="shared" si="18"/>
        <v>6.949</v>
      </c>
      <c r="H212" s="11" t="str">
        <f t="shared" si="19"/>
        <v>3.374E-2</v>
      </c>
      <c r="I212" s="2">
        <f t="shared" si="20"/>
        <v>67.9</v>
      </c>
      <c r="J212" s="4">
        <f t="shared" si="21"/>
        <v>6.949</v>
      </c>
      <c r="K212" s="9">
        <f t="shared" si="22"/>
        <v>12.2</v>
      </c>
      <c r="L212" s="1">
        <f t="shared" si="23"/>
        <v>-24.8</v>
      </c>
    </row>
    <row r="213" s="1" customFormat="1" spans="1:12">
      <c r="A213" s="2">
        <v>7.016</v>
      </c>
      <c r="B213" s="10" t="s">
        <v>87</v>
      </c>
      <c r="C213" s="4">
        <v>7.016</v>
      </c>
      <c r="D213" s="5">
        <v>67.7</v>
      </c>
      <c r="E213" s="4"/>
      <c r="F213" s="4"/>
      <c r="G213" s="2">
        <f t="shared" si="18"/>
        <v>6.982</v>
      </c>
      <c r="H213" s="11" t="str">
        <f t="shared" si="19"/>
        <v>3.377E-2</v>
      </c>
      <c r="I213" s="2">
        <f t="shared" si="20"/>
        <v>67.8</v>
      </c>
      <c r="J213" s="4">
        <f t="shared" si="21"/>
        <v>6.982</v>
      </c>
      <c r="K213" s="9">
        <f t="shared" si="22"/>
        <v>12.5</v>
      </c>
      <c r="L213" s="1">
        <f t="shared" si="23"/>
        <v>-24.8</v>
      </c>
    </row>
    <row r="214" s="1" customFormat="1" spans="1:12">
      <c r="A214" s="2">
        <v>7.049</v>
      </c>
      <c r="B214" s="10" t="s">
        <v>52</v>
      </c>
      <c r="C214" s="4">
        <v>7.049</v>
      </c>
      <c r="D214" s="5">
        <v>67.5</v>
      </c>
      <c r="E214" s="4"/>
      <c r="F214" s="4"/>
      <c r="G214" s="2">
        <f t="shared" si="18"/>
        <v>7.016</v>
      </c>
      <c r="H214" s="11" t="str">
        <f t="shared" si="19"/>
        <v>3.376E-2</v>
      </c>
      <c r="I214" s="2">
        <f t="shared" si="20"/>
        <v>67.7</v>
      </c>
      <c r="J214" s="4">
        <f t="shared" si="21"/>
        <v>7.016</v>
      </c>
      <c r="K214" s="9">
        <f t="shared" si="22"/>
        <v>12.4</v>
      </c>
      <c r="L214" s="1">
        <f t="shared" si="23"/>
        <v>-24.8</v>
      </c>
    </row>
    <row r="215" s="1" customFormat="1" spans="1:12">
      <c r="A215" s="2">
        <v>7.082</v>
      </c>
      <c r="B215" s="10" t="s">
        <v>256</v>
      </c>
      <c r="C215" s="4">
        <v>7.082</v>
      </c>
      <c r="D215" s="5">
        <v>67.1</v>
      </c>
      <c r="E215" s="4"/>
      <c r="F215" s="4"/>
      <c r="G215" s="2">
        <f t="shared" si="18"/>
        <v>7.049</v>
      </c>
      <c r="H215" s="11" t="str">
        <f t="shared" si="19"/>
        <v>3.372E-2</v>
      </c>
      <c r="I215" s="2">
        <f t="shared" si="20"/>
        <v>67.5</v>
      </c>
      <c r="J215" s="4">
        <f t="shared" si="21"/>
        <v>7.049</v>
      </c>
      <c r="K215" s="9">
        <f t="shared" si="22"/>
        <v>12</v>
      </c>
      <c r="L215" s="1">
        <f t="shared" si="23"/>
        <v>-24.8</v>
      </c>
    </row>
    <row r="216" s="1" customFormat="1" spans="1:12">
      <c r="A216" s="2">
        <v>7.116</v>
      </c>
      <c r="B216" s="10" t="s">
        <v>270</v>
      </c>
      <c r="C216" s="4">
        <v>7.116</v>
      </c>
      <c r="D216" s="5">
        <v>66.4</v>
      </c>
      <c r="E216" s="4"/>
      <c r="F216" s="4"/>
      <c r="G216" s="2">
        <f t="shared" si="18"/>
        <v>7.082</v>
      </c>
      <c r="H216" s="11" t="str">
        <f t="shared" si="19"/>
        <v>3.367E-2</v>
      </c>
      <c r="I216" s="2">
        <f t="shared" si="20"/>
        <v>67.1</v>
      </c>
      <c r="J216" s="4">
        <f t="shared" si="21"/>
        <v>7.082</v>
      </c>
      <c r="K216" s="9">
        <f t="shared" si="22"/>
        <v>11.5</v>
      </c>
      <c r="L216" s="1">
        <f t="shared" si="23"/>
        <v>-24.8</v>
      </c>
    </row>
    <row r="217" s="1" customFormat="1" spans="1:12">
      <c r="A217" s="2">
        <v>7.149</v>
      </c>
      <c r="B217" s="10" t="s">
        <v>660</v>
      </c>
      <c r="C217" s="4">
        <v>7.149</v>
      </c>
      <c r="D217" s="5">
        <v>66.6</v>
      </c>
      <c r="E217" s="4"/>
      <c r="F217" s="4"/>
      <c r="G217" s="2">
        <f t="shared" si="18"/>
        <v>7.116</v>
      </c>
      <c r="H217" s="11" t="str">
        <f t="shared" si="19"/>
        <v>3.360E-2</v>
      </c>
      <c r="I217" s="2">
        <f t="shared" si="20"/>
        <v>66.4</v>
      </c>
      <c r="J217" s="4">
        <f t="shared" si="21"/>
        <v>7.116</v>
      </c>
      <c r="K217" s="9">
        <f t="shared" si="22"/>
        <v>10.8</v>
      </c>
      <c r="L217" s="1">
        <f t="shared" si="23"/>
        <v>-24.8</v>
      </c>
    </row>
    <row r="218" s="1" customFormat="1" spans="1:12">
      <c r="A218" s="2">
        <v>7.183</v>
      </c>
      <c r="B218" s="10" t="s">
        <v>661</v>
      </c>
      <c r="C218" s="4">
        <v>7.183</v>
      </c>
      <c r="D218" s="5">
        <v>66.1</v>
      </c>
      <c r="E218" s="4"/>
      <c r="F218" s="4"/>
      <c r="G218" s="2">
        <f t="shared" si="18"/>
        <v>7.149</v>
      </c>
      <c r="H218" s="11" t="str">
        <f t="shared" si="19"/>
        <v>3.343E-2</v>
      </c>
      <c r="I218" s="2">
        <f t="shared" si="20"/>
        <v>66.6</v>
      </c>
      <c r="J218" s="4">
        <f t="shared" si="21"/>
        <v>7.149</v>
      </c>
      <c r="K218" s="9">
        <f t="shared" si="22"/>
        <v>9.10000000000001</v>
      </c>
      <c r="L218" s="1">
        <f t="shared" si="23"/>
        <v>-24.8</v>
      </c>
    </row>
    <row r="219" s="1" customFormat="1" spans="1:12">
      <c r="A219" s="2">
        <v>7.216</v>
      </c>
      <c r="B219" s="10" t="s">
        <v>662</v>
      </c>
      <c r="C219" s="4">
        <v>7.216</v>
      </c>
      <c r="D219" s="5">
        <v>65.7</v>
      </c>
      <c r="E219" s="4"/>
      <c r="F219" s="4"/>
      <c r="G219" s="2">
        <f t="shared" si="18"/>
        <v>7.183</v>
      </c>
      <c r="H219" s="11" t="str">
        <f t="shared" si="19"/>
        <v>3.317E-2</v>
      </c>
      <c r="I219" s="2">
        <f t="shared" si="20"/>
        <v>66.1</v>
      </c>
      <c r="J219" s="4">
        <f t="shared" si="21"/>
        <v>7.183</v>
      </c>
      <c r="K219" s="9">
        <f t="shared" si="22"/>
        <v>6.49999999999998</v>
      </c>
      <c r="L219" s="1">
        <f t="shared" si="23"/>
        <v>-24.8</v>
      </c>
    </row>
    <row r="220" s="1" customFormat="1" spans="1:12">
      <c r="A220" s="2">
        <v>7.249</v>
      </c>
      <c r="B220" s="10" t="s">
        <v>663</v>
      </c>
      <c r="C220" s="4">
        <v>7.249</v>
      </c>
      <c r="D220" s="5">
        <v>65.5</v>
      </c>
      <c r="E220" s="4"/>
      <c r="F220" s="4"/>
      <c r="G220" s="2">
        <f t="shared" si="18"/>
        <v>7.216</v>
      </c>
      <c r="H220" s="11" t="str">
        <f t="shared" si="19"/>
        <v>3.292E-2</v>
      </c>
      <c r="I220" s="2">
        <f t="shared" si="20"/>
        <v>65.7</v>
      </c>
      <c r="J220" s="4">
        <f t="shared" si="21"/>
        <v>7.216</v>
      </c>
      <c r="K220" s="9">
        <f t="shared" si="22"/>
        <v>3.99999999999998</v>
      </c>
      <c r="L220" s="1">
        <f t="shared" si="23"/>
        <v>-24.8</v>
      </c>
    </row>
    <row r="221" s="1" customFormat="1" spans="1:12">
      <c r="A221" s="2">
        <v>7.283</v>
      </c>
      <c r="B221" s="10" t="s">
        <v>593</v>
      </c>
      <c r="C221" s="4">
        <v>7.283</v>
      </c>
      <c r="D221" s="5">
        <v>65.1</v>
      </c>
      <c r="E221" s="4"/>
      <c r="F221" s="4"/>
      <c r="G221" s="2">
        <f t="shared" si="18"/>
        <v>7.249</v>
      </c>
      <c r="H221" s="11" t="str">
        <f t="shared" si="19"/>
        <v>3.266E-2</v>
      </c>
      <c r="I221" s="2">
        <f t="shared" si="20"/>
        <v>65.5</v>
      </c>
      <c r="J221" s="4">
        <f t="shared" si="21"/>
        <v>7.249</v>
      </c>
      <c r="K221" s="9">
        <f t="shared" si="22"/>
        <v>1.40000000000001</v>
      </c>
      <c r="L221" s="1">
        <f t="shared" si="23"/>
        <v>-24.8</v>
      </c>
    </row>
    <row r="222" s="1" customFormat="1" spans="1:12">
      <c r="A222" s="2">
        <v>7.316</v>
      </c>
      <c r="B222" s="10" t="s">
        <v>664</v>
      </c>
      <c r="C222" s="4">
        <v>7.316</v>
      </c>
      <c r="D222" s="5">
        <v>65.1</v>
      </c>
      <c r="E222" s="4"/>
      <c r="F222" s="4"/>
      <c r="G222" s="2">
        <f t="shared" si="18"/>
        <v>7.283</v>
      </c>
      <c r="H222" s="11" t="str">
        <f t="shared" si="19"/>
        <v>3.238E-2</v>
      </c>
      <c r="I222" s="2">
        <f t="shared" si="20"/>
        <v>65.1</v>
      </c>
      <c r="J222" s="4">
        <f t="shared" si="21"/>
        <v>7.283</v>
      </c>
      <c r="K222" s="9">
        <f t="shared" si="22"/>
        <v>-1.40000000000001</v>
      </c>
      <c r="L222" s="1">
        <f t="shared" si="23"/>
        <v>-24.8</v>
      </c>
    </row>
    <row r="223" s="1" customFormat="1" spans="1:12">
      <c r="A223" s="2">
        <v>7.35</v>
      </c>
      <c r="B223" s="10" t="s">
        <v>665</v>
      </c>
      <c r="C223" s="4">
        <v>7.35</v>
      </c>
      <c r="D223" s="5">
        <v>64</v>
      </c>
      <c r="E223" s="4"/>
      <c r="F223" s="4"/>
      <c r="G223" s="2">
        <f t="shared" si="18"/>
        <v>7.316</v>
      </c>
      <c r="H223" s="11" t="str">
        <f t="shared" si="19"/>
        <v>3.214E-2</v>
      </c>
      <c r="I223" s="2">
        <f t="shared" si="20"/>
        <v>65.1</v>
      </c>
      <c r="J223" s="4">
        <f t="shared" si="21"/>
        <v>7.316</v>
      </c>
      <c r="K223" s="9">
        <f t="shared" si="22"/>
        <v>-3.79999999999998</v>
      </c>
      <c r="L223" s="1">
        <f t="shared" si="23"/>
        <v>-24.8</v>
      </c>
    </row>
    <row r="224" s="1" customFormat="1" spans="1:12">
      <c r="A224" s="2">
        <v>7.383</v>
      </c>
      <c r="B224" s="10" t="s">
        <v>666</v>
      </c>
      <c r="C224" s="4">
        <v>7.383</v>
      </c>
      <c r="D224" s="5">
        <v>63.2</v>
      </c>
      <c r="E224" s="4"/>
      <c r="F224" s="4"/>
      <c r="G224" s="2">
        <f t="shared" si="18"/>
        <v>7.35</v>
      </c>
      <c r="H224" s="11" t="str">
        <f t="shared" si="19"/>
        <v>3.188E-2</v>
      </c>
      <c r="I224" s="2">
        <f t="shared" si="20"/>
        <v>64</v>
      </c>
      <c r="J224" s="4">
        <f t="shared" si="21"/>
        <v>7.35</v>
      </c>
      <c r="K224" s="9">
        <f t="shared" si="22"/>
        <v>-6.40000000000002</v>
      </c>
      <c r="L224" s="1">
        <f t="shared" si="23"/>
        <v>-24.8</v>
      </c>
    </row>
    <row r="225" s="1" customFormat="1" spans="1:12">
      <c r="A225" s="2">
        <v>7.416</v>
      </c>
      <c r="B225" s="10" t="s">
        <v>667</v>
      </c>
      <c r="C225" s="4">
        <v>7.416</v>
      </c>
      <c r="D225" s="5">
        <v>62.6</v>
      </c>
      <c r="E225" s="4"/>
      <c r="F225" s="4"/>
      <c r="G225" s="2">
        <f t="shared" si="18"/>
        <v>7.383</v>
      </c>
      <c r="H225" s="11" t="str">
        <f t="shared" si="19"/>
        <v>3.161E-2</v>
      </c>
      <c r="I225" s="2">
        <f t="shared" si="20"/>
        <v>63.2</v>
      </c>
      <c r="J225" s="4">
        <f t="shared" si="21"/>
        <v>7.383</v>
      </c>
      <c r="K225" s="9">
        <f t="shared" si="22"/>
        <v>-9.10000000000001</v>
      </c>
      <c r="L225" s="1">
        <f t="shared" si="23"/>
        <v>-24.8</v>
      </c>
    </row>
    <row r="226" s="1" customFormat="1" spans="1:12">
      <c r="A226" s="2">
        <v>7.45</v>
      </c>
      <c r="B226" s="10" t="s">
        <v>651</v>
      </c>
      <c r="C226" s="4">
        <v>7.45</v>
      </c>
      <c r="D226" s="5">
        <v>61.9</v>
      </c>
      <c r="E226" s="4"/>
      <c r="F226" s="4"/>
      <c r="G226" s="2">
        <f t="shared" si="18"/>
        <v>7.416</v>
      </c>
      <c r="H226" s="11" t="str">
        <f t="shared" si="19"/>
        <v>3.133E-2</v>
      </c>
      <c r="I226" s="2">
        <f t="shared" si="20"/>
        <v>62.6</v>
      </c>
      <c r="J226" s="4">
        <f t="shared" si="21"/>
        <v>7.416</v>
      </c>
      <c r="K226" s="9">
        <f t="shared" si="22"/>
        <v>-11.9</v>
      </c>
      <c r="L226" s="1">
        <f t="shared" si="23"/>
        <v>-24.8</v>
      </c>
    </row>
    <row r="227" s="1" customFormat="1" spans="1:12">
      <c r="A227" s="2">
        <v>7.483</v>
      </c>
      <c r="B227" s="10" t="s">
        <v>668</v>
      </c>
      <c r="C227" s="4">
        <v>7.483</v>
      </c>
      <c r="D227" s="5">
        <v>60.9</v>
      </c>
      <c r="E227" s="4"/>
      <c r="F227" s="4"/>
      <c r="G227" s="2">
        <f t="shared" si="18"/>
        <v>7.45</v>
      </c>
      <c r="H227" s="11" t="str">
        <f t="shared" si="19"/>
        <v>3.110E-2</v>
      </c>
      <c r="I227" s="2">
        <f t="shared" si="20"/>
        <v>61.9</v>
      </c>
      <c r="J227" s="4">
        <f t="shared" si="21"/>
        <v>7.45</v>
      </c>
      <c r="K227" s="9">
        <f t="shared" si="22"/>
        <v>-14.2</v>
      </c>
      <c r="L227" s="1">
        <f t="shared" si="23"/>
        <v>-24.8</v>
      </c>
    </row>
    <row r="228" s="1" customFormat="1" spans="1:12">
      <c r="A228" s="2">
        <v>7.517</v>
      </c>
      <c r="B228" s="10" t="s">
        <v>669</v>
      </c>
      <c r="C228" s="4">
        <v>7.517</v>
      </c>
      <c r="D228" s="5">
        <v>60.7</v>
      </c>
      <c r="E228" s="4"/>
      <c r="F228" s="4"/>
      <c r="G228" s="2">
        <f t="shared" si="18"/>
        <v>7.483</v>
      </c>
      <c r="H228" s="11" t="str">
        <f t="shared" si="19"/>
        <v>3.086E-2</v>
      </c>
      <c r="I228" s="2">
        <f t="shared" si="20"/>
        <v>60.9</v>
      </c>
      <c r="J228" s="4">
        <f t="shared" si="21"/>
        <v>7.483</v>
      </c>
      <c r="K228" s="9">
        <f t="shared" si="22"/>
        <v>-16.6</v>
      </c>
      <c r="L228" s="1">
        <f t="shared" si="23"/>
        <v>-24.8</v>
      </c>
    </row>
    <row r="229" s="1" customFormat="1" spans="1:12">
      <c r="A229" s="2">
        <v>7.55</v>
      </c>
      <c r="B229" s="10" t="s">
        <v>670</v>
      </c>
      <c r="C229" s="4">
        <v>7.55</v>
      </c>
      <c r="D229" s="5">
        <v>59.8</v>
      </c>
      <c r="E229" s="4"/>
      <c r="F229" s="4"/>
      <c r="G229" s="2">
        <f t="shared" si="18"/>
        <v>7.517</v>
      </c>
      <c r="H229" s="11" t="str">
        <f t="shared" si="19"/>
        <v>3.073E-2</v>
      </c>
      <c r="I229" s="2">
        <f t="shared" si="20"/>
        <v>60.7</v>
      </c>
      <c r="J229" s="4">
        <f t="shared" si="21"/>
        <v>7.517</v>
      </c>
      <c r="K229" s="9">
        <f t="shared" si="22"/>
        <v>-17.9</v>
      </c>
      <c r="L229" s="1">
        <f t="shared" si="23"/>
        <v>-24.8</v>
      </c>
    </row>
    <row r="230" s="1" customFormat="1" spans="1:12">
      <c r="A230" s="2">
        <v>7.583</v>
      </c>
      <c r="B230" s="10" t="s">
        <v>671</v>
      </c>
      <c r="C230" s="4">
        <v>7.583</v>
      </c>
      <c r="D230" s="5">
        <v>59.4</v>
      </c>
      <c r="E230" s="4"/>
      <c r="F230" s="4"/>
      <c r="G230" s="2">
        <f t="shared" si="18"/>
        <v>7.55</v>
      </c>
      <c r="H230" s="11" t="str">
        <f t="shared" si="19"/>
        <v>3.060E-2</v>
      </c>
      <c r="I230" s="2">
        <f t="shared" si="20"/>
        <v>59.8</v>
      </c>
      <c r="J230" s="4">
        <f t="shared" si="21"/>
        <v>7.55</v>
      </c>
      <c r="K230" s="9">
        <f t="shared" si="22"/>
        <v>-19.2</v>
      </c>
      <c r="L230" s="1">
        <f t="shared" si="23"/>
        <v>-24.8</v>
      </c>
    </row>
    <row r="231" s="1" customFormat="1" spans="1:12">
      <c r="A231" s="2">
        <v>7.617</v>
      </c>
      <c r="B231" s="10" t="s">
        <v>672</v>
      </c>
      <c r="C231" s="4">
        <v>7.617</v>
      </c>
      <c r="D231" s="5">
        <v>58.7</v>
      </c>
      <c r="E231" s="4"/>
      <c r="F231" s="4"/>
      <c r="G231" s="2">
        <f t="shared" si="18"/>
        <v>7.583</v>
      </c>
      <c r="H231" s="11" t="str">
        <f t="shared" si="19"/>
        <v>3.051E-2</v>
      </c>
      <c r="I231" s="2">
        <f t="shared" si="20"/>
        <v>59.4</v>
      </c>
      <c r="J231" s="4">
        <f t="shared" si="21"/>
        <v>7.583</v>
      </c>
      <c r="K231" s="9">
        <f t="shared" si="22"/>
        <v>-20.1</v>
      </c>
      <c r="L231" s="1">
        <f t="shared" si="23"/>
        <v>-24.8</v>
      </c>
    </row>
    <row r="232" s="1" customFormat="1" spans="1:12">
      <c r="A232" s="2">
        <v>7.65</v>
      </c>
      <c r="B232" s="10" t="s">
        <v>673</v>
      </c>
      <c r="C232" s="4">
        <v>7.65</v>
      </c>
      <c r="D232" s="5">
        <v>58</v>
      </c>
      <c r="E232" s="4"/>
      <c r="F232" s="4"/>
      <c r="G232" s="2">
        <f t="shared" si="18"/>
        <v>7.617</v>
      </c>
      <c r="H232" s="11" t="str">
        <f t="shared" si="19"/>
        <v>3.042E-2</v>
      </c>
      <c r="I232" s="2">
        <f t="shared" si="20"/>
        <v>58.7</v>
      </c>
      <c r="J232" s="4">
        <f t="shared" si="21"/>
        <v>7.617</v>
      </c>
      <c r="K232" s="9">
        <f t="shared" si="22"/>
        <v>-21</v>
      </c>
      <c r="L232" s="1">
        <f t="shared" si="23"/>
        <v>-24.8</v>
      </c>
    </row>
    <row r="233" s="1" customFormat="1" spans="1:12">
      <c r="A233" s="2">
        <v>7.684</v>
      </c>
      <c r="B233" s="10" t="s">
        <v>674</v>
      </c>
      <c r="C233" s="4">
        <v>7.684</v>
      </c>
      <c r="D233" s="5">
        <v>58.1</v>
      </c>
      <c r="E233" s="4"/>
      <c r="F233" s="4"/>
      <c r="G233" s="2">
        <f t="shared" si="18"/>
        <v>7.65</v>
      </c>
      <c r="H233" s="11" t="str">
        <f t="shared" si="19"/>
        <v>3.039E-2</v>
      </c>
      <c r="I233" s="2">
        <f t="shared" si="20"/>
        <v>58</v>
      </c>
      <c r="J233" s="4">
        <f t="shared" si="21"/>
        <v>7.65</v>
      </c>
      <c r="K233" s="9">
        <f t="shared" si="22"/>
        <v>-21.3</v>
      </c>
      <c r="L233" s="1">
        <f t="shared" si="23"/>
        <v>-24.8</v>
      </c>
    </row>
    <row r="234" s="1" customFormat="1" spans="1:12">
      <c r="A234" s="2">
        <v>7.717</v>
      </c>
      <c r="B234" s="10" t="s">
        <v>675</v>
      </c>
      <c r="C234" s="4">
        <v>7.717</v>
      </c>
      <c r="D234" s="5">
        <v>57.3</v>
      </c>
      <c r="E234" s="4"/>
      <c r="F234" s="4"/>
      <c r="G234" s="2">
        <f t="shared" si="18"/>
        <v>7.684</v>
      </c>
      <c r="H234" s="11" t="str">
        <f t="shared" si="19"/>
        <v>3.040E-2</v>
      </c>
      <c r="I234" s="2">
        <f t="shared" si="20"/>
        <v>58.1</v>
      </c>
      <c r="J234" s="4">
        <f t="shared" si="21"/>
        <v>7.684</v>
      </c>
      <c r="K234" s="9">
        <f t="shared" si="22"/>
        <v>-21.2</v>
      </c>
      <c r="L234" s="1">
        <f t="shared" si="23"/>
        <v>-24.8</v>
      </c>
    </row>
    <row r="235" s="1" customFormat="1" spans="1:12">
      <c r="A235" s="2">
        <v>7.751</v>
      </c>
      <c r="B235" s="10" t="s">
        <v>671</v>
      </c>
      <c r="C235" s="4">
        <v>7.751</v>
      </c>
      <c r="D235" s="5">
        <v>56.8</v>
      </c>
      <c r="E235" s="4"/>
      <c r="F235" s="4"/>
      <c r="G235" s="2">
        <f t="shared" si="18"/>
        <v>7.717</v>
      </c>
      <c r="H235" s="11" t="str">
        <f t="shared" si="19"/>
        <v>3.045E-2</v>
      </c>
      <c r="I235" s="2">
        <f t="shared" si="20"/>
        <v>57.3</v>
      </c>
      <c r="J235" s="4">
        <f t="shared" si="21"/>
        <v>7.717</v>
      </c>
      <c r="K235" s="9">
        <f t="shared" si="22"/>
        <v>-20.7</v>
      </c>
      <c r="L235" s="1">
        <f t="shared" si="23"/>
        <v>-24.8</v>
      </c>
    </row>
    <row r="236" s="1" customFormat="1" spans="1:12">
      <c r="A236" s="2">
        <v>7.784</v>
      </c>
      <c r="B236" s="10" t="s">
        <v>676</v>
      </c>
      <c r="C236" s="4">
        <v>7.784</v>
      </c>
      <c r="D236" s="5">
        <v>55.8</v>
      </c>
      <c r="E236" s="4"/>
      <c r="F236" s="4"/>
      <c r="G236" s="2">
        <f t="shared" si="18"/>
        <v>7.751</v>
      </c>
      <c r="H236" s="11" t="str">
        <f t="shared" si="19"/>
        <v>3.051E-2</v>
      </c>
      <c r="I236" s="2">
        <f t="shared" si="20"/>
        <v>56.8</v>
      </c>
      <c r="J236" s="4">
        <f t="shared" si="21"/>
        <v>7.751</v>
      </c>
      <c r="K236" s="9">
        <f t="shared" si="22"/>
        <v>-20.1</v>
      </c>
      <c r="L236" s="1">
        <f t="shared" si="23"/>
        <v>-24.8</v>
      </c>
    </row>
    <row r="237" s="1" customFormat="1" spans="1:12">
      <c r="A237" s="2">
        <v>7.817</v>
      </c>
      <c r="B237" s="10" t="s">
        <v>677</v>
      </c>
      <c r="C237" s="4">
        <v>7.817</v>
      </c>
      <c r="D237" s="5">
        <v>55.2</v>
      </c>
      <c r="E237" s="4"/>
      <c r="F237" s="4"/>
      <c r="G237" s="2">
        <f t="shared" si="18"/>
        <v>7.784</v>
      </c>
      <c r="H237" s="11" t="str">
        <f t="shared" si="19"/>
        <v>3.062E-2</v>
      </c>
      <c r="I237" s="2">
        <f t="shared" si="20"/>
        <v>55.8</v>
      </c>
      <c r="J237" s="4">
        <f t="shared" si="21"/>
        <v>7.784</v>
      </c>
      <c r="K237" s="9">
        <f t="shared" si="22"/>
        <v>-19</v>
      </c>
      <c r="L237" s="1">
        <f t="shared" si="23"/>
        <v>-24.8</v>
      </c>
    </row>
    <row r="238" s="1" customFormat="1" spans="1:12">
      <c r="A238" s="2">
        <v>7.851</v>
      </c>
      <c r="B238" s="10" t="s">
        <v>678</v>
      </c>
      <c r="C238" s="4">
        <v>7.851</v>
      </c>
      <c r="D238" s="5">
        <v>54.3</v>
      </c>
      <c r="E238" s="4"/>
      <c r="F238" s="4"/>
      <c r="G238" s="2">
        <f t="shared" si="18"/>
        <v>7.817</v>
      </c>
      <c r="H238" s="11" t="str">
        <f t="shared" si="19"/>
        <v>3.081E-2</v>
      </c>
      <c r="I238" s="2">
        <f t="shared" si="20"/>
        <v>55.2</v>
      </c>
      <c r="J238" s="4">
        <f t="shared" si="21"/>
        <v>7.817</v>
      </c>
      <c r="K238" s="9">
        <f t="shared" si="22"/>
        <v>-17.1</v>
      </c>
      <c r="L238" s="1">
        <f t="shared" si="23"/>
        <v>-24.8</v>
      </c>
    </row>
    <row r="239" s="1" customFormat="1" spans="1:12">
      <c r="A239" s="2">
        <v>7.884</v>
      </c>
      <c r="B239" s="10" t="s">
        <v>640</v>
      </c>
      <c r="C239" s="4">
        <v>7.884</v>
      </c>
      <c r="D239" s="5">
        <v>53.4</v>
      </c>
      <c r="E239" s="4"/>
      <c r="F239" s="4"/>
      <c r="G239" s="2">
        <f t="shared" si="18"/>
        <v>7.851</v>
      </c>
      <c r="H239" s="11" t="str">
        <f t="shared" si="19"/>
        <v>3.099E-2</v>
      </c>
      <c r="I239" s="2">
        <f t="shared" si="20"/>
        <v>54.3</v>
      </c>
      <c r="J239" s="4">
        <f t="shared" si="21"/>
        <v>7.851</v>
      </c>
      <c r="K239" s="9">
        <f t="shared" si="22"/>
        <v>-15.3</v>
      </c>
      <c r="L239" s="1">
        <f t="shared" si="23"/>
        <v>-24.8</v>
      </c>
    </row>
    <row r="240" s="1" customFormat="1" spans="1:12">
      <c r="A240" s="2">
        <v>7.918</v>
      </c>
      <c r="B240" s="10" t="s">
        <v>679</v>
      </c>
      <c r="C240" s="4">
        <v>7.918</v>
      </c>
      <c r="D240" s="5">
        <v>53.8</v>
      </c>
      <c r="E240" s="4"/>
      <c r="F240" s="4"/>
      <c r="G240" s="2">
        <f t="shared" si="18"/>
        <v>7.884</v>
      </c>
      <c r="H240" s="11" t="str">
        <f t="shared" si="19"/>
        <v>3.125E-2</v>
      </c>
      <c r="I240" s="2">
        <f t="shared" si="20"/>
        <v>53.4</v>
      </c>
      <c r="J240" s="4">
        <f t="shared" si="21"/>
        <v>7.884</v>
      </c>
      <c r="K240" s="9">
        <f t="shared" si="22"/>
        <v>-12.7</v>
      </c>
      <c r="L240" s="1">
        <f t="shared" si="23"/>
        <v>-24.8</v>
      </c>
    </row>
    <row r="241" s="1" customFormat="1" spans="1:12">
      <c r="A241" s="2">
        <v>7.951</v>
      </c>
      <c r="B241" s="10" t="s">
        <v>680</v>
      </c>
      <c r="C241" s="4">
        <v>7.951</v>
      </c>
      <c r="D241" s="5">
        <v>53</v>
      </c>
      <c r="E241" s="4"/>
      <c r="F241" s="4"/>
      <c r="G241" s="2">
        <f t="shared" si="18"/>
        <v>7.918</v>
      </c>
      <c r="H241" s="11" t="str">
        <f t="shared" si="19"/>
        <v>3.157E-2</v>
      </c>
      <c r="I241" s="2">
        <f t="shared" si="20"/>
        <v>53.8</v>
      </c>
      <c r="J241" s="4">
        <f t="shared" si="21"/>
        <v>7.918</v>
      </c>
      <c r="K241" s="9">
        <f t="shared" si="22"/>
        <v>-9.49999999999999</v>
      </c>
      <c r="L241" s="1">
        <f t="shared" si="23"/>
        <v>-24.8</v>
      </c>
    </row>
    <row r="242" s="1" customFormat="1" spans="1:12">
      <c r="A242" s="2">
        <v>7.984</v>
      </c>
      <c r="B242" s="10" t="s">
        <v>607</v>
      </c>
      <c r="C242" s="4">
        <v>7.984</v>
      </c>
      <c r="D242" s="5">
        <v>52.1</v>
      </c>
      <c r="E242" s="4"/>
      <c r="F242" s="4"/>
      <c r="G242" s="2">
        <f t="shared" si="18"/>
        <v>7.951</v>
      </c>
      <c r="H242" s="11" t="str">
        <f t="shared" si="19"/>
        <v>3.184E-2</v>
      </c>
      <c r="I242" s="2">
        <f t="shared" si="20"/>
        <v>53</v>
      </c>
      <c r="J242" s="4">
        <f t="shared" si="21"/>
        <v>7.951</v>
      </c>
      <c r="K242" s="9">
        <f t="shared" si="22"/>
        <v>-6.8</v>
      </c>
      <c r="L242" s="1">
        <f t="shared" si="23"/>
        <v>-24.8</v>
      </c>
    </row>
    <row r="243" s="1" customFormat="1" spans="1:12">
      <c r="A243" s="2">
        <v>8.018</v>
      </c>
      <c r="B243" s="10" t="s">
        <v>585</v>
      </c>
      <c r="C243" s="4">
        <v>8.018</v>
      </c>
      <c r="D243" s="5">
        <v>51.9</v>
      </c>
      <c r="E243" s="4"/>
      <c r="F243" s="4"/>
      <c r="G243" s="2">
        <f t="shared" si="18"/>
        <v>7.984</v>
      </c>
      <c r="H243" s="11" t="str">
        <f t="shared" si="19"/>
        <v>3.213E-2</v>
      </c>
      <c r="I243" s="2">
        <f t="shared" si="20"/>
        <v>52.1</v>
      </c>
      <c r="J243" s="4">
        <f t="shared" si="21"/>
        <v>7.984</v>
      </c>
      <c r="K243" s="9">
        <f t="shared" si="22"/>
        <v>-3.90000000000001</v>
      </c>
      <c r="L243" s="1">
        <f t="shared" si="23"/>
        <v>-24.8</v>
      </c>
    </row>
    <row r="244" s="1" customFormat="1" spans="1:12">
      <c r="A244" s="2">
        <v>8.051</v>
      </c>
      <c r="B244" s="10" t="s">
        <v>681</v>
      </c>
      <c r="C244" s="4">
        <v>8.051</v>
      </c>
      <c r="D244" s="5">
        <v>51.6</v>
      </c>
      <c r="E244" s="4"/>
      <c r="F244" s="4"/>
      <c r="G244" s="2">
        <f t="shared" si="18"/>
        <v>8.018</v>
      </c>
      <c r="H244" s="11" t="str">
        <f t="shared" si="19"/>
        <v>3.245E-2</v>
      </c>
      <c r="I244" s="2">
        <f t="shared" si="20"/>
        <v>51.9</v>
      </c>
      <c r="J244" s="4">
        <f t="shared" si="21"/>
        <v>8.018</v>
      </c>
      <c r="K244" s="9">
        <f t="shared" si="22"/>
        <v>-0.700000000000006</v>
      </c>
      <c r="L244" s="1">
        <f t="shared" si="23"/>
        <v>-24.8</v>
      </c>
    </row>
    <row r="245" s="1" customFormat="1" spans="1:12">
      <c r="A245" s="2">
        <v>8.085</v>
      </c>
      <c r="B245" s="10" t="s">
        <v>622</v>
      </c>
      <c r="C245" s="4">
        <v>8.085</v>
      </c>
      <c r="D245" s="5">
        <v>51</v>
      </c>
      <c r="E245" s="4"/>
      <c r="F245" s="4"/>
      <c r="G245" s="2">
        <f t="shared" si="18"/>
        <v>8.051</v>
      </c>
      <c r="H245" s="11" t="str">
        <f t="shared" si="19"/>
        <v>3.271E-2</v>
      </c>
      <c r="I245" s="2">
        <f t="shared" si="20"/>
        <v>51.6</v>
      </c>
      <c r="J245" s="4">
        <f t="shared" si="21"/>
        <v>8.051</v>
      </c>
      <c r="K245" s="9">
        <f t="shared" si="22"/>
        <v>1.90000000000003</v>
      </c>
      <c r="L245" s="1">
        <f t="shared" si="23"/>
        <v>-24.8</v>
      </c>
    </row>
    <row r="246" s="1" customFormat="1" spans="1:12">
      <c r="A246" s="2">
        <v>8.118</v>
      </c>
      <c r="B246" s="10" t="s">
        <v>682</v>
      </c>
      <c r="C246" s="4">
        <v>8.118</v>
      </c>
      <c r="D246" s="5">
        <v>50.4</v>
      </c>
      <c r="E246" s="4"/>
      <c r="F246" s="4"/>
      <c r="G246" s="2">
        <f t="shared" si="18"/>
        <v>8.085</v>
      </c>
      <c r="H246" s="11" t="str">
        <f t="shared" si="19"/>
        <v>3.294E-2</v>
      </c>
      <c r="I246" s="2">
        <f t="shared" si="20"/>
        <v>51</v>
      </c>
      <c r="J246" s="4">
        <f t="shared" si="21"/>
        <v>8.085</v>
      </c>
      <c r="K246" s="9">
        <f t="shared" si="22"/>
        <v>4.19999999999997</v>
      </c>
      <c r="L246" s="1">
        <f t="shared" si="23"/>
        <v>-24.8</v>
      </c>
    </row>
    <row r="247" s="1" customFormat="1" spans="1:12">
      <c r="A247" s="2">
        <v>8.151</v>
      </c>
      <c r="B247" s="10" t="s">
        <v>683</v>
      </c>
      <c r="C247" s="4">
        <v>8.151</v>
      </c>
      <c r="D247" s="5">
        <v>50.1</v>
      </c>
      <c r="E247" s="4"/>
      <c r="F247" s="4"/>
      <c r="G247" s="2">
        <f t="shared" si="18"/>
        <v>8.118</v>
      </c>
      <c r="H247" s="11" t="str">
        <f t="shared" si="19"/>
        <v>3.315E-2</v>
      </c>
      <c r="I247" s="2">
        <f t="shared" si="20"/>
        <v>50.4</v>
      </c>
      <c r="J247" s="4">
        <f t="shared" si="21"/>
        <v>8.118</v>
      </c>
      <c r="K247" s="9">
        <f t="shared" si="22"/>
        <v>6.29999999999999</v>
      </c>
      <c r="L247" s="1">
        <f t="shared" si="23"/>
        <v>-24.8</v>
      </c>
    </row>
    <row r="248" s="1" customFormat="1" spans="1:12">
      <c r="A248" s="2">
        <v>8.185</v>
      </c>
      <c r="B248" s="10" t="s">
        <v>309</v>
      </c>
      <c r="C248" s="4">
        <v>8.185</v>
      </c>
      <c r="D248" s="5">
        <v>49.8</v>
      </c>
      <c r="E248" s="4"/>
      <c r="F248" s="4"/>
      <c r="G248" s="2">
        <f t="shared" si="18"/>
        <v>8.151</v>
      </c>
      <c r="H248" s="11" t="str">
        <f t="shared" si="19"/>
        <v>3.340E-2</v>
      </c>
      <c r="I248" s="2">
        <f t="shared" si="20"/>
        <v>50.1</v>
      </c>
      <c r="J248" s="4">
        <f t="shared" si="21"/>
        <v>8.151</v>
      </c>
      <c r="K248" s="9">
        <f t="shared" si="22"/>
        <v>8.79999999999999</v>
      </c>
      <c r="L248" s="1">
        <f t="shared" si="23"/>
        <v>-24.8</v>
      </c>
    </row>
    <row r="249" s="1" customFormat="1" spans="1:12">
      <c r="A249" s="2">
        <v>8.218</v>
      </c>
      <c r="B249" s="10" t="s">
        <v>256</v>
      </c>
      <c r="C249" s="4">
        <v>8.218</v>
      </c>
      <c r="D249" s="5">
        <v>49.3</v>
      </c>
      <c r="E249" s="4"/>
      <c r="F249" s="4"/>
      <c r="G249" s="2">
        <f t="shared" si="18"/>
        <v>8.185</v>
      </c>
      <c r="H249" s="11" t="str">
        <f t="shared" si="19"/>
        <v>3.358E-2</v>
      </c>
      <c r="I249" s="2">
        <f t="shared" si="20"/>
        <v>49.8</v>
      </c>
      <c r="J249" s="4">
        <f t="shared" si="21"/>
        <v>8.185</v>
      </c>
      <c r="K249" s="9">
        <f t="shared" si="22"/>
        <v>10.6</v>
      </c>
      <c r="L249" s="1">
        <f t="shared" si="23"/>
        <v>-24.8</v>
      </c>
    </row>
    <row r="250" s="1" customFormat="1" spans="1:12">
      <c r="A250" s="2">
        <v>8.252</v>
      </c>
      <c r="B250" s="10" t="s">
        <v>50</v>
      </c>
      <c r="C250" s="4">
        <v>8.252</v>
      </c>
      <c r="D250" s="5">
        <v>49.6</v>
      </c>
      <c r="E250" s="4"/>
      <c r="F250" s="4"/>
      <c r="G250" s="2">
        <f t="shared" si="18"/>
        <v>8.218</v>
      </c>
      <c r="H250" s="11" t="str">
        <f t="shared" si="19"/>
        <v>3.367E-2</v>
      </c>
      <c r="I250" s="2">
        <f t="shared" si="20"/>
        <v>49.3</v>
      </c>
      <c r="J250" s="4">
        <f t="shared" si="21"/>
        <v>8.218</v>
      </c>
      <c r="K250" s="9">
        <f t="shared" si="22"/>
        <v>11.5</v>
      </c>
      <c r="L250" s="1">
        <f t="shared" si="23"/>
        <v>-24.8</v>
      </c>
    </row>
    <row r="251" s="1" customFormat="1" spans="1:12">
      <c r="A251" s="2">
        <v>8.285</v>
      </c>
      <c r="B251" s="10" t="s">
        <v>254</v>
      </c>
      <c r="C251" s="4">
        <v>8.285</v>
      </c>
      <c r="D251" s="5">
        <v>49.3</v>
      </c>
      <c r="E251" s="4"/>
      <c r="F251" s="4"/>
      <c r="G251" s="2">
        <f t="shared" si="18"/>
        <v>8.252</v>
      </c>
      <c r="H251" s="11" t="str">
        <f t="shared" si="19"/>
        <v>3.377E-2</v>
      </c>
      <c r="I251" s="2">
        <f t="shared" si="20"/>
        <v>49.6</v>
      </c>
      <c r="J251" s="4">
        <f t="shared" si="21"/>
        <v>8.252</v>
      </c>
      <c r="K251" s="9">
        <f t="shared" si="22"/>
        <v>12.5</v>
      </c>
      <c r="L251" s="1">
        <f t="shared" si="23"/>
        <v>-24.8</v>
      </c>
    </row>
    <row r="252" s="1" customFormat="1" spans="1:12">
      <c r="A252" s="2">
        <v>8.318</v>
      </c>
      <c r="B252" s="10" t="s">
        <v>86</v>
      </c>
      <c r="C252" s="4">
        <v>8.318</v>
      </c>
      <c r="D252" s="5">
        <v>48.3</v>
      </c>
      <c r="E252" s="4"/>
      <c r="F252" s="4"/>
      <c r="G252" s="2">
        <f t="shared" si="18"/>
        <v>8.285</v>
      </c>
      <c r="H252" s="11" t="str">
        <f t="shared" si="19"/>
        <v>3.382E-2</v>
      </c>
      <c r="I252" s="2">
        <f t="shared" si="20"/>
        <v>49.3</v>
      </c>
      <c r="J252" s="4">
        <f t="shared" si="21"/>
        <v>8.285</v>
      </c>
      <c r="K252" s="9">
        <f t="shared" si="22"/>
        <v>13</v>
      </c>
      <c r="L252" s="1">
        <f t="shared" si="23"/>
        <v>-24.8</v>
      </c>
    </row>
    <row r="253" s="1" customFormat="1" spans="1:12">
      <c r="A253" s="2">
        <v>8.352</v>
      </c>
      <c r="B253" s="10" t="s">
        <v>50</v>
      </c>
      <c r="C253" s="4">
        <v>8.352</v>
      </c>
      <c r="D253" s="5">
        <v>48.6</v>
      </c>
      <c r="E253" s="4"/>
      <c r="F253" s="4"/>
      <c r="G253" s="2">
        <f t="shared" si="18"/>
        <v>8.318</v>
      </c>
      <c r="H253" s="11" t="str">
        <f t="shared" si="19"/>
        <v>3.379E-2</v>
      </c>
      <c r="I253" s="2">
        <f t="shared" si="20"/>
        <v>48.3</v>
      </c>
      <c r="J253" s="4">
        <f t="shared" si="21"/>
        <v>8.318</v>
      </c>
      <c r="K253" s="9">
        <f t="shared" si="22"/>
        <v>12.7</v>
      </c>
      <c r="L253" s="1">
        <f t="shared" si="23"/>
        <v>-24.8</v>
      </c>
    </row>
    <row r="254" s="1" customFormat="1" spans="1:12">
      <c r="A254" s="2">
        <v>8.385</v>
      </c>
      <c r="B254" s="10" t="s">
        <v>247</v>
      </c>
      <c r="C254" s="4">
        <v>8.385</v>
      </c>
      <c r="D254" s="5">
        <v>48.3</v>
      </c>
      <c r="E254" s="4"/>
      <c r="F254" s="4"/>
      <c r="G254" s="2">
        <f t="shared" si="18"/>
        <v>8.352</v>
      </c>
      <c r="H254" s="11" t="str">
        <f t="shared" si="19"/>
        <v>3.377E-2</v>
      </c>
      <c r="I254" s="2">
        <f t="shared" si="20"/>
        <v>48.6</v>
      </c>
      <c r="J254" s="4">
        <f t="shared" si="21"/>
        <v>8.352</v>
      </c>
      <c r="K254" s="9">
        <f t="shared" si="22"/>
        <v>12.5</v>
      </c>
      <c r="L254" s="1">
        <f t="shared" si="23"/>
        <v>-24.8</v>
      </c>
    </row>
    <row r="255" s="1" customFormat="1" spans="1:12">
      <c r="A255" s="2">
        <v>8.419</v>
      </c>
      <c r="B255" s="10" t="s">
        <v>307</v>
      </c>
      <c r="C255" s="4">
        <v>8.419</v>
      </c>
      <c r="D255" s="5">
        <v>47.5</v>
      </c>
      <c r="E255" s="4"/>
      <c r="F255" s="4"/>
      <c r="G255" s="2">
        <f t="shared" si="18"/>
        <v>8.385</v>
      </c>
      <c r="H255" s="11" t="str">
        <f t="shared" si="19"/>
        <v>3.371E-2</v>
      </c>
      <c r="I255" s="2">
        <f t="shared" si="20"/>
        <v>48.3</v>
      </c>
      <c r="J255" s="4">
        <f t="shared" si="21"/>
        <v>8.385</v>
      </c>
      <c r="K255" s="9">
        <f t="shared" si="22"/>
        <v>11.9</v>
      </c>
      <c r="L255" s="1">
        <f t="shared" si="23"/>
        <v>-24.8</v>
      </c>
    </row>
    <row r="256" s="1" customFormat="1" spans="1:12">
      <c r="A256" s="2">
        <v>8.452</v>
      </c>
      <c r="B256" s="10" t="s">
        <v>312</v>
      </c>
      <c r="C256" s="4">
        <v>8.452</v>
      </c>
      <c r="D256" s="5">
        <v>47.2</v>
      </c>
      <c r="E256" s="4"/>
      <c r="F256" s="4"/>
      <c r="G256" s="2">
        <f t="shared" si="18"/>
        <v>8.419</v>
      </c>
      <c r="H256" s="11" t="str">
        <f t="shared" si="19"/>
        <v>3.365E-2</v>
      </c>
      <c r="I256" s="2">
        <f t="shared" si="20"/>
        <v>47.5</v>
      </c>
      <c r="J256" s="4">
        <f t="shared" si="21"/>
        <v>8.419</v>
      </c>
      <c r="K256" s="9">
        <f t="shared" si="22"/>
        <v>11.3</v>
      </c>
      <c r="L256" s="1">
        <f t="shared" si="23"/>
        <v>-24.8</v>
      </c>
    </row>
    <row r="257" s="1" customFormat="1" spans="1:12">
      <c r="A257" s="2">
        <v>8.485</v>
      </c>
      <c r="B257" s="10" t="s">
        <v>684</v>
      </c>
      <c r="C257" s="4">
        <v>8.485</v>
      </c>
      <c r="D257" s="5">
        <v>47.1</v>
      </c>
      <c r="E257" s="4"/>
      <c r="F257" s="4"/>
      <c r="G257" s="2">
        <f t="shared" si="18"/>
        <v>8.452</v>
      </c>
      <c r="H257" s="11" t="str">
        <f t="shared" si="19"/>
        <v>3.354E-2</v>
      </c>
      <c r="I257" s="2">
        <f t="shared" si="20"/>
        <v>47.2</v>
      </c>
      <c r="J257" s="4">
        <f t="shared" si="21"/>
        <v>8.452</v>
      </c>
      <c r="K257" s="9">
        <f t="shared" si="22"/>
        <v>10.2</v>
      </c>
      <c r="L257" s="1">
        <f t="shared" si="23"/>
        <v>-24.8</v>
      </c>
    </row>
    <row r="258" s="1" customFormat="1" spans="1:12">
      <c r="A258" s="2">
        <v>8.519</v>
      </c>
      <c r="B258" s="10" t="s">
        <v>620</v>
      </c>
      <c r="C258" s="4">
        <v>8.519</v>
      </c>
      <c r="D258" s="5">
        <v>47.4</v>
      </c>
      <c r="E258" s="4"/>
      <c r="F258" s="4"/>
      <c r="G258" s="2">
        <f t="shared" si="18"/>
        <v>8.485</v>
      </c>
      <c r="H258" s="11" t="str">
        <f t="shared" si="19"/>
        <v>3.330E-2</v>
      </c>
      <c r="I258" s="2">
        <f t="shared" si="20"/>
        <v>47.1</v>
      </c>
      <c r="J258" s="4">
        <f t="shared" si="21"/>
        <v>8.485</v>
      </c>
      <c r="K258" s="9">
        <f t="shared" si="22"/>
        <v>7.80000000000003</v>
      </c>
      <c r="L258" s="1">
        <f t="shared" si="23"/>
        <v>-24.8</v>
      </c>
    </row>
    <row r="259" s="1" customFormat="1" spans="1:12">
      <c r="A259" s="2">
        <v>8.552</v>
      </c>
      <c r="B259" s="10" t="s">
        <v>685</v>
      </c>
      <c r="C259" s="4">
        <v>8.552</v>
      </c>
      <c r="D259" s="5">
        <v>46.7</v>
      </c>
      <c r="E259" s="4"/>
      <c r="F259" s="4"/>
      <c r="G259" s="2">
        <f t="shared" si="18"/>
        <v>8.519</v>
      </c>
      <c r="H259" s="11" t="str">
        <f t="shared" si="19"/>
        <v>3.306E-2</v>
      </c>
      <c r="I259" s="2">
        <f t="shared" si="20"/>
        <v>47.4</v>
      </c>
      <c r="J259" s="4">
        <f t="shared" si="21"/>
        <v>8.519</v>
      </c>
      <c r="K259" s="9">
        <f t="shared" si="22"/>
        <v>5.39999999999999</v>
      </c>
      <c r="L259" s="1">
        <f t="shared" si="23"/>
        <v>-24.8</v>
      </c>
    </row>
    <row r="260" s="1" customFormat="1" spans="1:12">
      <c r="A260" s="2">
        <v>8.586</v>
      </c>
      <c r="B260" s="10" t="s">
        <v>686</v>
      </c>
      <c r="C260" s="4">
        <v>8.586</v>
      </c>
      <c r="D260" s="5">
        <v>46.8</v>
      </c>
      <c r="E260" s="4"/>
      <c r="F260" s="4"/>
      <c r="G260" s="2">
        <f t="shared" ref="G260:G323" si="24">A259</f>
        <v>8.552</v>
      </c>
      <c r="H260" s="11" t="str">
        <f t="shared" ref="H260:H323" si="25">B259</f>
        <v>3.286E-2</v>
      </c>
      <c r="I260" s="2">
        <f t="shared" ref="I260:I323" si="26">D259</f>
        <v>46.7</v>
      </c>
      <c r="J260" s="4">
        <f t="shared" ref="J260:J323" si="27">G260</f>
        <v>8.552</v>
      </c>
      <c r="K260" s="9">
        <f t="shared" ref="K260:K323" si="28">(H260-$H$4)*10000</f>
        <v>3.4</v>
      </c>
      <c r="L260" s="1">
        <f t="shared" ref="L260:L323" si="29">IF(I260&lt;230,MIN(K:K),MAX(K:K))</f>
        <v>-24.8</v>
      </c>
    </row>
    <row r="261" s="1" customFormat="1" spans="1:12">
      <c r="A261" s="2">
        <v>8.619</v>
      </c>
      <c r="B261" s="10" t="s">
        <v>687</v>
      </c>
      <c r="C261" s="4">
        <v>8.619</v>
      </c>
      <c r="D261" s="5">
        <v>46.4</v>
      </c>
      <c r="E261" s="4"/>
      <c r="F261" s="4"/>
      <c r="G261" s="2">
        <f t="shared" si="24"/>
        <v>8.586</v>
      </c>
      <c r="H261" s="11" t="str">
        <f t="shared" si="25"/>
        <v>3.260E-2</v>
      </c>
      <c r="I261" s="2">
        <f t="shared" si="26"/>
        <v>46.8</v>
      </c>
      <c r="J261" s="4">
        <f t="shared" si="27"/>
        <v>8.586</v>
      </c>
      <c r="K261" s="9">
        <f t="shared" si="28"/>
        <v>0.799999999999967</v>
      </c>
      <c r="L261" s="1">
        <f t="shared" si="29"/>
        <v>-24.8</v>
      </c>
    </row>
    <row r="262" s="1" customFormat="1" spans="1:12">
      <c r="A262" s="2">
        <v>8.652</v>
      </c>
      <c r="B262" s="10" t="s">
        <v>606</v>
      </c>
      <c r="C262" s="4">
        <v>8.652</v>
      </c>
      <c r="D262" s="5">
        <v>46.6</v>
      </c>
      <c r="E262" s="4"/>
      <c r="F262" s="4"/>
      <c r="G262" s="2">
        <f t="shared" si="24"/>
        <v>8.619</v>
      </c>
      <c r="H262" s="11" t="str">
        <f t="shared" si="25"/>
        <v>3.235E-2</v>
      </c>
      <c r="I262" s="2">
        <f t="shared" si="26"/>
        <v>46.4</v>
      </c>
      <c r="J262" s="4">
        <f t="shared" si="27"/>
        <v>8.619</v>
      </c>
      <c r="K262" s="9">
        <f t="shared" si="28"/>
        <v>-1.70000000000003</v>
      </c>
      <c r="L262" s="1">
        <f t="shared" si="29"/>
        <v>-24.8</v>
      </c>
    </row>
    <row r="263" s="1" customFormat="1" spans="1:12">
      <c r="A263" s="2">
        <v>8.686</v>
      </c>
      <c r="B263" s="10" t="s">
        <v>688</v>
      </c>
      <c r="C263" s="4">
        <v>8.686</v>
      </c>
      <c r="D263" s="5">
        <v>46.5</v>
      </c>
      <c r="E263" s="4"/>
      <c r="F263" s="4"/>
      <c r="G263" s="2">
        <f t="shared" si="24"/>
        <v>8.652</v>
      </c>
      <c r="H263" s="11" t="str">
        <f t="shared" si="25"/>
        <v>3.203E-2</v>
      </c>
      <c r="I263" s="2">
        <f t="shared" si="26"/>
        <v>46.6</v>
      </c>
      <c r="J263" s="4">
        <f t="shared" si="27"/>
        <v>8.652</v>
      </c>
      <c r="K263" s="9">
        <f t="shared" si="28"/>
        <v>-4.89999999999997</v>
      </c>
      <c r="L263" s="1">
        <f t="shared" si="29"/>
        <v>-24.8</v>
      </c>
    </row>
    <row r="264" s="1" customFormat="1" spans="1:12">
      <c r="A264" s="2">
        <v>8.719</v>
      </c>
      <c r="B264" s="10" t="s">
        <v>641</v>
      </c>
      <c r="C264" s="4">
        <v>8.719</v>
      </c>
      <c r="D264" s="5">
        <v>46</v>
      </c>
      <c r="E264" s="4"/>
      <c r="F264" s="4"/>
      <c r="G264" s="2">
        <f t="shared" si="24"/>
        <v>8.686</v>
      </c>
      <c r="H264" s="11" t="str">
        <f t="shared" si="25"/>
        <v>3.172E-2</v>
      </c>
      <c r="I264" s="2">
        <f t="shared" si="26"/>
        <v>46.5</v>
      </c>
      <c r="J264" s="4">
        <f t="shared" si="27"/>
        <v>8.686</v>
      </c>
      <c r="K264" s="9">
        <f t="shared" si="28"/>
        <v>-8.00000000000002</v>
      </c>
      <c r="L264" s="1">
        <f t="shared" si="29"/>
        <v>-24.8</v>
      </c>
    </row>
    <row r="265" s="1" customFormat="1" spans="1:12">
      <c r="A265" s="2">
        <v>8.753</v>
      </c>
      <c r="B265" s="10" t="s">
        <v>689</v>
      </c>
      <c r="C265" s="4">
        <v>8.753</v>
      </c>
      <c r="D265" s="5">
        <v>46.3</v>
      </c>
      <c r="E265" s="4"/>
      <c r="F265" s="4"/>
      <c r="G265" s="2">
        <f t="shared" si="24"/>
        <v>8.719</v>
      </c>
      <c r="H265" s="11" t="str">
        <f t="shared" si="25"/>
        <v>3.144E-2</v>
      </c>
      <c r="I265" s="2">
        <f t="shared" si="26"/>
        <v>46</v>
      </c>
      <c r="J265" s="4">
        <f t="shared" si="27"/>
        <v>8.719</v>
      </c>
      <c r="K265" s="9">
        <f t="shared" si="28"/>
        <v>-10.8</v>
      </c>
      <c r="L265" s="1">
        <f t="shared" si="29"/>
        <v>-24.8</v>
      </c>
    </row>
    <row r="266" s="1" customFormat="1" spans="1:12">
      <c r="A266" s="2">
        <v>8.786</v>
      </c>
      <c r="B266" s="10" t="s">
        <v>637</v>
      </c>
      <c r="C266" s="4">
        <v>8.786</v>
      </c>
      <c r="D266" s="5">
        <v>46.1</v>
      </c>
      <c r="E266" s="4"/>
      <c r="F266" s="4"/>
      <c r="G266" s="2">
        <f t="shared" si="24"/>
        <v>8.753</v>
      </c>
      <c r="H266" s="11" t="str">
        <f t="shared" si="25"/>
        <v>3.120E-2</v>
      </c>
      <c r="I266" s="2">
        <f t="shared" si="26"/>
        <v>46.3</v>
      </c>
      <c r="J266" s="4">
        <f t="shared" si="27"/>
        <v>8.753</v>
      </c>
      <c r="K266" s="9">
        <f t="shared" si="28"/>
        <v>-13.2</v>
      </c>
      <c r="L266" s="1">
        <f t="shared" si="29"/>
        <v>-24.8</v>
      </c>
    </row>
    <row r="267" s="1" customFormat="1" spans="1:12">
      <c r="A267" s="2">
        <v>8.82</v>
      </c>
      <c r="B267" s="10" t="s">
        <v>690</v>
      </c>
      <c r="C267" s="4">
        <v>8.82</v>
      </c>
      <c r="D267" s="5">
        <v>46</v>
      </c>
      <c r="E267" s="4"/>
      <c r="F267" s="4"/>
      <c r="G267" s="2">
        <f t="shared" si="24"/>
        <v>8.786</v>
      </c>
      <c r="H267" s="11" t="str">
        <f t="shared" si="25"/>
        <v>3.100E-2</v>
      </c>
      <c r="I267" s="2">
        <f t="shared" si="26"/>
        <v>46.1</v>
      </c>
      <c r="J267" s="4">
        <f t="shared" si="27"/>
        <v>8.786</v>
      </c>
      <c r="K267" s="9">
        <f t="shared" si="28"/>
        <v>-15.2</v>
      </c>
      <c r="L267" s="1">
        <f t="shared" si="29"/>
        <v>-24.8</v>
      </c>
    </row>
    <row r="268" s="1" customFormat="1" spans="1:12">
      <c r="A268" s="2">
        <v>8.853</v>
      </c>
      <c r="B268" s="10" t="s">
        <v>655</v>
      </c>
      <c r="C268" s="4">
        <v>8.853</v>
      </c>
      <c r="D268" s="5">
        <v>46.2</v>
      </c>
      <c r="E268" s="4"/>
      <c r="F268" s="4"/>
      <c r="G268" s="2">
        <f t="shared" si="24"/>
        <v>8.82</v>
      </c>
      <c r="H268" s="11" t="str">
        <f t="shared" si="25"/>
        <v>3.082E-2</v>
      </c>
      <c r="I268" s="2">
        <f t="shared" si="26"/>
        <v>46</v>
      </c>
      <c r="J268" s="4">
        <f t="shared" si="27"/>
        <v>8.82</v>
      </c>
      <c r="K268" s="9">
        <f t="shared" si="28"/>
        <v>-17</v>
      </c>
      <c r="L268" s="1">
        <f t="shared" si="29"/>
        <v>-24.8</v>
      </c>
    </row>
    <row r="269" s="1" customFormat="1" spans="1:12">
      <c r="A269" s="2">
        <v>8.886</v>
      </c>
      <c r="B269" s="10" t="s">
        <v>691</v>
      </c>
      <c r="C269" s="4">
        <v>8.886</v>
      </c>
      <c r="D269" s="5">
        <v>45.6</v>
      </c>
      <c r="E269" s="4"/>
      <c r="F269" s="4"/>
      <c r="G269" s="2">
        <f t="shared" si="24"/>
        <v>8.853</v>
      </c>
      <c r="H269" s="11" t="str">
        <f t="shared" si="25"/>
        <v>3.066E-2</v>
      </c>
      <c r="I269" s="2">
        <f t="shared" si="26"/>
        <v>46.2</v>
      </c>
      <c r="J269" s="4">
        <f t="shared" si="27"/>
        <v>8.853</v>
      </c>
      <c r="K269" s="9">
        <f t="shared" si="28"/>
        <v>-18.6</v>
      </c>
      <c r="L269" s="1">
        <f t="shared" si="29"/>
        <v>-24.8</v>
      </c>
    </row>
    <row r="270" s="1" customFormat="1" spans="1:12">
      <c r="A270" s="2">
        <v>8.92</v>
      </c>
      <c r="B270" s="10" t="s">
        <v>692</v>
      </c>
      <c r="C270" s="4">
        <v>8.92</v>
      </c>
      <c r="D270" s="5">
        <v>45.8</v>
      </c>
      <c r="E270" s="4"/>
      <c r="F270" s="4"/>
      <c r="G270" s="2">
        <f t="shared" si="24"/>
        <v>8.886</v>
      </c>
      <c r="H270" s="11" t="str">
        <f t="shared" si="25"/>
        <v>3.058E-2</v>
      </c>
      <c r="I270" s="2">
        <f t="shared" si="26"/>
        <v>45.6</v>
      </c>
      <c r="J270" s="4">
        <f t="shared" si="27"/>
        <v>8.886</v>
      </c>
      <c r="K270" s="9">
        <f t="shared" si="28"/>
        <v>-19.4</v>
      </c>
      <c r="L270" s="1">
        <f t="shared" si="29"/>
        <v>-24.8</v>
      </c>
    </row>
    <row r="271" s="1" customFormat="1" spans="1:12">
      <c r="A271" s="2">
        <v>8.953</v>
      </c>
      <c r="B271" s="10" t="s">
        <v>693</v>
      </c>
      <c r="C271" s="4">
        <v>8.953</v>
      </c>
      <c r="D271" s="5">
        <v>46.1</v>
      </c>
      <c r="E271" s="4"/>
      <c r="F271" s="4"/>
      <c r="G271" s="2">
        <f t="shared" si="24"/>
        <v>8.92</v>
      </c>
      <c r="H271" s="11" t="str">
        <f t="shared" si="25"/>
        <v>3.055E-2</v>
      </c>
      <c r="I271" s="2">
        <f t="shared" si="26"/>
        <v>45.8</v>
      </c>
      <c r="J271" s="4">
        <f t="shared" si="27"/>
        <v>8.92</v>
      </c>
      <c r="K271" s="9">
        <f t="shared" si="28"/>
        <v>-19.7</v>
      </c>
      <c r="L271" s="1">
        <f t="shared" si="29"/>
        <v>-24.8</v>
      </c>
    </row>
    <row r="272" s="1" customFormat="1" spans="1:12">
      <c r="A272" s="2">
        <v>8.987</v>
      </c>
      <c r="B272" s="10" t="s">
        <v>670</v>
      </c>
      <c r="C272" s="4">
        <v>8.987</v>
      </c>
      <c r="D272" s="5">
        <v>46.3</v>
      </c>
      <c r="E272" s="4"/>
      <c r="F272" s="4"/>
      <c r="G272" s="2">
        <f t="shared" si="24"/>
        <v>8.953</v>
      </c>
      <c r="H272" s="11" t="str">
        <f t="shared" si="25"/>
        <v>3.056E-2</v>
      </c>
      <c r="I272" s="2">
        <f t="shared" si="26"/>
        <v>46.1</v>
      </c>
      <c r="J272" s="4">
        <f t="shared" si="27"/>
        <v>8.953</v>
      </c>
      <c r="K272" s="9">
        <f t="shared" si="28"/>
        <v>-19.6</v>
      </c>
      <c r="L272" s="1">
        <f t="shared" si="29"/>
        <v>-24.8</v>
      </c>
    </row>
    <row r="273" s="1" customFormat="1" spans="1:12">
      <c r="A273" s="2">
        <v>9.02</v>
      </c>
      <c r="B273" s="10" t="s">
        <v>655</v>
      </c>
      <c r="C273" s="4">
        <v>9.02</v>
      </c>
      <c r="D273" s="5">
        <v>45.7</v>
      </c>
      <c r="E273" s="4"/>
      <c r="F273" s="4"/>
      <c r="G273" s="2">
        <f t="shared" si="24"/>
        <v>8.987</v>
      </c>
      <c r="H273" s="11" t="str">
        <f t="shared" si="25"/>
        <v>3.060E-2</v>
      </c>
      <c r="I273" s="2">
        <f t="shared" si="26"/>
        <v>46.3</v>
      </c>
      <c r="J273" s="4">
        <f t="shared" si="27"/>
        <v>8.987</v>
      </c>
      <c r="K273" s="9">
        <f t="shared" si="28"/>
        <v>-19.2</v>
      </c>
      <c r="L273" s="1">
        <f t="shared" si="29"/>
        <v>-24.8</v>
      </c>
    </row>
    <row r="274" s="1" customFormat="1" spans="1:12">
      <c r="A274" s="2">
        <v>9.053</v>
      </c>
      <c r="B274" s="10" t="s">
        <v>669</v>
      </c>
      <c r="C274" s="4">
        <v>9.053</v>
      </c>
      <c r="D274" s="5">
        <v>46</v>
      </c>
      <c r="E274" s="4"/>
      <c r="F274" s="4"/>
      <c r="G274" s="2">
        <f t="shared" si="24"/>
        <v>9.02</v>
      </c>
      <c r="H274" s="11" t="str">
        <f t="shared" si="25"/>
        <v>3.066E-2</v>
      </c>
      <c r="I274" s="2">
        <f t="shared" si="26"/>
        <v>45.7</v>
      </c>
      <c r="J274" s="4">
        <f t="shared" si="27"/>
        <v>9.02</v>
      </c>
      <c r="K274" s="9">
        <f t="shared" si="28"/>
        <v>-18.6</v>
      </c>
      <c r="L274" s="1">
        <f t="shared" si="29"/>
        <v>-24.8</v>
      </c>
    </row>
    <row r="275" s="1" customFormat="1" spans="1:12">
      <c r="A275" s="2">
        <v>9.087</v>
      </c>
      <c r="B275" s="10" t="s">
        <v>677</v>
      </c>
      <c r="C275" s="4">
        <v>9.087</v>
      </c>
      <c r="D275" s="5">
        <v>45.7</v>
      </c>
      <c r="E275" s="4"/>
      <c r="F275" s="4"/>
      <c r="G275" s="2">
        <f t="shared" si="24"/>
        <v>9.053</v>
      </c>
      <c r="H275" s="11" t="str">
        <f t="shared" si="25"/>
        <v>3.073E-2</v>
      </c>
      <c r="I275" s="2">
        <f t="shared" si="26"/>
        <v>46</v>
      </c>
      <c r="J275" s="4">
        <f t="shared" si="27"/>
        <v>9.053</v>
      </c>
      <c r="K275" s="9">
        <f t="shared" si="28"/>
        <v>-17.9</v>
      </c>
      <c r="L275" s="1">
        <f t="shared" si="29"/>
        <v>-24.8</v>
      </c>
    </row>
    <row r="276" s="1" customFormat="1" spans="1:12">
      <c r="A276" s="2">
        <v>9.12</v>
      </c>
      <c r="B276" s="10" t="s">
        <v>636</v>
      </c>
      <c r="C276" s="4">
        <v>9.12</v>
      </c>
      <c r="D276" s="5">
        <v>45.6</v>
      </c>
      <c r="E276" s="4"/>
      <c r="F276" s="4"/>
      <c r="G276" s="2">
        <f t="shared" si="24"/>
        <v>9.087</v>
      </c>
      <c r="H276" s="11" t="str">
        <f t="shared" si="25"/>
        <v>3.081E-2</v>
      </c>
      <c r="I276" s="2">
        <f t="shared" si="26"/>
        <v>45.7</v>
      </c>
      <c r="J276" s="4">
        <f t="shared" si="27"/>
        <v>9.087</v>
      </c>
      <c r="K276" s="9">
        <f t="shared" si="28"/>
        <v>-17.1</v>
      </c>
      <c r="L276" s="1">
        <f t="shared" si="29"/>
        <v>-24.8</v>
      </c>
    </row>
    <row r="277" s="1" customFormat="1" spans="1:12">
      <c r="A277" s="2">
        <v>9.154</v>
      </c>
      <c r="B277" s="10" t="s">
        <v>694</v>
      </c>
      <c r="C277" s="4">
        <v>9.154</v>
      </c>
      <c r="D277" s="5">
        <v>45.5</v>
      </c>
      <c r="E277" s="4"/>
      <c r="F277" s="4"/>
      <c r="G277" s="2">
        <f t="shared" si="24"/>
        <v>9.12</v>
      </c>
      <c r="H277" s="11" t="str">
        <f t="shared" si="25"/>
        <v>3.094E-2</v>
      </c>
      <c r="I277" s="2">
        <f t="shared" si="26"/>
        <v>45.6</v>
      </c>
      <c r="J277" s="4">
        <f t="shared" si="27"/>
        <v>9.12</v>
      </c>
      <c r="K277" s="9">
        <f t="shared" si="28"/>
        <v>-15.8</v>
      </c>
      <c r="L277" s="1">
        <f t="shared" si="29"/>
        <v>-24.8</v>
      </c>
    </row>
    <row r="278" s="1" customFormat="1" spans="1:12">
      <c r="A278" s="2">
        <v>9.187</v>
      </c>
      <c r="B278" s="10" t="s">
        <v>641</v>
      </c>
      <c r="C278" s="4">
        <v>9.187</v>
      </c>
      <c r="D278" s="5">
        <v>45.4</v>
      </c>
      <c r="E278" s="4"/>
      <c r="F278" s="4"/>
      <c r="G278" s="2">
        <f t="shared" si="24"/>
        <v>9.154</v>
      </c>
      <c r="H278" s="11" t="str">
        <f t="shared" si="25"/>
        <v>3.115E-2</v>
      </c>
      <c r="I278" s="2">
        <f t="shared" si="26"/>
        <v>45.5</v>
      </c>
      <c r="J278" s="4">
        <f t="shared" si="27"/>
        <v>9.154</v>
      </c>
      <c r="K278" s="9">
        <f t="shared" si="28"/>
        <v>-13.7</v>
      </c>
      <c r="L278" s="1">
        <f t="shared" si="29"/>
        <v>-24.8</v>
      </c>
    </row>
    <row r="279" s="1" customFormat="1" spans="1:12">
      <c r="A279" s="2">
        <v>9.22</v>
      </c>
      <c r="B279" s="10" t="s">
        <v>695</v>
      </c>
      <c r="C279" s="4">
        <v>9.22</v>
      </c>
      <c r="D279" s="5">
        <v>45.5</v>
      </c>
      <c r="E279" s="4"/>
      <c r="F279" s="4"/>
      <c r="G279" s="2">
        <f t="shared" si="24"/>
        <v>9.187</v>
      </c>
      <c r="H279" s="11" t="str">
        <f t="shared" si="25"/>
        <v>3.144E-2</v>
      </c>
      <c r="I279" s="2">
        <f t="shared" si="26"/>
        <v>45.4</v>
      </c>
      <c r="J279" s="4">
        <f t="shared" si="27"/>
        <v>9.187</v>
      </c>
      <c r="K279" s="9">
        <f t="shared" si="28"/>
        <v>-10.8</v>
      </c>
      <c r="L279" s="1">
        <f t="shared" si="29"/>
        <v>-24.8</v>
      </c>
    </row>
    <row r="280" s="1" customFormat="1" spans="1:12">
      <c r="A280" s="2">
        <v>9.254</v>
      </c>
      <c r="B280" s="10" t="s">
        <v>604</v>
      </c>
      <c r="C280" s="4">
        <v>9.254</v>
      </c>
      <c r="D280" s="5">
        <v>45.8</v>
      </c>
      <c r="E280" s="4"/>
      <c r="F280" s="4"/>
      <c r="G280" s="2">
        <f t="shared" si="24"/>
        <v>9.22</v>
      </c>
      <c r="H280" s="11" t="str">
        <f t="shared" si="25"/>
        <v>3.166E-2</v>
      </c>
      <c r="I280" s="2">
        <f t="shared" si="26"/>
        <v>45.5</v>
      </c>
      <c r="J280" s="4">
        <f t="shared" si="27"/>
        <v>9.22</v>
      </c>
      <c r="K280" s="9">
        <f t="shared" si="28"/>
        <v>-8.6</v>
      </c>
      <c r="L280" s="1">
        <f t="shared" si="29"/>
        <v>-24.8</v>
      </c>
    </row>
    <row r="281" s="1" customFormat="1" spans="1:12">
      <c r="A281" s="2">
        <v>9.287</v>
      </c>
      <c r="B281" s="10" t="s">
        <v>696</v>
      </c>
      <c r="C281" s="4">
        <v>9.287</v>
      </c>
      <c r="D281" s="5">
        <v>45.5</v>
      </c>
      <c r="E281" s="4"/>
      <c r="F281" s="4"/>
      <c r="G281" s="2">
        <f t="shared" si="24"/>
        <v>9.254</v>
      </c>
      <c r="H281" s="11" t="str">
        <f t="shared" si="25"/>
        <v>3.191E-2</v>
      </c>
      <c r="I281" s="2">
        <f t="shared" si="26"/>
        <v>45.8</v>
      </c>
      <c r="J281" s="4">
        <f t="shared" si="27"/>
        <v>9.254</v>
      </c>
      <c r="K281" s="9">
        <f t="shared" si="28"/>
        <v>-6.09999999999999</v>
      </c>
      <c r="L281" s="1">
        <f t="shared" si="29"/>
        <v>-24.8</v>
      </c>
    </row>
    <row r="282" s="1" customFormat="1" spans="1:12">
      <c r="A282" s="2">
        <v>9.321</v>
      </c>
      <c r="B282" s="10" t="s">
        <v>582</v>
      </c>
      <c r="C282" s="4">
        <v>9.321</v>
      </c>
      <c r="D282" s="5">
        <v>45.5</v>
      </c>
      <c r="E282" s="4"/>
      <c r="F282" s="4"/>
      <c r="G282" s="2">
        <f t="shared" si="24"/>
        <v>9.287</v>
      </c>
      <c r="H282" s="11" t="str">
        <f t="shared" si="25"/>
        <v>3.218E-2</v>
      </c>
      <c r="I282" s="2">
        <f t="shared" si="26"/>
        <v>45.5</v>
      </c>
      <c r="J282" s="4">
        <f t="shared" si="27"/>
        <v>9.287</v>
      </c>
      <c r="K282" s="9">
        <f t="shared" si="28"/>
        <v>-3.4</v>
      </c>
      <c r="L282" s="1">
        <f t="shared" si="29"/>
        <v>-24.8</v>
      </c>
    </row>
    <row r="283" s="1" customFormat="1" spans="1:12">
      <c r="A283" s="2">
        <v>9.354</v>
      </c>
      <c r="B283" s="10" t="s">
        <v>697</v>
      </c>
      <c r="C283" s="4">
        <v>9.354</v>
      </c>
      <c r="D283" s="5">
        <v>45.7</v>
      </c>
      <c r="E283" s="4"/>
      <c r="F283" s="4"/>
      <c r="G283" s="2">
        <f t="shared" si="24"/>
        <v>9.321</v>
      </c>
      <c r="H283" s="11" t="str">
        <f t="shared" si="25"/>
        <v>3.248E-2</v>
      </c>
      <c r="I283" s="2">
        <f t="shared" si="26"/>
        <v>45.5</v>
      </c>
      <c r="J283" s="4">
        <f t="shared" si="27"/>
        <v>9.321</v>
      </c>
      <c r="K283" s="9">
        <f t="shared" si="28"/>
        <v>-0.399999999999984</v>
      </c>
      <c r="L283" s="1">
        <f t="shared" si="29"/>
        <v>-24.8</v>
      </c>
    </row>
    <row r="284" s="1" customFormat="1" spans="1:12">
      <c r="A284" s="2">
        <v>9.387</v>
      </c>
      <c r="B284" s="10" t="s">
        <v>615</v>
      </c>
      <c r="C284" s="4">
        <v>9.387</v>
      </c>
      <c r="D284" s="5">
        <v>45.4</v>
      </c>
      <c r="E284" s="4"/>
      <c r="F284" s="4"/>
      <c r="G284" s="2">
        <f t="shared" si="24"/>
        <v>9.354</v>
      </c>
      <c r="H284" s="11" t="str">
        <f t="shared" si="25"/>
        <v>3.274E-2</v>
      </c>
      <c r="I284" s="2">
        <f t="shared" si="26"/>
        <v>45.7</v>
      </c>
      <c r="J284" s="4">
        <f t="shared" si="27"/>
        <v>9.354</v>
      </c>
      <c r="K284" s="9">
        <f t="shared" si="28"/>
        <v>2.19999999999998</v>
      </c>
      <c r="L284" s="1">
        <f t="shared" si="29"/>
        <v>-24.8</v>
      </c>
    </row>
    <row r="285" s="1" customFormat="1" spans="1:12">
      <c r="A285" s="2">
        <v>9.421</v>
      </c>
      <c r="B285" s="10" t="s">
        <v>646</v>
      </c>
      <c r="C285" s="4">
        <v>9.421</v>
      </c>
      <c r="D285" s="5">
        <v>45.4</v>
      </c>
      <c r="E285" s="4"/>
      <c r="F285" s="4"/>
      <c r="G285" s="2">
        <f t="shared" si="24"/>
        <v>9.387</v>
      </c>
      <c r="H285" s="11" t="str">
        <f t="shared" si="25"/>
        <v>3.298E-2</v>
      </c>
      <c r="I285" s="2">
        <f t="shared" si="26"/>
        <v>45.4</v>
      </c>
      <c r="J285" s="4">
        <f t="shared" si="27"/>
        <v>9.387</v>
      </c>
      <c r="K285" s="9">
        <f t="shared" si="28"/>
        <v>4.60000000000002</v>
      </c>
      <c r="L285" s="1">
        <f t="shared" si="29"/>
        <v>-24.8</v>
      </c>
    </row>
    <row r="286" s="1" customFormat="1" spans="1:12">
      <c r="A286" s="2">
        <v>9.454</v>
      </c>
      <c r="B286" s="10" t="s">
        <v>698</v>
      </c>
      <c r="C286" s="4">
        <v>9.454</v>
      </c>
      <c r="D286" s="5">
        <v>45.6</v>
      </c>
      <c r="E286" s="4"/>
      <c r="F286" s="4"/>
      <c r="G286" s="2">
        <f t="shared" si="24"/>
        <v>9.421</v>
      </c>
      <c r="H286" s="11" t="str">
        <f t="shared" si="25"/>
        <v>3.324E-2</v>
      </c>
      <c r="I286" s="2">
        <f t="shared" si="26"/>
        <v>45.4</v>
      </c>
      <c r="J286" s="4">
        <f t="shared" si="27"/>
        <v>9.421</v>
      </c>
      <c r="K286" s="9">
        <f t="shared" si="28"/>
        <v>7.19999999999998</v>
      </c>
      <c r="L286" s="1">
        <f t="shared" si="29"/>
        <v>-24.8</v>
      </c>
    </row>
    <row r="287" s="1" customFormat="1" spans="1:12">
      <c r="A287" s="2">
        <v>9.488</v>
      </c>
      <c r="B287" s="10" t="s">
        <v>278</v>
      </c>
      <c r="C287" s="4">
        <v>9.488</v>
      </c>
      <c r="D287" s="5">
        <v>45.7</v>
      </c>
      <c r="E287" s="4"/>
      <c r="F287" s="4"/>
      <c r="G287" s="2">
        <f t="shared" si="24"/>
        <v>9.454</v>
      </c>
      <c r="H287" s="11" t="str">
        <f t="shared" si="25"/>
        <v>3.347E-2</v>
      </c>
      <c r="I287" s="2">
        <f t="shared" si="26"/>
        <v>45.6</v>
      </c>
      <c r="J287" s="4">
        <f t="shared" si="27"/>
        <v>9.454</v>
      </c>
      <c r="K287" s="9">
        <f t="shared" si="28"/>
        <v>9.49999999999999</v>
      </c>
      <c r="L287" s="1">
        <f t="shared" si="29"/>
        <v>-24.8</v>
      </c>
    </row>
    <row r="288" s="1" customFormat="1" spans="1:12">
      <c r="A288" s="2">
        <v>9.521</v>
      </c>
      <c r="B288" s="10" t="s">
        <v>86</v>
      </c>
      <c r="C288" s="4">
        <v>9.521</v>
      </c>
      <c r="D288" s="5">
        <v>45.8</v>
      </c>
      <c r="E288" s="4"/>
      <c r="F288" s="4"/>
      <c r="G288" s="2">
        <f t="shared" si="24"/>
        <v>9.488</v>
      </c>
      <c r="H288" s="11" t="str">
        <f t="shared" si="25"/>
        <v>3.363E-2</v>
      </c>
      <c r="I288" s="2">
        <f t="shared" si="26"/>
        <v>45.7</v>
      </c>
      <c r="J288" s="4">
        <f t="shared" si="27"/>
        <v>9.488</v>
      </c>
      <c r="K288" s="9">
        <f t="shared" si="28"/>
        <v>11.1</v>
      </c>
      <c r="L288" s="1">
        <f t="shared" si="29"/>
        <v>-24.8</v>
      </c>
    </row>
    <row r="289" s="1" customFormat="1" spans="1:12">
      <c r="A289" s="2">
        <v>9.554</v>
      </c>
      <c r="B289" s="10" t="s">
        <v>239</v>
      </c>
      <c r="C289" s="4">
        <v>9.554</v>
      </c>
      <c r="D289" s="5">
        <v>45.5</v>
      </c>
      <c r="E289" s="4"/>
      <c r="F289" s="4"/>
      <c r="G289" s="2">
        <f t="shared" si="24"/>
        <v>9.521</v>
      </c>
      <c r="H289" s="11" t="str">
        <f t="shared" si="25"/>
        <v>3.379E-2</v>
      </c>
      <c r="I289" s="2">
        <f t="shared" si="26"/>
        <v>45.8</v>
      </c>
      <c r="J289" s="4">
        <f t="shared" si="27"/>
        <v>9.521</v>
      </c>
      <c r="K289" s="9">
        <f t="shared" si="28"/>
        <v>12.7</v>
      </c>
      <c r="L289" s="1">
        <f t="shared" si="29"/>
        <v>-24.8</v>
      </c>
    </row>
    <row r="290" s="1" customFormat="1" spans="1:12">
      <c r="A290" s="2">
        <v>9.588</v>
      </c>
      <c r="B290" s="10" t="s">
        <v>239</v>
      </c>
      <c r="C290" s="4">
        <v>9.588</v>
      </c>
      <c r="D290" s="5">
        <v>45.1</v>
      </c>
      <c r="E290" s="4"/>
      <c r="F290" s="4"/>
      <c r="G290" s="2">
        <f t="shared" si="24"/>
        <v>9.554</v>
      </c>
      <c r="H290" s="11" t="str">
        <f t="shared" si="25"/>
        <v>3.387E-2</v>
      </c>
      <c r="I290" s="2">
        <f t="shared" si="26"/>
        <v>45.5</v>
      </c>
      <c r="J290" s="4">
        <f t="shared" si="27"/>
        <v>9.554</v>
      </c>
      <c r="K290" s="9">
        <f t="shared" si="28"/>
        <v>13.5</v>
      </c>
      <c r="L290" s="1">
        <f t="shared" si="29"/>
        <v>-24.8</v>
      </c>
    </row>
    <row r="291" s="1" customFormat="1" spans="1:12">
      <c r="A291" s="2">
        <v>9.621</v>
      </c>
      <c r="B291" s="10" t="s">
        <v>253</v>
      </c>
      <c r="C291" s="4">
        <v>9.621</v>
      </c>
      <c r="D291" s="5">
        <v>45.4</v>
      </c>
      <c r="E291" s="4"/>
      <c r="F291" s="4"/>
      <c r="G291" s="2">
        <f t="shared" si="24"/>
        <v>9.588</v>
      </c>
      <c r="H291" s="11" t="str">
        <f t="shared" si="25"/>
        <v>3.387E-2</v>
      </c>
      <c r="I291" s="2">
        <f t="shared" si="26"/>
        <v>45.1</v>
      </c>
      <c r="J291" s="4">
        <f t="shared" si="27"/>
        <v>9.588</v>
      </c>
      <c r="K291" s="9">
        <f t="shared" si="28"/>
        <v>13.5</v>
      </c>
      <c r="L291" s="1">
        <f t="shared" si="29"/>
        <v>-24.8</v>
      </c>
    </row>
    <row r="292" s="1" customFormat="1" spans="1:12">
      <c r="A292" s="2">
        <v>9.655</v>
      </c>
      <c r="B292" s="10" t="s">
        <v>248</v>
      </c>
      <c r="C292" s="4">
        <v>9.655</v>
      </c>
      <c r="D292" s="5">
        <v>45.8</v>
      </c>
      <c r="E292" s="4"/>
      <c r="F292" s="4"/>
      <c r="G292" s="2">
        <f t="shared" si="24"/>
        <v>9.621</v>
      </c>
      <c r="H292" s="11" t="str">
        <f t="shared" si="25"/>
        <v>3.385E-2</v>
      </c>
      <c r="I292" s="2">
        <f t="shared" si="26"/>
        <v>45.4</v>
      </c>
      <c r="J292" s="4">
        <f t="shared" si="27"/>
        <v>9.621</v>
      </c>
      <c r="K292" s="9">
        <f t="shared" si="28"/>
        <v>13.3</v>
      </c>
      <c r="L292" s="1">
        <f t="shared" si="29"/>
        <v>-24.8</v>
      </c>
    </row>
    <row r="293" s="1" customFormat="1" spans="1:12">
      <c r="A293" s="2">
        <v>9.688</v>
      </c>
      <c r="B293" s="10" t="s">
        <v>53</v>
      </c>
      <c r="C293" s="4">
        <v>9.688</v>
      </c>
      <c r="D293" s="5">
        <v>45.4</v>
      </c>
      <c r="E293" s="4"/>
      <c r="F293" s="4"/>
      <c r="G293" s="2">
        <f t="shared" si="24"/>
        <v>9.655</v>
      </c>
      <c r="H293" s="11" t="str">
        <f t="shared" si="25"/>
        <v>3.381E-2</v>
      </c>
      <c r="I293" s="2">
        <f t="shared" si="26"/>
        <v>45.8</v>
      </c>
      <c r="J293" s="4">
        <f t="shared" si="27"/>
        <v>9.655</v>
      </c>
      <c r="K293" s="9">
        <f t="shared" si="28"/>
        <v>12.9</v>
      </c>
      <c r="L293" s="1">
        <f t="shared" si="29"/>
        <v>-24.8</v>
      </c>
    </row>
    <row r="294" s="1" customFormat="1" spans="1:12">
      <c r="A294" s="2">
        <v>9.722</v>
      </c>
      <c r="B294" s="10" t="s">
        <v>241</v>
      </c>
      <c r="C294" s="4">
        <v>9.722</v>
      </c>
      <c r="D294" s="5">
        <v>45.4</v>
      </c>
      <c r="E294" s="4"/>
      <c r="F294" s="4"/>
      <c r="G294" s="2">
        <f t="shared" si="24"/>
        <v>9.688</v>
      </c>
      <c r="H294" s="11" t="str">
        <f t="shared" si="25"/>
        <v>3.375E-2</v>
      </c>
      <c r="I294" s="2">
        <f t="shared" si="26"/>
        <v>45.4</v>
      </c>
      <c r="J294" s="4">
        <f t="shared" si="27"/>
        <v>9.688</v>
      </c>
      <c r="K294" s="9">
        <f t="shared" si="28"/>
        <v>12.3</v>
      </c>
      <c r="L294" s="1">
        <f t="shared" si="29"/>
        <v>-24.8</v>
      </c>
    </row>
    <row r="295" s="1" customFormat="1" spans="1:12">
      <c r="A295" s="2">
        <v>9.755</v>
      </c>
      <c r="B295" s="10" t="s">
        <v>314</v>
      </c>
      <c r="C295" s="4">
        <v>9.755</v>
      </c>
      <c r="D295" s="5">
        <v>45.5</v>
      </c>
      <c r="E295" s="4"/>
      <c r="F295" s="4"/>
      <c r="G295" s="2">
        <f t="shared" si="24"/>
        <v>9.722</v>
      </c>
      <c r="H295" s="11" t="str">
        <f t="shared" si="25"/>
        <v>3.369E-2</v>
      </c>
      <c r="I295" s="2">
        <f t="shared" si="26"/>
        <v>45.4</v>
      </c>
      <c r="J295" s="4">
        <f t="shared" si="27"/>
        <v>9.722</v>
      </c>
      <c r="K295" s="9">
        <f t="shared" si="28"/>
        <v>11.7</v>
      </c>
      <c r="L295" s="1">
        <f t="shared" si="29"/>
        <v>-24.8</v>
      </c>
    </row>
    <row r="296" s="1" customFormat="1" spans="1:12">
      <c r="A296" s="2">
        <v>9.788</v>
      </c>
      <c r="B296" s="10" t="s">
        <v>699</v>
      </c>
      <c r="C296" s="4">
        <v>9.788</v>
      </c>
      <c r="D296" s="5">
        <v>46</v>
      </c>
      <c r="E296" s="4"/>
      <c r="F296" s="4"/>
      <c r="G296" s="2">
        <f t="shared" si="24"/>
        <v>9.755</v>
      </c>
      <c r="H296" s="11" t="str">
        <f t="shared" si="25"/>
        <v>3.361E-2</v>
      </c>
      <c r="I296" s="2">
        <f t="shared" si="26"/>
        <v>45.5</v>
      </c>
      <c r="J296" s="4">
        <f t="shared" si="27"/>
        <v>9.755</v>
      </c>
      <c r="K296" s="9">
        <f t="shared" si="28"/>
        <v>10.9</v>
      </c>
      <c r="L296" s="1">
        <f t="shared" si="29"/>
        <v>-24.8</v>
      </c>
    </row>
    <row r="297" s="1" customFormat="1" spans="1:12">
      <c r="A297" s="2">
        <v>9.822</v>
      </c>
      <c r="B297" s="10" t="s">
        <v>700</v>
      </c>
      <c r="C297" s="4">
        <v>9.822</v>
      </c>
      <c r="D297" s="5">
        <v>46.3</v>
      </c>
      <c r="E297" s="4"/>
      <c r="F297" s="4"/>
      <c r="G297" s="2">
        <f t="shared" si="24"/>
        <v>9.788</v>
      </c>
      <c r="H297" s="11" t="str">
        <f t="shared" si="25"/>
        <v>3.346E-2</v>
      </c>
      <c r="I297" s="2">
        <f t="shared" si="26"/>
        <v>46</v>
      </c>
      <c r="J297" s="4">
        <f t="shared" si="27"/>
        <v>9.788</v>
      </c>
      <c r="K297" s="9">
        <f t="shared" si="28"/>
        <v>9.39999999999996</v>
      </c>
      <c r="L297" s="1">
        <f t="shared" si="29"/>
        <v>-24.8</v>
      </c>
    </row>
    <row r="298" s="1" customFormat="1" spans="1:12">
      <c r="A298" s="2">
        <v>9.855</v>
      </c>
      <c r="B298" s="10" t="s">
        <v>701</v>
      </c>
      <c r="C298" s="4">
        <v>9.855</v>
      </c>
      <c r="D298" s="5">
        <v>45.5</v>
      </c>
      <c r="E298" s="4"/>
      <c r="F298" s="4"/>
      <c r="G298" s="2">
        <f t="shared" si="24"/>
        <v>9.822</v>
      </c>
      <c r="H298" s="11" t="str">
        <f t="shared" si="25"/>
        <v>3.319E-2</v>
      </c>
      <c r="I298" s="2">
        <f t="shared" si="26"/>
        <v>46.3</v>
      </c>
      <c r="J298" s="4">
        <f t="shared" si="27"/>
        <v>9.822</v>
      </c>
      <c r="K298" s="9">
        <f t="shared" si="28"/>
        <v>6.69999999999997</v>
      </c>
      <c r="L298" s="1">
        <f t="shared" si="29"/>
        <v>-24.8</v>
      </c>
    </row>
    <row r="299" s="1" customFormat="1" spans="1:12">
      <c r="A299" s="2">
        <v>9.889</v>
      </c>
      <c r="B299" s="10" t="s">
        <v>702</v>
      </c>
      <c r="C299" s="4">
        <v>9.889</v>
      </c>
      <c r="D299" s="5">
        <v>45.8</v>
      </c>
      <c r="E299" s="4"/>
      <c r="F299" s="4"/>
      <c r="G299" s="2">
        <f t="shared" si="24"/>
        <v>9.855</v>
      </c>
      <c r="H299" s="11" t="str">
        <f t="shared" si="25"/>
        <v>3.295E-2</v>
      </c>
      <c r="I299" s="2">
        <f t="shared" si="26"/>
        <v>45.5</v>
      </c>
      <c r="J299" s="4">
        <f t="shared" si="27"/>
        <v>9.855</v>
      </c>
      <c r="K299" s="9">
        <f t="shared" si="28"/>
        <v>4.3</v>
      </c>
      <c r="L299" s="1">
        <f t="shared" si="29"/>
        <v>-24.8</v>
      </c>
    </row>
    <row r="300" s="1" customFormat="1" spans="1:12">
      <c r="A300" s="2">
        <v>9.922</v>
      </c>
      <c r="B300" s="10" t="s">
        <v>581</v>
      </c>
      <c r="C300" s="4">
        <v>9.922</v>
      </c>
      <c r="D300" s="5">
        <v>45.5</v>
      </c>
      <c r="E300" s="4"/>
      <c r="F300" s="4"/>
      <c r="G300" s="2">
        <f t="shared" si="24"/>
        <v>9.889</v>
      </c>
      <c r="H300" s="11" t="str">
        <f t="shared" si="25"/>
        <v>3.268E-2</v>
      </c>
      <c r="I300" s="2">
        <f t="shared" si="26"/>
        <v>45.8</v>
      </c>
      <c r="J300" s="4">
        <f t="shared" si="27"/>
        <v>9.889</v>
      </c>
      <c r="K300" s="9">
        <f t="shared" si="28"/>
        <v>1.6</v>
      </c>
      <c r="L300" s="1">
        <f t="shared" si="29"/>
        <v>-24.8</v>
      </c>
    </row>
    <row r="301" s="1" customFormat="1" spans="1:12">
      <c r="A301" s="2">
        <v>9.955</v>
      </c>
      <c r="B301" s="10" t="s">
        <v>703</v>
      </c>
      <c r="C301" s="4">
        <v>9.955</v>
      </c>
      <c r="D301" s="5">
        <v>45.7</v>
      </c>
      <c r="E301" s="4"/>
      <c r="F301" s="4"/>
      <c r="G301" s="2">
        <f t="shared" si="24"/>
        <v>9.922</v>
      </c>
      <c r="H301" s="11" t="str">
        <f t="shared" si="25"/>
        <v>3.249E-2</v>
      </c>
      <c r="I301" s="2">
        <f t="shared" si="26"/>
        <v>45.5</v>
      </c>
      <c r="J301" s="4">
        <f t="shared" si="27"/>
        <v>9.922</v>
      </c>
      <c r="K301" s="9">
        <f t="shared" si="28"/>
        <v>-0.300000000000022</v>
      </c>
      <c r="L301" s="1">
        <f t="shared" si="29"/>
        <v>-24.8</v>
      </c>
    </row>
    <row r="302" s="1" customFormat="1" spans="1:12">
      <c r="A302" s="2">
        <v>9.989</v>
      </c>
      <c r="B302" s="10" t="s">
        <v>704</v>
      </c>
      <c r="C302" s="4">
        <v>9.989</v>
      </c>
      <c r="D302" s="5">
        <v>45.8</v>
      </c>
      <c r="E302" s="4"/>
      <c r="F302" s="4"/>
      <c r="G302" s="2">
        <f t="shared" si="24"/>
        <v>9.955</v>
      </c>
      <c r="H302" s="11" t="str">
        <f t="shared" si="25"/>
        <v>3.223E-2</v>
      </c>
      <c r="I302" s="2">
        <f t="shared" si="26"/>
        <v>45.7</v>
      </c>
      <c r="J302" s="4">
        <f t="shared" si="27"/>
        <v>9.955</v>
      </c>
      <c r="K302" s="9">
        <f t="shared" si="28"/>
        <v>-2.89999999999999</v>
      </c>
      <c r="L302" s="1">
        <f t="shared" si="29"/>
        <v>-24.8</v>
      </c>
    </row>
    <row r="303" s="1" customFormat="1" spans="1:12">
      <c r="A303" s="2">
        <v>10.022</v>
      </c>
      <c r="B303" s="10" t="s">
        <v>705</v>
      </c>
      <c r="C303" s="4">
        <v>10.022</v>
      </c>
      <c r="D303" s="5">
        <v>45.8</v>
      </c>
      <c r="E303" s="4"/>
      <c r="F303" s="4"/>
      <c r="G303" s="2">
        <f t="shared" si="24"/>
        <v>9.989</v>
      </c>
      <c r="H303" s="11" t="str">
        <f t="shared" si="25"/>
        <v>3.195E-2</v>
      </c>
      <c r="I303" s="2">
        <f t="shared" si="26"/>
        <v>45.8</v>
      </c>
      <c r="J303" s="4">
        <f t="shared" si="27"/>
        <v>9.989</v>
      </c>
      <c r="K303" s="9">
        <f t="shared" si="28"/>
        <v>-5.70000000000001</v>
      </c>
      <c r="L303" s="1">
        <f t="shared" si="29"/>
        <v>-24.8</v>
      </c>
    </row>
    <row r="304" s="1" customFormat="1" spans="1:12">
      <c r="A304" s="2">
        <v>10.056</v>
      </c>
      <c r="B304" s="10" t="s">
        <v>641</v>
      </c>
      <c r="C304" s="4">
        <v>10.056</v>
      </c>
      <c r="D304" s="5">
        <v>45.6</v>
      </c>
      <c r="E304" s="4"/>
      <c r="F304" s="4"/>
      <c r="G304" s="2">
        <f t="shared" si="24"/>
        <v>10.022</v>
      </c>
      <c r="H304" s="11" t="str">
        <f t="shared" si="25"/>
        <v>3.170E-2</v>
      </c>
      <c r="I304" s="2">
        <f t="shared" si="26"/>
        <v>45.8</v>
      </c>
      <c r="J304" s="4">
        <f t="shared" si="27"/>
        <v>10.022</v>
      </c>
      <c r="K304" s="9">
        <f t="shared" si="28"/>
        <v>-8.20000000000001</v>
      </c>
      <c r="L304" s="1">
        <f t="shared" si="29"/>
        <v>-24.8</v>
      </c>
    </row>
    <row r="305" s="1" customFormat="1" spans="1:12">
      <c r="A305" s="2">
        <v>10.089</v>
      </c>
      <c r="B305" s="10" t="s">
        <v>689</v>
      </c>
      <c r="C305" s="4">
        <v>10.089</v>
      </c>
      <c r="D305" s="5">
        <v>45.6</v>
      </c>
      <c r="E305" s="4"/>
      <c r="F305" s="4"/>
      <c r="G305" s="2">
        <f t="shared" si="24"/>
        <v>10.056</v>
      </c>
      <c r="H305" s="11" t="str">
        <f t="shared" si="25"/>
        <v>3.144E-2</v>
      </c>
      <c r="I305" s="2">
        <f t="shared" si="26"/>
        <v>45.6</v>
      </c>
      <c r="J305" s="4">
        <f t="shared" si="27"/>
        <v>10.056</v>
      </c>
      <c r="K305" s="9">
        <f t="shared" si="28"/>
        <v>-10.8</v>
      </c>
      <c r="L305" s="1">
        <f t="shared" si="29"/>
        <v>-24.8</v>
      </c>
    </row>
    <row r="306" s="1" customFormat="1" spans="1:12">
      <c r="A306" s="2">
        <v>10.122</v>
      </c>
      <c r="B306" s="10" t="s">
        <v>706</v>
      </c>
      <c r="C306" s="4">
        <v>10.122</v>
      </c>
      <c r="D306" s="5">
        <v>46.1</v>
      </c>
      <c r="E306" s="4"/>
      <c r="F306" s="4"/>
      <c r="G306" s="2">
        <f t="shared" si="24"/>
        <v>10.089</v>
      </c>
      <c r="H306" s="11" t="str">
        <f t="shared" si="25"/>
        <v>3.120E-2</v>
      </c>
      <c r="I306" s="2">
        <f t="shared" si="26"/>
        <v>45.6</v>
      </c>
      <c r="J306" s="4">
        <f t="shared" si="27"/>
        <v>10.089</v>
      </c>
      <c r="K306" s="9">
        <f t="shared" si="28"/>
        <v>-13.2</v>
      </c>
      <c r="L306" s="1">
        <f t="shared" si="29"/>
        <v>-24.8</v>
      </c>
    </row>
    <row r="307" s="1" customFormat="1" spans="1:12">
      <c r="A307" s="2">
        <v>10.156</v>
      </c>
      <c r="B307" s="10" t="s">
        <v>635</v>
      </c>
      <c r="C307" s="4">
        <v>10.156</v>
      </c>
      <c r="D307" s="5">
        <v>45.4</v>
      </c>
      <c r="E307" s="4"/>
      <c r="F307" s="4"/>
      <c r="G307" s="2">
        <f t="shared" si="24"/>
        <v>10.122</v>
      </c>
      <c r="H307" s="11" t="str">
        <f t="shared" si="25"/>
        <v>3.104E-2</v>
      </c>
      <c r="I307" s="2">
        <f t="shared" si="26"/>
        <v>46.1</v>
      </c>
      <c r="J307" s="4">
        <f t="shared" si="27"/>
        <v>10.122</v>
      </c>
      <c r="K307" s="9">
        <f t="shared" si="28"/>
        <v>-14.8</v>
      </c>
      <c r="L307" s="1">
        <f t="shared" si="29"/>
        <v>-24.8</v>
      </c>
    </row>
    <row r="308" s="1" customFormat="1" spans="1:12">
      <c r="A308" s="2">
        <v>10.189</v>
      </c>
      <c r="B308" s="10" t="s">
        <v>707</v>
      </c>
      <c r="C308" s="4">
        <v>10.189</v>
      </c>
      <c r="D308" s="5">
        <v>45.4</v>
      </c>
      <c r="E308" s="4"/>
      <c r="F308" s="4"/>
      <c r="G308" s="2">
        <f t="shared" si="24"/>
        <v>10.156</v>
      </c>
      <c r="H308" s="11" t="str">
        <f t="shared" si="25"/>
        <v>3.091E-2</v>
      </c>
      <c r="I308" s="2">
        <f t="shared" si="26"/>
        <v>45.4</v>
      </c>
      <c r="J308" s="4">
        <f t="shared" si="27"/>
        <v>10.156</v>
      </c>
      <c r="K308" s="9">
        <f t="shared" si="28"/>
        <v>-16.1</v>
      </c>
      <c r="L308" s="1">
        <f t="shared" si="29"/>
        <v>-24.8</v>
      </c>
    </row>
    <row r="309" s="1" customFormat="1" spans="1:12">
      <c r="A309" s="2">
        <v>10.223</v>
      </c>
      <c r="B309" s="10" t="s">
        <v>708</v>
      </c>
      <c r="C309" s="4">
        <v>10.223</v>
      </c>
      <c r="D309" s="5">
        <v>45.9</v>
      </c>
      <c r="E309" s="4"/>
      <c r="F309" s="4"/>
      <c r="G309" s="2">
        <f t="shared" si="24"/>
        <v>10.189</v>
      </c>
      <c r="H309" s="11" t="str">
        <f t="shared" si="25"/>
        <v>3.083E-2</v>
      </c>
      <c r="I309" s="2">
        <f t="shared" si="26"/>
        <v>45.4</v>
      </c>
      <c r="J309" s="4">
        <f t="shared" si="27"/>
        <v>10.189</v>
      </c>
      <c r="K309" s="9">
        <f t="shared" si="28"/>
        <v>-16.9</v>
      </c>
      <c r="L309" s="1">
        <f t="shared" si="29"/>
        <v>-24.8</v>
      </c>
    </row>
    <row r="310" s="1" customFormat="1" spans="1:12">
      <c r="A310" s="2">
        <v>10.256</v>
      </c>
      <c r="B310" s="10" t="s">
        <v>709</v>
      </c>
      <c r="C310" s="4">
        <v>10.256</v>
      </c>
      <c r="D310" s="5">
        <v>45.6</v>
      </c>
      <c r="E310" s="4"/>
      <c r="F310" s="4"/>
      <c r="G310" s="2">
        <f t="shared" si="24"/>
        <v>10.223</v>
      </c>
      <c r="H310" s="11" t="str">
        <f t="shared" si="25"/>
        <v>3.072E-2</v>
      </c>
      <c r="I310" s="2">
        <f t="shared" si="26"/>
        <v>45.9</v>
      </c>
      <c r="J310" s="4">
        <f t="shared" si="27"/>
        <v>10.223</v>
      </c>
      <c r="K310" s="9">
        <f t="shared" si="28"/>
        <v>-18</v>
      </c>
      <c r="L310" s="1">
        <f t="shared" si="29"/>
        <v>-24.8</v>
      </c>
    </row>
    <row r="311" s="1" customFormat="1" spans="1:12">
      <c r="A311" s="2">
        <v>10.289</v>
      </c>
      <c r="B311" s="10" t="s">
        <v>710</v>
      </c>
      <c r="C311" s="4">
        <v>10.289</v>
      </c>
      <c r="D311" s="5">
        <v>45.8</v>
      </c>
      <c r="E311" s="4"/>
      <c r="F311" s="4"/>
      <c r="G311" s="2">
        <f t="shared" si="24"/>
        <v>10.256</v>
      </c>
      <c r="H311" s="11" t="str">
        <f t="shared" si="25"/>
        <v>3.067E-2</v>
      </c>
      <c r="I311" s="2">
        <f t="shared" si="26"/>
        <v>45.6</v>
      </c>
      <c r="J311" s="4">
        <f t="shared" si="27"/>
        <v>10.256</v>
      </c>
      <c r="K311" s="9">
        <f t="shared" si="28"/>
        <v>-18.5</v>
      </c>
      <c r="L311" s="1">
        <f t="shared" si="29"/>
        <v>-24.8</v>
      </c>
    </row>
    <row r="312" s="1" customFormat="1" spans="1:12">
      <c r="A312" s="2">
        <v>10.323</v>
      </c>
      <c r="B312" s="10" t="s">
        <v>708</v>
      </c>
      <c r="C312" s="4">
        <v>10.323</v>
      </c>
      <c r="D312" s="5">
        <v>45.7</v>
      </c>
      <c r="E312" s="4"/>
      <c r="F312" s="4"/>
      <c r="G312" s="2">
        <f t="shared" si="24"/>
        <v>10.289</v>
      </c>
      <c r="H312" s="11" t="str">
        <f t="shared" si="25"/>
        <v>3.068E-2</v>
      </c>
      <c r="I312" s="2">
        <f t="shared" si="26"/>
        <v>45.8</v>
      </c>
      <c r="J312" s="4">
        <f t="shared" si="27"/>
        <v>10.289</v>
      </c>
      <c r="K312" s="9">
        <f t="shared" si="28"/>
        <v>-18.4</v>
      </c>
      <c r="L312" s="1">
        <f t="shared" si="29"/>
        <v>-24.8</v>
      </c>
    </row>
    <row r="313" s="1" customFormat="1" spans="1:12">
      <c r="A313" s="2">
        <v>10.356</v>
      </c>
      <c r="B313" s="10" t="s">
        <v>711</v>
      </c>
      <c r="C313" s="4">
        <v>10.356</v>
      </c>
      <c r="D313" s="5">
        <v>46.2</v>
      </c>
      <c r="E313" s="4"/>
      <c r="F313" s="4"/>
      <c r="G313" s="2">
        <f t="shared" si="24"/>
        <v>10.323</v>
      </c>
      <c r="H313" s="11" t="str">
        <f t="shared" si="25"/>
        <v>3.072E-2</v>
      </c>
      <c r="I313" s="2">
        <f t="shared" si="26"/>
        <v>45.7</v>
      </c>
      <c r="J313" s="4">
        <f t="shared" si="27"/>
        <v>10.323</v>
      </c>
      <c r="K313" s="9">
        <f t="shared" si="28"/>
        <v>-18</v>
      </c>
      <c r="L313" s="1">
        <f t="shared" si="29"/>
        <v>-24.8</v>
      </c>
    </row>
    <row r="314" s="1" customFormat="1" spans="1:12">
      <c r="A314" s="2">
        <v>10.39</v>
      </c>
      <c r="B314" s="10" t="s">
        <v>707</v>
      </c>
      <c r="C314" s="4">
        <v>10.39</v>
      </c>
      <c r="D314" s="5">
        <v>45.3</v>
      </c>
      <c r="E314" s="4"/>
      <c r="F314" s="4"/>
      <c r="G314" s="2">
        <f t="shared" si="24"/>
        <v>10.356</v>
      </c>
      <c r="H314" s="11" t="str">
        <f t="shared" si="25"/>
        <v>3.076E-2</v>
      </c>
      <c r="I314" s="2">
        <f t="shared" si="26"/>
        <v>46.2</v>
      </c>
      <c r="J314" s="4">
        <f t="shared" si="27"/>
        <v>10.356</v>
      </c>
      <c r="K314" s="9">
        <f t="shared" si="28"/>
        <v>-17.6</v>
      </c>
      <c r="L314" s="1">
        <f t="shared" si="29"/>
        <v>-24.8</v>
      </c>
    </row>
    <row r="315" s="1" customFormat="1" spans="1:12">
      <c r="A315" s="2">
        <v>10.423</v>
      </c>
      <c r="B315" s="10" t="s">
        <v>633</v>
      </c>
      <c r="C315" s="4">
        <v>10.423</v>
      </c>
      <c r="D315" s="5">
        <v>45.3</v>
      </c>
      <c r="E315" s="4"/>
      <c r="F315" s="4"/>
      <c r="G315" s="2">
        <f t="shared" si="24"/>
        <v>10.39</v>
      </c>
      <c r="H315" s="11" t="str">
        <f t="shared" si="25"/>
        <v>3.083E-2</v>
      </c>
      <c r="I315" s="2">
        <f t="shared" si="26"/>
        <v>45.3</v>
      </c>
      <c r="J315" s="4">
        <f t="shared" si="27"/>
        <v>10.39</v>
      </c>
      <c r="K315" s="9">
        <f t="shared" si="28"/>
        <v>-16.9</v>
      </c>
      <c r="L315" s="1">
        <f t="shared" si="29"/>
        <v>-24.8</v>
      </c>
    </row>
    <row r="316" s="1" customFormat="1" spans="1:12">
      <c r="A316" s="2">
        <v>10.456</v>
      </c>
      <c r="B316" s="10" t="s">
        <v>639</v>
      </c>
      <c r="C316" s="4">
        <v>10.456</v>
      </c>
      <c r="D316" s="5">
        <v>45.4</v>
      </c>
      <c r="E316" s="4"/>
      <c r="F316" s="4"/>
      <c r="G316" s="2">
        <f t="shared" si="24"/>
        <v>10.423</v>
      </c>
      <c r="H316" s="11" t="str">
        <f t="shared" si="25"/>
        <v>3.096E-2</v>
      </c>
      <c r="I316" s="2">
        <f t="shared" si="26"/>
        <v>45.3</v>
      </c>
      <c r="J316" s="4">
        <f t="shared" si="27"/>
        <v>10.423</v>
      </c>
      <c r="K316" s="9">
        <f t="shared" si="28"/>
        <v>-15.6</v>
      </c>
      <c r="L316" s="1">
        <f t="shared" si="29"/>
        <v>-24.8</v>
      </c>
    </row>
    <row r="317" s="1" customFormat="1" spans="1:12">
      <c r="A317" s="2">
        <v>10.49</v>
      </c>
      <c r="B317" s="10" t="s">
        <v>712</v>
      </c>
      <c r="C317" s="4">
        <v>10.49</v>
      </c>
      <c r="D317" s="5">
        <v>45.6</v>
      </c>
      <c r="E317" s="4"/>
      <c r="F317" s="4"/>
      <c r="G317" s="2">
        <f t="shared" si="24"/>
        <v>10.456</v>
      </c>
      <c r="H317" s="11" t="str">
        <f t="shared" si="25"/>
        <v>3.113E-2</v>
      </c>
      <c r="I317" s="2">
        <f t="shared" si="26"/>
        <v>45.4</v>
      </c>
      <c r="J317" s="4">
        <f t="shared" si="27"/>
        <v>10.456</v>
      </c>
      <c r="K317" s="9">
        <f t="shared" si="28"/>
        <v>-13.9</v>
      </c>
      <c r="L317" s="1">
        <f t="shared" si="29"/>
        <v>-24.8</v>
      </c>
    </row>
    <row r="318" s="1" customFormat="1" spans="1:12">
      <c r="A318" s="2">
        <v>10.523</v>
      </c>
      <c r="B318" s="10" t="s">
        <v>713</v>
      </c>
      <c r="C318" s="4">
        <v>10.523</v>
      </c>
      <c r="D318" s="5">
        <v>44.9</v>
      </c>
      <c r="E318" s="4"/>
      <c r="F318" s="4"/>
      <c r="G318" s="2">
        <f t="shared" si="24"/>
        <v>10.49</v>
      </c>
      <c r="H318" s="11" t="str">
        <f t="shared" si="25"/>
        <v>3.135E-2</v>
      </c>
      <c r="I318" s="2">
        <f t="shared" si="26"/>
        <v>45.6</v>
      </c>
      <c r="J318" s="4">
        <f t="shared" si="27"/>
        <v>10.49</v>
      </c>
      <c r="K318" s="9">
        <f t="shared" si="28"/>
        <v>-11.7</v>
      </c>
      <c r="L318" s="1">
        <f t="shared" si="29"/>
        <v>-24.8</v>
      </c>
    </row>
    <row r="319" s="1" customFormat="1" spans="1:12">
      <c r="A319" s="2">
        <v>10.557</v>
      </c>
      <c r="B319" s="10" t="s">
        <v>680</v>
      </c>
      <c r="C319" s="4">
        <v>10.557</v>
      </c>
      <c r="D319" s="5">
        <v>45.3</v>
      </c>
      <c r="E319" s="4"/>
      <c r="F319" s="4"/>
      <c r="G319" s="2">
        <f t="shared" si="24"/>
        <v>10.523</v>
      </c>
      <c r="H319" s="11" t="str">
        <f t="shared" si="25"/>
        <v>3.159E-2</v>
      </c>
      <c r="I319" s="2">
        <f t="shared" si="26"/>
        <v>44.9</v>
      </c>
      <c r="J319" s="4">
        <f t="shared" si="27"/>
        <v>10.523</v>
      </c>
      <c r="K319" s="9">
        <f t="shared" si="28"/>
        <v>-9.3</v>
      </c>
      <c r="L319" s="1">
        <f t="shared" si="29"/>
        <v>-24.8</v>
      </c>
    </row>
    <row r="320" s="1" customFormat="1" spans="1:12">
      <c r="A320" s="2">
        <v>10.59</v>
      </c>
      <c r="B320" s="10" t="s">
        <v>664</v>
      </c>
      <c r="C320" s="4">
        <v>10.59</v>
      </c>
      <c r="D320" s="5">
        <v>45.6</v>
      </c>
      <c r="E320" s="4"/>
      <c r="F320" s="4"/>
      <c r="G320" s="2">
        <f t="shared" si="24"/>
        <v>10.557</v>
      </c>
      <c r="H320" s="11" t="str">
        <f t="shared" si="25"/>
        <v>3.184E-2</v>
      </c>
      <c r="I320" s="2">
        <f t="shared" si="26"/>
        <v>45.3</v>
      </c>
      <c r="J320" s="4">
        <f t="shared" si="27"/>
        <v>10.557</v>
      </c>
      <c r="K320" s="9">
        <f t="shared" si="28"/>
        <v>-6.8</v>
      </c>
      <c r="L320" s="1">
        <f t="shared" si="29"/>
        <v>-24.8</v>
      </c>
    </row>
    <row r="321" s="1" customFormat="1" spans="1:12">
      <c r="A321" s="2">
        <v>10.624</v>
      </c>
      <c r="B321" s="10" t="s">
        <v>714</v>
      </c>
      <c r="C321" s="4">
        <v>10.624</v>
      </c>
      <c r="D321" s="5">
        <v>45.7</v>
      </c>
      <c r="E321" s="4"/>
      <c r="F321" s="4"/>
      <c r="G321" s="2">
        <f t="shared" si="24"/>
        <v>10.59</v>
      </c>
      <c r="H321" s="11" t="str">
        <f t="shared" si="25"/>
        <v>3.214E-2</v>
      </c>
      <c r="I321" s="2">
        <f t="shared" si="26"/>
        <v>45.6</v>
      </c>
      <c r="J321" s="4">
        <f t="shared" si="27"/>
        <v>10.59</v>
      </c>
      <c r="K321" s="9">
        <f t="shared" si="28"/>
        <v>-3.79999999999998</v>
      </c>
      <c r="L321" s="1">
        <f t="shared" si="29"/>
        <v>-24.8</v>
      </c>
    </row>
    <row r="322" s="1" customFormat="1" spans="1:12">
      <c r="A322" s="2">
        <v>10.657</v>
      </c>
      <c r="B322" s="10" t="s">
        <v>611</v>
      </c>
      <c r="C322" s="4">
        <v>10.657</v>
      </c>
      <c r="D322" s="5">
        <v>45.6</v>
      </c>
      <c r="E322" s="4"/>
      <c r="F322" s="4"/>
      <c r="G322" s="2">
        <f t="shared" si="24"/>
        <v>10.624</v>
      </c>
      <c r="H322" s="11" t="str">
        <f t="shared" si="25"/>
        <v>3.244E-2</v>
      </c>
      <c r="I322" s="2">
        <f t="shared" si="26"/>
        <v>45.7</v>
      </c>
      <c r="J322" s="4">
        <f t="shared" si="27"/>
        <v>10.624</v>
      </c>
      <c r="K322" s="9">
        <f t="shared" si="28"/>
        <v>-0.800000000000037</v>
      </c>
      <c r="L322" s="1">
        <f t="shared" si="29"/>
        <v>-24.8</v>
      </c>
    </row>
    <row r="323" s="1" customFormat="1" spans="1:12">
      <c r="A323" s="2">
        <v>10.69</v>
      </c>
      <c r="B323" s="10" t="s">
        <v>715</v>
      </c>
      <c r="C323" s="4">
        <v>10.69</v>
      </c>
      <c r="D323" s="5">
        <v>45.7</v>
      </c>
      <c r="E323" s="4"/>
      <c r="F323" s="4"/>
      <c r="G323" s="2">
        <f t="shared" si="24"/>
        <v>10.657</v>
      </c>
      <c r="H323" s="11" t="str">
        <f t="shared" si="25"/>
        <v>3.269E-2</v>
      </c>
      <c r="I323" s="2">
        <f t="shared" si="26"/>
        <v>45.6</v>
      </c>
      <c r="J323" s="4">
        <f t="shared" si="27"/>
        <v>10.657</v>
      </c>
      <c r="K323" s="9">
        <f t="shared" si="28"/>
        <v>1.69999999999997</v>
      </c>
      <c r="L323" s="1">
        <f t="shared" si="29"/>
        <v>-24.8</v>
      </c>
    </row>
    <row r="324" s="1" customFormat="1" spans="1:12">
      <c r="A324" s="2">
        <v>10.724</v>
      </c>
      <c r="B324" s="10" t="s">
        <v>716</v>
      </c>
      <c r="C324" s="4">
        <v>10.724</v>
      </c>
      <c r="D324" s="5">
        <v>45.7</v>
      </c>
      <c r="E324" s="4"/>
      <c r="F324" s="4"/>
      <c r="G324" s="2">
        <f t="shared" ref="G324:G383" si="30">A323</f>
        <v>10.69</v>
      </c>
      <c r="H324" s="11" t="str">
        <f t="shared" ref="H324:H383" si="31">B323</f>
        <v>3.296E-2</v>
      </c>
      <c r="I324" s="2">
        <f t="shared" ref="I324:I383" si="32">D323</f>
        <v>45.7</v>
      </c>
      <c r="J324" s="4">
        <f t="shared" ref="J324:J383" si="33">G324</f>
        <v>10.69</v>
      </c>
      <c r="K324" s="9">
        <f t="shared" ref="K324:K383" si="34">(H324-$H$4)*10000</f>
        <v>4.40000000000003</v>
      </c>
      <c r="L324" s="1">
        <f t="shared" ref="L324:L383" si="35">IF(I324&lt;230,MIN(K:K),MAX(K:K))</f>
        <v>-24.8</v>
      </c>
    </row>
    <row r="325" s="1" customFormat="1" spans="1:12">
      <c r="A325" s="2">
        <v>10.757</v>
      </c>
      <c r="B325" s="10" t="s">
        <v>683</v>
      </c>
      <c r="C325" s="4">
        <v>10.757</v>
      </c>
      <c r="D325" s="5">
        <v>46</v>
      </c>
      <c r="E325" s="4"/>
      <c r="F325" s="4"/>
      <c r="G325" s="2">
        <f t="shared" si="30"/>
        <v>10.724</v>
      </c>
      <c r="H325" s="11" t="str">
        <f t="shared" si="31"/>
        <v>3.316E-2</v>
      </c>
      <c r="I325" s="2">
        <f t="shared" si="32"/>
        <v>45.7</v>
      </c>
      <c r="J325" s="4">
        <f t="shared" si="33"/>
        <v>10.724</v>
      </c>
      <c r="K325" s="9">
        <f t="shared" si="34"/>
        <v>6.40000000000002</v>
      </c>
      <c r="L325" s="1">
        <f t="shared" si="35"/>
        <v>-24.8</v>
      </c>
    </row>
    <row r="326" s="1" customFormat="1" spans="1:12">
      <c r="A326" s="2">
        <v>10.791</v>
      </c>
      <c r="B326" s="10" t="s">
        <v>313</v>
      </c>
      <c r="C326" s="4">
        <v>10.791</v>
      </c>
      <c r="D326" s="5">
        <v>45.6</v>
      </c>
      <c r="E326" s="4"/>
      <c r="F326" s="4"/>
      <c r="G326" s="2">
        <f t="shared" si="30"/>
        <v>10.757</v>
      </c>
      <c r="H326" s="11" t="str">
        <f t="shared" si="31"/>
        <v>3.340E-2</v>
      </c>
      <c r="I326" s="2">
        <f t="shared" si="32"/>
        <v>46</v>
      </c>
      <c r="J326" s="4">
        <f t="shared" si="33"/>
        <v>10.757</v>
      </c>
      <c r="K326" s="9">
        <f t="shared" si="34"/>
        <v>8.79999999999999</v>
      </c>
      <c r="L326" s="1">
        <f t="shared" si="35"/>
        <v>-24.8</v>
      </c>
    </row>
    <row r="327" s="1" customFormat="1" spans="1:12">
      <c r="A327" s="2">
        <v>10.824</v>
      </c>
      <c r="B327" s="10" t="s">
        <v>50</v>
      </c>
      <c r="C327" s="4">
        <v>10.824</v>
      </c>
      <c r="D327" s="5">
        <v>45.7</v>
      </c>
      <c r="E327" s="4"/>
      <c r="F327" s="4"/>
      <c r="G327" s="2">
        <f t="shared" si="30"/>
        <v>10.791</v>
      </c>
      <c r="H327" s="11" t="str">
        <f t="shared" si="31"/>
        <v>3.359E-2</v>
      </c>
      <c r="I327" s="2">
        <f t="shared" si="32"/>
        <v>45.6</v>
      </c>
      <c r="J327" s="4">
        <f t="shared" si="33"/>
        <v>10.791</v>
      </c>
      <c r="K327" s="9">
        <f t="shared" si="34"/>
        <v>10.7</v>
      </c>
      <c r="L327" s="1">
        <f t="shared" si="35"/>
        <v>-24.8</v>
      </c>
    </row>
    <row r="328" s="1" customFormat="1" spans="1:12">
      <c r="A328" s="2">
        <v>10.857</v>
      </c>
      <c r="B328" s="10" t="s">
        <v>49</v>
      </c>
      <c r="C328" s="4">
        <v>10.857</v>
      </c>
      <c r="D328" s="5">
        <v>45.7</v>
      </c>
      <c r="E328" s="4"/>
      <c r="F328" s="4"/>
      <c r="G328" s="2">
        <f t="shared" si="30"/>
        <v>10.824</v>
      </c>
      <c r="H328" s="11" t="str">
        <f t="shared" si="31"/>
        <v>3.377E-2</v>
      </c>
      <c r="I328" s="2">
        <f t="shared" si="32"/>
        <v>45.7</v>
      </c>
      <c r="J328" s="4">
        <f t="shared" si="33"/>
        <v>10.824</v>
      </c>
      <c r="K328" s="9">
        <f t="shared" si="34"/>
        <v>12.5</v>
      </c>
      <c r="L328" s="1">
        <f t="shared" si="35"/>
        <v>-24.8</v>
      </c>
    </row>
    <row r="329" s="1" customFormat="1" spans="1:12">
      <c r="A329" s="2">
        <v>10.891</v>
      </c>
      <c r="B329" s="10" t="s">
        <v>239</v>
      </c>
      <c r="C329" s="4">
        <v>10.891</v>
      </c>
      <c r="D329" s="5">
        <v>45.7</v>
      </c>
      <c r="E329" s="4"/>
      <c r="F329" s="4"/>
      <c r="G329" s="2">
        <f t="shared" si="30"/>
        <v>10.857</v>
      </c>
      <c r="H329" s="11" t="str">
        <f t="shared" si="31"/>
        <v>3.386E-2</v>
      </c>
      <c r="I329" s="2">
        <f t="shared" si="32"/>
        <v>45.7</v>
      </c>
      <c r="J329" s="4">
        <f t="shared" si="33"/>
        <v>10.857</v>
      </c>
      <c r="K329" s="9">
        <f t="shared" si="34"/>
        <v>13.4</v>
      </c>
      <c r="L329" s="1">
        <f t="shared" si="35"/>
        <v>-24.8</v>
      </c>
    </row>
    <row r="330" s="1" customFormat="1" spans="1:12">
      <c r="A330" s="2">
        <v>10.924</v>
      </c>
      <c r="B330" s="10" t="s">
        <v>239</v>
      </c>
      <c r="C330" s="4">
        <v>10.924</v>
      </c>
      <c r="D330" s="5">
        <v>45.8</v>
      </c>
      <c r="E330" s="4"/>
      <c r="F330" s="4"/>
      <c r="G330" s="2">
        <f t="shared" si="30"/>
        <v>10.891</v>
      </c>
      <c r="H330" s="11" t="str">
        <f t="shared" si="31"/>
        <v>3.387E-2</v>
      </c>
      <c r="I330" s="2">
        <f t="shared" si="32"/>
        <v>45.7</v>
      </c>
      <c r="J330" s="4">
        <f t="shared" si="33"/>
        <v>10.891</v>
      </c>
      <c r="K330" s="9">
        <f t="shared" si="34"/>
        <v>13.5</v>
      </c>
      <c r="L330" s="1">
        <f t="shared" si="35"/>
        <v>-24.8</v>
      </c>
    </row>
    <row r="331" s="1" customFormat="1" spans="1:12">
      <c r="A331" s="2">
        <v>10.958</v>
      </c>
      <c r="B331" s="10" t="s">
        <v>254</v>
      </c>
      <c r="C331" s="4">
        <v>10.958</v>
      </c>
      <c r="D331" s="5">
        <v>45.5</v>
      </c>
      <c r="E331" s="4"/>
      <c r="F331" s="4"/>
      <c r="G331" s="2">
        <f t="shared" si="30"/>
        <v>10.924</v>
      </c>
      <c r="H331" s="11" t="str">
        <f t="shared" si="31"/>
        <v>3.387E-2</v>
      </c>
      <c r="I331" s="2">
        <f t="shared" si="32"/>
        <v>45.8</v>
      </c>
      <c r="J331" s="4">
        <f t="shared" si="33"/>
        <v>10.924</v>
      </c>
      <c r="K331" s="9">
        <f t="shared" si="34"/>
        <v>13.5</v>
      </c>
      <c r="L331" s="1">
        <f t="shared" si="35"/>
        <v>-24.8</v>
      </c>
    </row>
    <row r="332" s="1" customFormat="1" spans="1:12">
      <c r="A332" s="2">
        <v>10.991</v>
      </c>
      <c r="B332" s="10" t="s">
        <v>50</v>
      </c>
      <c r="C332" s="4">
        <v>10.991</v>
      </c>
      <c r="D332" s="5">
        <v>45.5</v>
      </c>
      <c r="E332" s="4"/>
      <c r="F332" s="4"/>
      <c r="G332" s="2">
        <f t="shared" si="30"/>
        <v>10.958</v>
      </c>
      <c r="H332" s="11" t="str">
        <f t="shared" si="31"/>
        <v>3.382E-2</v>
      </c>
      <c r="I332" s="2">
        <f t="shared" si="32"/>
        <v>45.5</v>
      </c>
      <c r="J332" s="4">
        <f t="shared" si="33"/>
        <v>10.958</v>
      </c>
      <c r="K332" s="9">
        <f t="shared" si="34"/>
        <v>13</v>
      </c>
      <c r="L332" s="1">
        <f t="shared" si="35"/>
        <v>-24.8</v>
      </c>
    </row>
    <row r="333" s="1" customFormat="1" spans="1:12">
      <c r="A333" s="2">
        <v>11.024</v>
      </c>
      <c r="B333" s="10" t="s">
        <v>247</v>
      </c>
      <c r="C333" s="4">
        <v>11.024</v>
      </c>
      <c r="D333" s="5">
        <v>45.3</v>
      </c>
      <c r="E333" s="4"/>
      <c r="F333" s="4"/>
      <c r="G333" s="2">
        <f t="shared" si="30"/>
        <v>10.991</v>
      </c>
      <c r="H333" s="11" t="str">
        <f t="shared" si="31"/>
        <v>3.377E-2</v>
      </c>
      <c r="I333" s="2">
        <f t="shared" si="32"/>
        <v>45.5</v>
      </c>
      <c r="J333" s="4">
        <f t="shared" si="33"/>
        <v>10.991</v>
      </c>
      <c r="K333" s="9">
        <f t="shared" si="34"/>
        <v>12.5</v>
      </c>
      <c r="L333" s="1">
        <f t="shared" si="35"/>
        <v>-24.8</v>
      </c>
    </row>
    <row r="334" s="1" customFormat="1" spans="1:12">
      <c r="A334" s="2">
        <v>11.058</v>
      </c>
      <c r="B334" s="10" t="s">
        <v>278</v>
      </c>
      <c r="C334" s="4">
        <v>11.058</v>
      </c>
      <c r="D334" s="4">
        <v>45.7</v>
      </c>
      <c r="E334" s="4"/>
      <c r="F334" s="4"/>
      <c r="G334" s="2">
        <f t="shared" si="30"/>
        <v>11.024</v>
      </c>
      <c r="H334" s="11" t="str">
        <f t="shared" si="31"/>
        <v>3.371E-2</v>
      </c>
      <c r="I334" s="2">
        <f t="shared" si="32"/>
        <v>45.3</v>
      </c>
      <c r="J334" s="4">
        <f t="shared" si="33"/>
        <v>11.024</v>
      </c>
      <c r="K334" s="9">
        <f t="shared" si="34"/>
        <v>11.9</v>
      </c>
      <c r="L334" s="1">
        <f t="shared" si="35"/>
        <v>-24.8</v>
      </c>
    </row>
    <row r="335" spans="1:12">
      <c r="A335" s="2">
        <v>11.091</v>
      </c>
      <c r="B335" s="10" t="s">
        <v>272</v>
      </c>
      <c r="C335" s="4">
        <v>11.091</v>
      </c>
      <c r="D335" s="4">
        <v>45.6</v>
      </c>
      <c r="G335" s="2">
        <f t="shared" si="30"/>
        <v>11.058</v>
      </c>
      <c r="H335" s="11" t="str">
        <f t="shared" si="31"/>
        <v>3.363E-2</v>
      </c>
      <c r="I335" s="2">
        <f t="shared" si="32"/>
        <v>45.7</v>
      </c>
      <c r="J335" s="4">
        <f t="shared" si="33"/>
        <v>11.058</v>
      </c>
      <c r="K335" s="9">
        <f t="shared" si="34"/>
        <v>11.1</v>
      </c>
      <c r="L335" s="1">
        <f t="shared" si="35"/>
        <v>-24.8</v>
      </c>
    </row>
    <row r="336" spans="1:12">
      <c r="A336" s="2">
        <v>11.125</v>
      </c>
      <c r="B336" s="10" t="s">
        <v>717</v>
      </c>
      <c r="C336" s="4">
        <v>11.125</v>
      </c>
      <c r="D336" s="4">
        <v>45.7</v>
      </c>
      <c r="G336" s="2">
        <f t="shared" si="30"/>
        <v>11.091</v>
      </c>
      <c r="H336" s="11" t="str">
        <f t="shared" si="31"/>
        <v>3.350E-2</v>
      </c>
      <c r="I336" s="2">
        <f t="shared" si="32"/>
        <v>45.6</v>
      </c>
      <c r="J336" s="4">
        <f t="shared" si="33"/>
        <v>11.091</v>
      </c>
      <c r="K336" s="9">
        <f t="shared" si="34"/>
        <v>9.80000000000002</v>
      </c>
      <c r="L336" s="1">
        <f t="shared" si="35"/>
        <v>-24.8</v>
      </c>
    </row>
    <row r="337" spans="1:12">
      <c r="A337" s="2">
        <v>11.158</v>
      </c>
      <c r="B337" s="10" t="s">
        <v>718</v>
      </c>
      <c r="C337" s="4">
        <v>11.158</v>
      </c>
      <c r="D337" s="4">
        <v>45.7</v>
      </c>
      <c r="G337" s="2">
        <f t="shared" si="30"/>
        <v>11.125</v>
      </c>
      <c r="H337" s="11" t="str">
        <f t="shared" si="31"/>
        <v>3.328E-2</v>
      </c>
      <c r="I337" s="2">
        <f t="shared" si="32"/>
        <v>45.7</v>
      </c>
      <c r="J337" s="4">
        <f t="shared" si="33"/>
        <v>11.125</v>
      </c>
      <c r="K337" s="9">
        <f t="shared" si="34"/>
        <v>7.59999999999997</v>
      </c>
      <c r="L337" s="1">
        <f t="shared" si="35"/>
        <v>-24.8</v>
      </c>
    </row>
    <row r="338" spans="1:12">
      <c r="A338" s="2">
        <v>11.191</v>
      </c>
      <c r="B338" s="10" t="s">
        <v>623</v>
      </c>
      <c r="C338" s="4">
        <v>11.191</v>
      </c>
      <c r="D338" s="4">
        <v>45.8</v>
      </c>
      <c r="G338" s="2">
        <f t="shared" si="30"/>
        <v>11.158</v>
      </c>
      <c r="H338" s="11" t="str">
        <f t="shared" si="31"/>
        <v>3.299E-2</v>
      </c>
      <c r="I338" s="2">
        <f t="shared" si="32"/>
        <v>45.7</v>
      </c>
      <c r="J338" s="4">
        <f t="shared" si="33"/>
        <v>11.158</v>
      </c>
      <c r="K338" s="9">
        <f t="shared" si="34"/>
        <v>4.69999999999998</v>
      </c>
      <c r="L338" s="1">
        <f t="shared" si="35"/>
        <v>-24.8</v>
      </c>
    </row>
    <row r="339" spans="1:12">
      <c r="A339" s="2">
        <v>11.225</v>
      </c>
      <c r="B339" s="10" t="s">
        <v>591</v>
      </c>
      <c r="C339" s="4">
        <v>11.225</v>
      </c>
      <c r="D339" s="4">
        <v>45.6</v>
      </c>
      <c r="G339" s="2">
        <f t="shared" si="30"/>
        <v>11.191</v>
      </c>
      <c r="H339" s="11" t="str">
        <f t="shared" si="31"/>
        <v>3.279E-2</v>
      </c>
      <c r="I339" s="2">
        <f t="shared" si="32"/>
        <v>45.8</v>
      </c>
      <c r="J339" s="4">
        <f t="shared" si="33"/>
        <v>11.191</v>
      </c>
      <c r="K339" s="9">
        <f t="shared" si="34"/>
        <v>2.69999999999999</v>
      </c>
      <c r="L339" s="1">
        <f t="shared" si="35"/>
        <v>-24.8</v>
      </c>
    </row>
    <row r="340" spans="1:12">
      <c r="A340" s="2">
        <v>11.258</v>
      </c>
      <c r="B340" s="10" t="s">
        <v>594</v>
      </c>
      <c r="C340" s="4">
        <v>11.258</v>
      </c>
      <c r="D340" s="4">
        <v>45.9</v>
      </c>
      <c r="G340" s="2">
        <f t="shared" si="30"/>
        <v>11.225</v>
      </c>
      <c r="H340" s="11" t="str">
        <f t="shared" si="31"/>
        <v>3.257E-2</v>
      </c>
      <c r="I340" s="2">
        <f t="shared" si="32"/>
        <v>45.6</v>
      </c>
      <c r="J340" s="4">
        <f t="shared" si="33"/>
        <v>11.225</v>
      </c>
      <c r="K340" s="9">
        <f t="shared" si="34"/>
        <v>0.500000000000014</v>
      </c>
      <c r="L340" s="1">
        <f t="shared" si="35"/>
        <v>-24.8</v>
      </c>
    </row>
    <row r="341" spans="1:12">
      <c r="A341" s="2">
        <v>11.292</v>
      </c>
      <c r="B341" s="10" t="s">
        <v>719</v>
      </c>
      <c r="C341" s="4">
        <v>11.292</v>
      </c>
      <c r="D341" s="4">
        <v>45.8</v>
      </c>
      <c r="G341" s="2">
        <f t="shared" si="30"/>
        <v>11.258</v>
      </c>
      <c r="H341" s="11" t="str">
        <f t="shared" si="31"/>
        <v>3.233E-2</v>
      </c>
      <c r="I341" s="2">
        <f t="shared" si="32"/>
        <v>45.9</v>
      </c>
      <c r="J341" s="4">
        <f t="shared" si="33"/>
        <v>11.258</v>
      </c>
      <c r="K341" s="9">
        <f t="shared" si="34"/>
        <v>-1.90000000000003</v>
      </c>
      <c r="L341" s="1">
        <f t="shared" si="35"/>
        <v>-24.8</v>
      </c>
    </row>
    <row r="342" spans="1:12">
      <c r="A342" s="2">
        <v>11.325</v>
      </c>
      <c r="B342" s="10" t="s">
        <v>720</v>
      </c>
      <c r="C342" s="4">
        <v>11.325</v>
      </c>
      <c r="D342" s="4">
        <v>45.7</v>
      </c>
      <c r="G342" s="2">
        <f t="shared" si="30"/>
        <v>11.292</v>
      </c>
      <c r="H342" s="11" t="str">
        <f t="shared" si="31"/>
        <v>3.202E-2</v>
      </c>
      <c r="I342" s="2">
        <f t="shared" si="32"/>
        <v>45.8</v>
      </c>
      <c r="J342" s="4">
        <f t="shared" si="33"/>
        <v>11.292</v>
      </c>
      <c r="K342" s="9">
        <f t="shared" si="34"/>
        <v>-5</v>
      </c>
      <c r="L342" s="1">
        <f t="shared" si="35"/>
        <v>-24.8</v>
      </c>
    </row>
    <row r="343" spans="1:12">
      <c r="A343" s="2">
        <v>11.358</v>
      </c>
      <c r="B343" s="10" t="s">
        <v>721</v>
      </c>
      <c r="C343" s="4">
        <v>11.358</v>
      </c>
      <c r="D343" s="4">
        <v>45.5</v>
      </c>
      <c r="G343" s="2">
        <f t="shared" si="30"/>
        <v>11.325</v>
      </c>
      <c r="H343" s="11" t="str">
        <f t="shared" si="31"/>
        <v>3.178E-2</v>
      </c>
      <c r="I343" s="2">
        <f t="shared" si="32"/>
        <v>45.7</v>
      </c>
      <c r="J343" s="4">
        <f t="shared" si="33"/>
        <v>11.325</v>
      </c>
      <c r="K343" s="9">
        <f t="shared" si="34"/>
        <v>-7.39999999999998</v>
      </c>
      <c r="L343" s="1">
        <f t="shared" si="35"/>
        <v>-24.8</v>
      </c>
    </row>
    <row r="344" spans="1:12">
      <c r="A344" s="2">
        <v>11.392</v>
      </c>
      <c r="B344" s="10" t="s">
        <v>722</v>
      </c>
      <c r="C344" s="4">
        <v>11.392</v>
      </c>
      <c r="D344" s="4">
        <v>45.8</v>
      </c>
      <c r="G344" s="2">
        <f t="shared" si="30"/>
        <v>11.358</v>
      </c>
      <c r="H344" s="11" t="str">
        <f t="shared" si="31"/>
        <v>3.158E-2</v>
      </c>
      <c r="I344" s="2">
        <f t="shared" si="32"/>
        <v>45.5</v>
      </c>
      <c r="J344" s="4">
        <f t="shared" si="33"/>
        <v>11.358</v>
      </c>
      <c r="K344" s="9">
        <f t="shared" si="34"/>
        <v>-9.40000000000003</v>
      </c>
      <c r="L344" s="1">
        <f t="shared" si="35"/>
        <v>-24.8</v>
      </c>
    </row>
    <row r="345" spans="1:12">
      <c r="G345" s="2">
        <f t="shared" si="30"/>
        <v>11.392</v>
      </c>
      <c r="H345" s="11" t="str">
        <f t="shared" si="31"/>
        <v>3.136E-2</v>
      </c>
      <c r="I345" s="2">
        <f t="shared" si="32"/>
        <v>45.8</v>
      </c>
      <c r="J345" s="4">
        <f t="shared" si="33"/>
        <v>11.392</v>
      </c>
      <c r="K345" s="9">
        <f t="shared" si="34"/>
        <v>-11.6</v>
      </c>
      <c r="L345" s="1">
        <f t="shared" si="35"/>
        <v>-24.8</v>
      </c>
    </row>
  </sheetData>
  <mergeCells count="2">
    <mergeCell ref="G1:I1"/>
    <mergeCell ref="J1:L1"/>
  </mergeCells>
  <conditionalFormatting sqref="C$1:C$1048576">
    <cfRule type="cellIs" dxfId="0" priority="4" operator="greaterThan">
      <formula>230</formula>
    </cfRule>
    <cfRule type="cellIs" dxfId="0" priority="5" operator="greaterThan">
      <formula>248</formula>
    </cfRule>
    <cfRule type="cellIs" dxfId="0" priority="7" operator="greaterThan">
      <formula>250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345">
    <cfRule type="cellIs" dxfId="0" priority="1" operator="greaterThan">
      <formula>230</formula>
    </cfRule>
    <cfRule type="cellIs" dxfId="0" priority="2" operator="greaterThan">
      <formula>248</formula>
    </cfRule>
    <cfRule type="cellIs" dxfId="0" priority="3" operator="greaterThan">
      <formula>250</formula>
    </cfRule>
  </conditionalFormatting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0"/>
  <sheetViews>
    <sheetView tabSelected="1" topLeftCell="C1" workbookViewId="0">
      <selection activeCell="L530" sqref="J3:L530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4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723</v>
      </c>
      <c r="C3" s="4">
        <v>0</v>
      </c>
      <c r="D3" s="5">
        <v>45.8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724</v>
      </c>
      <c r="C4" s="4">
        <v>0.033</v>
      </c>
      <c r="D4" s="5">
        <v>45.8</v>
      </c>
      <c r="E4" s="4"/>
      <c r="F4" s="4"/>
      <c r="G4" s="2">
        <f t="shared" ref="G4:G67" si="0">A3</f>
        <v>0</v>
      </c>
      <c r="H4" s="11" t="str">
        <f t="shared" ref="H4:H67" si="1">B3</f>
        <v>3.101E-2</v>
      </c>
      <c r="I4" s="2">
        <f t="shared" ref="I4:I67" si="2">D3</f>
        <v>45.8</v>
      </c>
      <c r="J4" s="4">
        <f t="shared" ref="J4:J67" si="3">G4</f>
        <v>0</v>
      </c>
      <c r="K4" s="9">
        <f t="shared" ref="K4:K67" si="4">(H4-$H$4)*10000</f>
        <v>0</v>
      </c>
      <c r="L4" s="1">
        <f t="shared" ref="L4:L67" si="5">IF(I4&lt;230,MIN(K:K),MAX(K:K))</f>
        <v>-30.9</v>
      </c>
    </row>
    <row r="5" s="1" customFormat="1" spans="1:12">
      <c r="A5" s="2">
        <v>0.067</v>
      </c>
      <c r="B5" s="10" t="s">
        <v>724</v>
      </c>
      <c r="C5" s="4">
        <v>0.067</v>
      </c>
      <c r="D5" s="5">
        <v>45.8</v>
      </c>
      <c r="E5" s="4"/>
      <c r="F5" s="4"/>
      <c r="G5" s="2">
        <f t="shared" si="0"/>
        <v>0.033</v>
      </c>
      <c r="H5" s="11" t="str">
        <f t="shared" si="1"/>
        <v>3.098E-2</v>
      </c>
      <c r="I5" s="2">
        <f t="shared" si="2"/>
        <v>45.8</v>
      </c>
      <c r="J5" s="4">
        <f t="shared" si="3"/>
        <v>0.033</v>
      </c>
      <c r="K5" s="9">
        <f t="shared" si="4"/>
        <v>-0.299999999999988</v>
      </c>
      <c r="L5" s="1">
        <f t="shared" si="5"/>
        <v>-30.9</v>
      </c>
    </row>
    <row r="6" s="1" customFormat="1" spans="1:12">
      <c r="A6" s="2">
        <v>0.1</v>
      </c>
      <c r="B6" s="10" t="s">
        <v>725</v>
      </c>
      <c r="C6" s="4">
        <v>0.1</v>
      </c>
      <c r="D6" s="5">
        <v>45.8</v>
      </c>
      <c r="E6" s="4"/>
      <c r="F6" s="4"/>
      <c r="G6" s="2">
        <f t="shared" si="0"/>
        <v>0.067</v>
      </c>
      <c r="H6" s="11" t="str">
        <f t="shared" si="1"/>
        <v>3.098E-2</v>
      </c>
      <c r="I6" s="2">
        <f t="shared" si="2"/>
        <v>45.8</v>
      </c>
      <c r="J6" s="4">
        <f t="shared" si="3"/>
        <v>0.067</v>
      </c>
      <c r="K6" s="9">
        <f t="shared" si="4"/>
        <v>-0.299999999999988</v>
      </c>
      <c r="L6" s="1">
        <f t="shared" si="5"/>
        <v>-30.9</v>
      </c>
    </row>
    <row r="7" s="1" customFormat="1" spans="1:12">
      <c r="A7" s="2">
        <v>0.134</v>
      </c>
      <c r="B7" s="10" t="s">
        <v>633</v>
      </c>
      <c r="C7" s="4">
        <v>0.134</v>
      </c>
      <c r="D7" s="5">
        <v>46.2</v>
      </c>
      <c r="E7" s="4"/>
      <c r="F7" s="4"/>
      <c r="G7" s="2">
        <f t="shared" si="0"/>
        <v>0.1</v>
      </c>
      <c r="H7" s="11" t="str">
        <f t="shared" si="1"/>
        <v>3.097E-2</v>
      </c>
      <c r="I7" s="2">
        <f t="shared" si="2"/>
        <v>45.8</v>
      </c>
      <c r="J7" s="4">
        <f t="shared" si="3"/>
        <v>0.1</v>
      </c>
      <c r="K7" s="9">
        <f t="shared" si="4"/>
        <v>-0.399999999999984</v>
      </c>
      <c r="L7" s="1">
        <f t="shared" si="5"/>
        <v>-30.9</v>
      </c>
    </row>
    <row r="8" s="1" customFormat="1" spans="1:12">
      <c r="A8" s="2">
        <v>0.167</v>
      </c>
      <c r="B8" s="10" t="s">
        <v>726</v>
      </c>
      <c r="C8" s="4">
        <v>0.167</v>
      </c>
      <c r="D8" s="5">
        <v>45.9</v>
      </c>
      <c r="E8" s="4"/>
      <c r="F8" s="4"/>
      <c r="G8" s="2">
        <f t="shared" si="0"/>
        <v>0.134</v>
      </c>
      <c r="H8" s="11" t="str">
        <f t="shared" si="1"/>
        <v>3.096E-2</v>
      </c>
      <c r="I8" s="2">
        <f t="shared" si="2"/>
        <v>46.2</v>
      </c>
      <c r="J8" s="4">
        <f t="shared" si="3"/>
        <v>0.134</v>
      </c>
      <c r="K8" s="9">
        <f t="shared" si="4"/>
        <v>-0.49999999999998</v>
      </c>
      <c r="L8" s="1">
        <f t="shared" si="5"/>
        <v>-30.9</v>
      </c>
    </row>
    <row r="9" s="1" customFormat="1" spans="1:12">
      <c r="A9" s="2">
        <v>0.201</v>
      </c>
      <c r="B9" s="10" t="s">
        <v>633</v>
      </c>
      <c r="C9" s="4">
        <v>0.201</v>
      </c>
      <c r="D9" s="5">
        <v>46</v>
      </c>
      <c r="E9" s="4"/>
      <c r="F9" s="4"/>
      <c r="G9" s="2">
        <f t="shared" si="0"/>
        <v>0.167</v>
      </c>
      <c r="H9" s="11" t="str">
        <f t="shared" si="1"/>
        <v>3.095E-2</v>
      </c>
      <c r="I9" s="2">
        <f t="shared" si="2"/>
        <v>45.9</v>
      </c>
      <c r="J9" s="4">
        <f t="shared" si="3"/>
        <v>0.167</v>
      </c>
      <c r="K9" s="9">
        <f t="shared" si="4"/>
        <v>-0.60000000000001</v>
      </c>
      <c r="L9" s="1">
        <f t="shared" si="5"/>
        <v>-30.9</v>
      </c>
    </row>
    <row r="10" s="1" customFormat="1" spans="1:12">
      <c r="A10" s="2">
        <v>0.234</v>
      </c>
      <c r="B10" s="10" t="s">
        <v>636</v>
      </c>
      <c r="C10" s="4">
        <v>0.234</v>
      </c>
      <c r="D10" s="5">
        <v>45.6</v>
      </c>
      <c r="E10" s="4"/>
      <c r="F10" s="4"/>
      <c r="G10" s="2">
        <f t="shared" si="0"/>
        <v>0.201</v>
      </c>
      <c r="H10" s="11" t="str">
        <f t="shared" si="1"/>
        <v>3.096E-2</v>
      </c>
      <c r="I10" s="2">
        <f t="shared" si="2"/>
        <v>46</v>
      </c>
      <c r="J10" s="4">
        <f t="shared" si="3"/>
        <v>0.201</v>
      </c>
      <c r="K10" s="9">
        <f t="shared" si="4"/>
        <v>-0.49999999999998</v>
      </c>
      <c r="L10" s="1">
        <f t="shared" si="5"/>
        <v>-30.9</v>
      </c>
    </row>
    <row r="11" s="1" customFormat="1" spans="1:12">
      <c r="A11" s="2">
        <v>0.267</v>
      </c>
      <c r="B11" s="10" t="s">
        <v>636</v>
      </c>
      <c r="C11" s="4">
        <v>0.267</v>
      </c>
      <c r="D11" s="5">
        <v>45.7</v>
      </c>
      <c r="E11" s="4"/>
      <c r="F11" s="4"/>
      <c r="G11" s="2">
        <f t="shared" si="0"/>
        <v>0.234</v>
      </c>
      <c r="H11" s="11" t="str">
        <f t="shared" si="1"/>
        <v>3.094E-2</v>
      </c>
      <c r="I11" s="2">
        <f t="shared" si="2"/>
        <v>45.6</v>
      </c>
      <c r="J11" s="4">
        <f t="shared" si="3"/>
        <v>0.234</v>
      </c>
      <c r="K11" s="9">
        <f t="shared" si="4"/>
        <v>-0.700000000000006</v>
      </c>
      <c r="L11" s="1">
        <f t="shared" si="5"/>
        <v>-30.9</v>
      </c>
    </row>
    <row r="12" s="1" customFormat="1" spans="1:12">
      <c r="A12" s="2">
        <v>0.301</v>
      </c>
      <c r="B12" s="10" t="s">
        <v>636</v>
      </c>
      <c r="C12" s="4">
        <v>0.301</v>
      </c>
      <c r="D12" s="5">
        <v>46.2</v>
      </c>
      <c r="E12" s="4"/>
      <c r="F12" s="4"/>
      <c r="G12" s="2">
        <f t="shared" si="0"/>
        <v>0.267</v>
      </c>
      <c r="H12" s="11" t="str">
        <f t="shared" si="1"/>
        <v>3.094E-2</v>
      </c>
      <c r="I12" s="2">
        <f t="shared" si="2"/>
        <v>45.7</v>
      </c>
      <c r="J12" s="4">
        <f t="shared" si="3"/>
        <v>0.267</v>
      </c>
      <c r="K12" s="9">
        <f t="shared" si="4"/>
        <v>-0.700000000000006</v>
      </c>
      <c r="L12" s="1">
        <f t="shared" si="5"/>
        <v>-30.9</v>
      </c>
    </row>
    <row r="13" s="1" customFormat="1" spans="1:12">
      <c r="A13" s="2">
        <v>0.334</v>
      </c>
      <c r="B13" s="10" t="s">
        <v>726</v>
      </c>
      <c r="C13" s="4">
        <v>0.334</v>
      </c>
      <c r="D13" s="5">
        <v>45.4</v>
      </c>
      <c r="E13" s="4"/>
      <c r="F13" s="4"/>
      <c r="G13" s="2">
        <f t="shared" si="0"/>
        <v>0.301</v>
      </c>
      <c r="H13" s="11" t="str">
        <f t="shared" si="1"/>
        <v>3.094E-2</v>
      </c>
      <c r="I13" s="2">
        <f t="shared" si="2"/>
        <v>46.2</v>
      </c>
      <c r="J13" s="4">
        <f t="shared" si="3"/>
        <v>0.301</v>
      </c>
      <c r="K13" s="9">
        <f t="shared" si="4"/>
        <v>-0.700000000000006</v>
      </c>
      <c r="L13" s="1">
        <f t="shared" si="5"/>
        <v>-30.9</v>
      </c>
    </row>
    <row r="14" s="1" customFormat="1" spans="1:12">
      <c r="A14" s="2">
        <v>0.368</v>
      </c>
      <c r="B14" s="10" t="s">
        <v>726</v>
      </c>
      <c r="C14" s="4">
        <v>0.368</v>
      </c>
      <c r="D14" s="5">
        <v>45.9</v>
      </c>
      <c r="E14" s="4"/>
      <c r="F14" s="4"/>
      <c r="G14" s="2">
        <f t="shared" si="0"/>
        <v>0.334</v>
      </c>
      <c r="H14" s="11" t="str">
        <f t="shared" si="1"/>
        <v>3.095E-2</v>
      </c>
      <c r="I14" s="2">
        <f t="shared" si="2"/>
        <v>45.4</v>
      </c>
      <c r="J14" s="4">
        <f t="shared" si="3"/>
        <v>0.334</v>
      </c>
      <c r="K14" s="9">
        <f t="shared" si="4"/>
        <v>-0.60000000000001</v>
      </c>
      <c r="L14" s="1">
        <f t="shared" si="5"/>
        <v>-30.9</v>
      </c>
    </row>
    <row r="15" s="1" customFormat="1" spans="1:12">
      <c r="A15" s="2">
        <v>0.401</v>
      </c>
      <c r="B15" s="10" t="s">
        <v>633</v>
      </c>
      <c r="C15" s="4">
        <v>0.401</v>
      </c>
      <c r="D15" s="5">
        <v>45.4</v>
      </c>
      <c r="E15" s="4"/>
      <c r="F15" s="4"/>
      <c r="G15" s="2">
        <f t="shared" si="0"/>
        <v>0.368</v>
      </c>
      <c r="H15" s="11" t="str">
        <f t="shared" si="1"/>
        <v>3.095E-2</v>
      </c>
      <c r="I15" s="2">
        <f t="shared" si="2"/>
        <v>45.9</v>
      </c>
      <c r="J15" s="4">
        <f t="shared" si="3"/>
        <v>0.368</v>
      </c>
      <c r="K15" s="9">
        <f t="shared" si="4"/>
        <v>-0.60000000000001</v>
      </c>
      <c r="L15" s="1">
        <f t="shared" si="5"/>
        <v>-30.9</v>
      </c>
    </row>
    <row r="16" s="1" customFormat="1" spans="1:12">
      <c r="A16" s="2">
        <v>0.435</v>
      </c>
      <c r="B16" s="10" t="s">
        <v>633</v>
      </c>
      <c r="C16" s="4">
        <v>0.435</v>
      </c>
      <c r="D16" s="5">
        <v>45.3</v>
      </c>
      <c r="E16" s="4"/>
      <c r="F16" s="4"/>
      <c r="G16" s="2">
        <f t="shared" si="0"/>
        <v>0.401</v>
      </c>
      <c r="H16" s="11" t="str">
        <f t="shared" si="1"/>
        <v>3.096E-2</v>
      </c>
      <c r="I16" s="2">
        <f t="shared" si="2"/>
        <v>45.4</v>
      </c>
      <c r="J16" s="4">
        <f t="shared" si="3"/>
        <v>0.401</v>
      </c>
      <c r="K16" s="9">
        <f t="shared" si="4"/>
        <v>-0.49999999999998</v>
      </c>
      <c r="L16" s="1">
        <f t="shared" si="5"/>
        <v>-30.9</v>
      </c>
    </row>
    <row r="17" s="1" customFormat="1" spans="1:12">
      <c r="A17" s="2">
        <v>0.468</v>
      </c>
      <c r="B17" s="10" t="s">
        <v>725</v>
      </c>
      <c r="C17" s="4">
        <v>0.468</v>
      </c>
      <c r="D17" s="5">
        <v>46.4</v>
      </c>
      <c r="E17" s="4"/>
      <c r="F17" s="4"/>
      <c r="G17" s="2">
        <f t="shared" si="0"/>
        <v>0.435</v>
      </c>
      <c r="H17" s="11" t="str">
        <f t="shared" si="1"/>
        <v>3.096E-2</v>
      </c>
      <c r="I17" s="2">
        <f t="shared" si="2"/>
        <v>45.3</v>
      </c>
      <c r="J17" s="4">
        <f t="shared" si="3"/>
        <v>0.435</v>
      </c>
      <c r="K17" s="9">
        <f t="shared" si="4"/>
        <v>-0.49999999999998</v>
      </c>
      <c r="L17" s="1">
        <f t="shared" si="5"/>
        <v>-30.9</v>
      </c>
    </row>
    <row r="18" s="1" customFormat="1" spans="1:12">
      <c r="A18" s="2">
        <v>0.501</v>
      </c>
      <c r="B18" s="10" t="s">
        <v>678</v>
      </c>
      <c r="C18" s="4">
        <v>0.501</v>
      </c>
      <c r="D18" s="5">
        <v>45.6</v>
      </c>
      <c r="E18" s="4"/>
      <c r="F18" s="4"/>
      <c r="G18" s="2">
        <f t="shared" si="0"/>
        <v>0.468</v>
      </c>
      <c r="H18" s="11" t="str">
        <f t="shared" si="1"/>
        <v>3.097E-2</v>
      </c>
      <c r="I18" s="2">
        <f t="shared" si="2"/>
        <v>46.4</v>
      </c>
      <c r="J18" s="4">
        <f t="shared" si="3"/>
        <v>0.468</v>
      </c>
      <c r="K18" s="9">
        <f t="shared" si="4"/>
        <v>-0.399999999999984</v>
      </c>
      <c r="L18" s="1">
        <f t="shared" si="5"/>
        <v>-30.9</v>
      </c>
    </row>
    <row r="19" s="1" customFormat="1" spans="1:12">
      <c r="A19" s="2">
        <v>0.535</v>
      </c>
      <c r="B19" s="10" t="s">
        <v>724</v>
      </c>
      <c r="C19" s="4">
        <v>0.535</v>
      </c>
      <c r="D19" s="5">
        <v>45.6</v>
      </c>
      <c r="E19" s="4"/>
      <c r="F19" s="4"/>
      <c r="G19" s="2">
        <f t="shared" si="0"/>
        <v>0.501</v>
      </c>
      <c r="H19" s="11" t="str">
        <f t="shared" si="1"/>
        <v>3.099E-2</v>
      </c>
      <c r="I19" s="2">
        <f t="shared" si="2"/>
        <v>45.6</v>
      </c>
      <c r="J19" s="4">
        <f t="shared" si="3"/>
        <v>0.501</v>
      </c>
      <c r="K19" s="9">
        <f t="shared" si="4"/>
        <v>-0.199999999999992</v>
      </c>
      <c r="L19" s="1">
        <f t="shared" si="5"/>
        <v>-30.9</v>
      </c>
    </row>
    <row r="20" s="1" customFormat="1" spans="1:12">
      <c r="A20" s="2">
        <v>0.568</v>
      </c>
      <c r="B20" s="10" t="s">
        <v>678</v>
      </c>
      <c r="C20" s="4">
        <v>0.568</v>
      </c>
      <c r="D20" s="5">
        <v>45.3</v>
      </c>
      <c r="E20" s="4"/>
      <c r="F20" s="4"/>
      <c r="G20" s="2">
        <f t="shared" si="0"/>
        <v>0.535</v>
      </c>
      <c r="H20" s="11" t="str">
        <f t="shared" si="1"/>
        <v>3.098E-2</v>
      </c>
      <c r="I20" s="2">
        <f t="shared" si="2"/>
        <v>45.6</v>
      </c>
      <c r="J20" s="4">
        <f t="shared" si="3"/>
        <v>0.535</v>
      </c>
      <c r="K20" s="9">
        <f t="shared" si="4"/>
        <v>-0.299999999999988</v>
      </c>
      <c r="L20" s="1">
        <f t="shared" si="5"/>
        <v>-30.9</v>
      </c>
    </row>
    <row r="21" s="1" customFormat="1" spans="1:12">
      <c r="A21" s="2">
        <v>0.602</v>
      </c>
      <c r="B21" s="10" t="s">
        <v>637</v>
      </c>
      <c r="C21" s="4">
        <v>0.602</v>
      </c>
      <c r="D21" s="5">
        <v>45.9</v>
      </c>
      <c r="E21" s="4"/>
      <c r="F21" s="4"/>
      <c r="G21" s="2">
        <f t="shared" si="0"/>
        <v>0.568</v>
      </c>
      <c r="H21" s="11" t="str">
        <f t="shared" si="1"/>
        <v>3.099E-2</v>
      </c>
      <c r="I21" s="2">
        <f t="shared" si="2"/>
        <v>45.3</v>
      </c>
      <c r="J21" s="4">
        <f t="shared" si="3"/>
        <v>0.568</v>
      </c>
      <c r="K21" s="9">
        <f t="shared" si="4"/>
        <v>-0.199999999999992</v>
      </c>
      <c r="L21" s="1">
        <f t="shared" si="5"/>
        <v>-30.9</v>
      </c>
    </row>
    <row r="22" s="1" customFormat="1" spans="1:12">
      <c r="A22" s="2">
        <v>0.635</v>
      </c>
      <c r="B22" s="10" t="s">
        <v>723</v>
      </c>
      <c r="C22" s="4">
        <v>0.635</v>
      </c>
      <c r="D22" s="5">
        <v>45.9</v>
      </c>
      <c r="E22" s="4"/>
      <c r="F22" s="4"/>
      <c r="G22" s="2">
        <f t="shared" si="0"/>
        <v>0.602</v>
      </c>
      <c r="H22" s="11" t="str">
        <f t="shared" si="1"/>
        <v>3.100E-2</v>
      </c>
      <c r="I22" s="2">
        <f t="shared" si="2"/>
        <v>45.9</v>
      </c>
      <c r="J22" s="4">
        <f t="shared" si="3"/>
        <v>0.602</v>
      </c>
      <c r="K22" s="9">
        <f t="shared" si="4"/>
        <v>-0.0999999999999959</v>
      </c>
      <c r="L22" s="1">
        <f t="shared" si="5"/>
        <v>-30.9</v>
      </c>
    </row>
    <row r="23" s="1" customFormat="1" spans="1:12">
      <c r="A23" s="2">
        <v>0.669</v>
      </c>
      <c r="B23" s="10" t="s">
        <v>727</v>
      </c>
      <c r="C23" s="4">
        <v>0.669</v>
      </c>
      <c r="D23" s="5">
        <v>46</v>
      </c>
      <c r="E23" s="4"/>
      <c r="F23" s="4"/>
      <c r="G23" s="2">
        <f t="shared" si="0"/>
        <v>0.635</v>
      </c>
      <c r="H23" s="11" t="str">
        <f t="shared" si="1"/>
        <v>3.101E-2</v>
      </c>
      <c r="I23" s="2">
        <f t="shared" si="2"/>
        <v>45.9</v>
      </c>
      <c r="J23" s="4">
        <f t="shared" si="3"/>
        <v>0.635</v>
      </c>
      <c r="K23" s="9">
        <f t="shared" si="4"/>
        <v>0</v>
      </c>
      <c r="L23" s="1">
        <f t="shared" si="5"/>
        <v>-30.9</v>
      </c>
    </row>
    <row r="24" s="1" customFormat="1" spans="1:12">
      <c r="A24" s="2">
        <v>0.702</v>
      </c>
      <c r="B24" s="10" t="s">
        <v>727</v>
      </c>
      <c r="C24" s="4">
        <v>0.702</v>
      </c>
      <c r="D24" s="5">
        <v>45.6</v>
      </c>
      <c r="E24" s="4"/>
      <c r="F24" s="4"/>
      <c r="G24" s="2">
        <f t="shared" si="0"/>
        <v>0.669</v>
      </c>
      <c r="H24" s="11" t="str">
        <f t="shared" si="1"/>
        <v>3.102E-2</v>
      </c>
      <c r="I24" s="2">
        <f t="shared" si="2"/>
        <v>46</v>
      </c>
      <c r="J24" s="4">
        <f t="shared" si="3"/>
        <v>0.669</v>
      </c>
      <c r="K24" s="9">
        <f t="shared" si="4"/>
        <v>0.0999999999999959</v>
      </c>
      <c r="L24" s="1">
        <f t="shared" si="5"/>
        <v>-30.9</v>
      </c>
    </row>
    <row r="25" s="1" customFormat="1" spans="1:12">
      <c r="A25" s="2">
        <v>0.735</v>
      </c>
      <c r="B25" s="10" t="s">
        <v>706</v>
      </c>
      <c r="C25" s="4">
        <v>0.735</v>
      </c>
      <c r="D25" s="5">
        <v>45.7</v>
      </c>
      <c r="E25" s="4"/>
      <c r="F25" s="4"/>
      <c r="G25" s="2">
        <f t="shared" si="0"/>
        <v>0.702</v>
      </c>
      <c r="H25" s="11" t="str">
        <f t="shared" si="1"/>
        <v>3.102E-2</v>
      </c>
      <c r="I25" s="2">
        <f t="shared" si="2"/>
        <v>45.6</v>
      </c>
      <c r="J25" s="4">
        <f t="shared" si="3"/>
        <v>0.702</v>
      </c>
      <c r="K25" s="9">
        <f t="shared" si="4"/>
        <v>0.0999999999999959</v>
      </c>
      <c r="L25" s="1">
        <f t="shared" si="5"/>
        <v>-30.9</v>
      </c>
    </row>
    <row r="26" s="1" customFormat="1" spans="1:12">
      <c r="A26" s="2">
        <v>0.769</v>
      </c>
      <c r="B26" s="10" t="s">
        <v>706</v>
      </c>
      <c r="C26" s="4">
        <v>0.769</v>
      </c>
      <c r="D26" s="5">
        <v>45.8</v>
      </c>
      <c r="E26" s="4"/>
      <c r="F26" s="4"/>
      <c r="G26" s="2">
        <f t="shared" si="0"/>
        <v>0.735</v>
      </c>
      <c r="H26" s="11" t="str">
        <f t="shared" si="1"/>
        <v>3.104E-2</v>
      </c>
      <c r="I26" s="2">
        <f t="shared" si="2"/>
        <v>45.7</v>
      </c>
      <c r="J26" s="4">
        <f t="shared" si="3"/>
        <v>0.735</v>
      </c>
      <c r="K26" s="9">
        <f t="shared" si="4"/>
        <v>0.300000000000022</v>
      </c>
      <c r="L26" s="1">
        <f t="shared" si="5"/>
        <v>-30.9</v>
      </c>
    </row>
    <row r="27" s="1" customFormat="1" spans="1:12">
      <c r="A27" s="2">
        <v>0.802</v>
      </c>
      <c r="B27" s="10" t="s">
        <v>706</v>
      </c>
      <c r="C27" s="4">
        <v>0.802</v>
      </c>
      <c r="D27" s="5">
        <v>45.7</v>
      </c>
      <c r="E27" s="4"/>
      <c r="F27" s="4"/>
      <c r="G27" s="2">
        <f t="shared" si="0"/>
        <v>0.769</v>
      </c>
      <c r="H27" s="11" t="str">
        <f t="shared" si="1"/>
        <v>3.104E-2</v>
      </c>
      <c r="I27" s="2">
        <f t="shared" si="2"/>
        <v>45.8</v>
      </c>
      <c r="J27" s="4">
        <f t="shared" si="3"/>
        <v>0.769</v>
      </c>
      <c r="K27" s="9">
        <f t="shared" si="4"/>
        <v>0.300000000000022</v>
      </c>
      <c r="L27" s="1">
        <f t="shared" si="5"/>
        <v>-30.9</v>
      </c>
    </row>
    <row r="28" s="1" customFormat="1" spans="1:12">
      <c r="A28" s="2">
        <v>0.836</v>
      </c>
      <c r="B28" s="10" t="s">
        <v>728</v>
      </c>
      <c r="C28" s="4">
        <v>0.836</v>
      </c>
      <c r="D28" s="5">
        <v>45.4</v>
      </c>
      <c r="E28" s="4"/>
      <c r="F28" s="4"/>
      <c r="G28" s="2">
        <f t="shared" si="0"/>
        <v>0.802</v>
      </c>
      <c r="H28" s="11" t="str">
        <f t="shared" si="1"/>
        <v>3.104E-2</v>
      </c>
      <c r="I28" s="2">
        <f t="shared" si="2"/>
        <v>45.7</v>
      </c>
      <c r="J28" s="4">
        <f t="shared" si="3"/>
        <v>0.802</v>
      </c>
      <c r="K28" s="9">
        <f t="shared" si="4"/>
        <v>0.300000000000022</v>
      </c>
      <c r="L28" s="1">
        <f t="shared" si="5"/>
        <v>-30.9</v>
      </c>
    </row>
    <row r="29" s="1" customFormat="1" spans="1:12">
      <c r="A29" s="2">
        <v>0.869</v>
      </c>
      <c r="B29" s="10" t="s">
        <v>728</v>
      </c>
      <c r="C29" s="4">
        <v>0.869</v>
      </c>
      <c r="D29" s="5">
        <v>46</v>
      </c>
      <c r="E29" s="4"/>
      <c r="F29" s="4"/>
      <c r="G29" s="2">
        <f t="shared" si="0"/>
        <v>0.836</v>
      </c>
      <c r="H29" s="11" t="str">
        <f t="shared" si="1"/>
        <v>3.105E-2</v>
      </c>
      <c r="I29" s="2">
        <f t="shared" si="2"/>
        <v>45.4</v>
      </c>
      <c r="J29" s="4">
        <f t="shared" si="3"/>
        <v>0.836</v>
      </c>
      <c r="K29" s="9">
        <f t="shared" si="4"/>
        <v>0.400000000000018</v>
      </c>
      <c r="L29" s="1">
        <f t="shared" si="5"/>
        <v>-30.9</v>
      </c>
    </row>
    <row r="30" s="1" customFormat="1" spans="1:12">
      <c r="A30" s="2">
        <v>0.903</v>
      </c>
      <c r="B30" s="10" t="s">
        <v>728</v>
      </c>
      <c r="C30" s="4">
        <v>0.903</v>
      </c>
      <c r="D30" s="5">
        <v>46.2</v>
      </c>
      <c r="E30" s="4"/>
      <c r="F30" s="4"/>
      <c r="G30" s="2">
        <f t="shared" si="0"/>
        <v>0.869</v>
      </c>
      <c r="H30" s="11" t="str">
        <f t="shared" si="1"/>
        <v>3.105E-2</v>
      </c>
      <c r="I30" s="2">
        <f t="shared" si="2"/>
        <v>46</v>
      </c>
      <c r="J30" s="4">
        <f t="shared" si="3"/>
        <v>0.869</v>
      </c>
      <c r="K30" s="9">
        <f t="shared" si="4"/>
        <v>0.400000000000018</v>
      </c>
      <c r="L30" s="1">
        <f t="shared" si="5"/>
        <v>-30.9</v>
      </c>
    </row>
    <row r="31" s="1" customFormat="1" spans="1:12">
      <c r="A31" s="2">
        <v>0.936</v>
      </c>
      <c r="B31" s="10" t="s">
        <v>728</v>
      </c>
      <c r="C31" s="4">
        <v>0.936</v>
      </c>
      <c r="D31" s="5">
        <v>45.4</v>
      </c>
      <c r="E31" s="4"/>
      <c r="F31" s="4"/>
      <c r="G31" s="2">
        <f t="shared" si="0"/>
        <v>0.903</v>
      </c>
      <c r="H31" s="11" t="str">
        <f t="shared" si="1"/>
        <v>3.105E-2</v>
      </c>
      <c r="I31" s="2">
        <f t="shared" si="2"/>
        <v>46.2</v>
      </c>
      <c r="J31" s="4">
        <f t="shared" si="3"/>
        <v>0.903</v>
      </c>
      <c r="K31" s="9">
        <f t="shared" si="4"/>
        <v>0.400000000000018</v>
      </c>
      <c r="L31" s="1">
        <f t="shared" si="5"/>
        <v>-30.9</v>
      </c>
    </row>
    <row r="32" s="1" customFormat="1" spans="1:12">
      <c r="A32" s="2">
        <v>0.969</v>
      </c>
      <c r="B32" s="10" t="s">
        <v>728</v>
      </c>
      <c r="C32" s="4">
        <v>0.969</v>
      </c>
      <c r="D32" s="5">
        <v>45.7</v>
      </c>
      <c r="E32" s="4"/>
      <c r="F32" s="4"/>
      <c r="G32" s="2">
        <f t="shared" si="0"/>
        <v>0.936</v>
      </c>
      <c r="H32" s="11" t="str">
        <f t="shared" si="1"/>
        <v>3.105E-2</v>
      </c>
      <c r="I32" s="2">
        <f t="shared" si="2"/>
        <v>45.4</v>
      </c>
      <c r="J32" s="4">
        <f t="shared" si="3"/>
        <v>0.936</v>
      </c>
      <c r="K32" s="9">
        <f t="shared" si="4"/>
        <v>0.400000000000018</v>
      </c>
      <c r="L32" s="1">
        <f t="shared" si="5"/>
        <v>-30.9</v>
      </c>
    </row>
    <row r="33" s="1" customFormat="1" spans="1:12">
      <c r="A33" s="2">
        <v>1.003</v>
      </c>
      <c r="B33" s="10" t="s">
        <v>706</v>
      </c>
      <c r="C33" s="4">
        <v>1.003</v>
      </c>
      <c r="D33" s="5">
        <v>45.8</v>
      </c>
      <c r="E33" s="4"/>
      <c r="F33" s="4"/>
      <c r="G33" s="2">
        <f t="shared" si="0"/>
        <v>0.969</v>
      </c>
      <c r="H33" s="11" t="str">
        <f t="shared" si="1"/>
        <v>3.105E-2</v>
      </c>
      <c r="I33" s="2">
        <f t="shared" si="2"/>
        <v>45.7</v>
      </c>
      <c r="J33" s="4">
        <f t="shared" si="3"/>
        <v>0.969</v>
      </c>
      <c r="K33" s="9">
        <f t="shared" si="4"/>
        <v>0.400000000000018</v>
      </c>
      <c r="L33" s="1">
        <f t="shared" si="5"/>
        <v>-30.9</v>
      </c>
    </row>
    <row r="34" s="1" customFormat="1" spans="1:12">
      <c r="A34" s="2">
        <v>1.036</v>
      </c>
      <c r="B34" s="10" t="s">
        <v>706</v>
      </c>
      <c r="C34" s="4">
        <v>1.036</v>
      </c>
      <c r="D34" s="5">
        <v>46</v>
      </c>
      <c r="E34" s="4"/>
      <c r="F34" s="4"/>
      <c r="G34" s="2">
        <f t="shared" si="0"/>
        <v>1.003</v>
      </c>
      <c r="H34" s="11" t="str">
        <f t="shared" si="1"/>
        <v>3.104E-2</v>
      </c>
      <c r="I34" s="2">
        <f t="shared" si="2"/>
        <v>45.8</v>
      </c>
      <c r="J34" s="4">
        <f t="shared" si="3"/>
        <v>1.003</v>
      </c>
      <c r="K34" s="9">
        <f t="shared" si="4"/>
        <v>0.300000000000022</v>
      </c>
      <c r="L34" s="1">
        <f t="shared" si="5"/>
        <v>-30.9</v>
      </c>
    </row>
    <row r="35" s="1" customFormat="1" spans="1:12">
      <c r="A35" s="2">
        <v>1.07</v>
      </c>
      <c r="B35" s="10" t="s">
        <v>729</v>
      </c>
      <c r="C35" s="4">
        <v>1.07</v>
      </c>
      <c r="D35" s="5">
        <v>46.1</v>
      </c>
      <c r="E35" s="4"/>
      <c r="F35" s="4"/>
      <c r="G35" s="2">
        <f t="shared" si="0"/>
        <v>1.036</v>
      </c>
      <c r="H35" s="11" t="str">
        <f t="shared" si="1"/>
        <v>3.104E-2</v>
      </c>
      <c r="I35" s="2">
        <f t="shared" si="2"/>
        <v>46</v>
      </c>
      <c r="J35" s="4">
        <f t="shared" si="3"/>
        <v>1.036</v>
      </c>
      <c r="K35" s="9">
        <f t="shared" si="4"/>
        <v>0.300000000000022</v>
      </c>
      <c r="L35" s="1">
        <f t="shared" si="5"/>
        <v>-30.9</v>
      </c>
    </row>
    <row r="36" s="1" customFormat="1" spans="1:12">
      <c r="A36" s="2">
        <v>1.103</v>
      </c>
      <c r="B36" s="10" t="s">
        <v>723</v>
      </c>
      <c r="C36" s="4">
        <v>1.103</v>
      </c>
      <c r="D36" s="5">
        <v>46</v>
      </c>
      <c r="E36" s="4"/>
      <c r="F36" s="4"/>
      <c r="G36" s="2">
        <f t="shared" si="0"/>
        <v>1.07</v>
      </c>
      <c r="H36" s="11" t="str">
        <f t="shared" si="1"/>
        <v>3.103E-2</v>
      </c>
      <c r="I36" s="2">
        <f t="shared" si="2"/>
        <v>46.1</v>
      </c>
      <c r="J36" s="4">
        <f t="shared" si="3"/>
        <v>1.07</v>
      </c>
      <c r="K36" s="9">
        <f t="shared" si="4"/>
        <v>0.199999999999992</v>
      </c>
      <c r="L36" s="1">
        <f t="shared" si="5"/>
        <v>-30.9</v>
      </c>
    </row>
    <row r="37" s="1" customFormat="1" spans="1:12">
      <c r="A37" s="2">
        <v>1.137</v>
      </c>
      <c r="B37" s="10" t="s">
        <v>723</v>
      </c>
      <c r="C37" s="4">
        <v>1.137</v>
      </c>
      <c r="D37" s="5">
        <v>45.8</v>
      </c>
      <c r="E37" s="4"/>
      <c r="F37" s="4"/>
      <c r="G37" s="2">
        <f t="shared" si="0"/>
        <v>1.103</v>
      </c>
      <c r="H37" s="11" t="str">
        <f t="shared" si="1"/>
        <v>3.101E-2</v>
      </c>
      <c r="I37" s="2">
        <f t="shared" si="2"/>
        <v>46</v>
      </c>
      <c r="J37" s="4">
        <f t="shared" si="3"/>
        <v>1.103</v>
      </c>
      <c r="K37" s="9">
        <f t="shared" si="4"/>
        <v>0</v>
      </c>
      <c r="L37" s="1">
        <f t="shared" si="5"/>
        <v>-30.9</v>
      </c>
    </row>
    <row r="38" s="1" customFormat="1" spans="1:12">
      <c r="A38" s="2">
        <v>1.17</v>
      </c>
      <c r="B38" s="10" t="s">
        <v>723</v>
      </c>
      <c r="C38" s="4">
        <v>1.17</v>
      </c>
      <c r="D38" s="5">
        <v>46.2</v>
      </c>
      <c r="E38" s="4"/>
      <c r="F38" s="4"/>
      <c r="G38" s="2">
        <f t="shared" si="0"/>
        <v>1.137</v>
      </c>
      <c r="H38" s="11" t="str">
        <f t="shared" si="1"/>
        <v>3.101E-2</v>
      </c>
      <c r="I38" s="2">
        <f t="shared" si="2"/>
        <v>45.8</v>
      </c>
      <c r="J38" s="4">
        <f t="shared" si="3"/>
        <v>1.137</v>
      </c>
      <c r="K38" s="9">
        <f t="shared" si="4"/>
        <v>0</v>
      </c>
      <c r="L38" s="1">
        <f t="shared" si="5"/>
        <v>-30.9</v>
      </c>
    </row>
    <row r="39" s="1" customFormat="1" spans="1:12">
      <c r="A39" s="2">
        <v>1.203</v>
      </c>
      <c r="B39" s="10" t="s">
        <v>637</v>
      </c>
      <c r="C39" s="4">
        <v>1.203</v>
      </c>
      <c r="D39" s="5">
        <v>45.2</v>
      </c>
      <c r="E39" s="4"/>
      <c r="F39" s="4"/>
      <c r="G39" s="2">
        <f t="shared" si="0"/>
        <v>1.17</v>
      </c>
      <c r="H39" s="11" t="str">
        <f t="shared" si="1"/>
        <v>3.101E-2</v>
      </c>
      <c r="I39" s="2">
        <f t="shared" si="2"/>
        <v>46.2</v>
      </c>
      <c r="J39" s="4">
        <f t="shared" si="3"/>
        <v>1.17</v>
      </c>
      <c r="K39" s="9">
        <f t="shared" si="4"/>
        <v>0</v>
      </c>
      <c r="L39" s="1">
        <f t="shared" si="5"/>
        <v>-30.9</v>
      </c>
    </row>
    <row r="40" s="1" customFormat="1" spans="1:12">
      <c r="A40" s="2">
        <v>1.237</v>
      </c>
      <c r="B40" s="10" t="s">
        <v>637</v>
      </c>
      <c r="C40" s="4">
        <v>1.237</v>
      </c>
      <c r="D40" s="5">
        <v>45.7</v>
      </c>
      <c r="E40" s="4"/>
      <c r="F40" s="4"/>
      <c r="G40" s="2">
        <f t="shared" si="0"/>
        <v>1.203</v>
      </c>
      <c r="H40" s="11" t="str">
        <f t="shared" si="1"/>
        <v>3.100E-2</v>
      </c>
      <c r="I40" s="2">
        <f t="shared" si="2"/>
        <v>45.2</v>
      </c>
      <c r="J40" s="4">
        <f t="shared" si="3"/>
        <v>1.203</v>
      </c>
      <c r="K40" s="9">
        <f t="shared" si="4"/>
        <v>-0.0999999999999959</v>
      </c>
      <c r="L40" s="1">
        <f t="shared" si="5"/>
        <v>-30.9</v>
      </c>
    </row>
    <row r="41" s="1" customFormat="1" spans="1:12">
      <c r="A41" s="2">
        <v>1.27</v>
      </c>
      <c r="B41" s="10" t="s">
        <v>637</v>
      </c>
      <c r="C41" s="4">
        <v>1.27</v>
      </c>
      <c r="D41" s="5">
        <v>46</v>
      </c>
      <c r="E41" s="4"/>
      <c r="F41" s="4"/>
      <c r="G41" s="2">
        <f t="shared" si="0"/>
        <v>1.237</v>
      </c>
      <c r="H41" s="11" t="str">
        <f t="shared" si="1"/>
        <v>3.100E-2</v>
      </c>
      <c r="I41" s="2">
        <f t="shared" si="2"/>
        <v>45.7</v>
      </c>
      <c r="J41" s="4">
        <f t="shared" si="3"/>
        <v>1.237</v>
      </c>
      <c r="K41" s="9">
        <f t="shared" si="4"/>
        <v>-0.0999999999999959</v>
      </c>
      <c r="L41" s="1">
        <f t="shared" si="5"/>
        <v>-30.9</v>
      </c>
    </row>
    <row r="42" s="1" customFormat="1" spans="1:12">
      <c r="A42" s="2">
        <v>1.304</v>
      </c>
      <c r="B42" s="10" t="s">
        <v>724</v>
      </c>
      <c r="C42" s="4">
        <v>1.304</v>
      </c>
      <c r="D42" s="5">
        <v>45.9</v>
      </c>
      <c r="E42" s="4"/>
      <c r="F42" s="4"/>
      <c r="G42" s="2">
        <f t="shared" si="0"/>
        <v>1.27</v>
      </c>
      <c r="H42" s="11" t="str">
        <f t="shared" si="1"/>
        <v>3.100E-2</v>
      </c>
      <c r="I42" s="2">
        <f t="shared" si="2"/>
        <v>46</v>
      </c>
      <c r="J42" s="4">
        <f t="shared" si="3"/>
        <v>1.27</v>
      </c>
      <c r="K42" s="9">
        <f t="shared" si="4"/>
        <v>-0.0999999999999959</v>
      </c>
      <c r="L42" s="1">
        <f t="shared" si="5"/>
        <v>-30.9</v>
      </c>
    </row>
    <row r="43" s="1" customFormat="1" spans="1:12">
      <c r="A43" s="2">
        <v>1.337</v>
      </c>
      <c r="B43" s="10" t="s">
        <v>725</v>
      </c>
      <c r="C43" s="4">
        <v>1.337</v>
      </c>
      <c r="D43" s="5">
        <v>45.7</v>
      </c>
      <c r="E43" s="4"/>
      <c r="F43" s="4"/>
      <c r="G43" s="2">
        <f t="shared" si="0"/>
        <v>1.304</v>
      </c>
      <c r="H43" s="11" t="str">
        <f t="shared" si="1"/>
        <v>3.098E-2</v>
      </c>
      <c r="I43" s="2">
        <f t="shared" si="2"/>
        <v>45.9</v>
      </c>
      <c r="J43" s="4">
        <f t="shared" si="3"/>
        <v>1.304</v>
      </c>
      <c r="K43" s="9">
        <f t="shared" si="4"/>
        <v>-0.299999999999988</v>
      </c>
      <c r="L43" s="1">
        <f t="shared" si="5"/>
        <v>-30.9</v>
      </c>
    </row>
    <row r="44" s="1" customFormat="1" spans="1:12">
      <c r="A44" s="2">
        <v>1.371</v>
      </c>
      <c r="B44" s="10" t="s">
        <v>725</v>
      </c>
      <c r="C44" s="4">
        <v>1.371</v>
      </c>
      <c r="D44" s="5">
        <v>46.2</v>
      </c>
      <c r="E44" s="4"/>
      <c r="F44" s="4"/>
      <c r="G44" s="2">
        <f t="shared" si="0"/>
        <v>1.337</v>
      </c>
      <c r="H44" s="11" t="str">
        <f t="shared" si="1"/>
        <v>3.097E-2</v>
      </c>
      <c r="I44" s="2">
        <f t="shared" si="2"/>
        <v>45.7</v>
      </c>
      <c r="J44" s="4">
        <f t="shared" si="3"/>
        <v>1.337</v>
      </c>
      <c r="K44" s="9">
        <f t="shared" si="4"/>
        <v>-0.399999999999984</v>
      </c>
      <c r="L44" s="1">
        <f t="shared" si="5"/>
        <v>-30.9</v>
      </c>
    </row>
    <row r="45" s="1" customFormat="1" spans="1:12">
      <c r="A45" s="2">
        <v>1.404</v>
      </c>
      <c r="B45" s="10" t="s">
        <v>725</v>
      </c>
      <c r="C45" s="4">
        <v>1.404</v>
      </c>
      <c r="D45" s="5">
        <v>45.9</v>
      </c>
      <c r="E45" s="4"/>
      <c r="F45" s="4"/>
      <c r="G45" s="2">
        <f t="shared" si="0"/>
        <v>1.371</v>
      </c>
      <c r="H45" s="11" t="str">
        <f t="shared" si="1"/>
        <v>3.097E-2</v>
      </c>
      <c r="I45" s="2">
        <f t="shared" si="2"/>
        <v>46.2</v>
      </c>
      <c r="J45" s="4">
        <f t="shared" si="3"/>
        <v>1.371</v>
      </c>
      <c r="K45" s="9">
        <f t="shared" si="4"/>
        <v>-0.399999999999984</v>
      </c>
      <c r="L45" s="1">
        <f t="shared" si="5"/>
        <v>-30.9</v>
      </c>
    </row>
    <row r="46" s="1" customFormat="1" spans="1:12">
      <c r="A46" s="2">
        <v>1.437</v>
      </c>
      <c r="B46" s="10" t="s">
        <v>725</v>
      </c>
      <c r="C46" s="4">
        <v>1.437</v>
      </c>
      <c r="D46" s="5">
        <v>46</v>
      </c>
      <c r="E46" s="4"/>
      <c r="F46" s="4"/>
      <c r="G46" s="2">
        <f t="shared" si="0"/>
        <v>1.404</v>
      </c>
      <c r="H46" s="11" t="str">
        <f t="shared" si="1"/>
        <v>3.097E-2</v>
      </c>
      <c r="I46" s="2">
        <f t="shared" si="2"/>
        <v>45.9</v>
      </c>
      <c r="J46" s="4">
        <f t="shared" si="3"/>
        <v>1.404</v>
      </c>
      <c r="K46" s="9">
        <f t="shared" si="4"/>
        <v>-0.399999999999984</v>
      </c>
      <c r="L46" s="1">
        <f t="shared" si="5"/>
        <v>-30.9</v>
      </c>
    </row>
    <row r="47" s="1" customFormat="1" spans="1:12">
      <c r="A47" s="2">
        <v>1.471</v>
      </c>
      <c r="B47" s="10" t="s">
        <v>636</v>
      </c>
      <c r="C47" s="4">
        <v>1.471</v>
      </c>
      <c r="D47" s="5">
        <v>46.1</v>
      </c>
      <c r="E47" s="4"/>
      <c r="F47" s="4"/>
      <c r="G47" s="2">
        <f t="shared" si="0"/>
        <v>1.437</v>
      </c>
      <c r="H47" s="11" t="str">
        <f t="shared" si="1"/>
        <v>3.097E-2</v>
      </c>
      <c r="I47" s="2">
        <f t="shared" si="2"/>
        <v>46</v>
      </c>
      <c r="J47" s="4">
        <f t="shared" si="3"/>
        <v>1.437</v>
      </c>
      <c r="K47" s="9">
        <f t="shared" si="4"/>
        <v>-0.399999999999984</v>
      </c>
      <c r="L47" s="1">
        <f t="shared" si="5"/>
        <v>-30.9</v>
      </c>
    </row>
    <row r="48" s="1" customFormat="1" spans="1:12">
      <c r="A48" s="2">
        <v>1.504</v>
      </c>
      <c r="B48" s="10" t="s">
        <v>636</v>
      </c>
      <c r="C48" s="4">
        <v>1.504</v>
      </c>
      <c r="D48" s="5">
        <v>45.7</v>
      </c>
      <c r="E48" s="4"/>
      <c r="F48" s="4"/>
      <c r="G48" s="2">
        <f t="shared" si="0"/>
        <v>1.471</v>
      </c>
      <c r="H48" s="11" t="str">
        <f t="shared" si="1"/>
        <v>3.094E-2</v>
      </c>
      <c r="I48" s="2">
        <f t="shared" si="2"/>
        <v>46.1</v>
      </c>
      <c r="J48" s="4">
        <f t="shared" si="3"/>
        <v>1.471</v>
      </c>
      <c r="K48" s="9">
        <f t="shared" si="4"/>
        <v>-0.700000000000006</v>
      </c>
      <c r="L48" s="1">
        <f t="shared" si="5"/>
        <v>-30.9</v>
      </c>
    </row>
    <row r="49" s="1" customFormat="1" spans="1:12">
      <c r="A49" s="2">
        <v>1.538</v>
      </c>
      <c r="B49" s="10" t="s">
        <v>636</v>
      </c>
      <c r="C49" s="4">
        <v>1.538</v>
      </c>
      <c r="D49" s="5">
        <v>45.9</v>
      </c>
      <c r="E49" s="4"/>
      <c r="F49" s="4"/>
      <c r="G49" s="2">
        <f t="shared" si="0"/>
        <v>1.504</v>
      </c>
      <c r="H49" s="11" t="str">
        <f t="shared" si="1"/>
        <v>3.094E-2</v>
      </c>
      <c r="I49" s="2">
        <f t="shared" si="2"/>
        <v>45.7</v>
      </c>
      <c r="J49" s="4">
        <f t="shared" si="3"/>
        <v>1.504</v>
      </c>
      <c r="K49" s="9">
        <f t="shared" si="4"/>
        <v>-0.700000000000006</v>
      </c>
      <c r="L49" s="1">
        <f t="shared" si="5"/>
        <v>-30.9</v>
      </c>
    </row>
    <row r="50" s="1" customFormat="1" spans="1:12">
      <c r="A50" s="2">
        <v>1.571</v>
      </c>
      <c r="B50" s="10" t="s">
        <v>726</v>
      </c>
      <c r="C50" s="4">
        <v>1.571</v>
      </c>
      <c r="D50" s="5">
        <v>45.6</v>
      </c>
      <c r="E50" s="4"/>
      <c r="F50" s="4"/>
      <c r="G50" s="2">
        <f t="shared" si="0"/>
        <v>1.538</v>
      </c>
      <c r="H50" s="11" t="str">
        <f t="shared" si="1"/>
        <v>3.094E-2</v>
      </c>
      <c r="I50" s="2">
        <f t="shared" si="2"/>
        <v>45.9</v>
      </c>
      <c r="J50" s="4">
        <f t="shared" si="3"/>
        <v>1.538</v>
      </c>
      <c r="K50" s="9">
        <f t="shared" si="4"/>
        <v>-0.700000000000006</v>
      </c>
      <c r="L50" s="1">
        <f t="shared" si="5"/>
        <v>-30.9</v>
      </c>
    </row>
    <row r="51" s="1" customFormat="1" spans="1:12">
      <c r="A51" s="2">
        <v>1.605</v>
      </c>
      <c r="B51" s="10" t="s">
        <v>726</v>
      </c>
      <c r="C51" s="4">
        <v>1.605</v>
      </c>
      <c r="D51" s="5">
        <v>46.4</v>
      </c>
      <c r="E51" s="4"/>
      <c r="F51" s="4"/>
      <c r="G51" s="2">
        <f t="shared" si="0"/>
        <v>1.571</v>
      </c>
      <c r="H51" s="11" t="str">
        <f t="shared" si="1"/>
        <v>3.095E-2</v>
      </c>
      <c r="I51" s="2">
        <f t="shared" si="2"/>
        <v>45.6</v>
      </c>
      <c r="J51" s="4">
        <f t="shared" si="3"/>
        <v>1.571</v>
      </c>
      <c r="K51" s="9">
        <f t="shared" si="4"/>
        <v>-0.60000000000001</v>
      </c>
      <c r="L51" s="1">
        <f t="shared" si="5"/>
        <v>-30.9</v>
      </c>
    </row>
    <row r="52" s="1" customFormat="1" spans="1:12">
      <c r="A52" s="2">
        <v>1.638</v>
      </c>
      <c r="B52" s="10" t="s">
        <v>636</v>
      </c>
      <c r="C52" s="4">
        <v>1.638</v>
      </c>
      <c r="D52" s="5">
        <v>45.6</v>
      </c>
      <c r="E52" s="4"/>
      <c r="F52" s="4"/>
      <c r="G52" s="2">
        <f t="shared" si="0"/>
        <v>1.605</v>
      </c>
      <c r="H52" s="11" t="str">
        <f t="shared" si="1"/>
        <v>3.095E-2</v>
      </c>
      <c r="I52" s="2">
        <f t="shared" si="2"/>
        <v>46.4</v>
      </c>
      <c r="J52" s="4">
        <f t="shared" si="3"/>
        <v>1.605</v>
      </c>
      <c r="K52" s="9">
        <f t="shared" si="4"/>
        <v>-0.60000000000001</v>
      </c>
      <c r="L52" s="1">
        <f t="shared" si="5"/>
        <v>-30.9</v>
      </c>
    </row>
    <row r="53" s="1" customFormat="1" spans="1:12">
      <c r="A53" s="2">
        <v>1.671</v>
      </c>
      <c r="B53" s="10" t="s">
        <v>726</v>
      </c>
      <c r="C53" s="4">
        <v>1.671</v>
      </c>
      <c r="D53" s="5">
        <v>45.7</v>
      </c>
      <c r="E53" s="4"/>
      <c r="F53" s="4"/>
      <c r="G53" s="2">
        <f t="shared" si="0"/>
        <v>1.638</v>
      </c>
      <c r="H53" s="11" t="str">
        <f t="shared" si="1"/>
        <v>3.094E-2</v>
      </c>
      <c r="I53" s="2">
        <f t="shared" si="2"/>
        <v>45.6</v>
      </c>
      <c r="J53" s="4">
        <f t="shared" si="3"/>
        <v>1.638</v>
      </c>
      <c r="K53" s="9">
        <f t="shared" si="4"/>
        <v>-0.700000000000006</v>
      </c>
      <c r="L53" s="1">
        <f t="shared" si="5"/>
        <v>-30.9</v>
      </c>
    </row>
    <row r="54" s="1" customFormat="1" spans="1:12">
      <c r="A54" s="2">
        <v>1.705</v>
      </c>
      <c r="B54" s="10" t="s">
        <v>726</v>
      </c>
      <c r="C54" s="4">
        <v>1.705</v>
      </c>
      <c r="D54" s="5">
        <v>46.2</v>
      </c>
      <c r="E54" s="4"/>
      <c r="F54" s="4"/>
      <c r="G54" s="2">
        <f t="shared" si="0"/>
        <v>1.671</v>
      </c>
      <c r="H54" s="11" t="str">
        <f t="shared" si="1"/>
        <v>3.095E-2</v>
      </c>
      <c r="I54" s="2">
        <f t="shared" si="2"/>
        <v>45.7</v>
      </c>
      <c r="J54" s="4">
        <f t="shared" si="3"/>
        <v>1.671</v>
      </c>
      <c r="K54" s="9">
        <f t="shared" si="4"/>
        <v>-0.60000000000001</v>
      </c>
      <c r="L54" s="1">
        <f t="shared" si="5"/>
        <v>-30.9</v>
      </c>
    </row>
    <row r="55" s="1" customFormat="1" spans="1:12">
      <c r="A55" s="2">
        <v>1.738</v>
      </c>
      <c r="B55" s="10" t="s">
        <v>633</v>
      </c>
      <c r="C55" s="4">
        <v>1.738</v>
      </c>
      <c r="D55" s="5">
        <v>45.7</v>
      </c>
      <c r="E55" s="4"/>
      <c r="F55" s="4"/>
      <c r="G55" s="2">
        <f t="shared" si="0"/>
        <v>1.705</v>
      </c>
      <c r="H55" s="11" t="str">
        <f t="shared" si="1"/>
        <v>3.095E-2</v>
      </c>
      <c r="I55" s="2">
        <f t="shared" si="2"/>
        <v>46.2</v>
      </c>
      <c r="J55" s="4">
        <f t="shared" si="3"/>
        <v>1.705</v>
      </c>
      <c r="K55" s="9">
        <f t="shared" si="4"/>
        <v>-0.60000000000001</v>
      </c>
      <c r="L55" s="1">
        <f t="shared" si="5"/>
        <v>-30.9</v>
      </c>
    </row>
    <row r="56" s="1" customFormat="1" spans="1:12">
      <c r="A56" s="2">
        <v>1.772</v>
      </c>
      <c r="B56" s="10" t="s">
        <v>725</v>
      </c>
      <c r="C56" s="4">
        <v>1.772</v>
      </c>
      <c r="D56" s="5">
        <v>45.6</v>
      </c>
      <c r="E56" s="4"/>
      <c r="F56" s="4"/>
      <c r="G56" s="2">
        <f t="shared" si="0"/>
        <v>1.738</v>
      </c>
      <c r="H56" s="11" t="str">
        <f t="shared" si="1"/>
        <v>3.096E-2</v>
      </c>
      <c r="I56" s="2">
        <f t="shared" si="2"/>
        <v>45.7</v>
      </c>
      <c r="J56" s="4">
        <f t="shared" si="3"/>
        <v>1.738</v>
      </c>
      <c r="K56" s="9">
        <f t="shared" si="4"/>
        <v>-0.49999999999998</v>
      </c>
      <c r="L56" s="1">
        <f t="shared" si="5"/>
        <v>-30.9</v>
      </c>
    </row>
    <row r="57" s="1" customFormat="1" spans="1:12">
      <c r="A57" s="2">
        <v>1.805</v>
      </c>
      <c r="B57" s="10" t="s">
        <v>724</v>
      </c>
      <c r="C57" s="4">
        <v>1.805</v>
      </c>
      <c r="D57" s="5">
        <v>46.1</v>
      </c>
      <c r="E57" s="4"/>
      <c r="F57" s="4"/>
      <c r="G57" s="2">
        <f t="shared" si="0"/>
        <v>1.772</v>
      </c>
      <c r="H57" s="11" t="str">
        <f t="shared" si="1"/>
        <v>3.097E-2</v>
      </c>
      <c r="I57" s="2">
        <f t="shared" si="2"/>
        <v>45.6</v>
      </c>
      <c r="J57" s="4">
        <f t="shared" si="3"/>
        <v>1.772</v>
      </c>
      <c r="K57" s="9">
        <f t="shared" si="4"/>
        <v>-0.399999999999984</v>
      </c>
      <c r="L57" s="1">
        <f t="shared" si="5"/>
        <v>-30.9</v>
      </c>
    </row>
    <row r="58" s="1" customFormat="1" spans="1:12">
      <c r="A58" s="2">
        <v>1.839</v>
      </c>
      <c r="B58" s="10" t="s">
        <v>678</v>
      </c>
      <c r="C58" s="4">
        <v>1.839</v>
      </c>
      <c r="D58" s="5">
        <v>45.4</v>
      </c>
      <c r="E58" s="4"/>
      <c r="F58" s="4"/>
      <c r="G58" s="2">
        <f t="shared" si="0"/>
        <v>1.805</v>
      </c>
      <c r="H58" s="11" t="str">
        <f t="shared" si="1"/>
        <v>3.098E-2</v>
      </c>
      <c r="I58" s="2">
        <f t="shared" si="2"/>
        <v>46.1</v>
      </c>
      <c r="J58" s="4">
        <f t="shared" si="3"/>
        <v>1.805</v>
      </c>
      <c r="K58" s="9">
        <f t="shared" si="4"/>
        <v>-0.299999999999988</v>
      </c>
      <c r="L58" s="1">
        <f t="shared" si="5"/>
        <v>-30.9</v>
      </c>
    </row>
    <row r="59" s="1" customFormat="1" spans="1:12">
      <c r="A59" s="2">
        <v>1.872</v>
      </c>
      <c r="B59" s="10" t="s">
        <v>678</v>
      </c>
      <c r="C59" s="4">
        <v>1.872</v>
      </c>
      <c r="D59" s="5">
        <v>45.7</v>
      </c>
      <c r="E59" s="4"/>
      <c r="F59" s="4"/>
      <c r="G59" s="2">
        <f t="shared" si="0"/>
        <v>1.839</v>
      </c>
      <c r="H59" s="11" t="str">
        <f t="shared" si="1"/>
        <v>3.099E-2</v>
      </c>
      <c r="I59" s="2">
        <f t="shared" si="2"/>
        <v>45.4</v>
      </c>
      <c r="J59" s="4">
        <f t="shared" si="3"/>
        <v>1.839</v>
      </c>
      <c r="K59" s="9">
        <f t="shared" si="4"/>
        <v>-0.199999999999992</v>
      </c>
      <c r="L59" s="1">
        <f t="shared" si="5"/>
        <v>-30.9</v>
      </c>
    </row>
    <row r="60" s="1" customFormat="1" spans="1:12">
      <c r="A60" s="2">
        <v>1.906</v>
      </c>
      <c r="B60" s="10" t="s">
        <v>727</v>
      </c>
      <c r="C60" s="4">
        <v>1.906</v>
      </c>
      <c r="D60" s="5">
        <v>45.6</v>
      </c>
      <c r="E60" s="4"/>
      <c r="F60" s="4"/>
      <c r="G60" s="2">
        <f t="shared" si="0"/>
        <v>1.872</v>
      </c>
      <c r="H60" s="11" t="str">
        <f t="shared" si="1"/>
        <v>3.099E-2</v>
      </c>
      <c r="I60" s="2">
        <f t="shared" si="2"/>
        <v>45.7</v>
      </c>
      <c r="J60" s="4">
        <f t="shared" si="3"/>
        <v>1.872</v>
      </c>
      <c r="K60" s="9">
        <f t="shared" si="4"/>
        <v>-0.199999999999992</v>
      </c>
      <c r="L60" s="1">
        <f t="shared" si="5"/>
        <v>-30.9</v>
      </c>
    </row>
    <row r="61" s="1" customFormat="1" spans="1:12">
      <c r="A61" s="2">
        <v>1.939</v>
      </c>
      <c r="B61" s="10" t="s">
        <v>723</v>
      </c>
      <c r="C61" s="4">
        <v>1.939</v>
      </c>
      <c r="D61" s="5">
        <v>45.8</v>
      </c>
      <c r="E61" s="4"/>
      <c r="F61" s="4"/>
      <c r="G61" s="2">
        <f t="shared" si="0"/>
        <v>1.906</v>
      </c>
      <c r="H61" s="11" t="str">
        <f t="shared" si="1"/>
        <v>3.102E-2</v>
      </c>
      <c r="I61" s="2">
        <f t="shared" si="2"/>
        <v>45.6</v>
      </c>
      <c r="J61" s="4">
        <f t="shared" si="3"/>
        <v>1.906</v>
      </c>
      <c r="K61" s="9">
        <f t="shared" si="4"/>
        <v>0.0999999999999959</v>
      </c>
      <c r="L61" s="1">
        <f t="shared" si="5"/>
        <v>-30.9</v>
      </c>
    </row>
    <row r="62" s="1" customFormat="1" spans="1:12">
      <c r="A62" s="2">
        <v>1.972</v>
      </c>
      <c r="B62" s="10" t="s">
        <v>723</v>
      </c>
      <c r="C62" s="4">
        <v>1.972</v>
      </c>
      <c r="D62" s="5">
        <v>45.9</v>
      </c>
      <c r="E62" s="4"/>
      <c r="F62" s="4"/>
      <c r="G62" s="2">
        <f t="shared" si="0"/>
        <v>1.939</v>
      </c>
      <c r="H62" s="11" t="str">
        <f t="shared" si="1"/>
        <v>3.101E-2</v>
      </c>
      <c r="I62" s="2">
        <f t="shared" si="2"/>
        <v>45.8</v>
      </c>
      <c r="J62" s="4">
        <f t="shared" si="3"/>
        <v>1.939</v>
      </c>
      <c r="K62" s="9">
        <f t="shared" si="4"/>
        <v>0</v>
      </c>
      <c r="L62" s="1">
        <f t="shared" si="5"/>
        <v>-30.9</v>
      </c>
    </row>
    <row r="63" s="1" customFormat="1" spans="1:12">
      <c r="A63" s="2">
        <v>2.006</v>
      </c>
      <c r="B63" s="10" t="s">
        <v>729</v>
      </c>
      <c r="C63" s="4">
        <v>2.006</v>
      </c>
      <c r="D63" s="5">
        <v>46.1</v>
      </c>
      <c r="E63" s="4"/>
      <c r="F63" s="4"/>
      <c r="G63" s="2">
        <f t="shared" si="0"/>
        <v>1.972</v>
      </c>
      <c r="H63" s="11" t="str">
        <f t="shared" si="1"/>
        <v>3.101E-2</v>
      </c>
      <c r="I63" s="2">
        <f t="shared" si="2"/>
        <v>45.9</v>
      </c>
      <c r="J63" s="4">
        <f t="shared" si="3"/>
        <v>1.972</v>
      </c>
      <c r="K63" s="9">
        <f t="shared" si="4"/>
        <v>0</v>
      </c>
      <c r="L63" s="1">
        <f t="shared" si="5"/>
        <v>-30.9</v>
      </c>
    </row>
    <row r="64" s="1" customFormat="1" spans="1:12">
      <c r="A64" s="2">
        <v>2.039</v>
      </c>
      <c r="B64" s="10" t="s">
        <v>729</v>
      </c>
      <c r="C64" s="4">
        <v>2.039</v>
      </c>
      <c r="D64" s="5">
        <v>45.9</v>
      </c>
      <c r="E64" s="4"/>
      <c r="F64" s="4"/>
      <c r="G64" s="2">
        <f t="shared" si="0"/>
        <v>2.006</v>
      </c>
      <c r="H64" s="11" t="str">
        <f t="shared" si="1"/>
        <v>3.103E-2</v>
      </c>
      <c r="I64" s="2">
        <f t="shared" si="2"/>
        <v>46.1</v>
      </c>
      <c r="J64" s="4">
        <f t="shared" si="3"/>
        <v>2.006</v>
      </c>
      <c r="K64" s="9">
        <f t="shared" si="4"/>
        <v>0.199999999999992</v>
      </c>
      <c r="L64" s="1">
        <f t="shared" si="5"/>
        <v>-30.9</v>
      </c>
    </row>
    <row r="65" s="1" customFormat="1" spans="1:12">
      <c r="A65" s="2">
        <v>2.073</v>
      </c>
      <c r="B65" s="10" t="s">
        <v>729</v>
      </c>
      <c r="C65" s="4">
        <v>2.073</v>
      </c>
      <c r="D65" s="5">
        <v>45.7</v>
      </c>
      <c r="E65" s="4"/>
      <c r="F65" s="4"/>
      <c r="G65" s="2">
        <f t="shared" si="0"/>
        <v>2.039</v>
      </c>
      <c r="H65" s="11" t="str">
        <f t="shared" si="1"/>
        <v>3.103E-2</v>
      </c>
      <c r="I65" s="2">
        <f t="shared" si="2"/>
        <v>45.9</v>
      </c>
      <c r="J65" s="4">
        <f t="shared" si="3"/>
        <v>2.039</v>
      </c>
      <c r="K65" s="9">
        <f t="shared" si="4"/>
        <v>0.199999999999992</v>
      </c>
      <c r="L65" s="1">
        <f t="shared" si="5"/>
        <v>-30.9</v>
      </c>
    </row>
    <row r="66" s="1" customFormat="1" spans="1:12">
      <c r="A66" s="2">
        <v>2.106</v>
      </c>
      <c r="B66" s="10" t="s">
        <v>728</v>
      </c>
      <c r="C66" s="4">
        <v>2.106</v>
      </c>
      <c r="D66" s="5">
        <v>46</v>
      </c>
      <c r="E66" s="4"/>
      <c r="F66" s="4"/>
      <c r="G66" s="2">
        <f t="shared" si="0"/>
        <v>2.073</v>
      </c>
      <c r="H66" s="11" t="str">
        <f t="shared" si="1"/>
        <v>3.103E-2</v>
      </c>
      <c r="I66" s="2">
        <f t="shared" si="2"/>
        <v>45.7</v>
      </c>
      <c r="J66" s="4">
        <f t="shared" si="3"/>
        <v>2.073</v>
      </c>
      <c r="K66" s="9">
        <f t="shared" si="4"/>
        <v>0.199999999999992</v>
      </c>
      <c r="L66" s="1">
        <f t="shared" si="5"/>
        <v>-30.9</v>
      </c>
    </row>
    <row r="67" s="1" customFormat="1" spans="1:12">
      <c r="A67" s="2">
        <v>2.14</v>
      </c>
      <c r="B67" s="10" t="s">
        <v>728</v>
      </c>
      <c r="C67" s="4">
        <v>2.14</v>
      </c>
      <c r="D67" s="5">
        <v>46</v>
      </c>
      <c r="E67" s="4"/>
      <c r="F67" s="4"/>
      <c r="G67" s="2">
        <f t="shared" si="0"/>
        <v>2.106</v>
      </c>
      <c r="H67" s="11" t="str">
        <f t="shared" si="1"/>
        <v>3.105E-2</v>
      </c>
      <c r="I67" s="2">
        <f t="shared" si="2"/>
        <v>46</v>
      </c>
      <c r="J67" s="4">
        <f t="shared" si="3"/>
        <v>2.106</v>
      </c>
      <c r="K67" s="9">
        <f t="shared" si="4"/>
        <v>0.400000000000018</v>
      </c>
      <c r="L67" s="1">
        <f t="shared" si="5"/>
        <v>-30.9</v>
      </c>
    </row>
    <row r="68" s="1" customFormat="1" spans="1:12">
      <c r="A68" s="2">
        <v>2.173</v>
      </c>
      <c r="B68" s="10" t="s">
        <v>728</v>
      </c>
      <c r="C68" s="4">
        <v>2.173</v>
      </c>
      <c r="D68" s="5">
        <v>45.6</v>
      </c>
      <c r="E68" s="4"/>
      <c r="F68" s="4"/>
      <c r="G68" s="2">
        <f t="shared" ref="G68:G131" si="6">A67</f>
        <v>2.14</v>
      </c>
      <c r="H68" s="11" t="str">
        <f t="shared" ref="H68:H131" si="7">B67</f>
        <v>3.105E-2</v>
      </c>
      <c r="I68" s="2">
        <f t="shared" ref="I68:I131" si="8">D67</f>
        <v>46</v>
      </c>
      <c r="J68" s="4">
        <f t="shared" ref="J68:J131" si="9">G68</f>
        <v>2.14</v>
      </c>
      <c r="K68" s="9">
        <f t="shared" ref="K68:K131" si="10">(H68-$H$4)*10000</f>
        <v>0.400000000000018</v>
      </c>
      <c r="L68" s="1">
        <f t="shared" ref="L68:L131" si="11">IF(I68&lt;230,MIN(K:K),MAX(K:K))</f>
        <v>-30.9</v>
      </c>
    </row>
    <row r="69" s="1" customFormat="1" spans="1:12">
      <c r="A69" s="2">
        <v>2.206</v>
      </c>
      <c r="B69" s="10" t="s">
        <v>706</v>
      </c>
      <c r="C69" s="4">
        <v>2.206</v>
      </c>
      <c r="D69" s="5">
        <v>45.7</v>
      </c>
      <c r="E69" s="4"/>
      <c r="F69" s="4"/>
      <c r="G69" s="2">
        <f t="shared" si="6"/>
        <v>2.173</v>
      </c>
      <c r="H69" s="11" t="str">
        <f t="shared" si="7"/>
        <v>3.105E-2</v>
      </c>
      <c r="I69" s="2">
        <f t="shared" si="8"/>
        <v>45.6</v>
      </c>
      <c r="J69" s="4">
        <f t="shared" si="9"/>
        <v>2.173</v>
      </c>
      <c r="K69" s="9">
        <f t="shared" si="10"/>
        <v>0.400000000000018</v>
      </c>
      <c r="L69" s="1">
        <f t="shared" si="11"/>
        <v>-30.9</v>
      </c>
    </row>
    <row r="70" s="1" customFormat="1" spans="1:12">
      <c r="A70" s="2">
        <v>2.24</v>
      </c>
      <c r="B70" s="10" t="s">
        <v>728</v>
      </c>
      <c r="C70" s="4">
        <v>2.24</v>
      </c>
      <c r="D70" s="5">
        <v>45.7</v>
      </c>
      <c r="E70" s="4"/>
      <c r="F70" s="4"/>
      <c r="G70" s="2">
        <f t="shared" si="6"/>
        <v>2.206</v>
      </c>
      <c r="H70" s="11" t="str">
        <f t="shared" si="7"/>
        <v>3.104E-2</v>
      </c>
      <c r="I70" s="2">
        <f t="shared" si="8"/>
        <v>45.7</v>
      </c>
      <c r="J70" s="4">
        <f t="shared" si="9"/>
        <v>2.206</v>
      </c>
      <c r="K70" s="9">
        <f t="shared" si="10"/>
        <v>0.300000000000022</v>
      </c>
      <c r="L70" s="1">
        <f t="shared" si="11"/>
        <v>-30.9</v>
      </c>
    </row>
    <row r="71" s="1" customFormat="1" spans="1:12">
      <c r="A71" s="2">
        <v>2.273</v>
      </c>
      <c r="B71" s="10" t="s">
        <v>728</v>
      </c>
      <c r="C71" s="4">
        <v>2.273</v>
      </c>
      <c r="D71" s="5">
        <v>46.2</v>
      </c>
      <c r="E71" s="4"/>
      <c r="F71" s="4"/>
      <c r="G71" s="2">
        <f t="shared" si="6"/>
        <v>2.24</v>
      </c>
      <c r="H71" s="11" t="str">
        <f t="shared" si="7"/>
        <v>3.105E-2</v>
      </c>
      <c r="I71" s="2">
        <f t="shared" si="8"/>
        <v>45.7</v>
      </c>
      <c r="J71" s="4">
        <f t="shared" si="9"/>
        <v>2.24</v>
      </c>
      <c r="K71" s="9">
        <f t="shared" si="10"/>
        <v>0.400000000000018</v>
      </c>
      <c r="L71" s="1">
        <f t="shared" si="11"/>
        <v>-30.9</v>
      </c>
    </row>
    <row r="72" s="1" customFormat="1" spans="1:12">
      <c r="A72" s="2">
        <v>2.307</v>
      </c>
      <c r="B72" s="10" t="s">
        <v>706</v>
      </c>
      <c r="C72" s="4">
        <v>2.307</v>
      </c>
      <c r="D72" s="5">
        <v>45.8</v>
      </c>
      <c r="E72" s="4"/>
      <c r="F72" s="4"/>
      <c r="G72" s="2">
        <f t="shared" si="6"/>
        <v>2.273</v>
      </c>
      <c r="H72" s="11" t="str">
        <f t="shared" si="7"/>
        <v>3.105E-2</v>
      </c>
      <c r="I72" s="2">
        <f t="shared" si="8"/>
        <v>46.2</v>
      </c>
      <c r="J72" s="4">
        <f t="shared" si="9"/>
        <v>2.273</v>
      </c>
      <c r="K72" s="9">
        <f t="shared" si="10"/>
        <v>0.400000000000018</v>
      </c>
      <c r="L72" s="1">
        <f t="shared" si="11"/>
        <v>-30.9</v>
      </c>
    </row>
    <row r="73" s="1" customFormat="1" spans="1:12">
      <c r="A73" s="2">
        <v>2.34</v>
      </c>
      <c r="B73" s="10" t="s">
        <v>729</v>
      </c>
      <c r="C73" s="4">
        <v>2.34</v>
      </c>
      <c r="D73" s="5">
        <v>46.1</v>
      </c>
      <c r="E73" s="4"/>
      <c r="F73" s="4"/>
      <c r="G73" s="2">
        <f t="shared" si="6"/>
        <v>2.307</v>
      </c>
      <c r="H73" s="11" t="str">
        <f t="shared" si="7"/>
        <v>3.104E-2</v>
      </c>
      <c r="I73" s="2">
        <f t="shared" si="8"/>
        <v>45.8</v>
      </c>
      <c r="J73" s="4">
        <f t="shared" si="9"/>
        <v>2.307</v>
      </c>
      <c r="K73" s="9">
        <f t="shared" si="10"/>
        <v>0.300000000000022</v>
      </c>
      <c r="L73" s="1">
        <f t="shared" si="11"/>
        <v>-30.9</v>
      </c>
    </row>
    <row r="74" s="1" customFormat="1" spans="1:12">
      <c r="A74" s="2">
        <v>2.374</v>
      </c>
      <c r="B74" s="10" t="s">
        <v>706</v>
      </c>
      <c r="C74" s="4">
        <v>2.374</v>
      </c>
      <c r="D74" s="5">
        <v>45.5</v>
      </c>
      <c r="E74" s="4"/>
      <c r="F74" s="4"/>
      <c r="G74" s="2">
        <f t="shared" si="6"/>
        <v>2.34</v>
      </c>
      <c r="H74" s="11" t="str">
        <f t="shared" si="7"/>
        <v>3.103E-2</v>
      </c>
      <c r="I74" s="2">
        <f t="shared" si="8"/>
        <v>46.1</v>
      </c>
      <c r="J74" s="4">
        <f t="shared" si="9"/>
        <v>2.34</v>
      </c>
      <c r="K74" s="9">
        <f t="shared" si="10"/>
        <v>0.199999999999992</v>
      </c>
      <c r="L74" s="1">
        <f t="shared" si="11"/>
        <v>-30.9</v>
      </c>
    </row>
    <row r="75" s="1" customFormat="1" spans="1:12">
      <c r="A75" s="2">
        <v>2.407</v>
      </c>
      <c r="B75" s="10" t="s">
        <v>727</v>
      </c>
      <c r="C75" s="4">
        <v>2.407</v>
      </c>
      <c r="D75" s="5">
        <v>45.8</v>
      </c>
      <c r="E75" s="4"/>
      <c r="F75" s="4"/>
      <c r="G75" s="2">
        <f t="shared" si="6"/>
        <v>2.374</v>
      </c>
      <c r="H75" s="11" t="str">
        <f t="shared" si="7"/>
        <v>3.104E-2</v>
      </c>
      <c r="I75" s="2">
        <f t="shared" si="8"/>
        <v>45.5</v>
      </c>
      <c r="J75" s="4">
        <f t="shared" si="9"/>
        <v>2.374</v>
      </c>
      <c r="K75" s="9">
        <f t="shared" si="10"/>
        <v>0.300000000000022</v>
      </c>
      <c r="L75" s="1">
        <f t="shared" si="11"/>
        <v>-30.9</v>
      </c>
    </row>
    <row r="76" s="1" customFormat="1" spans="1:12">
      <c r="A76" s="2">
        <v>2.44</v>
      </c>
      <c r="B76" s="10" t="s">
        <v>723</v>
      </c>
      <c r="C76" s="4">
        <v>2.44</v>
      </c>
      <c r="D76" s="5">
        <v>46</v>
      </c>
      <c r="E76" s="4"/>
      <c r="F76" s="4"/>
      <c r="G76" s="2">
        <f t="shared" si="6"/>
        <v>2.407</v>
      </c>
      <c r="H76" s="11" t="str">
        <f t="shared" si="7"/>
        <v>3.102E-2</v>
      </c>
      <c r="I76" s="2">
        <f t="shared" si="8"/>
        <v>45.8</v>
      </c>
      <c r="J76" s="4">
        <f t="shared" si="9"/>
        <v>2.407</v>
      </c>
      <c r="K76" s="9">
        <f t="shared" si="10"/>
        <v>0.0999999999999959</v>
      </c>
      <c r="L76" s="1">
        <f t="shared" si="11"/>
        <v>-30.9</v>
      </c>
    </row>
    <row r="77" s="1" customFormat="1" spans="1:12">
      <c r="A77" s="2">
        <v>2.474</v>
      </c>
      <c r="B77" s="10" t="s">
        <v>723</v>
      </c>
      <c r="C77" s="4">
        <v>2.474</v>
      </c>
      <c r="D77" s="5">
        <v>46.3</v>
      </c>
      <c r="E77" s="4"/>
      <c r="F77" s="4"/>
      <c r="G77" s="2">
        <f t="shared" si="6"/>
        <v>2.44</v>
      </c>
      <c r="H77" s="11" t="str">
        <f t="shared" si="7"/>
        <v>3.101E-2</v>
      </c>
      <c r="I77" s="2">
        <f t="shared" si="8"/>
        <v>46</v>
      </c>
      <c r="J77" s="4">
        <f t="shared" si="9"/>
        <v>2.44</v>
      </c>
      <c r="K77" s="9">
        <f t="shared" si="10"/>
        <v>0</v>
      </c>
      <c r="L77" s="1">
        <f t="shared" si="11"/>
        <v>-30.9</v>
      </c>
    </row>
    <row r="78" s="1" customFormat="1" spans="1:12">
      <c r="A78" s="2">
        <v>2.507</v>
      </c>
      <c r="B78" s="10" t="s">
        <v>637</v>
      </c>
      <c r="C78" s="4">
        <v>2.507</v>
      </c>
      <c r="D78" s="5">
        <v>45.7</v>
      </c>
      <c r="E78" s="4"/>
      <c r="F78" s="4"/>
      <c r="G78" s="2">
        <f t="shared" si="6"/>
        <v>2.474</v>
      </c>
      <c r="H78" s="11" t="str">
        <f t="shared" si="7"/>
        <v>3.101E-2</v>
      </c>
      <c r="I78" s="2">
        <f t="shared" si="8"/>
        <v>46.3</v>
      </c>
      <c r="J78" s="4">
        <f t="shared" si="9"/>
        <v>2.474</v>
      </c>
      <c r="K78" s="9">
        <f t="shared" si="10"/>
        <v>0</v>
      </c>
      <c r="L78" s="1">
        <f t="shared" si="11"/>
        <v>-30.9</v>
      </c>
    </row>
    <row r="79" s="1" customFormat="1" spans="1:12">
      <c r="A79" s="2">
        <v>2.541</v>
      </c>
      <c r="B79" s="10" t="s">
        <v>723</v>
      </c>
      <c r="C79" s="4">
        <v>2.541</v>
      </c>
      <c r="D79" s="5">
        <v>45.9</v>
      </c>
      <c r="E79" s="4"/>
      <c r="F79" s="4"/>
      <c r="G79" s="2">
        <f t="shared" si="6"/>
        <v>2.507</v>
      </c>
      <c r="H79" s="11" t="str">
        <f t="shared" si="7"/>
        <v>3.100E-2</v>
      </c>
      <c r="I79" s="2">
        <f t="shared" si="8"/>
        <v>45.7</v>
      </c>
      <c r="J79" s="4">
        <f t="shared" si="9"/>
        <v>2.507</v>
      </c>
      <c r="K79" s="9">
        <f t="shared" si="10"/>
        <v>-0.0999999999999959</v>
      </c>
      <c r="L79" s="1">
        <f t="shared" si="11"/>
        <v>-30.9</v>
      </c>
    </row>
    <row r="80" s="1" customFormat="1" spans="1:12">
      <c r="A80" s="2">
        <v>2.574</v>
      </c>
      <c r="B80" s="10" t="s">
        <v>678</v>
      </c>
      <c r="C80" s="4">
        <v>2.574</v>
      </c>
      <c r="D80" s="5">
        <v>46</v>
      </c>
      <c r="E80" s="4"/>
      <c r="F80" s="4"/>
      <c r="G80" s="2">
        <f t="shared" si="6"/>
        <v>2.541</v>
      </c>
      <c r="H80" s="11" t="str">
        <f t="shared" si="7"/>
        <v>3.101E-2</v>
      </c>
      <c r="I80" s="2">
        <f t="shared" si="8"/>
        <v>45.9</v>
      </c>
      <c r="J80" s="4">
        <f t="shared" si="9"/>
        <v>2.541</v>
      </c>
      <c r="K80" s="9">
        <f t="shared" si="10"/>
        <v>0</v>
      </c>
      <c r="L80" s="1">
        <f t="shared" si="11"/>
        <v>-30.9</v>
      </c>
    </row>
    <row r="81" s="1" customFormat="1" spans="1:12">
      <c r="A81" s="2">
        <v>2.608</v>
      </c>
      <c r="B81" s="10" t="s">
        <v>724</v>
      </c>
      <c r="C81" s="4">
        <v>2.608</v>
      </c>
      <c r="D81" s="5">
        <v>46.6</v>
      </c>
      <c r="E81" s="4"/>
      <c r="F81" s="4"/>
      <c r="G81" s="2">
        <f t="shared" si="6"/>
        <v>2.574</v>
      </c>
      <c r="H81" s="11" t="str">
        <f t="shared" si="7"/>
        <v>3.099E-2</v>
      </c>
      <c r="I81" s="2">
        <f t="shared" si="8"/>
        <v>46</v>
      </c>
      <c r="J81" s="4">
        <f t="shared" si="9"/>
        <v>2.574</v>
      </c>
      <c r="K81" s="9">
        <f t="shared" si="10"/>
        <v>-0.199999999999992</v>
      </c>
      <c r="L81" s="1">
        <f t="shared" si="11"/>
        <v>-30.9</v>
      </c>
    </row>
    <row r="82" s="1" customFormat="1" spans="1:12">
      <c r="A82" s="2">
        <v>2.641</v>
      </c>
      <c r="B82" s="10" t="s">
        <v>633</v>
      </c>
      <c r="C82" s="4">
        <v>2.641</v>
      </c>
      <c r="D82" s="5">
        <v>45.8</v>
      </c>
      <c r="E82" s="4"/>
      <c r="F82" s="4"/>
      <c r="G82" s="2">
        <f t="shared" si="6"/>
        <v>2.608</v>
      </c>
      <c r="H82" s="11" t="str">
        <f t="shared" si="7"/>
        <v>3.098E-2</v>
      </c>
      <c r="I82" s="2">
        <f t="shared" si="8"/>
        <v>46.6</v>
      </c>
      <c r="J82" s="4">
        <f t="shared" si="9"/>
        <v>2.608</v>
      </c>
      <c r="K82" s="9">
        <f t="shared" si="10"/>
        <v>-0.299999999999988</v>
      </c>
      <c r="L82" s="1">
        <f t="shared" si="11"/>
        <v>-30.9</v>
      </c>
    </row>
    <row r="83" s="1" customFormat="1" spans="1:12">
      <c r="A83" s="2">
        <v>2.674</v>
      </c>
      <c r="B83" s="10" t="s">
        <v>725</v>
      </c>
      <c r="C83" s="4">
        <v>2.674</v>
      </c>
      <c r="D83" s="5">
        <v>46.1</v>
      </c>
      <c r="E83" s="4"/>
      <c r="F83" s="4"/>
      <c r="G83" s="2">
        <f t="shared" si="6"/>
        <v>2.641</v>
      </c>
      <c r="H83" s="11" t="str">
        <f t="shared" si="7"/>
        <v>3.096E-2</v>
      </c>
      <c r="I83" s="2">
        <f t="shared" si="8"/>
        <v>45.8</v>
      </c>
      <c r="J83" s="4">
        <f t="shared" si="9"/>
        <v>2.641</v>
      </c>
      <c r="K83" s="9">
        <f t="shared" si="10"/>
        <v>-0.49999999999998</v>
      </c>
      <c r="L83" s="1">
        <f t="shared" si="11"/>
        <v>-30.9</v>
      </c>
    </row>
    <row r="84" s="1" customFormat="1" spans="1:12">
      <c r="A84" s="2">
        <v>2.708</v>
      </c>
      <c r="B84" s="10" t="s">
        <v>726</v>
      </c>
      <c r="C84" s="4">
        <v>2.708</v>
      </c>
      <c r="D84" s="5">
        <v>45.6</v>
      </c>
      <c r="E84" s="4"/>
      <c r="F84" s="4"/>
      <c r="G84" s="2">
        <f t="shared" si="6"/>
        <v>2.674</v>
      </c>
      <c r="H84" s="11" t="str">
        <f t="shared" si="7"/>
        <v>3.097E-2</v>
      </c>
      <c r="I84" s="2">
        <f t="shared" si="8"/>
        <v>46.1</v>
      </c>
      <c r="J84" s="4">
        <f t="shared" si="9"/>
        <v>2.674</v>
      </c>
      <c r="K84" s="9">
        <f t="shared" si="10"/>
        <v>-0.399999999999984</v>
      </c>
      <c r="L84" s="1">
        <f t="shared" si="11"/>
        <v>-30.9</v>
      </c>
    </row>
    <row r="85" s="1" customFormat="1" spans="1:12">
      <c r="A85" s="2">
        <v>2.741</v>
      </c>
      <c r="B85" s="10" t="s">
        <v>726</v>
      </c>
      <c r="C85" s="4">
        <v>2.741</v>
      </c>
      <c r="D85" s="5">
        <v>45.4</v>
      </c>
      <c r="E85" s="4"/>
      <c r="F85" s="4"/>
      <c r="G85" s="2">
        <f t="shared" si="6"/>
        <v>2.708</v>
      </c>
      <c r="H85" s="11" t="str">
        <f t="shared" si="7"/>
        <v>3.095E-2</v>
      </c>
      <c r="I85" s="2">
        <f t="shared" si="8"/>
        <v>45.6</v>
      </c>
      <c r="J85" s="4">
        <f t="shared" si="9"/>
        <v>2.708</v>
      </c>
      <c r="K85" s="9">
        <f t="shared" si="10"/>
        <v>-0.60000000000001</v>
      </c>
      <c r="L85" s="1">
        <f t="shared" si="11"/>
        <v>-30.9</v>
      </c>
    </row>
    <row r="86" s="1" customFormat="1" spans="1:12">
      <c r="A86" s="2">
        <v>2.775</v>
      </c>
      <c r="B86" s="10" t="s">
        <v>726</v>
      </c>
      <c r="C86" s="4">
        <v>2.775</v>
      </c>
      <c r="D86" s="5">
        <v>45.8</v>
      </c>
      <c r="E86" s="4"/>
      <c r="F86" s="4"/>
      <c r="G86" s="2">
        <f t="shared" si="6"/>
        <v>2.741</v>
      </c>
      <c r="H86" s="11" t="str">
        <f t="shared" si="7"/>
        <v>3.095E-2</v>
      </c>
      <c r="I86" s="2">
        <f t="shared" si="8"/>
        <v>45.4</v>
      </c>
      <c r="J86" s="4">
        <f t="shared" si="9"/>
        <v>2.741</v>
      </c>
      <c r="K86" s="9">
        <f t="shared" si="10"/>
        <v>-0.60000000000001</v>
      </c>
      <c r="L86" s="1">
        <f t="shared" si="11"/>
        <v>-30.9</v>
      </c>
    </row>
    <row r="87" s="1" customFormat="1" spans="1:12">
      <c r="A87" s="2">
        <v>2.808</v>
      </c>
      <c r="B87" s="10" t="s">
        <v>726</v>
      </c>
      <c r="C87" s="4">
        <v>2.808</v>
      </c>
      <c r="D87" s="5">
        <v>46</v>
      </c>
      <c r="E87" s="4"/>
      <c r="F87" s="4"/>
      <c r="G87" s="2">
        <f t="shared" si="6"/>
        <v>2.775</v>
      </c>
      <c r="H87" s="11" t="str">
        <f t="shared" si="7"/>
        <v>3.095E-2</v>
      </c>
      <c r="I87" s="2">
        <f t="shared" si="8"/>
        <v>45.8</v>
      </c>
      <c r="J87" s="4">
        <f t="shared" si="9"/>
        <v>2.775</v>
      </c>
      <c r="K87" s="9">
        <f t="shared" si="10"/>
        <v>-0.60000000000001</v>
      </c>
      <c r="L87" s="1">
        <f t="shared" si="11"/>
        <v>-30.9</v>
      </c>
    </row>
    <row r="88" s="1" customFormat="1" spans="1:12">
      <c r="A88" s="2">
        <v>2.842</v>
      </c>
      <c r="B88" s="10" t="s">
        <v>636</v>
      </c>
      <c r="C88" s="4">
        <v>2.842</v>
      </c>
      <c r="D88" s="5">
        <v>46.1</v>
      </c>
      <c r="E88" s="4"/>
      <c r="F88" s="4"/>
      <c r="G88" s="2">
        <f t="shared" si="6"/>
        <v>2.808</v>
      </c>
      <c r="H88" s="11" t="str">
        <f t="shared" si="7"/>
        <v>3.095E-2</v>
      </c>
      <c r="I88" s="2">
        <f t="shared" si="8"/>
        <v>46</v>
      </c>
      <c r="J88" s="4">
        <f t="shared" si="9"/>
        <v>2.808</v>
      </c>
      <c r="K88" s="9">
        <f t="shared" si="10"/>
        <v>-0.60000000000001</v>
      </c>
      <c r="L88" s="1">
        <f t="shared" si="11"/>
        <v>-30.9</v>
      </c>
    </row>
    <row r="89" s="1" customFormat="1" spans="1:12">
      <c r="A89" s="2">
        <v>2.875</v>
      </c>
      <c r="B89" s="10" t="s">
        <v>730</v>
      </c>
      <c r="C89" s="4">
        <v>2.875</v>
      </c>
      <c r="D89" s="5">
        <v>46</v>
      </c>
      <c r="E89" s="4"/>
      <c r="F89" s="4"/>
      <c r="G89" s="2">
        <f t="shared" si="6"/>
        <v>2.842</v>
      </c>
      <c r="H89" s="11" t="str">
        <f t="shared" si="7"/>
        <v>3.094E-2</v>
      </c>
      <c r="I89" s="2">
        <f t="shared" si="8"/>
        <v>46.1</v>
      </c>
      <c r="J89" s="4">
        <f t="shared" si="9"/>
        <v>2.842</v>
      </c>
      <c r="K89" s="9">
        <f t="shared" si="10"/>
        <v>-0.700000000000006</v>
      </c>
      <c r="L89" s="1">
        <f t="shared" si="11"/>
        <v>-30.9</v>
      </c>
    </row>
    <row r="90" s="1" customFormat="1" spans="1:12">
      <c r="A90" s="2">
        <v>2.908</v>
      </c>
      <c r="B90" s="10" t="s">
        <v>730</v>
      </c>
      <c r="C90" s="4">
        <v>2.908</v>
      </c>
      <c r="D90" s="5">
        <v>45.8</v>
      </c>
      <c r="E90" s="4"/>
      <c r="F90" s="4"/>
      <c r="G90" s="2">
        <f t="shared" si="6"/>
        <v>2.875</v>
      </c>
      <c r="H90" s="11" t="str">
        <f t="shared" si="7"/>
        <v>3.093E-2</v>
      </c>
      <c r="I90" s="2">
        <f t="shared" si="8"/>
        <v>46</v>
      </c>
      <c r="J90" s="4">
        <f t="shared" si="9"/>
        <v>2.875</v>
      </c>
      <c r="K90" s="9">
        <f t="shared" si="10"/>
        <v>-0.800000000000002</v>
      </c>
      <c r="L90" s="1">
        <f t="shared" si="11"/>
        <v>-30.9</v>
      </c>
    </row>
    <row r="91" s="1" customFormat="1" spans="1:12">
      <c r="A91" s="2">
        <v>2.942</v>
      </c>
      <c r="B91" s="10" t="s">
        <v>636</v>
      </c>
      <c r="C91" s="4">
        <v>2.942</v>
      </c>
      <c r="D91" s="5">
        <v>45.7</v>
      </c>
      <c r="E91" s="4"/>
      <c r="F91" s="4"/>
      <c r="G91" s="2">
        <f t="shared" si="6"/>
        <v>2.908</v>
      </c>
      <c r="H91" s="11" t="str">
        <f t="shared" si="7"/>
        <v>3.093E-2</v>
      </c>
      <c r="I91" s="2">
        <f t="shared" si="8"/>
        <v>45.8</v>
      </c>
      <c r="J91" s="4">
        <f t="shared" si="9"/>
        <v>2.908</v>
      </c>
      <c r="K91" s="9">
        <f t="shared" si="10"/>
        <v>-0.800000000000002</v>
      </c>
      <c r="L91" s="1">
        <f t="shared" si="11"/>
        <v>-30.9</v>
      </c>
    </row>
    <row r="92" s="1" customFormat="1" spans="1:12">
      <c r="A92" s="2">
        <v>2.975</v>
      </c>
      <c r="B92" s="10" t="s">
        <v>726</v>
      </c>
      <c r="C92" s="4">
        <v>2.975</v>
      </c>
      <c r="D92" s="5">
        <v>45.8</v>
      </c>
      <c r="E92" s="4"/>
      <c r="F92" s="4"/>
      <c r="G92" s="2">
        <f t="shared" si="6"/>
        <v>2.942</v>
      </c>
      <c r="H92" s="11" t="str">
        <f t="shared" si="7"/>
        <v>3.094E-2</v>
      </c>
      <c r="I92" s="2">
        <f t="shared" si="8"/>
        <v>45.7</v>
      </c>
      <c r="J92" s="4">
        <f t="shared" si="9"/>
        <v>2.942</v>
      </c>
      <c r="K92" s="9">
        <f t="shared" si="10"/>
        <v>-0.700000000000006</v>
      </c>
      <c r="L92" s="1">
        <f t="shared" si="11"/>
        <v>-30.9</v>
      </c>
    </row>
    <row r="93" s="1" customFormat="1" spans="1:12">
      <c r="A93" s="2">
        <v>3.009</v>
      </c>
      <c r="B93" s="10" t="s">
        <v>726</v>
      </c>
      <c r="C93" s="4">
        <v>3.009</v>
      </c>
      <c r="D93" s="5">
        <v>45.7</v>
      </c>
      <c r="E93" s="4"/>
      <c r="F93" s="4"/>
      <c r="G93" s="2">
        <f t="shared" si="6"/>
        <v>2.975</v>
      </c>
      <c r="H93" s="11" t="str">
        <f t="shared" si="7"/>
        <v>3.095E-2</v>
      </c>
      <c r="I93" s="2">
        <f t="shared" si="8"/>
        <v>45.8</v>
      </c>
      <c r="J93" s="4">
        <f t="shared" si="9"/>
        <v>2.975</v>
      </c>
      <c r="K93" s="9">
        <f t="shared" si="10"/>
        <v>-0.60000000000001</v>
      </c>
      <c r="L93" s="1">
        <f t="shared" si="11"/>
        <v>-30.9</v>
      </c>
    </row>
    <row r="94" s="1" customFormat="1" spans="1:12">
      <c r="A94" s="2">
        <v>3.042</v>
      </c>
      <c r="B94" s="10" t="s">
        <v>633</v>
      </c>
      <c r="C94" s="4">
        <v>3.042</v>
      </c>
      <c r="D94" s="5">
        <v>45.6</v>
      </c>
      <c r="E94" s="4"/>
      <c r="F94" s="4"/>
      <c r="G94" s="2">
        <f t="shared" si="6"/>
        <v>3.009</v>
      </c>
      <c r="H94" s="11" t="str">
        <f t="shared" si="7"/>
        <v>3.095E-2</v>
      </c>
      <c r="I94" s="2">
        <f t="shared" si="8"/>
        <v>45.7</v>
      </c>
      <c r="J94" s="4">
        <f t="shared" si="9"/>
        <v>3.009</v>
      </c>
      <c r="K94" s="9">
        <f t="shared" si="10"/>
        <v>-0.60000000000001</v>
      </c>
      <c r="L94" s="1">
        <f t="shared" si="11"/>
        <v>-30.9</v>
      </c>
    </row>
    <row r="95" s="1" customFormat="1" spans="1:12">
      <c r="A95" s="2">
        <v>3.076</v>
      </c>
      <c r="B95" s="10" t="s">
        <v>633</v>
      </c>
      <c r="C95" s="4">
        <v>3.076</v>
      </c>
      <c r="D95" s="5">
        <v>45.7</v>
      </c>
      <c r="E95" s="4"/>
      <c r="F95" s="4"/>
      <c r="G95" s="2">
        <f t="shared" si="6"/>
        <v>3.042</v>
      </c>
      <c r="H95" s="11" t="str">
        <f t="shared" si="7"/>
        <v>3.096E-2</v>
      </c>
      <c r="I95" s="2">
        <f t="shared" si="8"/>
        <v>45.6</v>
      </c>
      <c r="J95" s="4">
        <f t="shared" si="9"/>
        <v>3.042</v>
      </c>
      <c r="K95" s="9">
        <f t="shared" si="10"/>
        <v>-0.49999999999998</v>
      </c>
      <c r="L95" s="1">
        <f t="shared" si="11"/>
        <v>-30.9</v>
      </c>
    </row>
    <row r="96" s="1" customFormat="1" spans="1:12">
      <c r="A96" s="2">
        <v>3.109</v>
      </c>
      <c r="B96" s="10" t="s">
        <v>724</v>
      </c>
      <c r="C96" s="4">
        <v>3.109</v>
      </c>
      <c r="D96" s="5">
        <v>45.5</v>
      </c>
      <c r="E96" s="4"/>
      <c r="F96" s="4"/>
      <c r="G96" s="2">
        <f t="shared" si="6"/>
        <v>3.076</v>
      </c>
      <c r="H96" s="11" t="str">
        <f t="shared" si="7"/>
        <v>3.096E-2</v>
      </c>
      <c r="I96" s="2">
        <f t="shared" si="8"/>
        <v>45.7</v>
      </c>
      <c r="J96" s="4">
        <f t="shared" si="9"/>
        <v>3.076</v>
      </c>
      <c r="K96" s="9">
        <f t="shared" si="10"/>
        <v>-0.49999999999998</v>
      </c>
      <c r="L96" s="1">
        <f t="shared" si="11"/>
        <v>-30.9</v>
      </c>
    </row>
    <row r="97" s="1" customFormat="1" spans="1:12">
      <c r="A97" s="2">
        <v>3.142</v>
      </c>
      <c r="B97" s="10" t="s">
        <v>678</v>
      </c>
      <c r="C97" s="4">
        <v>3.142</v>
      </c>
      <c r="D97" s="5">
        <v>45.9</v>
      </c>
      <c r="E97" s="4"/>
      <c r="F97" s="4"/>
      <c r="G97" s="2">
        <f t="shared" si="6"/>
        <v>3.109</v>
      </c>
      <c r="H97" s="11" t="str">
        <f t="shared" si="7"/>
        <v>3.098E-2</v>
      </c>
      <c r="I97" s="2">
        <f t="shared" si="8"/>
        <v>45.5</v>
      </c>
      <c r="J97" s="4">
        <f t="shared" si="9"/>
        <v>3.109</v>
      </c>
      <c r="K97" s="9">
        <f t="shared" si="10"/>
        <v>-0.299999999999988</v>
      </c>
      <c r="L97" s="1">
        <f t="shared" si="11"/>
        <v>-30.9</v>
      </c>
    </row>
    <row r="98" s="1" customFormat="1" spans="1:12">
      <c r="A98" s="2">
        <v>3.176</v>
      </c>
      <c r="B98" s="10" t="s">
        <v>678</v>
      </c>
      <c r="C98" s="4">
        <v>3.176</v>
      </c>
      <c r="D98" s="5">
        <v>45.3</v>
      </c>
      <c r="E98" s="4"/>
      <c r="F98" s="4"/>
      <c r="G98" s="2">
        <f t="shared" si="6"/>
        <v>3.142</v>
      </c>
      <c r="H98" s="11" t="str">
        <f t="shared" si="7"/>
        <v>3.099E-2</v>
      </c>
      <c r="I98" s="2">
        <f t="shared" si="8"/>
        <v>45.9</v>
      </c>
      <c r="J98" s="4">
        <f t="shared" si="9"/>
        <v>3.142</v>
      </c>
      <c r="K98" s="9">
        <f t="shared" si="10"/>
        <v>-0.199999999999992</v>
      </c>
      <c r="L98" s="1">
        <f t="shared" si="11"/>
        <v>-30.9</v>
      </c>
    </row>
    <row r="99" s="1" customFormat="1" spans="1:12">
      <c r="A99" s="2">
        <v>3.209</v>
      </c>
      <c r="B99" s="10" t="s">
        <v>637</v>
      </c>
      <c r="C99" s="4">
        <v>3.209</v>
      </c>
      <c r="D99" s="5">
        <v>45.5</v>
      </c>
      <c r="E99" s="4"/>
      <c r="F99" s="4"/>
      <c r="G99" s="2">
        <f t="shared" si="6"/>
        <v>3.176</v>
      </c>
      <c r="H99" s="11" t="str">
        <f t="shared" si="7"/>
        <v>3.099E-2</v>
      </c>
      <c r="I99" s="2">
        <f t="shared" si="8"/>
        <v>45.3</v>
      </c>
      <c r="J99" s="4">
        <f t="shared" si="9"/>
        <v>3.176</v>
      </c>
      <c r="K99" s="9">
        <f t="shared" si="10"/>
        <v>-0.199999999999992</v>
      </c>
      <c r="L99" s="1">
        <f t="shared" si="11"/>
        <v>-30.9</v>
      </c>
    </row>
    <row r="100" s="1" customFormat="1" spans="1:12">
      <c r="A100" s="2">
        <v>3.243</v>
      </c>
      <c r="B100" s="10" t="s">
        <v>723</v>
      </c>
      <c r="C100" s="4">
        <v>3.243</v>
      </c>
      <c r="D100" s="5">
        <v>45.9</v>
      </c>
      <c r="E100" s="4"/>
      <c r="F100" s="4"/>
      <c r="G100" s="2">
        <f t="shared" si="6"/>
        <v>3.209</v>
      </c>
      <c r="H100" s="11" t="str">
        <f t="shared" si="7"/>
        <v>3.100E-2</v>
      </c>
      <c r="I100" s="2">
        <f t="shared" si="8"/>
        <v>45.5</v>
      </c>
      <c r="J100" s="4">
        <f t="shared" si="9"/>
        <v>3.209</v>
      </c>
      <c r="K100" s="9">
        <f t="shared" si="10"/>
        <v>-0.0999999999999959</v>
      </c>
      <c r="L100" s="1">
        <f t="shared" si="11"/>
        <v>-30.9</v>
      </c>
    </row>
    <row r="101" s="1" customFormat="1" spans="1:12">
      <c r="A101" s="2">
        <v>3.276</v>
      </c>
      <c r="B101" s="10" t="s">
        <v>723</v>
      </c>
      <c r="C101" s="4">
        <v>3.276</v>
      </c>
      <c r="D101" s="5">
        <v>46.1</v>
      </c>
      <c r="E101" s="4"/>
      <c r="F101" s="4"/>
      <c r="G101" s="2">
        <f t="shared" si="6"/>
        <v>3.243</v>
      </c>
      <c r="H101" s="11" t="str">
        <f t="shared" si="7"/>
        <v>3.101E-2</v>
      </c>
      <c r="I101" s="2">
        <f t="shared" si="8"/>
        <v>45.9</v>
      </c>
      <c r="J101" s="4">
        <f t="shared" si="9"/>
        <v>3.243</v>
      </c>
      <c r="K101" s="9">
        <f t="shared" si="10"/>
        <v>0</v>
      </c>
      <c r="L101" s="1">
        <f t="shared" si="11"/>
        <v>-30.9</v>
      </c>
    </row>
    <row r="102" s="1" customFormat="1" spans="1:12">
      <c r="A102" s="2">
        <v>3.31</v>
      </c>
      <c r="B102" s="10" t="s">
        <v>727</v>
      </c>
      <c r="C102" s="4">
        <v>3.31</v>
      </c>
      <c r="D102" s="5">
        <v>198.2</v>
      </c>
      <c r="E102" s="4"/>
      <c r="F102" s="4"/>
      <c r="G102" s="2">
        <f t="shared" si="6"/>
        <v>3.276</v>
      </c>
      <c r="H102" s="11" t="str">
        <f t="shared" si="7"/>
        <v>3.101E-2</v>
      </c>
      <c r="I102" s="2">
        <f t="shared" si="8"/>
        <v>46.1</v>
      </c>
      <c r="J102" s="4">
        <f t="shared" si="9"/>
        <v>3.276</v>
      </c>
      <c r="K102" s="9">
        <f t="shared" si="10"/>
        <v>0</v>
      </c>
      <c r="L102" s="1">
        <f t="shared" si="11"/>
        <v>-30.9</v>
      </c>
    </row>
    <row r="103" s="1" customFormat="1" spans="1:12">
      <c r="A103" s="2">
        <v>3.343</v>
      </c>
      <c r="B103" s="10" t="s">
        <v>729</v>
      </c>
      <c r="C103" s="4">
        <v>3.343</v>
      </c>
      <c r="D103" s="5">
        <v>253.8</v>
      </c>
      <c r="E103" s="4"/>
      <c r="F103" s="4"/>
      <c r="G103" s="2">
        <f t="shared" si="6"/>
        <v>3.31</v>
      </c>
      <c r="H103" s="11" t="str">
        <f t="shared" si="7"/>
        <v>3.102E-2</v>
      </c>
      <c r="I103" s="2">
        <f t="shared" si="8"/>
        <v>198.2</v>
      </c>
      <c r="J103" s="4">
        <f t="shared" si="9"/>
        <v>3.31</v>
      </c>
      <c r="K103" s="9">
        <f t="shared" si="10"/>
        <v>0.0999999999999959</v>
      </c>
      <c r="L103" s="1">
        <f t="shared" si="11"/>
        <v>-30.9</v>
      </c>
    </row>
    <row r="104" s="1" customFormat="1" spans="1:12">
      <c r="A104" s="2">
        <v>3.376</v>
      </c>
      <c r="B104" s="10" t="s">
        <v>729</v>
      </c>
      <c r="C104" s="4">
        <v>3.376</v>
      </c>
      <c r="D104" s="5">
        <v>253.8</v>
      </c>
      <c r="E104" s="4"/>
      <c r="F104" s="4"/>
      <c r="G104" s="2">
        <f t="shared" si="6"/>
        <v>3.343</v>
      </c>
      <c r="H104" s="11" t="str">
        <f t="shared" si="7"/>
        <v>3.103E-2</v>
      </c>
      <c r="I104" s="2">
        <f t="shared" si="8"/>
        <v>253.8</v>
      </c>
      <c r="J104" s="4">
        <f t="shared" si="9"/>
        <v>3.343</v>
      </c>
      <c r="K104" s="9">
        <f t="shared" si="10"/>
        <v>0.199999999999992</v>
      </c>
      <c r="L104" s="1">
        <f t="shared" si="11"/>
        <v>12.1</v>
      </c>
    </row>
    <row r="105" s="1" customFormat="1" spans="1:12">
      <c r="A105" s="2">
        <v>3.41</v>
      </c>
      <c r="B105" s="10" t="s">
        <v>729</v>
      </c>
      <c r="C105" s="4">
        <v>3.41</v>
      </c>
      <c r="D105" s="5">
        <v>253.8</v>
      </c>
      <c r="E105" s="4"/>
      <c r="F105" s="4"/>
      <c r="G105" s="2">
        <f t="shared" si="6"/>
        <v>3.376</v>
      </c>
      <c r="H105" s="11" t="str">
        <f t="shared" si="7"/>
        <v>3.103E-2</v>
      </c>
      <c r="I105" s="2">
        <f t="shared" si="8"/>
        <v>253.8</v>
      </c>
      <c r="J105" s="4">
        <f t="shared" si="9"/>
        <v>3.376</v>
      </c>
      <c r="K105" s="9">
        <f t="shared" si="10"/>
        <v>0.199999999999992</v>
      </c>
      <c r="L105" s="1">
        <f t="shared" si="11"/>
        <v>12.1</v>
      </c>
    </row>
    <row r="106" s="1" customFormat="1" spans="1:12">
      <c r="A106" s="2">
        <v>3.443</v>
      </c>
      <c r="B106" s="10" t="s">
        <v>728</v>
      </c>
      <c r="C106" s="4">
        <v>3.443</v>
      </c>
      <c r="D106" s="5">
        <v>253.8</v>
      </c>
      <c r="E106" s="4"/>
      <c r="F106" s="4"/>
      <c r="G106" s="2">
        <f t="shared" si="6"/>
        <v>3.41</v>
      </c>
      <c r="H106" s="11" t="str">
        <f t="shared" si="7"/>
        <v>3.103E-2</v>
      </c>
      <c r="I106" s="2">
        <f t="shared" si="8"/>
        <v>253.8</v>
      </c>
      <c r="J106" s="4">
        <f t="shared" si="9"/>
        <v>3.41</v>
      </c>
      <c r="K106" s="9">
        <f t="shared" si="10"/>
        <v>0.199999999999992</v>
      </c>
      <c r="L106" s="1">
        <f t="shared" si="11"/>
        <v>12.1</v>
      </c>
    </row>
    <row r="107" s="1" customFormat="1" spans="1:12">
      <c r="A107" s="2">
        <v>3.477</v>
      </c>
      <c r="B107" s="10" t="s">
        <v>638</v>
      </c>
      <c r="C107" s="4">
        <v>3.477</v>
      </c>
      <c r="D107" s="5">
        <v>253.9</v>
      </c>
      <c r="E107" s="4"/>
      <c r="F107" s="4"/>
      <c r="G107" s="2">
        <f t="shared" si="6"/>
        <v>3.443</v>
      </c>
      <c r="H107" s="11" t="str">
        <f t="shared" si="7"/>
        <v>3.105E-2</v>
      </c>
      <c r="I107" s="2">
        <f t="shared" si="8"/>
        <v>253.8</v>
      </c>
      <c r="J107" s="4">
        <f t="shared" si="9"/>
        <v>3.443</v>
      </c>
      <c r="K107" s="9">
        <f t="shared" si="10"/>
        <v>0.400000000000018</v>
      </c>
      <c r="L107" s="1">
        <f t="shared" si="11"/>
        <v>12.1</v>
      </c>
    </row>
    <row r="108" s="1" customFormat="1" spans="1:12">
      <c r="A108" s="2">
        <v>3.51</v>
      </c>
      <c r="B108" s="10" t="s">
        <v>731</v>
      </c>
      <c r="C108" s="4">
        <v>3.51</v>
      </c>
      <c r="D108" s="5">
        <v>253.9</v>
      </c>
      <c r="E108" s="4"/>
      <c r="F108" s="4"/>
      <c r="G108" s="2">
        <f t="shared" si="6"/>
        <v>3.477</v>
      </c>
      <c r="H108" s="11" t="str">
        <f t="shared" si="7"/>
        <v>3.106E-2</v>
      </c>
      <c r="I108" s="2">
        <f t="shared" si="8"/>
        <v>253.9</v>
      </c>
      <c r="J108" s="4">
        <f t="shared" si="9"/>
        <v>3.477</v>
      </c>
      <c r="K108" s="9">
        <f t="shared" si="10"/>
        <v>0.500000000000014</v>
      </c>
      <c r="L108" s="1">
        <f t="shared" si="11"/>
        <v>12.1</v>
      </c>
    </row>
    <row r="109" s="1" customFormat="1" spans="1:12">
      <c r="A109" s="2">
        <v>3.544</v>
      </c>
      <c r="B109" s="10" t="s">
        <v>731</v>
      </c>
      <c r="C109" s="4">
        <v>3.544</v>
      </c>
      <c r="D109" s="5">
        <v>253.9</v>
      </c>
      <c r="E109" s="4"/>
      <c r="F109" s="4"/>
      <c r="G109" s="2">
        <f t="shared" si="6"/>
        <v>3.51</v>
      </c>
      <c r="H109" s="11" t="str">
        <f t="shared" si="7"/>
        <v>3.107E-2</v>
      </c>
      <c r="I109" s="2">
        <f t="shared" si="8"/>
        <v>253.9</v>
      </c>
      <c r="J109" s="4">
        <f t="shared" si="9"/>
        <v>3.51</v>
      </c>
      <c r="K109" s="9">
        <f t="shared" si="10"/>
        <v>0.60000000000001</v>
      </c>
      <c r="L109" s="1">
        <f t="shared" si="11"/>
        <v>12.1</v>
      </c>
    </row>
    <row r="110" s="1" customFormat="1" spans="1:12">
      <c r="A110" s="2">
        <v>3.577</v>
      </c>
      <c r="B110" s="10" t="s">
        <v>732</v>
      </c>
      <c r="C110" s="4">
        <v>3.577</v>
      </c>
      <c r="D110" s="5">
        <v>253.8</v>
      </c>
      <c r="E110" s="4"/>
      <c r="F110" s="4"/>
      <c r="G110" s="2">
        <f t="shared" si="6"/>
        <v>3.544</v>
      </c>
      <c r="H110" s="11" t="str">
        <f t="shared" si="7"/>
        <v>3.107E-2</v>
      </c>
      <c r="I110" s="2">
        <f t="shared" si="8"/>
        <v>253.9</v>
      </c>
      <c r="J110" s="4">
        <f t="shared" si="9"/>
        <v>3.544</v>
      </c>
      <c r="K110" s="9">
        <f t="shared" si="10"/>
        <v>0.60000000000001</v>
      </c>
      <c r="L110" s="1">
        <f t="shared" si="11"/>
        <v>12.1</v>
      </c>
    </row>
    <row r="111" s="1" customFormat="1" spans="1:12">
      <c r="A111" s="2">
        <v>3.61</v>
      </c>
      <c r="B111" s="10" t="s">
        <v>632</v>
      </c>
      <c r="C111" s="4">
        <v>3.61</v>
      </c>
      <c r="D111" s="5">
        <v>253.8</v>
      </c>
      <c r="E111" s="4"/>
      <c r="F111" s="4"/>
      <c r="G111" s="2">
        <f t="shared" si="6"/>
        <v>3.577</v>
      </c>
      <c r="H111" s="11" t="str">
        <f t="shared" si="7"/>
        <v>3.108E-2</v>
      </c>
      <c r="I111" s="2">
        <f t="shared" si="8"/>
        <v>253.8</v>
      </c>
      <c r="J111" s="4">
        <f t="shared" si="9"/>
        <v>3.577</v>
      </c>
      <c r="K111" s="9">
        <f t="shared" si="10"/>
        <v>0.700000000000006</v>
      </c>
      <c r="L111" s="1">
        <f t="shared" si="11"/>
        <v>12.1</v>
      </c>
    </row>
    <row r="112" s="1" customFormat="1" spans="1:12">
      <c r="A112" s="2">
        <v>3.644</v>
      </c>
      <c r="B112" s="10" t="s">
        <v>731</v>
      </c>
      <c r="C112" s="4">
        <v>3.644</v>
      </c>
      <c r="D112" s="5">
        <v>253.8</v>
      </c>
      <c r="E112" s="4"/>
      <c r="F112" s="4"/>
      <c r="G112" s="2">
        <f t="shared" si="6"/>
        <v>3.61</v>
      </c>
      <c r="H112" s="11" t="str">
        <f t="shared" si="7"/>
        <v>3.109E-2</v>
      </c>
      <c r="I112" s="2">
        <f t="shared" si="8"/>
        <v>253.8</v>
      </c>
      <c r="J112" s="4">
        <f t="shared" si="9"/>
        <v>3.61</v>
      </c>
      <c r="K112" s="9">
        <f t="shared" si="10"/>
        <v>0.800000000000002</v>
      </c>
      <c r="L112" s="1">
        <f t="shared" si="11"/>
        <v>12.1</v>
      </c>
    </row>
    <row r="113" s="1" customFormat="1" spans="1:12">
      <c r="A113" s="2">
        <v>3.677</v>
      </c>
      <c r="B113" s="10" t="s">
        <v>728</v>
      </c>
      <c r="C113" s="4">
        <v>3.677</v>
      </c>
      <c r="D113" s="5">
        <v>253.9</v>
      </c>
      <c r="E113" s="4"/>
      <c r="F113" s="4"/>
      <c r="G113" s="2">
        <f t="shared" si="6"/>
        <v>3.644</v>
      </c>
      <c r="H113" s="11" t="str">
        <f t="shared" si="7"/>
        <v>3.107E-2</v>
      </c>
      <c r="I113" s="2">
        <f t="shared" si="8"/>
        <v>253.8</v>
      </c>
      <c r="J113" s="4">
        <f t="shared" si="9"/>
        <v>3.644</v>
      </c>
      <c r="K113" s="9">
        <f t="shared" si="10"/>
        <v>0.60000000000001</v>
      </c>
      <c r="L113" s="1">
        <f t="shared" si="11"/>
        <v>12.1</v>
      </c>
    </row>
    <row r="114" s="1" customFormat="1" spans="1:12">
      <c r="A114" s="2">
        <v>3.711</v>
      </c>
      <c r="B114" s="10" t="s">
        <v>728</v>
      </c>
      <c r="C114" s="4">
        <v>3.711</v>
      </c>
      <c r="D114" s="5">
        <v>253.9</v>
      </c>
      <c r="E114" s="4"/>
      <c r="F114" s="4"/>
      <c r="G114" s="2">
        <f t="shared" si="6"/>
        <v>3.677</v>
      </c>
      <c r="H114" s="11" t="str">
        <f t="shared" si="7"/>
        <v>3.105E-2</v>
      </c>
      <c r="I114" s="2">
        <f t="shared" si="8"/>
        <v>253.9</v>
      </c>
      <c r="J114" s="4">
        <f t="shared" si="9"/>
        <v>3.677</v>
      </c>
      <c r="K114" s="9">
        <f t="shared" si="10"/>
        <v>0.400000000000018</v>
      </c>
      <c r="L114" s="1">
        <f t="shared" si="11"/>
        <v>12.1</v>
      </c>
    </row>
    <row r="115" s="1" customFormat="1" spans="1:12">
      <c r="A115" s="2">
        <v>3.744</v>
      </c>
      <c r="B115" s="10" t="s">
        <v>706</v>
      </c>
      <c r="C115" s="4">
        <v>3.744</v>
      </c>
      <c r="D115" s="5">
        <v>253.8</v>
      </c>
      <c r="E115" s="4"/>
      <c r="F115" s="4"/>
      <c r="G115" s="2">
        <f t="shared" si="6"/>
        <v>3.711</v>
      </c>
      <c r="H115" s="11" t="str">
        <f t="shared" si="7"/>
        <v>3.105E-2</v>
      </c>
      <c r="I115" s="2">
        <f t="shared" si="8"/>
        <v>253.9</v>
      </c>
      <c r="J115" s="4">
        <f t="shared" si="9"/>
        <v>3.711</v>
      </c>
      <c r="K115" s="9">
        <f t="shared" si="10"/>
        <v>0.400000000000018</v>
      </c>
      <c r="L115" s="1">
        <f t="shared" si="11"/>
        <v>12.1</v>
      </c>
    </row>
    <row r="116" s="1" customFormat="1" spans="1:12">
      <c r="A116" s="2">
        <v>3.778</v>
      </c>
      <c r="B116" s="10" t="s">
        <v>727</v>
      </c>
      <c r="C116" s="4">
        <v>3.778</v>
      </c>
      <c r="D116" s="5">
        <v>253.8</v>
      </c>
      <c r="E116" s="4"/>
      <c r="F116" s="4"/>
      <c r="G116" s="2">
        <f t="shared" si="6"/>
        <v>3.744</v>
      </c>
      <c r="H116" s="11" t="str">
        <f t="shared" si="7"/>
        <v>3.104E-2</v>
      </c>
      <c r="I116" s="2">
        <f t="shared" si="8"/>
        <v>253.8</v>
      </c>
      <c r="J116" s="4">
        <f t="shared" si="9"/>
        <v>3.744</v>
      </c>
      <c r="K116" s="9">
        <f t="shared" si="10"/>
        <v>0.300000000000022</v>
      </c>
      <c r="L116" s="1">
        <f t="shared" si="11"/>
        <v>12.1</v>
      </c>
    </row>
    <row r="117" s="1" customFormat="1" spans="1:12">
      <c r="A117" s="2">
        <v>3.811</v>
      </c>
      <c r="B117" s="10" t="s">
        <v>637</v>
      </c>
      <c r="C117" s="4">
        <v>3.811</v>
      </c>
      <c r="D117" s="5">
        <v>253.8</v>
      </c>
      <c r="E117" s="4"/>
      <c r="F117" s="4"/>
      <c r="G117" s="2">
        <f t="shared" si="6"/>
        <v>3.778</v>
      </c>
      <c r="H117" s="11" t="str">
        <f t="shared" si="7"/>
        <v>3.102E-2</v>
      </c>
      <c r="I117" s="2">
        <f t="shared" si="8"/>
        <v>253.8</v>
      </c>
      <c r="J117" s="4">
        <f t="shared" si="9"/>
        <v>3.778</v>
      </c>
      <c r="K117" s="9">
        <f t="shared" si="10"/>
        <v>0.0999999999999959</v>
      </c>
      <c r="L117" s="1">
        <f t="shared" si="11"/>
        <v>12.1</v>
      </c>
    </row>
    <row r="118" s="1" customFormat="1" spans="1:12">
      <c r="A118" s="2">
        <v>3.844</v>
      </c>
      <c r="B118" s="10" t="s">
        <v>724</v>
      </c>
      <c r="C118" s="4">
        <v>3.844</v>
      </c>
      <c r="D118" s="5">
        <v>253.8</v>
      </c>
      <c r="E118" s="4"/>
      <c r="F118" s="4"/>
      <c r="G118" s="2">
        <f t="shared" si="6"/>
        <v>3.811</v>
      </c>
      <c r="H118" s="11" t="str">
        <f t="shared" si="7"/>
        <v>3.100E-2</v>
      </c>
      <c r="I118" s="2">
        <f t="shared" si="8"/>
        <v>253.8</v>
      </c>
      <c r="J118" s="4">
        <f t="shared" si="9"/>
        <v>3.811</v>
      </c>
      <c r="K118" s="9">
        <f t="shared" si="10"/>
        <v>-0.0999999999999959</v>
      </c>
      <c r="L118" s="1">
        <f t="shared" si="11"/>
        <v>12.1</v>
      </c>
    </row>
    <row r="119" s="1" customFormat="1" spans="1:12">
      <c r="A119" s="2">
        <v>3.878</v>
      </c>
      <c r="B119" s="10" t="s">
        <v>633</v>
      </c>
      <c r="C119" s="4">
        <v>3.878</v>
      </c>
      <c r="D119" s="5">
        <v>253.8</v>
      </c>
      <c r="E119" s="4"/>
      <c r="F119" s="4"/>
      <c r="G119" s="2">
        <f t="shared" si="6"/>
        <v>3.844</v>
      </c>
      <c r="H119" s="11" t="str">
        <f t="shared" si="7"/>
        <v>3.098E-2</v>
      </c>
      <c r="I119" s="2">
        <f t="shared" si="8"/>
        <v>253.8</v>
      </c>
      <c r="J119" s="4">
        <f t="shared" si="9"/>
        <v>3.844</v>
      </c>
      <c r="K119" s="9">
        <f t="shared" si="10"/>
        <v>-0.299999999999988</v>
      </c>
      <c r="L119" s="1">
        <f t="shared" si="11"/>
        <v>12.1</v>
      </c>
    </row>
    <row r="120" s="1" customFormat="1" spans="1:12">
      <c r="A120" s="2">
        <v>3.911</v>
      </c>
      <c r="B120" s="10" t="s">
        <v>730</v>
      </c>
      <c r="C120" s="4">
        <v>3.911</v>
      </c>
      <c r="D120" s="5">
        <v>253.8</v>
      </c>
      <c r="E120" s="4"/>
      <c r="F120" s="4"/>
      <c r="G120" s="2">
        <f t="shared" si="6"/>
        <v>3.878</v>
      </c>
      <c r="H120" s="11" t="str">
        <f t="shared" si="7"/>
        <v>3.096E-2</v>
      </c>
      <c r="I120" s="2">
        <f t="shared" si="8"/>
        <v>253.8</v>
      </c>
      <c r="J120" s="4">
        <f t="shared" si="9"/>
        <v>3.878</v>
      </c>
      <c r="K120" s="9">
        <f t="shared" si="10"/>
        <v>-0.49999999999998</v>
      </c>
      <c r="L120" s="1">
        <f t="shared" si="11"/>
        <v>12.1</v>
      </c>
    </row>
    <row r="121" s="1" customFormat="1" spans="1:12">
      <c r="A121" s="2">
        <v>3.945</v>
      </c>
      <c r="B121" s="10" t="s">
        <v>733</v>
      </c>
      <c r="C121" s="4">
        <v>3.945</v>
      </c>
      <c r="D121" s="5">
        <v>179</v>
      </c>
      <c r="E121" s="4"/>
      <c r="F121" s="4"/>
      <c r="G121" s="2">
        <f t="shared" si="6"/>
        <v>3.911</v>
      </c>
      <c r="H121" s="11" t="str">
        <f t="shared" si="7"/>
        <v>3.093E-2</v>
      </c>
      <c r="I121" s="2">
        <f t="shared" si="8"/>
        <v>253.8</v>
      </c>
      <c r="J121" s="4">
        <f t="shared" si="9"/>
        <v>3.911</v>
      </c>
      <c r="K121" s="9">
        <f t="shared" si="10"/>
        <v>-0.800000000000002</v>
      </c>
      <c r="L121" s="1">
        <f t="shared" si="11"/>
        <v>12.1</v>
      </c>
    </row>
    <row r="122" s="1" customFormat="1" spans="1:12">
      <c r="A122" s="2">
        <v>3.978</v>
      </c>
      <c r="B122" s="10" t="s">
        <v>668</v>
      </c>
      <c r="C122" s="4">
        <v>3.978</v>
      </c>
      <c r="D122" s="5">
        <v>45</v>
      </c>
      <c r="E122" s="4"/>
      <c r="F122" s="4"/>
      <c r="G122" s="2">
        <f t="shared" si="6"/>
        <v>3.945</v>
      </c>
      <c r="H122" s="11" t="str">
        <f t="shared" si="7"/>
        <v>3.090E-2</v>
      </c>
      <c r="I122" s="2">
        <f t="shared" si="8"/>
        <v>179</v>
      </c>
      <c r="J122" s="4">
        <f t="shared" si="9"/>
        <v>3.945</v>
      </c>
      <c r="K122" s="9">
        <f t="shared" si="10"/>
        <v>-1.09999999999999</v>
      </c>
      <c r="L122" s="1">
        <f t="shared" si="11"/>
        <v>-30.9</v>
      </c>
    </row>
    <row r="123" s="1" customFormat="1" spans="1:12">
      <c r="A123" s="2">
        <v>4.012</v>
      </c>
      <c r="B123" s="10" t="s">
        <v>677</v>
      </c>
      <c r="C123" s="4">
        <v>4.012</v>
      </c>
      <c r="D123" s="5">
        <v>46</v>
      </c>
      <c r="E123" s="4"/>
      <c r="F123" s="4"/>
      <c r="G123" s="2">
        <f t="shared" si="6"/>
        <v>3.978</v>
      </c>
      <c r="H123" s="11" t="str">
        <f t="shared" si="7"/>
        <v>3.086E-2</v>
      </c>
      <c r="I123" s="2">
        <f t="shared" si="8"/>
        <v>45</v>
      </c>
      <c r="J123" s="4">
        <f t="shared" si="9"/>
        <v>3.978</v>
      </c>
      <c r="K123" s="9">
        <f t="shared" si="10"/>
        <v>-1.50000000000001</v>
      </c>
      <c r="L123" s="1">
        <f t="shared" si="11"/>
        <v>-30.9</v>
      </c>
    </row>
    <row r="124" s="1" customFormat="1" spans="1:12">
      <c r="A124" s="2">
        <v>4.045</v>
      </c>
      <c r="B124" s="10" t="s">
        <v>655</v>
      </c>
      <c r="C124" s="4">
        <v>4.045</v>
      </c>
      <c r="D124" s="5">
        <v>46</v>
      </c>
      <c r="E124" s="4"/>
      <c r="F124" s="4"/>
      <c r="G124" s="2">
        <f t="shared" si="6"/>
        <v>4.012</v>
      </c>
      <c r="H124" s="11" t="str">
        <f t="shared" si="7"/>
        <v>3.081E-2</v>
      </c>
      <c r="I124" s="2">
        <f t="shared" si="8"/>
        <v>46</v>
      </c>
      <c r="J124" s="4">
        <f t="shared" si="9"/>
        <v>4.012</v>
      </c>
      <c r="K124" s="9">
        <f t="shared" si="10"/>
        <v>-1.99999999999999</v>
      </c>
      <c r="L124" s="1">
        <f t="shared" si="11"/>
        <v>-30.9</v>
      </c>
    </row>
    <row r="125" s="1" customFormat="1" spans="1:12">
      <c r="A125" s="2">
        <v>4.078</v>
      </c>
      <c r="B125" s="10" t="s">
        <v>734</v>
      </c>
      <c r="C125" s="4">
        <v>4.078</v>
      </c>
      <c r="D125" s="5">
        <v>46</v>
      </c>
      <c r="E125" s="4"/>
      <c r="F125" s="4"/>
      <c r="G125" s="2">
        <f t="shared" si="6"/>
        <v>4.045</v>
      </c>
      <c r="H125" s="11" t="str">
        <f t="shared" si="7"/>
        <v>3.066E-2</v>
      </c>
      <c r="I125" s="2">
        <f t="shared" si="8"/>
        <v>46</v>
      </c>
      <c r="J125" s="4">
        <f t="shared" si="9"/>
        <v>4.045</v>
      </c>
      <c r="K125" s="9">
        <f t="shared" si="10"/>
        <v>-3.5</v>
      </c>
      <c r="L125" s="1">
        <f t="shared" si="11"/>
        <v>-30.9</v>
      </c>
    </row>
    <row r="126" s="1" customFormat="1" spans="1:12">
      <c r="A126" s="2">
        <v>4.112</v>
      </c>
      <c r="B126" s="10" t="s">
        <v>735</v>
      </c>
      <c r="C126" s="4">
        <v>4.112</v>
      </c>
      <c r="D126" s="5">
        <v>45.3</v>
      </c>
      <c r="E126" s="4"/>
      <c r="F126" s="4"/>
      <c r="G126" s="2">
        <f t="shared" si="6"/>
        <v>4.078</v>
      </c>
      <c r="H126" s="11" t="str">
        <f t="shared" si="7"/>
        <v>3.057E-2</v>
      </c>
      <c r="I126" s="2">
        <f t="shared" si="8"/>
        <v>46</v>
      </c>
      <c r="J126" s="4">
        <f t="shared" si="9"/>
        <v>4.078</v>
      </c>
      <c r="K126" s="9">
        <f t="shared" si="10"/>
        <v>-4.39999999999999</v>
      </c>
      <c r="L126" s="1">
        <f t="shared" si="11"/>
        <v>-30.9</v>
      </c>
    </row>
    <row r="127" s="1" customFormat="1" spans="1:12">
      <c r="A127" s="2">
        <v>4.145</v>
      </c>
      <c r="B127" s="10" t="s">
        <v>550</v>
      </c>
      <c r="C127" s="4">
        <v>4.145</v>
      </c>
      <c r="D127" s="5">
        <v>46.1</v>
      </c>
      <c r="E127" s="4"/>
      <c r="F127" s="4"/>
      <c r="G127" s="2">
        <f t="shared" si="6"/>
        <v>4.112</v>
      </c>
      <c r="H127" s="11" t="str">
        <f t="shared" si="7"/>
        <v>3.047E-2</v>
      </c>
      <c r="I127" s="2">
        <f t="shared" si="8"/>
        <v>45.3</v>
      </c>
      <c r="J127" s="4">
        <f t="shared" si="9"/>
        <v>4.112</v>
      </c>
      <c r="K127" s="9">
        <f t="shared" si="10"/>
        <v>-5.39999999999999</v>
      </c>
      <c r="L127" s="1">
        <f t="shared" si="11"/>
        <v>-30.9</v>
      </c>
    </row>
    <row r="128" s="1" customFormat="1" spans="1:12">
      <c r="A128" s="2">
        <v>4.179</v>
      </c>
      <c r="B128" s="10" t="s">
        <v>542</v>
      </c>
      <c r="C128" s="4">
        <v>4.179</v>
      </c>
      <c r="D128" s="5">
        <v>45.9</v>
      </c>
      <c r="E128" s="4"/>
      <c r="F128" s="4"/>
      <c r="G128" s="2">
        <f t="shared" si="6"/>
        <v>4.145</v>
      </c>
      <c r="H128" s="11" t="str">
        <f t="shared" si="7"/>
        <v>3.035E-2</v>
      </c>
      <c r="I128" s="2">
        <f t="shared" si="8"/>
        <v>46.1</v>
      </c>
      <c r="J128" s="4">
        <f t="shared" si="9"/>
        <v>4.145</v>
      </c>
      <c r="K128" s="9">
        <f t="shared" si="10"/>
        <v>-6.60000000000001</v>
      </c>
      <c r="L128" s="1">
        <f t="shared" si="11"/>
        <v>-30.9</v>
      </c>
    </row>
    <row r="129" s="1" customFormat="1" spans="1:12">
      <c r="A129" s="2">
        <v>4.212</v>
      </c>
      <c r="B129" s="10" t="s">
        <v>563</v>
      </c>
      <c r="C129" s="4">
        <v>4.212</v>
      </c>
      <c r="D129" s="5">
        <v>45.5</v>
      </c>
      <c r="E129" s="4"/>
      <c r="F129" s="4"/>
      <c r="G129" s="2">
        <f t="shared" si="6"/>
        <v>4.179</v>
      </c>
      <c r="H129" s="11" t="str">
        <f t="shared" si="7"/>
        <v>3.027E-2</v>
      </c>
      <c r="I129" s="2">
        <f t="shared" si="8"/>
        <v>45.9</v>
      </c>
      <c r="J129" s="4">
        <f t="shared" si="9"/>
        <v>4.179</v>
      </c>
      <c r="K129" s="9">
        <f t="shared" si="10"/>
        <v>-7.40000000000001</v>
      </c>
      <c r="L129" s="1">
        <f t="shared" si="11"/>
        <v>-30.9</v>
      </c>
    </row>
    <row r="130" s="1" customFormat="1" spans="1:12">
      <c r="A130" s="2">
        <v>4.246</v>
      </c>
      <c r="B130" s="10" t="s">
        <v>571</v>
      </c>
      <c r="C130" s="4">
        <v>4.246</v>
      </c>
      <c r="D130" s="5">
        <v>45.6</v>
      </c>
      <c r="E130" s="4"/>
      <c r="F130" s="4"/>
      <c r="G130" s="2">
        <f t="shared" si="6"/>
        <v>4.212</v>
      </c>
      <c r="H130" s="11" t="str">
        <f t="shared" si="7"/>
        <v>3.019E-2</v>
      </c>
      <c r="I130" s="2">
        <f t="shared" si="8"/>
        <v>45.5</v>
      </c>
      <c r="J130" s="4">
        <f t="shared" si="9"/>
        <v>4.212</v>
      </c>
      <c r="K130" s="9">
        <f t="shared" si="10"/>
        <v>-8.19999999999998</v>
      </c>
      <c r="L130" s="1">
        <f t="shared" si="11"/>
        <v>-30.9</v>
      </c>
    </row>
    <row r="131" s="1" customFormat="1" spans="1:12">
      <c r="A131" s="2">
        <v>4.279</v>
      </c>
      <c r="B131" s="10" t="s">
        <v>490</v>
      </c>
      <c r="C131" s="4">
        <v>4.279</v>
      </c>
      <c r="D131" s="5">
        <v>45.8</v>
      </c>
      <c r="E131" s="4"/>
      <c r="F131" s="4"/>
      <c r="G131" s="2">
        <f t="shared" si="6"/>
        <v>4.246</v>
      </c>
      <c r="H131" s="11" t="str">
        <f t="shared" si="7"/>
        <v>3.007E-2</v>
      </c>
      <c r="I131" s="2">
        <f t="shared" si="8"/>
        <v>45.6</v>
      </c>
      <c r="J131" s="4">
        <f t="shared" si="9"/>
        <v>4.246</v>
      </c>
      <c r="K131" s="9">
        <f t="shared" si="10"/>
        <v>-9.4</v>
      </c>
      <c r="L131" s="1">
        <f t="shared" si="11"/>
        <v>-30.9</v>
      </c>
    </row>
    <row r="132" s="1" customFormat="1" spans="1:12">
      <c r="A132" s="2">
        <v>4.312</v>
      </c>
      <c r="B132" s="10" t="s">
        <v>488</v>
      </c>
      <c r="C132" s="4">
        <v>4.312</v>
      </c>
      <c r="D132" s="5">
        <v>45.9</v>
      </c>
      <c r="E132" s="4"/>
      <c r="F132" s="4"/>
      <c r="G132" s="2">
        <f t="shared" ref="G132:G195" si="12">A131</f>
        <v>4.279</v>
      </c>
      <c r="H132" s="11" t="str">
        <f t="shared" ref="H132:H195" si="13">B131</f>
        <v>2.998E-2</v>
      </c>
      <c r="I132" s="2">
        <f t="shared" ref="I132:I195" si="14">D131</f>
        <v>45.8</v>
      </c>
      <c r="J132" s="4">
        <f t="shared" ref="J132:J195" si="15">G132</f>
        <v>4.279</v>
      </c>
      <c r="K132" s="9">
        <f t="shared" ref="K132:K195" si="16">(H132-$H$4)*10000</f>
        <v>-10.3</v>
      </c>
      <c r="L132" s="1">
        <f t="shared" ref="L132:L195" si="17">IF(I132&lt;230,MIN(K:K),MAX(K:K))</f>
        <v>-30.9</v>
      </c>
    </row>
    <row r="133" s="1" customFormat="1" spans="1:12">
      <c r="A133" s="2">
        <v>4.346</v>
      </c>
      <c r="B133" s="10" t="s">
        <v>487</v>
      </c>
      <c r="C133" s="4">
        <v>4.346</v>
      </c>
      <c r="D133" s="5">
        <v>45.6</v>
      </c>
      <c r="E133" s="4"/>
      <c r="F133" s="4"/>
      <c r="G133" s="2">
        <f t="shared" si="12"/>
        <v>4.312</v>
      </c>
      <c r="H133" s="11" t="str">
        <f t="shared" si="13"/>
        <v>2.995E-2</v>
      </c>
      <c r="I133" s="2">
        <f t="shared" si="14"/>
        <v>45.9</v>
      </c>
      <c r="J133" s="4">
        <f t="shared" si="15"/>
        <v>4.312</v>
      </c>
      <c r="K133" s="9">
        <f t="shared" si="16"/>
        <v>-10.6</v>
      </c>
      <c r="L133" s="1">
        <f t="shared" si="17"/>
        <v>-30.9</v>
      </c>
    </row>
    <row r="134" s="1" customFormat="1" spans="1:12">
      <c r="A134" s="2">
        <v>4.379</v>
      </c>
      <c r="B134" s="10" t="s">
        <v>500</v>
      </c>
      <c r="C134" s="4">
        <v>4.379</v>
      </c>
      <c r="D134" s="5">
        <v>44.9</v>
      </c>
      <c r="E134" s="4"/>
      <c r="F134" s="4"/>
      <c r="G134" s="2">
        <f t="shared" si="12"/>
        <v>4.346</v>
      </c>
      <c r="H134" s="11" t="str">
        <f t="shared" si="13"/>
        <v>2.993E-2</v>
      </c>
      <c r="I134" s="2">
        <f t="shared" si="14"/>
        <v>45.6</v>
      </c>
      <c r="J134" s="4">
        <f t="shared" si="15"/>
        <v>4.346</v>
      </c>
      <c r="K134" s="9">
        <f t="shared" si="16"/>
        <v>-10.8</v>
      </c>
      <c r="L134" s="1">
        <f t="shared" si="17"/>
        <v>-30.9</v>
      </c>
    </row>
    <row r="135" s="1" customFormat="1" spans="1:12">
      <c r="A135" s="2">
        <v>4.413</v>
      </c>
      <c r="B135" s="10" t="s">
        <v>566</v>
      </c>
      <c r="C135" s="4">
        <v>4.413</v>
      </c>
      <c r="D135" s="5">
        <v>45.4</v>
      </c>
      <c r="E135" s="4"/>
      <c r="F135" s="4"/>
      <c r="G135" s="2">
        <f t="shared" si="12"/>
        <v>4.379</v>
      </c>
      <c r="H135" s="11" t="str">
        <f t="shared" si="13"/>
        <v>2.984E-2</v>
      </c>
      <c r="I135" s="2">
        <f t="shared" si="14"/>
        <v>44.9</v>
      </c>
      <c r="J135" s="4">
        <f t="shared" si="15"/>
        <v>4.379</v>
      </c>
      <c r="K135" s="9">
        <f t="shared" si="16"/>
        <v>-11.7</v>
      </c>
      <c r="L135" s="1">
        <f t="shared" si="17"/>
        <v>-30.9</v>
      </c>
    </row>
    <row r="136" s="1" customFormat="1" spans="1:12">
      <c r="A136" s="2">
        <v>4.446</v>
      </c>
      <c r="B136" s="10" t="s">
        <v>498</v>
      </c>
      <c r="C136" s="4">
        <v>4.446</v>
      </c>
      <c r="D136" s="5">
        <v>45.8</v>
      </c>
      <c r="E136" s="4"/>
      <c r="F136" s="4"/>
      <c r="G136" s="2">
        <f t="shared" si="12"/>
        <v>4.413</v>
      </c>
      <c r="H136" s="11" t="str">
        <f t="shared" si="13"/>
        <v>2.981E-2</v>
      </c>
      <c r="I136" s="2">
        <f t="shared" si="14"/>
        <v>45.4</v>
      </c>
      <c r="J136" s="4">
        <f t="shared" si="15"/>
        <v>4.413</v>
      </c>
      <c r="K136" s="9">
        <f t="shared" si="16"/>
        <v>-12</v>
      </c>
      <c r="L136" s="1">
        <f t="shared" si="17"/>
        <v>-30.9</v>
      </c>
    </row>
    <row r="137" s="1" customFormat="1" spans="1:12">
      <c r="A137" s="2">
        <v>4.48</v>
      </c>
      <c r="B137" s="10" t="s">
        <v>566</v>
      </c>
      <c r="C137" s="4">
        <v>4.48</v>
      </c>
      <c r="D137" s="5">
        <v>45.3</v>
      </c>
      <c r="E137" s="4"/>
      <c r="F137" s="4"/>
      <c r="G137" s="2">
        <f t="shared" si="12"/>
        <v>4.446</v>
      </c>
      <c r="H137" s="11" t="str">
        <f t="shared" si="13"/>
        <v>2.980E-2</v>
      </c>
      <c r="I137" s="2">
        <f t="shared" si="14"/>
        <v>45.8</v>
      </c>
      <c r="J137" s="4">
        <f t="shared" si="15"/>
        <v>4.446</v>
      </c>
      <c r="K137" s="9">
        <f t="shared" si="16"/>
        <v>-12.1</v>
      </c>
      <c r="L137" s="1">
        <f t="shared" si="17"/>
        <v>-30.9</v>
      </c>
    </row>
    <row r="138" s="1" customFormat="1" spans="1:12">
      <c r="A138" s="2">
        <v>4.513</v>
      </c>
      <c r="B138" s="10" t="s">
        <v>500</v>
      </c>
      <c r="C138" s="4">
        <v>4.513</v>
      </c>
      <c r="D138" s="5">
        <v>45.5</v>
      </c>
      <c r="E138" s="4"/>
      <c r="F138" s="4"/>
      <c r="G138" s="2">
        <f t="shared" si="12"/>
        <v>4.48</v>
      </c>
      <c r="H138" s="11" t="str">
        <f t="shared" si="13"/>
        <v>2.981E-2</v>
      </c>
      <c r="I138" s="2">
        <f t="shared" si="14"/>
        <v>45.3</v>
      </c>
      <c r="J138" s="4">
        <f t="shared" si="15"/>
        <v>4.48</v>
      </c>
      <c r="K138" s="9">
        <f t="shared" si="16"/>
        <v>-12</v>
      </c>
      <c r="L138" s="1">
        <f t="shared" si="17"/>
        <v>-30.9</v>
      </c>
    </row>
    <row r="139" s="1" customFormat="1" spans="1:12">
      <c r="A139" s="2">
        <v>4.546</v>
      </c>
      <c r="B139" s="10" t="s">
        <v>495</v>
      </c>
      <c r="C139" s="4">
        <v>4.546</v>
      </c>
      <c r="D139" s="5">
        <v>253.9</v>
      </c>
      <c r="E139" s="4"/>
      <c r="F139" s="4"/>
      <c r="G139" s="2">
        <f t="shared" si="12"/>
        <v>4.513</v>
      </c>
      <c r="H139" s="11" t="str">
        <f t="shared" si="13"/>
        <v>2.984E-2</v>
      </c>
      <c r="I139" s="2">
        <f t="shared" si="14"/>
        <v>45.5</v>
      </c>
      <c r="J139" s="4">
        <f t="shared" si="15"/>
        <v>4.513</v>
      </c>
      <c r="K139" s="9">
        <f t="shared" si="16"/>
        <v>-11.7</v>
      </c>
      <c r="L139" s="1">
        <f t="shared" si="17"/>
        <v>-30.9</v>
      </c>
    </row>
    <row r="140" s="1" customFormat="1" spans="1:12">
      <c r="A140" s="2">
        <v>4.58</v>
      </c>
      <c r="B140" s="10" t="s">
        <v>572</v>
      </c>
      <c r="C140" s="4">
        <v>4.58</v>
      </c>
      <c r="D140" s="5">
        <v>253.8</v>
      </c>
      <c r="E140" s="4"/>
      <c r="F140" s="4"/>
      <c r="G140" s="2">
        <f t="shared" si="12"/>
        <v>4.546</v>
      </c>
      <c r="H140" s="11" t="str">
        <f t="shared" si="13"/>
        <v>2.987E-2</v>
      </c>
      <c r="I140" s="2">
        <f t="shared" si="14"/>
        <v>253.9</v>
      </c>
      <c r="J140" s="4">
        <f t="shared" si="15"/>
        <v>4.546</v>
      </c>
      <c r="K140" s="9">
        <f t="shared" si="16"/>
        <v>-11.4</v>
      </c>
      <c r="L140" s="1">
        <f t="shared" si="17"/>
        <v>12.1</v>
      </c>
    </row>
    <row r="141" s="1" customFormat="1" spans="1:12">
      <c r="A141" s="2">
        <v>4.613</v>
      </c>
      <c r="B141" s="10" t="s">
        <v>491</v>
      </c>
      <c r="C141" s="4">
        <v>4.613</v>
      </c>
      <c r="D141" s="5">
        <v>253.8</v>
      </c>
      <c r="E141" s="4"/>
      <c r="F141" s="4"/>
      <c r="G141" s="2">
        <f t="shared" si="12"/>
        <v>4.58</v>
      </c>
      <c r="H141" s="11" t="str">
        <f t="shared" si="13"/>
        <v>2.989E-2</v>
      </c>
      <c r="I141" s="2">
        <f t="shared" si="14"/>
        <v>253.8</v>
      </c>
      <c r="J141" s="4">
        <f t="shared" si="15"/>
        <v>4.58</v>
      </c>
      <c r="K141" s="9">
        <f t="shared" si="16"/>
        <v>-11.2</v>
      </c>
      <c r="L141" s="1">
        <f t="shared" si="17"/>
        <v>12.1</v>
      </c>
    </row>
    <row r="142" s="1" customFormat="1" spans="1:12">
      <c r="A142" s="2">
        <v>4.647</v>
      </c>
      <c r="B142" s="10" t="s">
        <v>559</v>
      </c>
      <c r="C142" s="4">
        <v>4.647</v>
      </c>
      <c r="D142" s="5">
        <v>253.8</v>
      </c>
      <c r="E142" s="4"/>
      <c r="F142" s="4"/>
      <c r="G142" s="2">
        <f t="shared" si="12"/>
        <v>4.613</v>
      </c>
      <c r="H142" s="11" t="str">
        <f t="shared" si="13"/>
        <v>2.999E-2</v>
      </c>
      <c r="I142" s="2">
        <f t="shared" si="14"/>
        <v>253.8</v>
      </c>
      <c r="J142" s="4">
        <f t="shared" si="15"/>
        <v>4.613</v>
      </c>
      <c r="K142" s="9">
        <f t="shared" si="16"/>
        <v>-10.2</v>
      </c>
      <c r="L142" s="1">
        <f t="shared" si="17"/>
        <v>12.1</v>
      </c>
    </row>
    <row r="143" s="1" customFormat="1" spans="1:12">
      <c r="A143" s="2">
        <v>4.68</v>
      </c>
      <c r="B143" s="10" t="s">
        <v>545</v>
      </c>
      <c r="C143" s="4">
        <v>4.68</v>
      </c>
      <c r="D143" s="5">
        <v>253.8</v>
      </c>
      <c r="E143" s="4"/>
      <c r="F143" s="4"/>
      <c r="G143" s="2">
        <f t="shared" si="12"/>
        <v>4.647</v>
      </c>
      <c r="H143" s="11" t="str">
        <f t="shared" si="13"/>
        <v>3.011E-2</v>
      </c>
      <c r="I143" s="2">
        <f t="shared" si="14"/>
        <v>253.8</v>
      </c>
      <c r="J143" s="4">
        <f t="shared" si="15"/>
        <v>4.647</v>
      </c>
      <c r="K143" s="9">
        <f t="shared" si="16"/>
        <v>-8.99999999999998</v>
      </c>
      <c r="L143" s="1">
        <f t="shared" si="17"/>
        <v>12.1</v>
      </c>
    </row>
    <row r="144" s="1" customFormat="1" spans="1:12">
      <c r="A144" s="2">
        <v>4.714</v>
      </c>
      <c r="B144" s="10" t="s">
        <v>554</v>
      </c>
      <c r="C144" s="4">
        <v>4.714</v>
      </c>
      <c r="D144" s="5">
        <v>253.8</v>
      </c>
      <c r="E144" s="4"/>
      <c r="F144" s="4"/>
      <c r="G144" s="2">
        <f t="shared" si="12"/>
        <v>4.68</v>
      </c>
      <c r="H144" s="11" t="str">
        <f t="shared" si="13"/>
        <v>3.023E-2</v>
      </c>
      <c r="I144" s="2">
        <f t="shared" si="14"/>
        <v>253.8</v>
      </c>
      <c r="J144" s="4">
        <f t="shared" si="15"/>
        <v>4.68</v>
      </c>
      <c r="K144" s="9">
        <f t="shared" si="16"/>
        <v>-7.79999999999999</v>
      </c>
      <c r="L144" s="1">
        <f t="shared" si="17"/>
        <v>12.1</v>
      </c>
    </row>
    <row r="145" s="1" customFormat="1" spans="1:12">
      <c r="A145" s="2">
        <v>4.747</v>
      </c>
      <c r="B145" s="10" t="s">
        <v>654</v>
      </c>
      <c r="C145" s="4">
        <v>4.747</v>
      </c>
      <c r="D145" s="5">
        <v>253.8</v>
      </c>
      <c r="E145" s="4"/>
      <c r="F145" s="4"/>
      <c r="G145" s="2">
        <f t="shared" si="12"/>
        <v>4.714</v>
      </c>
      <c r="H145" s="11" t="str">
        <f t="shared" si="13"/>
        <v>3.033E-2</v>
      </c>
      <c r="I145" s="2">
        <f t="shared" si="14"/>
        <v>253.8</v>
      </c>
      <c r="J145" s="4">
        <f t="shared" si="15"/>
        <v>4.714</v>
      </c>
      <c r="K145" s="9">
        <f t="shared" si="16"/>
        <v>-6.8</v>
      </c>
      <c r="L145" s="1">
        <f t="shared" si="17"/>
        <v>12.1</v>
      </c>
    </row>
    <row r="146" s="1" customFormat="1" spans="1:12">
      <c r="A146" s="2">
        <v>4.78</v>
      </c>
      <c r="B146" s="10" t="s">
        <v>736</v>
      </c>
      <c r="C146" s="4">
        <v>4.78</v>
      </c>
      <c r="D146" s="5">
        <v>253.8</v>
      </c>
      <c r="E146" s="4"/>
      <c r="F146" s="4"/>
      <c r="G146" s="2">
        <f t="shared" si="12"/>
        <v>4.747</v>
      </c>
      <c r="H146" s="11" t="str">
        <f t="shared" si="13"/>
        <v>3.048E-2</v>
      </c>
      <c r="I146" s="2">
        <f t="shared" si="14"/>
        <v>253.8</v>
      </c>
      <c r="J146" s="4">
        <f t="shared" si="15"/>
        <v>4.747</v>
      </c>
      <c r="K146" s="9">
        <f t="shared" si="16"/>
        <v>-5.29999999999999</v>
      </c>
      <c r="L146" s="1">
        <f t="shared" si="17"/>
        <v>12.1</v>
      </c>
    </row>
    <row r="147" s="1" customFormat="1" spans="1:12">
      <c r="A147" s="2">
        <v>4.814</v>
      </c>
      <c r="B147" s="10" t="s">
        <v>737</v>
      </c>
      <c r="C147" s="4">
        <v>4.814</v>
      </c>
      <c r="D147" s="5">
        <v>253.7</v>
      </c>
      <c r="E147" s="4"/>
      <c r="F147" s="4"/>
      <c r="G147" s="2">
        <f t="shared" si="12"/>
        <v>4.78</v>
      </c>
      <c r="H147" s="11" t="str">
        <f t="shared" si="13"/>
        <v>3.065E-2</v>
      </c>
      <c r="I147" s="2">
        <f t="shared" si="14"/>
        <v>253.8</v>
      </c>
      <c r="J147" s="4">
        <f t="shared" si="15"/>
        <v>4.78</v>
      </c>
      <c r="K147" s="9">
        <f t="shared" si="16"/>
        <v>-3.59999999999999</v>
      </c>
      <c r="L147" s="1">
        <f t="shared" si="17"/>
        <v>12.1</v>
      </c>
    </row>
    <row r="148" s="1" customFormat="1" spans="1:12">
      <c r="A148" s="2">
        <v>4.847</v>
      </c>
      <c r="B148" s="10" t="s">
        <v>730</v>
      </c>
      <c r="C148" s="4">
        <v>4.847</v>
      </c>
      <c r="D148" s="5">
        <v>253.7</v>
      </c>
      <c r="E148" s="4"/>
      <c r="F148" s="4"/>
      <c r="G148" s="2">
        <f t="shared" si="12"/>
        <v>4.814</v>
      </c>
      <c r="H148" s="11" t="str">
        <f t="shared" si="13"/>
        <v>3.084E-2</v>
      </c>
      <c r="I148" s="2">
        <f t="shared" si="14"/>
        <v>253.7</v>
      </c>
      <c r="J148" s="4">
        <f t="shared" si="15"/>
        <v>4.814</v>
      </c>
      <c r="K148" s="9">
        <f t="shared" si="16"/>
        <v>-1.7</v>
      </c>
      <c r="L148" s="1">
        <f t="shared" si="17"/>
        <v>12.1</v>
      </c>
    </row>
    <row r="149" s="1" customFormat="1" spans="1:12">
      <c r="A149" s="2">
        <v>4.881</v>
      </c>
      <c r="B149" s="10" t="s">
        <v>638</v>
      </c>
      <c r="C149" s="4">
        <v>4.881</v>
      </c>
      <c r="D149" s="5">
        <v>253.7</v>
      </c>
      <c r="E149" s="4"/>
      <c r="F149" s="4"/>
      <c r="G149" s="2">
        <f t="shared" si="12"/>
        <v>4.847</v>
      </c>
      <c r="H149" s="11" t="str">
        <f t="shared" si="13"/>
        <v>3.093E-2</v>
      </c>
      <c r="I149" s="2">
        <f t="shared" si="14"/>
        <v>253.7</v>
      </c>
      <c r="J149" s="4">
        <f t="shared" si="15"/>
        <v>4.847</v>
      </c>
      <c r="K149" s="9">
        <f t="shared" si="16"/>
        <v>-0.800000000000002</v>
      </c>
      <c r="L149" s="1">
        <f t="shared" si="17"/>
        <v>12.1</v>
      </c>
    </row>
    <row r="150" s="1" customFormat="1" spans="1:12">
      <c r="A150" s="2">
        <v>4.914</v>
      </c>
      <c r="B150" s="10" t="s">
        <v>639</v>
      </c>
      <c r="C150" s="4">
        <v>4.914</v>
      </c>
      <c r="D150" s="5">
        <v>253.7</v>
      </c>
      <c r="E150" s="4"/>
      <c r="F150" s="4"/>
      <c r="G150" s="2">
        <f t="shared" si="12"/>
        <v>4.881</v>
      </c>
      <c r="H150" s="11" t="str">
        <f t="shared" si="13"/>
        <v>3.106E-2</v>
      </c>
      <c r="I150" s="2">
        <f t="shared" si="14"/>
        <v>253.7</v>
      </c>
      <c r="J150" s="4">
        <f t="shared" si="15"/>
        <v>4.881</v>
      </c>
      <c r="K150" s="9">
        <f t="shared" si="16"/>
        <v>0.500000000000014</v>
      </c>
      <c r="L150" s="1">
        <f t="shared" si="17"/>
        <v>12.1</v>
      </c>
    </row>
    <row r="151" s="1" customFormat="1" spans="1:12">
      <c r="A151" s="2">
        <v>4.948</v>
      </c>
      <c r="B151" s="10" t="s">
        <v>689</v>
      </c>
      <c r="C151" s="4">
        <v>4.948</v>
      </c>
      <c r="D151" s="5">
        <v>253.8</v>
      </c>
      <c r="E151" s="4"/>
      <c r="F151" s="4"/>
      <c r="G151" s="2">
        <f t="shared" si="12"/>
        <v>4.914</v>
      </c>
      <c r="H151" s="11" t="str">
        <f t="shared" si="13"/>
        <v>3.113E-2</v>
      </c>
      <c r="I151" s="2">
        <f t="shared" si="14"/>
        <v>253.7</v>
      </c>
      <c r="J151" s="4">
        <f t="shared" si="15"/>
        <v>4.914</v>
      </c>
      <c r="K151" s="9">
        <f t="shared" si="16"/>
        <v>1.20000000000002</v>
      </c>
      <c r="L151" s="1">
        <f t="shared" si="17"/>
        <v>12.1</v>
      </c>
    </row>
    <row r="152" s="1" customFormat="1" spans="1:12">
      <c r="A152" s="2">
        <v>4.981</v>
      </c>
      <c r="B152" s="10" t="s">
        <v>738</v>
      </c>
      <c r="C152" s="4">
        <v>4.981</v>
      </c>
      <c r="D152" s="5">
        <v>253.7</v>
      </c>
      <c r="E152" s="4"/>
      <c r="F152" s="4"/>
      <c r="G152" s="2">
        <f t="shared" si="12"/>
        <v>4.948</v>
      </c>
      <c r="H152" s="11" t="str">
        <f t="shared" si="13"/>
        <v>3.120E-2</v>
      </c>
      <c r="I152" s="2">
        <f t="shared" si="14"/>
        <v>253.8</v>
      </c>
      <c r="J152" s="4">
        <f t="shared" si="15"/>
        <v>4.948</v>
      </c>
      <c r="K152" s="9">
        <f t="shared" si="16"/>
        <v>1.89999999999999</v>
      </c>
      <c r="L152" s="1">
        <f t="shared" si="17"/>
        <v>12.1</v>
      </c>
    </row>
    <row r="153" s="1" customFormat="1" spans="1:12">
      <c r="A153" s="2">
        <v>5.014</v>
      </c>
      <c r="B153" s="10" t="s">
        <v>630</v>
      </c>
      <c r="C153" s="4">
        <v>5.014</v>
      </c>
      <c r="D153" s="5">
        <v>253.8</v>
      </c>
      <c r="E153" s="4"/>
      <c r="F153" s="4"/>
      <c r="G153" s="2">
        <f t="shared" si="12"/>
        <v>4.981</v>
      </c>
      <c r="H153" s="11" t="str">
        <f t="shared" si="13"/>
        <v>3.129E-2</v>
      </c>
      <c r="I153" s="2">
        <f t="shared" si="14"/>
        <v>253.7</v>
      </c>
      <c r="J153" s="4">
        <f t="shared" si="15"/>
        <v>4.981</v>
      </c>
      <c r="K153" s="9">
        <f t="shared" si="16"/>
        <v>2.79999999999999</v>
      </c>
      <c r="L153" s="1">
        <f t="shared" si="17"/>
        <v>12.1</v>
      </c>
    </row>
    <row r="154" s="1" customFormat="1" spans="1:12">
      <c r="A154" s="2">
        <v>5.048</v>
      </c>
      <c r="B154" s="10" t="s">
        <v>712</v>
      </c>
      <c r="C154" s="4">
        <v>5.048</v>
      </c>
      <c r="D154" s="5">
        <v>253.8</v>
      </c>
      <c r="E154" s="4"/>
      <c r="F154" s="4"/>
      <c r="G154" s="2">
        <f t="shared" si="12"/>
        <v>5.014</v>
      </c>
      <c r="H154" s="11" t="str">
        <f t="shared" si="13"/>
        <v>3.134E-2</v>
      </c>
      <c r="I154" s="2">
        <f t="shared" si="14"/>
        <v>253.8</v>
      </c>
      <c r="J154" s="4">
        <f t="shared" si="15"/>
        <v>5.014</v>
      </c>
      <c r="K154" s="9">
        <f t="shared" si="16"/>
        <v>3.3</v>
      </c>
      <c r="L154" s="1">
        <f t="shared" si="17"/>
        <v>12.1</v>
      </c>
    </row>
    <row r="155" s="1" customFormat="1" spans="1:12">
      <c r="A155" s="2">
        <v>5.081</v>
      </c>
      <c r="B155" s="10" t="s">
        <v>722</v>
      </c>
      <c r="C155" s="4">
        <v>5.081</v>
      </c>
      <c r="D155" s="5">
        <v>253.8</v>
      </c>
      <c r="E155" s="4"/>
      <c r="F155" s="4"/>
      <c r="G155" s="2">
        <f t="shared" si="12"/>
        <v>5.048</v>
      </c>
      <c r="H155" s="11" t="str">
        <f t="shared" si="13"/>
        <v>3.135E-2</v>
      </c>
      <c r="I155" s="2">
        <f t="shared" si="14"/>
        <v>253.8</v>
      </c>
      <c r="J155" s="4">
        <f t="shared" si="15"/>
        <v>5.048</v>
      </c>
      <c r="K155" s="9">
        <f t="shared" si="16"/>
        <v>3.40000000000003</v>
      </c>
      <c r="L155" s="1">
        <f t="shared" si="17"/>
        <v>12.1</v>
      </c>
    </row>
    <row r="156" s="1" customFormat="1" spans="1:12">
      <c r="A156" s="2">
        <v>5.115</v>
      </c>
      <c r="B156" s="10" t="s">
        <v>630</v>
      </c>
      <c r="C156" s="4">
        <v>5.115</v>
      </c>
      <c r="D156" s="5">
        <v>253.8</v>
      </c>
      <c r="E156" s="4"/>
      <c r="F156" s="4"/>
      <c r="G156" s="2">
        <f t="shared" si="12"/>
        <v>5.081</v>
      </c>
      <c r="H156" s="11" t="str">
        <f t="shared" si="13"/>
        <v>3.136E-2</v>
      </c>
      <c r="I156" s="2">
        <f t="shared" si="14"/>
        <v>253.8</v>
      </c>
      <c r="J156" s="4">
        <f t="shared" si="15"/>
        <v>5.081</v>
      </c>
      <c r="K156" s="9">
        <f t="shared" si="16"/>
        <v>3.5</v>
      </c>
      <c r="L156" s="1">
        <f t="shared" si="17"/>
        <v>12.1</v>
      </c>
    </row>
    <row r="157" s="1" customFormat="1" spans="1:12">
      <c r="A157" s="2">
        <v>5.148</v>
      </c>
      <c r="B157" s="10" t="s">
        <v>739</v>
      </c>
      <c r="C157" s="4">
        <v>5.148</v>
      </c>
      <c r="D157" s="5">
        <v>253.6</v>
      </c>
      <c r="E157" s="4"/>
      <c r="F157" s="4"/>
      <c r="G157" s="2">
        <f t="shared" si="12"/>
        <v>5.115</v>
      </c>
      <c r="H157" s="11" t="str">
        <f t="shared" si="13"/>
        <v>3.134E-2</v>
      </c>
      <c r="I157" s="2">
        <f t="shared" si="14"/>
        <v>253.8</v>
      </c>
      <c r="J157" s="4">
        <f t="shared" si="15"/>
        <v>5.115</v>
      </c>
      <c r="K157" s="9">
        <f t="shared" si="16"/>
        <v>3.3</v>
      </c>
      <c r="L157" s="1">
        <f t="shared" si="17"/>
        <v>12.1</v>
      </c>
    </row>
    <row r="158" s="1" customFormat="1" spans="1:12">
      <c r="A158" s="2">
        <v>5.182</v>
      </c>
      <c r="B158" s="10" t="s">
        <v>740</v>
      </c>
      <c r="C158" s="4">
        <v>5.182</v>
      </c>
      <c r="D158" s="5">
        <v>68</v>
      </c>
      <c r="E158" s="4"/>
      <c r="F158" s="4"/>
      <c r="G158" s="2">
        <f t="shared" si="12"/>
        <v>5.148</v>
      </c>
      <c r="H158" s="11" t="str">
        <f t="shared" si="13"/>
        <v>3.130E-2</v>
      </c>
      <c r="I158" s="2">
        <f t="shared" si="14"/>
        <v>253.6</v>
      </c>
      <c r="J158" s="4">
        <f t="shared" si="15"/>
        <v>5.148</v>
      </c>
      <c r="K158" s="9">
        <f t="shared" si="16"/>
        <v>2.90000000000002</v>
      </c>
      <c r="L158" s="1">
        <f t="shared" si="17"/>
        <v>12.1</v>
      </c>
    </row>
    <row r="159" s="1" customFormat="1" spans="1:12">
      <c r="A159" s="2">
        <v>5.215</v>
      </c>
      <c r="B159" s="10" t="s">
        <v>741</v>
      </c>
      <c r="C159" s="4">
        <v>5.215</v>
      </c>
      <c r="D159" s="5">
        <v>68</v>
      </c>
      <c r="E159" s="4"/>
      <c r="F159" s="4"/>
      <c r="G159" s="2">
        <f t="shared" si="12"/>
        <v>5.182</v>
      </c>
      <c r="H159" s="11" t="str">
        <f t="shared" si="13"/>
        <v>3.128E-2</v>
      </c>
      <c r="I159" s="2">
        <f t="shared" si="14"/>
        <v>68</v>
      </c>
      <c r="J159" s="4">
        <f t="shared" si="15"/>
        <v>5.182</v>
      </c>
      <c r="K159" s="9">
        <f t="shared" si="16"/>
        <v>2.70000000000003</v>
      </c>
      <c r="L159" s="1">
        <f t="shared" si="17"/>
        <v>-30.9</v>
      </c>
    </row>
    <row r="160" s="1" customFormat="1" spans="1:12">
      <c r="A160" s="2">
        <v>5.248</v>
      </c>
      <c r="B160" s="10" t="s">
        <v>639</v>
      </c>
      <c r="C160" s="4">
        <v>5.248</v>
      </c>
      <c r="D160" s="5">
        <v>67.7</v>
      </c>
      <c r="E160" s="4"/>
      <c r="F160" s="4"/>
      <c r="G160" s="2">
        <f t="shared" si="12"/>
        <v>5.215</v>
      </c>
      <c r="H160" s="11" t="str">
        <f t="shared" si="13"/>
        <v>3.122E-2</v>
      </c>
      <c r="I160" s="2">
        <f t="shared" si="14"/>
        <v>68</v>
      </c>
      <c r="J160" s="4">
        <f t="shared" si="15"/>
        <v>5.215</v>
      </c>
      <c r="K160" s="9">
        <f t="shared" si="16"/>
        <v>2.10000000000002</v>
      </c>
      <c r="L160" s="1">
        <f t="shared" si="17"/>
        <v>-30.9</v>
      </c>
    </row>
    <row r="161" s="1" customFormat="1" spans="1:12">
      <c r="A161" s="2">
        <v>5.282</v>
      </c>
      <c r="B161" s="10" t="s">
        <v>725</v>
      </c>
      <c r="C161" s="4">
        <v>5.282</v>
      </c>
      <c r="D161" s="5">
        <v>67.2</v>
      </c>
      <c r="E161" s="4"/>
      <c r="F161" s="4"/>
      <c r="G161" s="2">
        <f t="shared" si="12"/>
        <v>5.248</v>
      </c>
      <c r="H161" s="11" t="str">
        <f t="shared" si="13"/>
        <v>3.113E-2</v>
      </c>
      <c r="I161" s="2">
        <f t="shared" si="14"/>
        <v>67.7</v>
      </c>
      <c r="J161" s="4">
        <f t="shared" si="15"/>
        <v>5.248</v>
      </c>
      <c r="K161" s="9">
        <f t="shared" si="16"/>
        <v>1.20000000000002</v>
      </c>
      <c r="L161" s="1">
        <f t="shared" si="17"/>
        <v>-30.9</v>
      </c>
    </row>
    <row r="162" s="1" customFormat="1" spans="1:12">
      <c r="A162" s="2">
        <v>5.315</v>
      </c>
      <c r="B162" s="10" t="s">
        <v>707</v>
      </c>
      <c r="C162" s="4">
        <v>5.315</v>
      </c>
      <c r="D162" s="5">
        <v>66.7</v>
      </c>
      <c r="E162" s="4"/>
      <c r="F162" s="4"/>
      <c r="G162" s="2">
        <f t="shared" si="12"/>
        <v>5.282</v>
      </c>
      <c r="H162" s="11" t="str">
        <f t="shared" si="13"/>
        <v>3.097E-2</v>
      </c>
      <c r="I162" s="2">
        <f t="shared" si="14"/>
        <v>67.2</v>
      </c>
      <c r="J162" s="4">
        <f t="shared" si="15"/>
        <v>5.282</v>
      </c>
      <c r="K162" s="9">
        <f t="shared" si="16"/>
        <v>-0.399999999999984</v>
      </c>
      <c r="L162" s="1">
        <f t="shared" si="17"/>
        <v>-30.9</v>
      </c>
    </row>
    <row r="163" s="1" customFormat="1" spans="1:12">
      <c r="A163" s="2">
        <v>5.349</v>
      </c>
      <c r="B163" s="10" t="s">
        <v>691</v>
      </c>
      <c r="C163" s="4">
        <v>5.349</v>
      </c>
      <c r="D163" s="5">
        <v>66.2</v>
      </c>
      <c r="E163" s="4"/>
      <c r="F163" s="4"/>
      <c r="G163" s="2">
        <f t="shared" si="12"/>
        <v>5.315</v>
      </c>
      <c r="H163" s="11" t="str">
        <f t="shared" si="13"/>
        <v>3.083E-2</v>
      </c>
      <c r="I163" s="2">
        <f t="shared" si="14"/>
        <v>66.7</v>
      </c>
      <c r="J163" s="4">
        <f t="shared" si="15"/>
        <v>5.315</v>
      </c>
      <c r="K163" s="9">
        <f t="shared" si="16"/>
        <v>-1.8</v>
      </c>
      <c r="L163" s="1">
        <f t="shared" si="17"/>
        <v>-30.9</v>
      </c>
    </row>
    <row r="164" s="1" customFormat="1" spans="1:12">
      <c r="A164" s="2">
        <v>5.382</v>
      </c>
      <c r="B164" s="10" t="s">
        <v>553</v>
      </c>
      <c r="C164" s="4">
        <v>5.382</v>
      </c>
      <c r="D164" s="5">
        <v>65.9</v>
      </c>
      <c r="E164" s="4"/>
      <c r="F164" s="4"/>
      <c r="G164" s="2">
        <f t="shared" si="12"/>
        <v>5.349</v>
      </c>
      <c r="H164" s="11" t="str">
        <f t="shared" si="13"/>
        <v>3.058E-2</v>
      </c>
      <c r="I164" s="2">
        <f t="shared" si="14"/>
        <v>66.2</v>
      </c>
      <c r="J164" s="4">
        <f t="shared" si="15"/>
        <v>5.349</v>
      </c>
      <c r="K164" s="9">
        <f t="shared" si="16"/>
        <v>-4.3</v>
      </c>
      <c r="L164" s="1">
        <f t="shared" si="17"/>
        <v>-30.9</v>
      </c>
    </row>
    <row r="165" s="1" customFormat="1" spans="1:12">
      <c r="A165" s="2">
        <v>5.416</v>
      </c>
      <c r="B165" s="10" t="s">
        <v>558</v>
      </c>
      <c r="C165" s="4">
        <v>5.416</v>
      </c>
      <c r="D165" s="5">
        <v>65.3</v>
      </c>
      <c r="E165" s="4"/>
      <c r="F165" s="4"/>
      <c r="G165" s="2">
        <f t="shared" si="12"/>
        <v>5.382</v>
      </c>
      <c r="H165" s="11" t="str">
        <f t="shared" si="13"/>
        <v>3.037E-2</v>
      </c>
      <c r="I165" s="2">
        <f t="shared" si="14"/>
        <v>65.9</v>
      </c>
      <c r="J165" s="4">
        <f t="shared" si="15"/>
        <v>5.382</v>
      </c>
      <c r="K165" s="9">
        <f t="shared" si="16"/>
        <v>-6.39999999999998</v>
      </c>
      <c r="L165" s="1">
        <f t="shared" si="17"/>
        <v>-30.9</v>
      </c>
    </row>
    <row r="166" s="1" customFormat="1" spans="1:12">
      <c r="A166" s="2">
        <v>5.449</v>
      </c>
      <c r="B166" s="10" t="s">
        <v>494</v>
      </c>
      <c r="C166" s="4">
        <v>5.449</v>
      </c>
      <c r="D166" s="5">
        <v>64.6</v>
      </c>
      <c r="E166" s="4"/>
      <c r="F166" s="4"/>
      <c r="G166" s="2">
        <f t="shared" si="12"/>
        <v>5.416</v>
      </c>
      <c r="H166" s="11" t="str">
        <f t="shared" si="13"/>
        <v>3.013E-2</v>
      </c>
      <c r="I166" s="2">
        <f t="shared" si="14"/>
        <v>65.3</v>
      </c>
      <c r="J166" s="4">
        <f t="shared" si="15"/>
        <v>5.416</v>
      </c>
      <c r="K166" s="9">
        <f t="shared" si="16"/>
        <v>-8.79999999999999</v>
      </c>
      <c r="L166" s="1">
        <f t="shared" si="17"/>
        <v>-30.9</v>
      </c>
    </row>
    <row r="167" s="1" customFormat="1" spans="1:12">
      <c r="A167" s="2">
        <v>5.483</v>
      </c>
      <c r="B167" s="10" t="s">
        <v>522</v>
      </c>
      <c r="C167" s="4">
        <v>5.483</v>
      </c>
      <c r="D167" s="5">
        <v>63.8</v>
      </c>
      <c r="E167" s="4"/>
      <c r="F167" s="4"/>
      <c r="G167" s="2">
        <f t="shared" si="12"/>
        <v>5.449</v>
      </c>
      <c r="H167" s="11" t="str">
        <f t="shared" si="13"/>
        <v>2.990E-2</v>
      </c>
      <c r="I167" s="2">
        <f t="shared" si="14"/>
        <v>64.6</v>
      </c>
      <c r="J167" s="4">
        <f t="shared" si="15"/>
        <v>5.449</v>
      </c>
      <c r="K167" s="9">
        <f t="shared" si="16"/>
        <v>-11.1</v>
      </c>
      <c r="L167" s="1">
        <f t="shared" si="17"/>
        <v>-30.9</v>
      </c>
    </row>
    <row r="168" s="1" customFormat="1" spans="1:12">
      <c r="A168" s="2">
        <v>5.516</v>
      </c>
      <c r="B168" s="10" t="s">
        <v>513</v>
      </c>
      <c r="C168" s="4">
        <v>5.516</v>
      </c>
      <c r="D168" s="5">
        <v>62.6</v>
      </c>
      <c r="E168" s="4"/>
      <c r="F168" s="4"/>
      <c r="G168" s="2">
        <f t="shared" si="12"/>
        <v>5.483</v>
      </c>
      <c r="H168" s="11" t="str">
        <f t="shared" si="13"/>
        <v>2.967E-2</v>
      </c>
      <c r="I168" s="2">
        <f t="shared" si="14"/>
        <v>63.8</v>
      </c>
      <c r="J168" s="4">
        <f t="shared" si="15"/>
        <v>5.483</v>
      </c>
      <c r="K168" s="9">
        <f t="shared" si="16"/>
        <v>-13.4</v>
      </c>
      <c r="L168" s="1">
        <f t="shared" si="17"/>
        <v>-30.9</v>
      </c>
    </row>
    <row r="169" s="1" customFormat="1" spans="1:12">
      <c r="A169" s="2">
        <v>5.549</v>
      </c>
      <c r="B169" s="10" t="s">
        <v>742</v>
      </c>
      <c r="C169" s="4">
        <v>5.549</v>
      </c>
      <c r="D169" s="5">
        <v>61.9</v>
      </c>
      <c r="E169" s="4"/>
      <c r="F169" s="4"/>
      <c r="G169" s="2">
        <f t="shared" si="12"/>
        <v>5.516</v>
      </c>
      <c r="H169" s="11" t="str">
        <f t="shared" si="13"/>
        <v>2.950E-2</v>
      </c>
      <c r="I169" s="2">
        <f t="shared" si="14"/>
        <v>62.6</v>
      </c>
      <c r="J169" s="4">
        <f t="shared" si="15"/>
        <v>5.516</v>
      </c>
      <c r="K169" s="9">
        <f t="shared" si="16"/>
        <v>-15.1</v>
      </c>
      <c r="L169" s="1">
        <f t="shared" si="17"/>
        <v>-30.9</v>
      </c>
    </row>
    <row r="170" s="1" customFormat="1" spans="1:12">
      <c r="A170" s="2">
        <v>5.583</v>
      </c>
      <c r="B170" s="10" t="s">
        <v>743</v>
      </c>
      <c r="C170" s="4">
        <v>5.583</v>
      </c>
      <c r="D170" s="5">
        <v>61.8</v>
      </c>
      <c r="E170" s="4"/>
      <c r="F170" s="4"/>
      <c r="G170" s="2">
        <f t="shared" si="12"/>
        <v>5.549</v>
      </c>
      <c r="H170" s="11" t="str">
        <f t="shared" si="13"/>
        <v>2.928E-2</v>
      </c>
      <c r="I170" s="2">
        <f t="shared" si="14"/>
        <v>61.9</v>
      </c>
      <c r="J170" s="4">
        <f t="shared" si="15"/>
        <v>5.549</v>
      </c>
      <c r="K170" s="9">
        <f t="shared" si="16"/>
        <v>-17.3</v>
      </c>
      <c r="L170" s="1">
        <f t="shared" si="17"/>
        <v>-30.9</v>
      </c>
    </row>
    <row r="171" s="1" customFormat="1" spans="1:12">
      <c r="A171" s="2">
        <v>5.616</v>
      </c>
      <c r="B171" s="10" t="s">
        <v>744</v>
      </c>
      <c r="C171" s="4">
        <v>5.616</v>
      </c>
      <c r="D171" s="5">
        <v>60.9</v>
      </c>
      <c r="E171" s="4"/>
      <c r="F171" s="4"/>
      <c r="G171" s="2">
        <f t="shared" si="12"/>
        <v>5.583</v>
      </c>
      <c r="H171" s="11" t="str">
        <f t="shared" si="13"/>
        <v>2.907E-2</v>
      </c>
      <c r="I171" s="2">
        <f t="shared" si="14"/>
        <v>61.8</v>
      </c>
      <c r="J171" s="4">
        <f t="shared" si="15"/>
        <v>5.583</v>
      </c>
      <c r="K171" s="9">
        <f t="shared" si="16"/>
        <v>-19.4</v>
      </c>
      <c r="L171" s="1">
        <f t="shared" si="17"/>
        <v>-30.9</v>
      </c>
    </row>
    <row r="172" s="1" customFormat="1" spans="1:12">
      <c r="A172" s="2">
        <v>5.65</v>
      </c>
      <c r="B172" s="10" t="s">
        <v>745</v>
      </c>
      <c r="C172" s="4">
        <v>5.65</v>
      </c>
      <c r="D172" s="5">
        <v>60</v>
      </c>
      <c r="E172" s="4"/>
      <c r="F172" s="4"/>
      <c r="G172" s="2">
        <f t="shared" si="12"/>
        <v>5.616</v>
      </c>
      <c r="H172" s="11" t="str">
        <f t="shared" si="13"/>
        <v>2.894E-2</v>
      </c>
      <c r="I172" s="2">
        <f t="shared" si="14"/>
        <v>60.9</v>
      </c>
      <c r="J172" s="4">
        <f t="shared" si="15"/>
        <v>5.616</v>
      </c>
      <c r="K172" s="9">
        <f t="shared" si="16"/>
        <v>-20.7</v>
      </c>
      <c r="L172" s="1">
        <f t="shared" si="17"/>
        <v>-30.9</v>
      </c>
    </row>
    <row r="173" s="1" customFormat="1" spans="1:12">
      <c r="A173" s="2">
        <v>5.683</v>
      </c>
      <c r="B173" s="10" t="s">
        <v>746</v>
      </c>
      <c r="C173" s="4">
        <v>5.683</v>
      </c>
      <c r="D173" s="5">
        <v>59.4</v>
      </c>
      <c r="E173" s="4"/>
      <c r="F173" s="4"/>
      <c r="G173" s="2">
        <f t="shared" si="12"/>
        <v>5.65</v>
      </c>
      <c r="H173" s="11" t="str">
        <f t="shared" si="13"/>
        <v>2.880E-2</v>
      </c>
      <c r="I173" s="2">
        <f t="shared" si="14"/>
        <v>60</v>
      </c>
      <c r="J173" s="4">
        <f t="shared" si="15"/>
        <v>5.65</v>
      </c>
      <c r="K173" s="9">
        <f t="shared" si="16"/>
        <v>-22.1</v>
      </c>
      <c r="L173" s="1">
        <f t="shared" si="17"/>
        <v>-30.9</v>
      </c>
    </row>
    <row r="174" s="1" customFormat="1" spans="1:12">
      <c r="A174" s="2">
        <v>5.717</v>
      </c>
      <c r="B174" s="10" t="s">
        <v>747</v>
      </c>
      <c r="C174" s="4">
        <v>5.717</v>
      </c>
      <c r="D174" s="5">
        <v>58.7</v>
      </c>
      <c r="E174" s="4"/>
      <c r="F174" s="4"/>
      <c r="G174" s="2">
        <f t="shared" si="12"/>
        <v>5.683</v>
      </c>
      <c r="H174" s="11" t="str">
        <f t="shared" si="13"/>
        <v>2.876E-2</v>
      </c>
      <c r="I174" s="2">
        <f t="shared" si="14"/>
        <v>59.4</v>
      </c>
      <c r="J174" s="4">
        <f t="shared" si="15"/>
        <v>5.683</v>
      </c>
      <c r="K174" s="9">
        <f t="shared" si="16"/>
        <v>-22.5</v>
      </c>
      <c r="L174" s="1">
        <f t="shared" si="17"/>
        <v>-30.9</v>
      </c>
    </row>
    <row r="175" s="1" customFormat="1" spans="1:12">
      <c r="A175" s="2">
        <v>5.75</v>
      </c>
      <c r="B175" s="10" t="s">
        <v>748</v>
      </c>
      <c r="C175" s="4">
        <v>5.75</v>
      </c>
      <c r="D175" s="5">
        <v>211.8</v>
      </c>
      <c r="E175" s="4"/>
      <c r="F175" s="4"/>
      <c r="G175" s="2">
        <f t="shared" si="12"/>
        <v>5.717</v>
      </c>
      <c r="H175" s="11" t="str">
        <f t="shared" si="13"/>
        <v>2.873E-2</v>
      </c>
      <c r="I175" s="2">
        <f t="shared" si="14"/>
        <v>58.7</v>
      </c>
      <c r="J175" s="4">
        <f t="shared" si="15"/>
        <v>5.717</v>
      </c>
      <c r="K175" s="9">
        <f t="shared" si="16"/>
        <v>-22.8</v>
      </c>
      <c r="L175" s="1">
        <f t="shared" si="17"/>
        <v>-30.9</v>
      </c>
    </row>
    <row r="176" s="1" customFormat="1" spans="1:12">
      <c r="A176" s="2">
        <v>5.783</v>
      </c>
      <c r="B176" s="10" t="s">
        <v>749</v>
      </c>
      <c r="C176" s="4">
        <v>5.783</v>
      </c>
      <c r="D176" s="5">
        <v>253.8</v>
      </c>
      <c r="E176" s="4"/>
      <c r="F176" s="4"/>
      <c r="G176" s="2">
        <f t="shared" si="12"/>
        <v>5.75</v>
      </c>
      <c r="H176" s="11" t="str">
        <f t="shared" si="13"/>
        <v>2.875E-2</v>
      </c>
      <c r="I176" s="2">
        <f t="shared" si="14"/>
        <v>211.8</v>
      </c>
      <c r="J176" s="4">
        <f t="shared" si="15"/>
        <v>5.75</v>
      </c>
      <c r="K176" s="9">
        <f t="shared" si="16"/>
        <v>-22.6</v>
      </c>
      <c r="L176" s="1">
        <f t="shared" si="17"/>
        <v>-30.9</v>
      </c>
    </row>
    <row r="177" s="1" customFormat="1" spans="1:12">
      <c r="A177" s="2">
        <v>5.817</v>
      </c>
      <c r="B177" s="10" t="s">
        <v>750</v>
      </c>
      <c r="C177" s="4">
        <v>5.817</v>
      </c>
      <c r="D177" s="5">
        <v>253.8</v>
      </c>
      <c r="E177" s="4"/>
      <c r="F177" s="4"/>
      <c r="G177" s="2">
        <f t="shared" si="12"/>
        <v>5.783</v>
      </c>
      <c r="H177" s="11" t="str">
        <f t="shared" si="13"/>
        <v>2.878E-2</v>
      </c>
      <c r="I177" s="2">
        <f t="shared" si="14"/>
        <v>253.8</v>
      </c>
      <c r="J177" s="4">
        <f t="shared" si="15"/>
        <v>5.783</v>
      </c>
      <c r="K177" s="9">
        <f t="shared" si="16"/>
        <v>-22.3</v>
      </c>
      <c r="L177" s="1">
        <f t="shared" si="17"/>
        <v>12.1</v>
      </c>
    </row>
    <row r="178" s="1" customFormat="1" spans="1:12">
      <c r="A178" s="2">
        <v>5.85</v>
      </c>
      <c r="B178" s="10" t="s">
        <v>751</v>
      </c>
      <c r="C178" s="4">
        <v>5.85</v>
      </c>
      <c r="D178" s="5">
        <v>253.8</v>
      </c>
      <c r="E178" s="4"/>
      <c r="F178" s="4"/>
      <c r="G178" s="2">
        <f t="shared" si="12"/>
        <v>5.817</v>
      </c>
      <c r="H178" s="11" t="str">
        <f t="shared" si="13"/>
        <v>2.883E-2</v>
      </c>
      <c r="I178" s="2">
        <f t="shared" si="14"/>
        <v>253.8</v>
      </c>
      <c r="J178" s="4">
        <f t="shared" si="15"/>
        <v>5.817</v>
      </c>
      <c r="K178" s="9">
        <f t="shared" si="16"/>
        <v>-21.8</v>
      </c>
      <c r="L178" s="1">
        <f t="shared" si="17"/>
        <v>12.1</v>
      </c>
    </row>
    <row r="179" s="1" customFormat="1" spans="1:12">
      <c r="A179" s="2">
        <v>5.884</v>
      </c>
      <c r="B179" s="10" t="s">
        <v>752</v>
      </c>
      <c r="C179" s="4">
        <v>5.884</v>
      </c>
      <c r="D179" s="5">
        <v>253.8</v>
      </c>
      <c r="E179" s="4"/>
      <c r="F179" s="4"/>
      <c r="G179" s="2">
        <f t="shared" si="12"/>
        <v>5.85</v>
      </c>
      <c r="H179" s="11" t="str">
        <f t="shared" si="13"/>
        <v>2.886E-2</v>
      </c>
      <c r="I179" s="2">
        <f t="shared" si="14"/>
        <v>253.8</v>
      </c>
      <c r="J179" s="4">
        <f t="shared" si="15"/>
        <v>5.85</v>
      </c>
      <c r="K179" s="9">
        <f t="shared" si="16"/>
        <v>-21.5</v>
      </c>
      <c r="L179" s="1">
        <f t="shared" si="17"/>
        <v>12.1</v>
      </c>
    </row>
    <row r="180" s="1" customFormat="1" spans="1:12">
      <c r="A180" s="2">
        <v>5.917</v>
      </c>
      <c r="B180" s="10" t="s">
        <v>753</v>
      </c>
      <c r="C180" s="4">
        <v>5.917</v>
      </c>
      <c r="D180" s="5">
        <v>253.8</v>
      </c>
      <c r="E180" s="4"/>
      <c r="F180" s="4"/>
      <c r="G180" s="2">
        <f t="shared" si="12"/>
        <v>5.884</v>
      </c>
      <c r="H180" s="11" t="str">
        <f t="shared" si="13"/>
        <v>2.892E-2</v>
      </c>
      <c r="I180" s="2">
        <f t="shared" si="14"/>
        <v>253.8</v>
      </c>
      <c r="J180" s="4">
        <f t="shared" si="15"/>
        <v>5.884</v>
      </c>
      <c r="K180" s="9">
        <f t="shared" si="16"/>
        <v>-20.9</v>
      </c>
      <c r="L180" s="1">
        <f t="shared" si="17"/>
        <v>12.1</v>
      </c>
    </row>
    <row r="181" s="1" customFormat="1" spans="1:12">
      <c r="A181" s="2">
        <v>5.951</v>
      </c>
      <c r="B181" s="10" t="s">
        <v>754</v>
      </c>
      <c r="C181" s="4">
        <v>5.951</v>
      </c>
      <c r="D181" s="5">
        <v>253.8</v>
      </c>
      <c r="E181" s="4"/>
      <c r="F181" s="4"/>
      <c r="G181" s="2">
        <f t="shared" si="12"/>
        <v>5.917</v>
      </c>
      <c r="H181" s="11" t="str">
        <f t="shared" si="13"/>
        <v>2.903E-2</v>
      </c>
      <c r="I181" s="2">
        <f t="shared" si="14"/>
        <v>253.8</v>
      </c>
      <c r="J181" s="4">
        <f t="shared" si="15"/>
        <v>5.917</v>
      </c>
      <c r="K181" s="9">
        <f t="shared" si="16"/>
        <v>-19.8</v>
      </c>
      <c r="L181" s="1">
        <f t="shared" si="17"/>
        <v>12.1</v>
      </c>
    </row>
    <row r="182" s="1" customFormat="1" spans="1:12">
      <c r="A182" s="2">
        <v>5.984</v>
      </c>
      <c r="B182" s="10" t="s">
        <v>755</v>
      </c>
      <c r="C182" s="4">
        <v>5.984</v>
      </c>
      <c r="D182" s="5">
        <v>253.8</v>
      </c>
      <c r="E182" s="4"/>
      <c r="F182" s="4"/>
      <c r="G182" s="2">
        <f t="shared" si="12"/>
        <v>5.951</v>
      </c>
      <c r="H182" s="11" t="str">
        <f t="shared" si="13"/>
        <v>2.917E-2</v>
      </c>
      <c r="I182" s="2">
        <f t="shared" si="14"/>
        <v>253.8</v>
      </c>
      <c r="J182" s="4">
        <f t="shared" si="15"/>
        <v>5.951</v>
      </c>
      <c r="K182" s="9">
        <f t="shared" si="16"/>
        <v>-18.4</v>
      </c>
      <c r="L182" s="1">
        <f t="shared" si="17"/>
        <v>12.1</v>
      </c>
    </row>
    <row r="183" s="1" customFormat="1" spans="1:12">
      <c r="A183" s="2">
        <v>6.017</v>
      </c>
      <c r="B183" s="10" t="s">
        <v>534</v>
      </c>
      <c r="C183" s="4">
        <v>6.017</v>
      </c>
      <c r="D183" s="5">
        <v>253.8</v>
      </c>
      <c r="E183" s="4"/>
      <c r="F183" s="4"/>
      <c r="G183" s="2">
        <f t="shared" si="12"/>
        <v>5.984</v>
      </c>
      <c r="H183" s="11" t="str">
        <f t="shared" si="13"/>
        <v>2.936E-2</v>
      </c>
      <c r="I183" s="2">
        <f t="shared" si="14"/>
        <v>253.8</v>
      </c>
      <c r="J183" s="4">
        <f t="shared" si="15"/>
        <v>5.984</v>
      </c>
      <c r="K183" s="9">
        <f t="shared" si="16"/>
        <v>-16.5</v>
      </c>
      <c r="L183" s="1">
        <f t="shared" si="17"/>
        <v>12.1</v>
      </c>
    </row>
    <row r="184" s="1" customFormat="1" spans="1:12">
      <c r="A184" s="2">
        <v>6.051</v>
      </c>
      <c r="B184" s="10" t="s">
        <v>507</v>
      </c>
      <c r="C184" s="4">
        <v>6.051</v>
      </c>
      <c r="D184" s="5">
        <v>253.8</v>
      </c>
      <c r="E184" s="4"/>
      <c r="F184" s="4"/>
      <c r="G184" s="2">
        <f t="shared" si="12"/>
        <v>6.017</v>
      </c>
      <c r="H184" s="11" t="str">
        <f t="shared" si="13"/>
        <v>2.961E-2</v>
      </c>
      <c r="I184" s="2">
        <f t="shared" si="14"/>
        <v>253.8</v>
      </c>
      <c r="J184" s="4">
        <f t="shared" si="15"/>
        <v>6.017</v>
      </c>
      <c r="K184" s="9">
        <f t="shared" si="16"/>
        <v>-14</v>
      </c>
      <c r="L184" s="1">
        <f t="shared" si="17"/>
        <v>12.1</v>
      </c>
    </row>
    <row r="185" s="1" customFormat="1" spans="1:12">
      <c r="A185" s="2">
        <v>6.084</v>
      </c>
      <c r="B185" s="10" t="s">
        <v>567</v>
      </c>
      <c r="C185" s="4">
        <v>6.084</v>
      </c>
      <c r="D185" s="5">
        <v>253.8</v>
      </c>
      <c r="E185" s="4"/>
      <c r="F185" s="4"/>
      <c r="G185" s="2">
        <f t="shared" si="12"/>
        <v>6.051</v>
      </c>
      <c r="H185" s="11" t="str">
        <f t="shared" si="13"/>
        <v>2.979E-2</v>
      </c>
      <c r="I185" s="2">
        <f t="shared" si="14"/>
        <v>253.8</v>
      </c>
      <c r="J185" s="4">
        <f t="shared" si="15"/>
        <v>6.051</v>
      </c>
      <c r="K185" s="9">
        <f t="shared" si="16"/>
        <v>-12.2</v>
      </c>
      <c r="L185" s="1">
        <f t="shared" si="17"/>
        <v>12.1</v>
      </c>
    </row>
    <row r="186" s="1" customFormat="1" spans="1:12">
      <c r="A186" s="2">
        <v>6.118</v>
      </c>
      <c r="B186" s="10" t="s">
        <v>542</v>
      </c>
      <c r="C186" s="4">
        <v>6.118</v>
      </c>
      <c r="D186" s="5">
        <v>253.8</v>
      </c>
      <c r="E186" s="4"/>
      <c r="F186" s="4"/>
      <c r="G186" s="2">
        <f t="shared" si="12"/>
        <v>6.084</v>
      </c>
      <c r="H186" s="11" t="str">
        <f t="shared" si="13"/>
        <v>3.003E-2</v>
      </c>
      <c r="I186" s="2">
        <f t="shared" si="14"/>
        <v>253.8</v>
      </c>
      <c r="J186" s="4">
        <f t="shared" si="15"/>
        <v>6.084</v>
      </c>
      <c r="K186" s="9">
        <f t="shared" si="16"/>
        <v>-9.79999999999998</v>
      </c>
      <c r="L186" s="1">
        <f t="shared" si="17"/>
        <v>12.1</v>
      </c>
    </row>
    <row r="187" s="1" customFormat="1" spans="1:12">
      <c r="A187" s="2">
        <v>6.151</v>
      </c>
      <c r="B187" s="10" t="s">
        <v>756</v>
      </c>
      <c r="C187" s="4">
        <v>6.151</v>
      </c>
      <c r="D187" s="5">
        <v>253.8</v>
      </c>
      <c r="E187" s="4"/>
      <c r="F187" s="4"/>
      <c r="G187" s="2">
        <f t="shared" si="12"/>
        <v>6.118</v>
      </c>
      <c r="H187" s="11" t="str">
        <f t="shared" si="13"/>
        <v>3.027E-2</v>
      </c>
      <c r="I187" s="2">
        <f t="shared" si="14"/>
        <v>253.8</v>
      </c>
      <c r="J187" s="4">
        <f t="shared" si="15"/>
        <v>6.118</v>
      </c>
      <c r="K187" s="9">
        <f t="shared" si="16"/>
        <v>-7.40000000000001</v>
      </c>
      <c r="L187" s="1">
        <f t="shared" si="17"/>
        <v>12.1</v>
      </c>
    </row>
    <row r="188" s="1" customFormat="1" spans="1:12">
      <c r="A188" s="2">
        <v>6.185</v>
      </c>
      <c r="B188" s="10" t="s">
        <v>757</v>
      </c>
      <c r="C188" s="4">
        <v>6.185</v>
      </c>
      <c r="D188" s="5">
        <v>253.8</v>
      </c>
      <c r="E188" s="4"/>
      <c r="F188" s="4"/>
      <c r="G188" s="2">
        <f t="shared" si="12"/>
        <v>6.151</v>
      </c>
      <c r="H188" s="11" t="str">
        <f t="shared" si="13"/>
        <v>3.050E-2</v>
      </c>
      <c r="I188" s="2">
        <f t="shared" si="14"/>
        <v>253.8</v>
      </c>
      <c r="J188" s="4">
        <f t="shared" si="15"/>
        <v>6.151</v>
      </c>
      <c r="K188" s="9">
        <f t="shared" si="16"/>
        <v>-5.1</v>
      </c>
      <c r="L188" s="1">
        <f t="shared" si="17"/>
        <v>12.1</v>
      </c>
    </row>
    <row r="189" s="1" customFormat="1" spans="1:12">
      <c r="A189" s="2">
        <v>6.218</v>
      </c>
      <c r="B189" s="10" t="s">
        <v>730</v>
      </c>
      <c r="C189" s="4">
        <v>6.218</v>
      </c>
      <c r="D189" s="5">
        <v>253.8</v>
      </c>
      <c r="E189" s="4"/>
      <c r="F189" s="4"/>
      <c r="G189" s="2">
        <f t="shared" si="12"/>
        <v>6.185</v>
      </c>
      <c r="H189" s="11" t="str">
        <f t="shared" si="13"/>
        <v>3.071E-2</v>
      </c>
      <c r="I189" s="2">
        <f t="shared" si="14"/>
        <v>253.8</v>
      </c>
      <c r="J189" s="4">
        <f t="shared" si="15"/>
        <v>6.185</v>
      </c>
      <c r="K189" s="9">
        <f t="shared" si="16"/>
        <v>-2.99999999999998</v>
      </c>
      <c r="L189" s="1">
        <f t="shared" si="17"/>
        <v>12.1</v>
      </c>
    </row>
    <row r="190" s="1" customFormat="1" spans="1:12">
      <c r="A190" s="2">
        <v>6.251</v>
      </c>
      <c r="B190" s="10" t="s">
        <v>732</v>
      </c>
      <c r="C190" s="4">
        <v>6.251</v>
      </c>
      <c r="D190" s="5">
        <v>253.8</v>
      </c>
      <c r="E190" s="4"/>
      <c r="F190" s="4"/>
      <c r="G190" s="2">
        <f t="shared" si="12"/>
        <v>6.218</v>
      </c>
      <c r="H190" s="11" t="str">
        <f t="shared" si="13"/>
        <v>3.093E-2</v>
      </c>
      <c r="I190" s="2">
        <f t="shared" si="14"/>
        <v>253.8</v>
      </c>
      <c r="J190" s="4">
        <f t="shared" si="15"/>
        <v>6.218</v>
      </c>
      <c r="K190" s="9">
        <f t="shared" si="16"/>
        <v>-0.800000000000002</v>
      </c>
      <c r="L190" s="1">
        <f t="shared" si="17"/>
        <v>12.1</v>
      </c>
    </row>
    <row r="191" s="1" customFormat="1" spans="1:12">
      <c r="A191" s="2">
        <v>6.285</v>
      </c>
      <c r="B191" s="10" t="s">
        <v>758</v>
      </c>
      <c r="C191" s="4">
        <v>6.285</v>
      </c>
      <c r="D191" s="5">
        <v>253.8</v>
      </c>
      <c r="E191" s="4"/>
      <c r="F191" s="4"/>
      <c r="G191" s="2">
        <f t="shared" si="12"/>
        <v>6.251</v>
      </c>
      <c r="H191" s="11" t="str">
        <f t="shared" si="13"/>
        <v>3.108E-2</v>
      </c>
      <c r="I191" s="2">
        <f t="shared" si="14"/>
        <v>253.8</v>
      </c>
      <c r="J191" s="4">
        <f t="shared" si="15"/>
        <v>6.251</v>
      </c>
      <c r="K191" s="9">
        <f t="shared" si="16"/>
        <v>0.700000000000006</v>
      </c>
      <c r="L191" s="1">
        <f t="shared" si="17"/>
        <v>12.1</v>
      </c>
    </row>
    <row r="192" s="1" customFormat="1" spans="1:12">
      <c r="A192" s="2">
        <v>6.318</v>
      </c>
      <c r="B192" s="10" t="s">
        <v>667</v>
      </c>
      <c r="C192" s="4">
        <v>6.318</v>
      </c>
      <c r="D192" s="5">
        <v>253.8</v>
      </c>
      <c r="E192" s="4"/>
      <c r="F192" s="4"/>
      <c r="G192" s="2">
        <f t="shared" si="12"/>
        <v>6.285</v>
      </c>
      <c r="H192" s="11" t="str">
        <f t="shared" si="13"/>
        <v>3.119E-2</v>
      </c>
      <c r="I192" s="2">
        <f t="shared" si="14"/>
        <v>253.8</v>
      </c>
      <c r="J192" s="4">
        <f t="shared" si="15"/>
        <v>6.285</v>
      </c>
      <c r="K192" s="9">
        <f t="shared" si="16"/>
        <v>1.8</v>
      </c>
      <c r="L192" s="1">
        <f t="shared" si="17"/>
        <v>12.1</v>
      </c>
    </row>
    <row r="193" s="1" customFormat="1" spans="1:12">
      <c r="A193" s="2">
        <v>6.352</v>
      </c>
      <c r="B193" s="10" t="s">
        <v>759</v>
      </c>
      <c r="C193" s="4">
        <v>6.352</v>
      </c>
      <c r="D193" s="5">
        <v>253.8</v>
      </c>
      <c r="E193" s="4"/>
      <c r="F193" s="4"/>
      <c r="G193" s="2">
        <f t="shared" si="12"/>
        <v>6.318</v>
      </c>
      <c r="H193" s="11" t="str">
        <f t="shared" si="13"/>
        <v>3.133E-2</v>
      </c>
      <c r="I193" s="2">
        <f t="shared" si="14"/>
        <v>253.8</v>
      </c>
      <c r="J193" s="4">
        <f t="shared" si="15"/>
        <v>6.318</v>
      </c>
      <c r="K193" s="9">
        <f t="shared" si="16"/>
        <v>3.19999999999997</v>
      </c>
      <c r="L193" s="1">
        <f t="shared" si="17"/>
        <v>12.1</v>
      </c>
    </row>
    <row r="194" s="1" customFormat="1" spans="1:12">
      <c r="A194" s="2">
        <v>6.385</v>
      </c>
      <c r="B194" s="10" t="s">
        <v>759</v>
      </c>
      <c r="C194" s="4">
        <v>6.385</v>
      </c>
      <c r="D194" s="5">
        <v>151.3</v>
      </c>
      <c r="E194" s="4"/>
      <c r="F194" s="4"/>
      <c r="G194" s="2">
        <f t="shared" si="12"/>
        <v>6.352</v>
      </c>
      <c r="H194" s="11" t="str">
        <f t="shared" si="13"/>
        <v>3.140E-2</v>
      </c>
      <c r="I194" s="2">
        <f t="shared" si="14"/>
        <v>253.8</v>
      </c>
      <c r="J194" s="4">
        <f t="shared" si="15"/>
        <v>6.352</v>
      </c>
      <c r="K194" s="9">
        <f t="shared" si="16"/>
        <v>3.89999999999998</v>
      </c>
      <c r="L194" s="1">
        <f t="shared" si="17"/>
        <v>12.1</v>
      </c>
    </row>
    <row r="195" s="1" customFormat="1" spans="1:12">
      <c r="A195" s="2">
        <v>6.419</v>
      </c>
      <c r="B195" s="10" t="s">
        <v>760</v>
      </c>
      <c r="C195" s="4">
        <v>6.419</v>
      </c>
      <c r="D195" s="5">
        <v>68.8</v>
      </c>
      <c r="E195" s="4"/>
      <c r="F195" s="4"/>
      <c r="G195" s="2">
        <f t="shared" si="12"/>
        <v>6.385</v>
      </c>
      <c r="H195" s="11" t="str">
        <f t="shared" si="13"/>
        <v>3.140E-2</v>
      </c>
      <c r="I195" s="2">
        <f t="shared" si="14"/>
        <v>151.3</v>
      </c>
      <c r="J195" s="4">
        <f t="shared" si="15"/>
        <v>6.385</v>
      </c>
      <c r="K195" s="9">
        <f t="shared" si="16"/>
        <v>3.89999999999998</v>
      </c>
      <c r="L195" s="1">
        <f t="shared" si="17"/>
        <v>-30.9</v>
      </c>
    </row>
    <row r="196" s="1" customFormat="1" spans="1:12">
      <c r="A196" s="2">
        <v>6.452</v>
      </c>
      <c r="B196" s="10" t="s">
        <v>630</v>
      </c>
      <c r="C196" s="4">
        <v>6.452</v>
      </c>
      <c r="D196" s="5">
        <v>69.5</v>
      </c>
      <c r="E196" s="4"/>
      <c r="F196" s="4"/>
      <c r="G196" s="2">
        <f t="shared" ref="G196:G259" si="18">A195</f>
        <v>6.419</v>
      </c>
      <c r="H196" s="11" t="str">
        <f t="shared" ref="H196:H259" si="19">B195</f>
        <v>3.139E-2</v>
      </c>
      <c r="I196" s="2">
        <f t="shared" ref="I196:I259" si="20">D195</f>
        <v>68.8</v>
      </c>
      <c r="J196" s="4">
        <f t="shared" ref="J196:J259" si="21">G196</f>
        <v>6.419</v>
      </c>
      <c r="K196" s="9">
        <f t="shared" ref="K196:K259" si="22">(H196-$H$4)*10000</f>
        <v>3.80000000000002</v>
      </c>
      <c r="L196" s="1">
        <f t="shared" ref="L196:L259" si="23">IF(I196&lt;230,MIN(K:K),MAX(K:K))</f>
        <v>-30.9</v>
      </c>
    </row>
    <row r="197" s="1" customFormat="1" spans="1:12">
      <c r="A197" s="2">
        <v>6.485</v>
      </c>
      <c r="B197" s="10" t="s">
        <v>761</v>
      </c>
      <c r="C197" s="4">
        <v>6.485</v>
      </c>
      <c r="D197" s="5">
        <v>69.5</v>
      </c>
      <c r="E197" s="4"/>
      <c r="F197" s="4"/>
      <c r="G197" s="2">
        <f t="shared" si="18"/>
        <v>6.452</v>
      </c>
      <c r="H197" s="11" t="str">
        <f t="shared" si="19"/>
        <v>3.134E-2</v>
      </c>
      <c r="I197" s="2">
        <f t="shared" si="20"/>
        <v>69.5</v>
      </c>
      <c r="J197" s="4">
        <f t="shared" si="21"/>
        <v>6.452</v>
      </c>
      <c r="K197" s="9">
        <f t="shared" si="22"/>
        <v>3.3</v>
      </c>
      <c r="L197" s="1">
        <f t="shared" si="23"/>
        <v>-30.9</v>
      </c>
    </row>
    <row r="198" s="1" customFormat="1" spans="1:12">
      <c r="A198" s="2">
        <v>6.519</v>
      </c>
      <c r="B198" s="10" t="s">
        <v>758</v>
      </c>
      <c r="C198" s="4">
        <v>6.519</v>
      </c>
      <c r="D198" s="5">
        <v>68.8</v>
      </c>
      <c r="E198" s="4"/>
      <c r="F198" s="4"/>
      <c r="G198" s="2">
        <f t="shared" si="18"/>
        <v>6.485</v>
      </c>
      <c r="H198" s="11" t="str">
        <f t="shared" si="19"/>
        <v>3.127E-2</v>
      </c>
      <c r="I198" s="2">
        <f t="shared" si="20"/>
        <v>69.5</v>
      </c>
      <c r="J198" s="4">
        <f t="shared" si="21"/>
        <v>6.485</v>
      </c>
      <c r="K198" s="9">
        <f t="shared" si="22"/>
        <v>2.6</v>
      </c>
      <c r="L198" s="1">
        <f t="shared" si="23"/>
        <v>-30.9</v>
      </c>
    </row>
    <row r="199" s="1" customFormat="1" spans="1:12">
      <c r="A199" s="2">
        <v>6.552</v>
      </c>
      <c r="B199" s="10" t="s">
        <v>731</v>
      </c>
      <c r="C199" s="4">
        <v>6.552</v>
      </c>
      <c r="D199" s="5">
        <v>69</v>
      </c>
      <c r="E199" s="4"/>
      <c r="F199" s="4"/>
      <c r="G199" s="2">
        <f t="shared" si="18"/>
        <v>6.519</v>
      </c>
      <c r="H199" s="11" t="str">
        <f t="shared" si="19"/>
        <v>3.119E-2</v>
      </c>
      <c r="I199" s="2">
        <f t="shared" si="20"/>
        <v>68.8</v>
      </c>
      <c r="J199" s="4">
        <f t="shared" si="21"/>
        <v>6.519</v>
      </c>
      <c r="K199" s="9">
        <f t="shared" si="22"/>
        <v>1.8</v>
      </c>
      <c r="L199" s="1">
        <f t="shared" si="23"/>
        <v>-30.9</v>
      </c>
    </row>
    <row r="200" s="1" customFormat="1" spans="1:12">
      <c r="A200" s="2">
        <v>6.586</v>
      </c>
      <c r="B200" s="10" t="s">
        <v>762</v>
      </c>
      <c r="C200" s="4">
        <v>6.586</v>
      </c>
      <c r="D200" s="5">
        <v>68.8</v>
      </c>
      <c r="E200" s="4"/>
      <c r="F200" s="4"/>
      <c r="G200" s="2">
        <f t="shared" si="18"/>
        <v>6.552</v>
      </c>
      <c r="H200" s="11" t="str">
        <f t="shared" si="19"/>
        <v>3.107E-2</v>
      </c>
      <c r="I200" s="2">
        <f t="shared" si="20"/>
        <v>69</v>
      </c>
      <c r="J200" s="4">
        <f t="shared" si="21"/>
        <v>6.552</v>
      </c>
      <c r="K200" s="9">
        <f t="shared" si="22"/>
        <v>0.60000000000001</v>
      </c>
      <c r="L200" s="1">
        <f t="shared" si="23"/>
        <v>-30.9</v>
      </c>
    </row>
    <row r="201" s="1" customFormat="1" spans="1:12">
      <c r="A201" s="2">
        <v>6.619</v>
      </c>
      <c r="B201" s="10" t="s">
        <v>709</v>
      </c>
      <c r="C201" s="4">
        <v>6.619</v>
      </c>
      <c r="D201" s="5">
        <v>68.8</v>
      </c>
      <c r="E201" s="4"/>
      <c r="F201" s="4"/>
      <c r="G201" s="2">
        <f t="shared" si="18"/>
        <v>6.586</v>
      </c>
      <c r="H201" s="11" t="str">
        <f t="shared" si="19"/>
        <v>3.089E-2</v>
      </c>
      <c r="I201" s="2">
        <f t="shared" si="20"/>
        <v>68.8</v>
      </c>
      <c r="J201" s="4">
        <f t="shared" si="21"/>
        <v>6.586</v>
      </c>
      <c r="K201" s="9">
        <f t="shared" si="22"/>
        <v>-1.19999999999999</v>
      </c>
      <c r="L201" s="1">
        <f t="shared" si="23"/>
        <v>-30.9</v>
      </c>
    </row>
    <row r="202" s="1" customFormat="1" spans="1:12">
      <c r="A202" s="2">
        <v>6.653</v>
      </c>
      <c r="B202" s="10" t="s">
        <v>673</v>
      </c>
      <c r="C202" s="4">
        <v>6.653</v>
      </c>
      <c r="D202" s="5">
        <v>69</v>
      </c>
      <c r="E202" s="4"/>
      <c r="F202" s="4"/>
      <c r="G202" s="2">
        <f t="shared" si="18"/>
        <v>6.619</v>
      </c>
      <c r="H202" s="11" t="str">
        <f t="shared" si="19"/>
        <v>3.067E-2</v>
      </c>
      <c r="I202" s="2">
        <f t="shared" si="20"/>
        <v>68.8</v>
      </c>
      <c r="J202" s="4">
        <f t="shared" si="21"/>
        <v>6.619</v>
      </c>
      <c r="K202" s="9">
        <f t="shared" si="22"/>
        <v>-3.4</v>
      </c>
      <c r="L202" s="1">
        <f t="shared" si="23"/>
        <v>-30.9</v>
      </c>
    </row>
    <row r="203" s="1" customFormat="1" spans="1:12">
      <c r="A203" s="2">
        <v>6.686</v>
      </c>
      <c r="B203" s="10" t="s">
        <v>561</v>
      </c>
      <c r="C203" s="4">
        <v>6.686</v>
      </c>
      <c r="D203" s="5">
        <v>68.5</v>
      </c>
      <c r="E203" s="4"/>
      <c r="F203" s="4"/>
      <c r="G203" s="2">
        <f t="shared" si="18"/>
        <v>6.653</v>
      </c>
      <c r="H203" s="11" t="str">
        <f t="shared" si="19"/>
        <v>3.039E-2</v>
      </c>
      <c r="I203" s="2">
        <f t="shared" si="20"/>
        <v>69</v>
      </c>
      <c r="J203" s="4">
        <f t="shared" si="21"/>
        <v>6.653</v>
      </c>
      <c r="K203" s="9">
        <f t="shared" si="22"/>
        <v>-6.19999999999999</v>
      </c>
      <c r="L203" s="1">
        <f t="shared" si="23"/>
        <v>-30.9</v>
      </c>
    </row>
    <row r="204" s="1" customFormat="1" spans="1:12">
      <c r="A204" s="2">
        <v>6.719</v>
      </c>
      <c r="B204" s="10" t="s">
        <v>566</v>
      </c>
      <c r="C204" s="4">
        <v>6.719</v>
      </c>
      <c r="D204" s="5">
        <v>68.7</v>
      </c>
      <c r="E204" s="4"/>
      <c r="F204" s="4"/>
      <c r="G204" s="2">
        <f t="shared" si="18"/>
        <v>6.686</v>
      </c>
      <c r="H204" s="11" t="str">
        <f t="shared" si="19"/>
        <v>3.009E-2</v>
      </c>
      <c r="I204" s="2">
        <f t="shared" si="20"/>
        <v>68.5</v>
      </c>
      <c r="J204" s="4">
        <f t="shared" si="21"/>
        <v>6.686</v>
      </c>
      <c r="K204" s="9">
        <f t="shared" si="22"/>
        <v>-9.20000000000001</v>
      </c>
      <c r="L204" s="1">
        <f t="shared" si="23"/>
        <v>-30.9</v>
      </c>
    </row>
    <row r="205" s="1" customFormat="1" spans="1:12">
      <c r="A205" s="2">
        <v>6.753</v>
      </c>
      <c r="B205" s="10" t="s">
        <v>513</v>
      </c>
      <c r="C205" s="4">
        <v>6.753</v>
      </c>
      <c r="D205" s="5">
        <v>68.4</v>
      </c>
      <c r="E205" s="4"/>
      <c r="F205" s="4"/>
      <c r="G205" s="2">
        <f t="shared" si="18"/>
        <v>6.719</v>
      </c>
      <c r="H205" s="11" t="str">
        <f t="shared" si="19"/>
        <v>2.981E-2</v>
      </c>
      <c r="I205" s="2">
        <f t="shared" si="20"/>
        <v>68.7</v>
      </c>
      <c r="J205" s="4">
        <f t="shared" si="21"/>
        <v>6.719</v>
      </c>
      <c r="K205" s="9">
        <f t="shared" si="22"/>
        <v>-12</v>
      </c>
      <c r="L205" s="1">
        <f t="shared" si="23"/>
        <v>-30.9</v>
      </c>
    </row>
    <row r="206" s="1" customFormat="1" spans="1:12">
      <c r="A206" s="2">
        <v>6.786</v>
      </c>
      <c r="B206" s="10" t="s">
        <v>763</v>
      </c>
      <c r="C206" s="4">
        <v>6.786</v>
      </c>
      <c r="D206" s="5">
        <v>68.2</v>
      </c>
      <c r="E206" s="4"/>
      <c r="F206" s="4"/>
      <c r="G206" s="2">
        <f t="shared" si="18"/>
        <v>6.753</v>
      </c>
      <c r="H206" s="11" t="str">
        <f t="shared" si="19"/>
        <v>2.950E-2</v>
      </c>
      <c r="I206" s="2">
        <f t="shared" si="20"/>
        <v>68.4</v>
      </c>
      <c r="J206" s="4">
        <f t="shared" si="21"/>
        <v>6.753</v>
      </c>
      <c r="K206" s="9">
        <f t="shared" si="22"/>
        <v>-15.1</v>
      </c>
      <c r="L206" s="1">
        <f t="shared" si="23"/>
        <v>-30.9</v>
      </c>
    </row>
    <row r="207" s="1" customFormat="1" spans="1:12">
      <c r="A207" s="2">
        <v>6.82</v>
      </c>
      <c r="B207" s="10" t="s">
        <v>752</v>
      </c>
      <c r="C207" s="4">
        <v>6.82</v>
      </c>
      <c r="D207" s="5">
        <v>68.3</v>
      </c>
      <c r="E207" s="4"/>
      <c r="F207" s="4"/>
      <c r="G207" s="2">
        <f t="shared" si="18"/>
        <v>6.786</v>
      </c>
      <c r="H207" s="11" t="str">
        <f t="shared" si="19"/>
        <v>2.921E-2</v>
      </c>
      <c r="I207" s="2">
        <f t="shared" si="20"/>
        <v>68.2</v>
      </c>
      <c r="J207" s="4">
        <f t="shared" si="21"/>
        <v>6.786</v>
      </c>
      <c r="K207" s="9">
        <f t="shared" si="22"/>
        <v>-18</v>
      </c>
      <c r="L207" s="1">
        <f t="shared" si="23"/>
        <v>-30.9</v>
      </c>
    </row>
    <row r="208" s="1" customFormat="1" spans="1:12">
      <c r="A208" s="2">
        <v>6.853</v>
      </c>
      <c r="B208" s="10" t="s">
        <v>764</v>
      </c>
      <c r="C208" s="4">
        <v>6.853</v>
      </c>
      <c r="D208" s="5">
        <v>68.3</v>
      </c>
      <c r="E208" s="4"/>
      <c r="F208" s="4"/>
      <c r="G208" s="2">
        <f t="shared" si="18"/>
        <v>6.82</v>
      </c>
      <c r="H208" s="11" t="str">
        <f t="shared" si="19"/>
        <v>2.892E-2</v>
      </c>
      <c r="I208" s="2">
        <f t="shared" si="20"/>
        <v>68.3</v>
      </c>
      <c r="J208" s="4">
        <f t="shared" si="21"/>
        <v>6.82</v>
      </c>
      <c r="K208" s="9">
        <f t="shared" si="22"/>
        <v>-20.9</v>
      </c>
      <c r="L208" s="1">
        <f t="shared" si="23"/>
        <v>-30.9</v>
      </c>
    </row>
    <row r="209" s="1" customFormat="1" spans="1:12">
      <c r="A209" s="2">
        <v>6.887</v>
      </c>
      <c r="B209" s="10" t="s">
        <v>765</v>
      </c>
      <c r="C209" s="4">
        <v>6.887</v>
      </c>
      <c r="D209" s="5">
        <v>68.3</v>
      </c>
      <c r="E209" s="4"/>
      <c r="F209" s="4"/>
      <c r="G209" s="2">
        <f t="shared" si="18"/>
        <v>6.853</v>
      </c>
      <c r="H209" s="11" t="str">
        <f t="shared" si="19"/>
        <v>2.869E-2</v>
      </c>
      <c r="I209" s="2">
        <f t="shared" si="20"/>
        <v>68.3</v>
      </c>
      <c r="J209" s="4">
        <f t="shared" si="21"/>
        <v>6.853</v>
      </c>
      <c r="K209" s="9">
        <f t="shared" si="22"/>
        <v>-23.2</v>
      </c>
      <c r="L209" s="1">
        <f t="shared" si="23"/>
        <v>-30.9</v>
      </c>
    </row>
    <row r="210" s="1" customFormat="1" spans="1:12">
      <c r="A210" s="2">
        <v>6.92</v>
      </c>
      <c r="B210" s="10" t="s">
        <v>766</v>
      </c>
      <c r="C210" s="4">
        <v>6.92</v>
      </c>
      <c r="D210" s="5">
        <v>68.3</v>
      </c>
      <c r="E210" s="4"/>
      <c r="F210" s="4"/>
      <c r="G210" s="2">
        <f t="shared" si="18"/>
        <v>6.887</v>
      </c>
      <c r="H210" s="11" t="str">
        <f t="shared" si="19"/>
        <v>2.847E-2</v>
      </c>
      <c r="I210" s="2">
        <f t="shared" si="20"/>
        <v>68.3</v>
      </c>
      <c r="J210" s="4">
        <f t="shared" si="21"/>
        <v>6.887</v>
      </c>
      <c r="K210" s="9">
        <f t="shared" si="22"/>
        <v>-25.4</v>
      </c>
      <c r="L210" s="1">
        <f t="shared" si="23"/>
        <v>-30.9</v>
      </c>
    </row>
    <row r="211" s="1" customFormat="1" spans="1:12">
      <c r="A211" s="2">
        <v>6.953</v>
      </c>
      <c r="B211" s="10" t="s">
        <v>767</v>
      </c>
      <c r="C211" s="4">
        <v>6.953</v>
      </c>
      <c r="D211" s="5">
        <v>68.3</v>
      </c>
      <c r="E211" s="4"/>
      <c r="F211" s="4"/>
      <c r="G211" s="2">
        <f t="shared" si="18"/>
        <v>6.92</v>
      </c>
      <c r="H211" s="11" t="str">
        <f t="shared" si="19"/>
        <v>2.827E-2</v>
      </c>
      <c r="I211" s="2">
        <f t="shared" si="20"/>
        <v>68.3</v>
      </c>
      <c r="J211" s="4">
        <f t="shared" si="21"/>
        <v>6.92</v>
      </c>
      <c r="K211" s="9">
        <f t="shared" si="22"/>
        <v>-27.4</v>
      </c>
      <c r="L211" s="1">
        <f t="shared" si="23"/>
        <v>-30.9</v>
      </c>
    </row>
    <row r="212" s="1" customFormat="1" spans="1:12">
      <c r="A212" s="2">
        <v>6.987</v>
      </c>
      <c r="B212" s="10" t="s">
        <v>768</v>
      </c>
      <c r="C212" s="4">
        <v>6.987</v>
      </c>
      <c r="D212" s="5">
        <v>68.1</v>
      </c>
      <c r="E212" s="4"/>
      <c r="F212" s="4"/>
      <c r="G212" s="2">
        <f t="shared" si="18"/>
        <v>6.953</v>
      </c>
      <c r="H212" s="11" t="str">
        <f t="shared" si="19"/>
        <v>2.812E-2</v>
      </c>
      <c r="I212" s="2">
        <f t="shared" si="20"/>
        <v>68.3</v>
      </c>
      <c r="J212" s="4">
        <f t="shared" si="21"/>
        <v>6.953</v>
      </c>
      <c r="K212" s="9">
        <f t="shared" si="22"/>
        <v>-28.9</v>
      </c>
      <c r="L212" s="1">
        <f t="shared" si="23"/>
        <v>-30.9</v>
      </c>
    </row>
    <row r="213" s="1" customFormat="1" spans="1:12">
      <c r="A213" s="2">
        <v>7.02</v>
      </c>
      <c r="B213" s="10" t="s">
        <v>769</v>
      </c>
      <c r="C213" s="4">
        <v>7.02</v>
      </c>
      <c r="D213" s="5">
        <v>68.2</v>
      </c>
      <c r="E213" s="4"/>
      <c r="F213" s="4"/>
      <c r="G213" s="2">
        <f t="shared" si="18"/>
        <v>6.987</v>
      </c>
      <c r="H213" s="11" t="str">
        <f t="shared" si="19"/>
        <v>2.804E-2</v>
      </c>
      <c r="I213" s="2">
        <f t="shared" si="20"/>
        <v>68.1</v>
      </c>
      <c r="J213" s="4">
        <f t="shared" si="21"/>
        <v>6.987</v>
      </c>
      <c r="K213" s="9">
        <f t="shared" si="22"/>
        <v>-29.7</v>
      </c>
      <c r="L213" s="1">
        <f t="shared" si="23"/>
        <v>-30.9</v>
      </c>
    </row>
    <row r="214" s="1" customFormat="1" spans="1:12">
      <c r="A214" s="2">
        <v>7.054</v>
      </c>
      <c r="B214" s="10" t="s">
        <v>770</v>
      </c>
      <c r="C214" s="4">
        <v>7.054</v>
      </c>
      <c r="D214" s="5">
        <v>68.2</v>
      </c>
      <c r="E214" s="4"/>
      <c r="F214" s="4"/>
      <c r="G214" s="2">
        <f t="shared" si="18"/>
        <v>7.02</v>
      </c>
      <c r="H214" s="11" t="str">
        <f t="shared" si="19"/>
        <v>2.794E-2</v>
      </c>
      <c r="I214" s="2">
        <f t="shared" si="20"/>
        <v>68.2</v>
      </c>
      <c r="J214" s="4">
        <f t="shared" si="21"/>
        <v>7.02</v>
      </c>
      <c r="K214" s="9">
        <f t="shared" si="22"/>
        <v>-30.7</v>
      </c>
      <c r="L214" s="1">
        <f t="shared" si="23"/>
        <v>-30.9</v>
      </c>
    </row>
    <row r="215" s="1" customFormat="1" spans="1:12">
      <c r="A215" s="2">
        <v>7.087</v>
      </c>
      <c r="B215" s="10" t="s">
        <v>771</v>
      </c>
      <c r="C215" s="4">
        <v>7.087</v>
      </c>
      <c r="D215" s="5">
        <v>68.3</v>
      </c>
      <c r="E215" s="4"/>
      <c r="F215" s="4"/>
      <c r="G215" s="2">
        <f t="shared" si="18"/>
        <v>7.054</v>
      </c>
      <c r="H215" s="11" t="str">
        <f t="shared" si="19"/>
        <v>2.792E-2</v>
      </c>
      <c r="I215" s="2">
        <f t="shared" si="20"/>
        <v>68.2</v>
      </c>
      <c r="J215" s="4">
        <f t="shared" si="21"/>
        <v>7.054</v>
      </c>
      <c r="K215" s="9">
        <f t="shared" si="22"/>
        <v>-30.9</v>
      </c>
      <c r="L215" s="1">
        <f t="shared" si="23"/>
        <v>-30.9</v>
      </c>
    </row>
    <row r="216" s="1" customFormat="1" spans="1:12">
      <c r="A216" s="2">
        <v>7.121</v>
      </c>
      <c r="B216" s="10" t="s">
        <v>772</v>
      </c>
      <c r="C216" s="4">
        <v>7.121</v>
      </c>
      <c r="D216" s="5">
        <v>68.3</v>
      </c>
      <c r="E216" s="4"/>
      <c r="F216" s="4"/>
      <c r="G216" s="2">
        <f t="shared" si="18"/>
        <v>7.087</v>
      </c>
      <c r="H216" s="11" t="str">
        <f t="shared" si="19"/>
        <v>2.796E-2</v>
      </c>
      <c r="I216" s="2">
        <f t="shared" si="20"/>
        <v>68.3</v>
      </c>
      <c r="J216" s="4">
        <f t="shared" si="21"/>
        <v>7.087</v>
      </c>
      <c r="K216" s="9">
        <f t="shared" si="22"/>
        <v>-30.5</v>
      </c>
      <c r="L216" s="1">
        <f t="shared" si="23"/>
        <v>-30.9</v>
      </c>
    </row>
    <row r="217" s="1" customFormat="1" spans="1:12">
      <c r="A217" s="2">
        <v>7.154</v>
      </c>
      <c r="B217" s="10" t="s">
        <v>773</v>
      </c>
      <c r="C217" s="4">
        <v>7.154</v>
      </c>
      <c r="D217" s="5">
        <v>68.2</v>
      </c>
      <c r="E217" s="4"/>
      <c r="F217" s="4"/>
      <c r="G217" s="2">
        <f t="shared" si="18"/>
        <v>7.121</v>
      </c>
      <c r="H217" s="11" t="str">
        <f t="shared" si="19"/>
        <v>2.798E-2</v>
      </c>
      <c r="I217" s="2">
        <f t="shared" si="20"/>
        <v>68.3</v>
      </c>
      <c r="J217" s="4">
        <f t="shared" si="21"/>
        <v>7.121</v>
      </c>
      <c r="K217" s="9">
        <f t="shared" si="22"/>
        <v>-30.3</v>
      </c>
      <c r="L217" s="1">
        <f t="shared" si="23"/>
        <v>-30.9</v>
      </c>
    </row>
    <row r="218" s="1" customFormat="1" spans="1:12">
      <c r="A218" s="2">
        <v>7.187</v>
      </c>
      <c r="B218" s="10" t="s">
        <v>774</v>
      </c>
      <c r="C218" s="4">
        <v>7.187</v>
      </c>
      <c r="D218" s="5">
        <v>68.2</v>
      </c>
      <c r="E218" s="4"/>
      <c r="F218" s="4"/>
      <c r="G218" s="2">
        <f t="shared" si="18"/>
        <v>7.154</v>
      </c>
      <c r="H218" s="11" t="str">
        <f t="shared" si="19"/>
        <v>2.806E-2</v>
      </c>
      <c r="I218" s="2">
        <f t="shared" si="20"/>
        <v>68.2</v>
      </c>
      <c r="J218" s="4">
        <f t="shared" si="21"/>
        <v>7.154</v>
      </c>
      <c r="K218" s="9">
        <f t="shared" si="22"/>
        <v>-29.5</v>
      </c>
      <c r="L218" s="1">
        <f t="shared" si="23"/>
        <v>-30.9</v>
      </c>
    </row>
    <row r="219" s="1" customFormat="1" spans="1:12">
      <c r="A219" s="2">
        <v>7.221</v>
      </c>
      <c r="B219" s="10" t="s">
        <v>775</v>
      </c>
      <c r="C219" s="4">
        <v>7.221</v>
      </c>
      <c r="D219" s="5">
        <v>68.2</v>
      </c>
      <c r="E219" s="4"/>
      <c r="F219" s="4"/>
      <c r="G219" s="2">
        <f t="shared" si="18"/>
        <v>7.187</v>
      </c>
      <c r="H219" s="11" t="str">
        <f t="shared" si="19"/>
        <v>2.815E-2</v>
      </c>
      <c r="I219" s="2">
        <f t="shared" si="20"/>
        <v>68.2</v>
      </c>
      <c r="J219" s="4">
        <f t="shared" si="21"/>
        <v>7.187</v>
      </c>
      <c r="K219" s="9">
        <f t="shared" si="22"/>
        <v>-28.6</v>
      </c>
      <c r="L219" s="1">
        <f t="shared" si="23"/>
        <v>-30.9</v>
      </c>
    </row>
    <row r="220" s="1" customFormat="1" spans="1:12">
      <c r="A220" s="2">
        <v>7.254</v>
      </c>
      <c r="B220" s="10" t="s">
        <v>776</v>
      </c>
      <c r="C220" s="4">
        <v>7.254</v>
      </c>
      <c r="D220" s="5">
        <v>68.2</v>
      </c>
      <c r="E220" s="4"/>
      <c r="F220" s="4"/>
      <c r="G220" s="2">
        <f t="shared" si="18"/>
        <v>7.221</v>
      </c>
      <c r="H220" s="11" t="str">
        <f t="shared" si="19"/>
        <v>2.838E-2</v>
      </c>
      <c r="I220" s="2">
        <f t="shared" si="20"/>
        <v>68.2</v>
      </c>
      <c r="J220" s="4">
        <f t="shared" si="21"/>
        <v>7.221</v>
      </c>
      <c r="K220" s="9">
        <f t="shared" si="22"/>
        <v>-26.3</v>
      </c>
      <c r="L220" s="1">
        <f t="shared" si="23"/>
        <v>-30.9</v>
      </c>
    </row>
    <row r="221" s="1" customFormat="1" spans="1:12">
      <c r="A221" s="2">
        <v>7.288</v>
      </c>
      <c r="B221" s="10" t="s">
        <v>777</v>
      </c>
      <c r="C221" s="4">
        <v>7.288</v>
      </c>
      <c r="D221" s="5">
        <v>68.2</v>
      </c>
      <c r="E221" s="4"/>
      <c r="F221" s="4"/>
      <c r="G221" s="2">
        <f t="shared" si="18"/>
        <v>7.254</v>
      </c>
      <c r="H221" s="11" t="str">
        <f t="shared" si="19"/>
        <v>2.858E-2</v>
      </c>
      <c r="I221" s="2">
        <f t="shared" si="20"/>
        <v>68.2</v>
      </c>
      <c r="J221" s="4">
        <f t="shared" si="21"/>
        <v>7.254</v>
      </c>
      <c r="K221" s="9">
        <f t="shared" si="22"/>
        <v>-24.3</v>
      </c>
      <c r="L221" s="1">
        <f t="shared" si="23"/>
        <v>-30.9</v>
      </c>
    </row>
    <row r="222" s="1" customFormat="1" spans="1:12">
      <c r="A222" s="2">
        <v>7.321</v>
      </c>
      <c r="B222" s="10" t="s">
        <v>778</v>
      </c>
      <c r="C222" s="4">
        <v>7.321</v>
      </c>
      <c r="D222" s="5">
        <v>68.1</v>
      </c>
      <c r="E222" s="4"/>
      <c r="F222" s="4"/>
      <c r="G222" s="2">
        <f t="shared" si="18"/>
        <v>7.288</v>
      </c>
      <c r="H222" s="11" t="str">
        <f t="shared" si="19"/>
        <v>2.879E-2</v>
      </c>
      <c r="I222" s="2">
        <f t="shared" si="20"/>
        <v>68.2</v>
      </c>
      <c r="J222" s="4">
        <f t="shared" si="21"/>
        <v>7.288</v>
      </c>
      <c r="K222" s="9">
        <f t="shared" si="22"/>
        <v>-22.2</v>
      </c>
      <c r="L222" s="1">
        <f t="shared" si="23"/>
        <v>-30.9</v>
      </c>
    </row>
    <row r="223" s="1" customFormat="1" spans="1:12">
      <c r="A223" s="2">
        <v>7.355</v>
      </c>
      <c r="B223" s="10" t="s">
        <v>779</v>
      </c>
      <c r="C223" s="4">
        <v>7.355</v>
      </c>
      <c r="D223" s="5">
        <v>68.2</v>
      </c>
      <c r="E223" s="4"/>
      <c r="F223" s="4"/>
      <c r="G223" s="2">
        <f t="shared" si="18"/>
        <v>7.321</v>
      </c>
      <c r="H223" s="11" t="str">
        <f t="shared" si="19"/>
        <v>2.910E-2</v>
      </c>
      <c r="I223" s="2">
        <f t="shared" si="20"/>
        <v>68.1</v>
      </c>
      <c r="J223" s="4">
        <f t="shared" si="21"/>
        <v>7.321</v>
      </c>
      <c r="K223" s="9">
        <f t="shared" si="22"/>
        <v>-19.1</v>
      </c>
      <c r="L223" s="1">
        <f t="shared" si="23"/>
        <v>-30.9</v>
      </c>
    </row>
    <row r="224" s="1" customFormat="1" spans="1:12">
      <c r="A224" s="2">
        <v>7.388</v>
      </c>
      <c r="B224" s="10" t="s">
        <v>537</v>
      </c>
      <c r="C224" s="4">
        <v>7.388</v>
      </c>
      <c r="D224" s="5">
        <v>68.2</v>
      </c>
      <c r="E224" s="4"/>
      <c r="F224" s="4"/>
      <c r="G224" s="2">
        <f t="shared" si="18"/>
        <v>7.355</v>
      </c>
      <c r="H224" s="11" t="str">
        <f t="shared" si="19"/>
        <v>2.939E-2</v>
      </c>
      <c r="I224" s="2">
        <f t="shared" si="20"/>
        <v>68.2</v>
      </c>
      <c r="J224" s="4">
        <f t="shared" si="21"/>
        <v>7.355</v>
      </c>
      <c r="K224" s="9">
        <f t="shared" si="22"/>
        <v>-16.2</v>
      </c>
      <c r="L224" s="1">
        <f t="shared" si="23"/>
        <v>-30.9</v>
      </c>
    </row>
    <row r="225" s="1" customFormat="1" spans="1:12">
      <c r="A225" s="2">
        <v>7.421</v>
      </c>
      <c r="B225" s="10" t="s">
        <v>574</v>
      </c>
      <c r="C225" s="4">
        <v>7.421</v>
      </c>
      <c r="D225" s="5">
        <v>68.2</v>
      </c>
      <c r="E225" s="4"/>
      <c r="F225" s="4"/>
      <c r="G225" s="2">
        <f t="shared" si="18"/>
        <v>7.388</v>
      </c>
      <c r="H225" s="11" t="str">
        <f t="shared" si="19"/>
        <v>2.973E-2</v>
      </c>
      <c r="I225" s="2">
        <f t="shared" si="20"/>
        <v>68.2</v>
      </c>
      <c r="J225" s="4">
        <f t="shared" si="21"/>
        <v>7.388</v>
      </c>
      <c r="K225" s="9">
        <f t="shared" si="22"/>
        <v>-12.8</v>
      </c>
      <c r="L225" s="1">
        <f t="shared" si="23"/>
        <v>-30.9</v>
      </c>
    </row>
    <row r="226" s="1" customFormat="1" spans="1:12">
      <c r="A226" s="2">
        <v>7.455</v>
      </c>
      <c r="B226" s="10" t="s">
        <v>550</v>
      </c>
      <c r="C226" s="4">
        <v>7.455</v>
      </c>
      <c r="D226" s="5">
        <v>68.2</v>
      </c>
      <c r="E226" s="4"/>
      <c r="F226" s="4"/>
      <c r="G226" s="2">
        <f t="shared" si="18"/>
        <v>7.421</v>
      </c>
      <c r="H226" s="11" t="str">
        <f t="shared" si="19"/>
        <v>3.004E-2</v>
      </c>
      <c r="I226" s="2">
        <f t="shared" si="20"/>
        <v>68.2</v>
      </c>
      <c r="J226" s="4">
        <f t="shared" si="21"/>
        <v>7.421</v>
      </c>
      <c r="K226" s="9">
        <f t="shared" si="22"/>
        <v>-9.69999999999999</v>
      </c>
      <c r="L226" s="1">
        <f t="shared" si="23"/>
        <v>-30.9</v>
      </c>
    </row>
    <row r="227" s="1" customFormat="1" spans="1:12">
      <c r="A227" s="2">
        <v>7.488</v>
      </c>
      <c r="B227" s="10" t="s">
        <v>780</v>
      </c>
      <c r="C227" s="4">
        <v>7.488</v>
      </c>
      <c r="D227" s="5">
        <v>68.2</v>
      </c>
      <c r="E227" s="4"/>
      <c r="F227" s="4"/>
      <c r="G227" s="2">
        <f t="shared" si="18"/>
        <v>7.455</v>
      </c>
      <c r="H227" s="11" t="str">
        <f t="shared" si="19"/>
        <v>3.035E-2</v>
      </c>
      <c r="I227" s="2">
        <f t="shared" si="20"/>
        <v>68.2</v>
      </c>
      <c r="J227" s="4">
        <f t="shared" si="21"/>
        <v>7.455</v>
      </c>
      <c r="K227" s="9">
        <f t="shared" si="22"/>
        <v>-6.60000000000001</v>
      </c>
      <c r="L227" s="1">
        <f t="shared" si="23"/>
        <v>-30.9</v>
      </c>
    </row>
    <row r="228" s="1" customFormat="1" spans="1:12">
      <c r="A228" s="2">
        <v>7.522</v>
      </c>
      <c r="B228" s="10" t="s">
        <v>634</v>
      </c>
      <c r="C228" s="4">
        <v>7.522</v>
      </c>
      <c r="D228" s="5">
        <v>68.2</v>
      </c>
      <c r="E228" s="4"/>
      <c r="F228" s="4"/>
      <c r="G228" s="2">
        <f t="shared" si="18"/>
        <v>7.488</v>
      </c>
      <c r="H228" s="11" t="str">
        <f t="shared" si="19"/>
        <v>3.063E-2</v>
      </c>
      <c r="I228" s="2">
        <f t="shared" si="20"/>
        <v>68.2</v>
      </c>
      <c r="J228" s="4">
        <f t="shared" si="21"/>
        <v>7.488</v>
      </c>
      <c r="K228" s="9">
        <f t="shared" si="22"/>
        <v>-3.79999999999998</v>
      </c>
      <c r="L228" s="1">
        <f t="shared" si="23"/>
        <v>-30.9</v>
      </c>
    </row>
    <row r="229" s="1" customFormat="1" spans="1:12">
      <c r="A229" s="2">
        <v>7.555</v>
      </c>
      <c r="B229" s="10" t="s">
        <v>631</v>
      </c>
      <c r="C229" s="4">
        <v>7.555</v>
      </c>
      <c r="D229" s="5">
        <v>68.3</v>
      </c>
      <c r="E229" s="4"/>
      <c r="F229" s="4"/>
      <c r="G229" s="2">
        <f t="shared" si="18"/>
        <v>7.522</v>
      </c>
      <c r="H229" s="11" t="str">
        <f t="shared" si="19"/>
        <v>3.092E-2</v>
      </c>
      <c r="I229" s="2">
        <f t="shared" si="20"/>
        <v>68.2</v>
      </c>
      <c r="J229" s="4">
        <f t="shared" si="21"/>
        <v>7.522</v>
      </c>
      <c r="K229" s="9">
        <f t="shared" si="22"/>
        <v>-0.899999999999998</v>
      </c>
      <c r="L229" s="1">
        <f t="shared" si="23"/>
        <v>-30.9</v>
      </c>
    </row>
    <row r="230" s="1" customFormat="1" spans="1:12">
      <c r="A230" s="2">
        <v>7.589</v>
      </c>
      <c r="B230" s="10" t="s">
        <v>760</v>
      </c>
      <c r="C230" s="4">
        <v>7.589</v>
      </c>
      <c r="D230" s="5">
        <v>68.3</v>
      </c>
      <c r="E230" s="4"/>
      <c r="F230" s="4"/>
      <c r="G230" s="2">
        <f t="shared" si="18"/>
        <v>7.555</v>
      </c>
      <c r="H230" s="11" t="str">
        <f t="shared" si="19"/>
        <v>3.117E-2</v>
      </c>
      <c r="I230" s="2">
        <f t="shared" si="20"/>
        <v>68.3</v>
      </c>
      <c r="J230" s="4">
        <f t="shared" si="21"/>
        <v>7.555</v>
      </c>
      <c r="K230" s="9">
        <f t="shared" si="22"/>
        <v>1.6</v>
      </c>
      <c r="L230" s="1">
        <f t="shared" si="23"/>
        <v>-30.9</v>
      </c>
    </row>
    <row r="231" s="1" customFormat="1" spans="1:12">
      <c r="A231" s="2">
        <v>7.622</v>
      </c>
      <c r="B231" s="10" t="s">
        <v>781</v>
      </c>
      <c r="C231" s="4">
        <v>7.622</v>
      </c>
      <c r="D231" s="5">
        <v>68.3</v>
      </c>
      <c r="E231" s="4"/>
      <c r="F231" s="4"/>
      <c r="G231" s="2">
        <f t="shared" si="18"/>
        <v>7.589</v>
      </c>
      <c r="H231" s="11" t="str">
        <f t="shared" si="19"/>
        <v>3.139E-2</v>
      </c>
      <c r="I231" s="2">
        <f t="shared" si="20"/>
        <v>68.3</v>
      </c>
      <c r="J231" s="4">
        <f t="shared" si="21"/>
        <v>7.589</v>
      </c>
      <c r="K231" s="9">
        <f t="shared" si="22"/>
        <v>3.80000000000002</v>
      </c>
      <c r="L231" s="1">
        <f t="shared" si="23"/>
        <v>-30.9</v>
      </c>
    </row>
    <row r="232" s="1" customFormat="1" spans="1:12">
      <c r="A232" s="2">
        <v>7.655</v>
      </c>
      <c r="B232" s="10" t="s">
        <v>695</v>
      </c>
      <c r="C232" s="4">
        <v>7.655</v>
      </c>
      <c r="D232" s="5">
        <v>68.3</v>
      </c>
      <c r="E232" s="4"/>
      <c r="F232" s="4"/>
      <c r="G232" s="2">
        <f t="shared" si="18"/>
        <v>7.622</v>
      </c>
      <c r="H232" s="11" t="str">
        <f t="shared" si="19"/>
        <v>3.151E-2</v>
      </c>
      <c r="I232" s="2">
        <f t="shared" si="20"/>
        <v>68.3</v>
      </c>
      <c r="J232" s="4">
        <f t="shared" si="21"/>
        <v>7.622</v>
      </c>
      <c r="K232" s="9">
        <f t="shared" si="22"/>
        <v>5.00000000000004</v>
      </c>
      <c r="L232" s="1">
        <f t="shared" si="23"/>
        <v>-30.9</v>
      </c>
    </row>
    <row r="233" s="1" customFormat="1" spans="1:12">
      <c r="A233" s="2">
        <v>7.689</v>
      </c>
      <c r="B233" s="10" t="s">
        <v>782</v>
      </c>
      <c r="C233" s="4">
        <v>7.689</v>
      </c>
      <c r="D233" s="5">
        <v>68.2</v>
      </c>
      <c r="E233" s="4"/>
      <c r="F233" s="4"/>
      <c r="G233" s="2">
        <f t="shared" si="18"/>
        <v>7.655</v>
      </c>
      <c r="H233" s="11" t="str">
        <f t="shared" si="19"/>
        <v>3.166E-2</v>
      </c>
      <c r="I233" s="2">
        <f t="shared" si="20"/>
        <v>68.3</v>
      </c>
      <c r="J233" s="4">
        <f t="shared" si="21"/>
        <v>7.655</v>
      </c>
      <c r="K233" s="9">
        <f t="shared" si="22"/>
        <v>6.50000000000001</v>
      </c>
      <c r="L233" s="1">
        <f t="shared" si="23"/>
        <v>-30.9</v>
      </c>
    </row>
    <row r="234" s="1" customFormat="1" spans="1:12">
      <c r="A234" s="2">
        <v>7.722</v>
      </c>
      <c r="B234" s="10" t="s">
        <v>705</v>
      </c>
      <c r="C234" s="4">
        <v>7.722</v>
      </c>
      <c r="D234" s="5">
        <v>68.2</v>
      </c>
      <c r="E234" s="4"/>
      <c r="F234" s="4"/>
      <c r="G234" s="2">
        <f t="shared" si="18"/>
        <v>7.689</v>
      </c>
      <c r="H234" s="11" t="str">
        <f t="shared" si="19"/>
        <v>3.171E-2</v>
      </c>
      <c r="I234" s="2">
        <f t="shared" si="20"/>
        <v>68.2</v>
      </c>
      <c r="J234" s="4">
        <f t="shared" si="21"/>
        <v>7.689</v>
      </c>
      <c r="K234" s="9">
        <f t="shared" si="22"/>
        <v>7.00000000000003</v>
      </c>
      <c r="L234" s="1">
        <f t="shared" si="23"/>
        <v>-30.9</v>
      </c>
    </row>
    <row r="235" s="1" customFormat="1" spans="1:12">
      <c r="A235" s="2">
        <v>7.756</v>
      </c>
      <c r="B235" s="10" t="s">
        <v>783</v>
      </c>
      <c r="C235" s="4">
        <v>7.756</v>
      </c>
      <c r="D235" s="5">
        <v>68.2</v>
      </c>
      <c r="E235" s="4"/>
      <c r="F235" s="4"/>
      <c r="G235" s="2">
        <f t="shared" si="18"/>
        <v>7.722</v>
      </c>
      <c r="H235" s="11" t="str">
        <f t="shared" si="19"/>
        <v>3.170E-2</v>
      </c>
      <c r="I235" s="2">
        <f t="shared" si="20"/>
        <v>68.2</v>
      </c>
      <c r="J235" s="4">
        <f t="shared" si="21"/>
        <v>7.722</v>
      </c>
      <c r="K235" s="9">
        <f t="shared" si="22"/>
        <v>6.9</v>
      </c>
      <c r="L235" s="1">
        <f t="shared" si="23"/>
        <v>-30.9</v>
      </c>
    </row>
    <row r="236" s="1" customFormat="1" spans="1:12">
      <c r="A236" s="2">
        <v>7.789</v>
      </c>
      <c r="B236" s="10" t="s">
        <v>666</v>
      </c>
      <c r="C236" s="4">
        <v>7.789</v>
      </c>
      <c r="D236" s="5">
        <v>68</v>
      </c>
      <c r="E236" s="4"/>
      <c r="F236" s="4"/>
      <c r="G236" s="2">
        <f t="shared" si="18"/>
        <v>7.756</v>
      </c>
      <c r="H236" s="11" t="str">
        <f t="shared" si="19"/>
        <v>3.167E-2</v>
      </c>
      <c r="I236" s="2">
        <f t="shared" si="20"/>
        <v>68.2</v>
      </c>
      <c r="J236" s="4">
        <f t="shared" si="21"/>
        <v>7.756</v>
      </c>
      <c r="K236" s="9">
        <f t="shared" si="22"/>
        <v>6.59999999999997</v>
      </c>
      <c r="L236" s="1">
        <f t="shared" si="23"/>
        <v>-30.9</v>
      </c>
    </row>
    <row r="237" s="1" customFormat="1" spans="1:12">
      <c r="A237" s="2">
        <v>7.823</v>
      </c>
      <c r="B237" s="10" t="s">
        <v>784</v>
      </c>
      <c r="C237" s="4">
        <v>7.823</v>
      </c>
      <c r="D237" s="5">
        <v>67.9</v>
      </c>
      <c r="E237" s="4"/>
      <c r="F237" s="4"/>
      <c r="G237" s="2">
        <f t="shared" si="18"/>
        <v>7.789</v>
      </c>
      <c r="H237" s="11" t="str">
        <f t="shared" si="19"/>
        <v>3.161E-2</v>
      </c>
      <c r="I237" s="2">
        <f t="shared" si="20"/>
        <v>68</v>
      </c>
      <c r="J237" s="4">
        <f t="shared" si="21"/>
        <v>7.789</v>
      </c>
      <c r="K237" s="9">
        <f t="shared" si="22"/>
        <v>6</v>
      </c>
      <c r="L237" s="1">
        <f t="shared" si="23"/>
        <v>-30.9</v>
      </c>
    </row>
    <row r="238" s="1" customFormat="1" spans="1:12">
      <c r="A238" s="2">
        <v>7.856</v>
      </c>
      <c r="B238" s="10" t="s">
        <v>641</v>
      </c>
      <c r="C238" s="4">
        <v>7.856</v>
      </c>
      <c r="D238" s="5">
        <v>67.8</v>
      </c>
      <c r="E238" s="4"/>
      <c r="F238" s="4"/>
      <c r="G238" s="2">
        <f t="shared" si="18"/>
        <v>7.823</v>
      </c>
      <c r="H238" s="11" t="str">
        <f t="shared" si="19"/>
        <v>3.154E-2</v>
      </c>
      <c r="I238" s="2">
        <f t="shared" si="20"/>
        <v>67.9</v>
      </c>
      <c r="J238" s="4">
        <f t="shared" si="21"/>
        <v>7.823</v>
      </c>
      <c r="K238" s="9">
        <f t="shared" si="22"/>
        <v>5.29999999999999</v>
      </c>
      <c r="L238" s="1">
        <f t="shared" si="23"/>
        <v>-30.9</v>
      </c>
    </row>
    <row r="239" s="1" customFormat="1" spans="1:12">
      <c r="A239" s="2">
        <v>7.889</v>
      </c>
      <c r="B239" s="10" t="s">
        <v>741</v>
      </c>
      <c r="C239" s="4">
        <v>7.889</v>
      </c>
      <c r="D239" s="5">
        <v>67.4</v>
      </c>
      <c r="E239" s="4"/>
      <c r="F239" s="4"/>
      <c r="G239" s="2">
        <f t="shared" si="18"/>
        <v>7.856</v>
      </c>
      <c r="H239" s="11" t="str">
        <f t="shared" si="19"/>
        <v>3.144E-2</v>
      </c>
      <c r="I239" s="2">
        <f t="shared" si="20"/>
        <v>67.8</v>
      </c>
      <c r="J239" s="4">
        <f t="shared" si="21"/>
        <v>7.856</v>
      </c>
      <c r="K239" s="9">
        <f t="shared" si="22"/>
        <v>4.30000000000003</v>
      </c>
      <c r="L239" s="1">
        <f t="shared" si="23"/>
        <v>-30.9</v>
      </c>
    </row>
    <row r="240" s="1" customFormat="1" spans="1:12">
      <c r="A240" s="2">
        <v>7.923</v>
      </c>
      <c r="B240" s="10" t="s">
        <v>706</v>
      </c>
      <c r="C240" s="4">
        <v>7.923</v>
      </c>
      <c r="D240" s="5">
        <v>66.8</v>
      </c>
      <c r="E240" s="4"/>
      <c r="F240" s="4"/>
      <c r="G240" s="2">
        <f t="shared" si="18"/>
        <v>7.889</v>
      </c>
      <c r="H240" s="11" t="str">
        <f t="shared" si="19"/>
        <v>3.122E-2</v>
      </c>
      <c r="I240" s="2">
        <f t="shared" si="20"/>
        <v>67.4</v>
      </c>
      <c r="J240" s="4">
        <f t="shared" si="21"/>
        <v>7.889</v>
      </c>
      <c r="K240" s="9">
        <f t="shared" si="22"/>
        <v>2.10000000000002</v>
      </c>
      <c r="L240" s="1">
        <f t="shared" si="23"/>
        <v>-30.9</v>
      </c>
    </row>
    <row r="241" s="1" customFormat="1" spans="1:12">
      <c r="A241" s="2">
        <v>7.956</v>
      </c>
      <c r="B241" s="10" t="s">
        <v>785</v>
      </c>
      <c r="C241" s="4">
        <v>7.956</v>
      </c>
      <c r="D241" s="5">
        <v>66.8</v>
      </c>
      <c r="E241" s="4"/>
      <c r="F241" s="4"/>
      <c r="G241" s="2">
        <f t="shared" si="18"/>
        <v>7.923</v>
      </c>
      <c r="H241" s="11" t="str">
        <f t="shared" si="19"/>
        <v>3.104E-2</v>
      </c>
      <c r="I241" s="2">
        <f t="shared" si="20"/>
        <v>66.8</v>
      </c>
      <c r="J241" s="4">
        <f t="shared" si="21"/>
        <v>7.923</v>
      </c>
      <c r="K241" s="9">
        <f t="shared" si="22"/>
        <v>0.300000000000022</v>
      </c>
      <c r="L241" s="1">
        <f t="shared" si="23"/>
        <v>-30.9</v>
      </c>
    </row>
    <row r="242" s="1" customFormat="1" spans="1:12">
      <c r="A242" s="2">
        <v>7.99</v>
      </c>
      <c r="B242" s="10" t="s">
        <v>735</v>
      </c>
      <c r="C242" s="4">
        <v>7.99</v>
      </c>
      <c r="D242" s="5">
        <v>66.6</v>
      </c>
      <c r="E242" s="4"/>
      <c r="F242" s="4"/>
      <c r="G242" s="2">
        <f t="shared" si="18"/>
        <v>7.956</v>
      </c>
      <c r="H242" s="11" t="str">
        <f t="shared" si="19"/>
        <v>3.077E-2</v>
      </c>
      <c r="I242" s="2">
        <f t="shared" si="20"/>
        <v>66.8</v>
      </c>
      <c r="J242" s="4">
        <f t="shared" si="21"/>
        <v>7.956</v>
      </c>
      <c r="K242" s="9">
        <f t="shared" si="22"/>
        <v>-2.40000000000001</v>
      </c>
      <c r="L242" s="1">
        <f t="shared" si="23"/>
        <v>-30.9</v>
      </c>
    </row>
    <row r="243" s="1" customFormat="1" spans="1:12">
      <c r="A243" s="2">
        <v>8.023</v>
      </c>
      <c r="B243" s="10" t="s">
        <v>557</v>
      </c>
      <c r="C243" s="4">
        <v>8.023</v>
      </c>
      <c r="D243" s="5">
        <v>65.8</v>
      </c>
      <c r="E243" s="4"/>
      <c r="F243" s="4"/>
      <c r="G243" s="2">
        <f t="shared" si="18"/>
        <v>7.99</v>
      </c>
      <c r="H243" s="11" t="str">
        <f t="shared" si="19"/>
        <v>3.047E-2</v>
      </c>
      <c r="I243" s="2">
        <f t="shared" si="20"/>
        <v>66.6</v>
      </c>
      <c r="J243" s="4">
        <f t="shared" si="21"/>
        <v>7.99</v>
      </c>
      <c r="K243" s="9">
        <f t="shared" si="22"/>
        <v>-5.39999999999999</v>
      </c>
      <c r="L243" s="1">
        <f t="shared" si="23"/>
        <v>-30.9</v>
      </c>
    </row>
    <row r="244" s="1" customFormat="1" spans="1:12">
      <c r="A244" s="2">
        <v>8.057</v>
      </c>
      <c r="B244" s="10" t="s">
        <v>501</v>
      </c>
      <c r="C244" s="4">
        <v>8.057</v>
      </c>
      <c r="D244" s="5">
        <v>65.8</v>
      </c>
      <c r="E244" s="4"/>
      <c r="F244" s="4"/>
      <c r="G244" s="2">
        <f t="shared" si="18"/>
        <v>8.023</v>
      </c>
      <c r="H244" s="11" t="str">
        <f t="shared" si="19"/>
        <v>3.017E-2</v>
      </c>
      <c r="I244" s="2">
        <f t="shared" si="20"/>
        <v>65.8</v>
      </c>
      <c r="J244" s="4">
        <f t="shared" si="21"/>
        <v>8.023</v>
      </c>
      <c r="K244" s="9">
        <f t="shared" si="22"/>
        <v>-8.4</v>
      </c>
      <c r="L244" s="1">
        <f t="shared" si="23"/>
        <v>-30.9</v>
      </c>
    </row>
    <row r="245" s="1" customFormat="1" spans="1:12">
      <c r="A245" s="2">
        <v>8.09</v>
      </c>
      <c r="B245" s="10" t="s">
        <v>516</v>
      </c>
      <c r="C245" s="4">
        <v>8.09</v>
      </c>
      <c r="D245" s="5">
        <v>65.4</v>
      </c>
      <c r="E245" s="4"/>
      <c r="F245" s="4"/>
      <c r="G245" s="2">
        <f t="shared" si="18"/>
        <v>8.057</v>
      </c>
      <c r="H245" s="11" t="str">
        <f t="shared" si="19"/>
        <v>2.986E-2</v>
      </c>
      <c r="I245" s="2">
        <f t="shared" si="20"/>
        <v>65.8</v>
      </c>
      <c r="J245" s="4">
        <f t="shared" si="21"/>
        <v>8.057</v>
      </c>
      <c r="K245" s="9">
        <f t="shared" si="22"/>
        <v>-11.5</v>
      </c>
      <c r="L245" s="1">
        <f t="shared" si="23"/>
        <v>-30.9</v>
      </c>
    </row>
    <row r="246" s="1" customFormat="1" spans="1:12">
      <c r="A246" s="2">
        <v>8.123</v>
      </c>
      <c r="B246" s="10" t="s">
        <v>786</v>
      </c>
      <c r="C246" s="4">
        <v>8.123</v>
      </c>
      <c r="D246" s="5">
        <v>65</v>
      </c>
      <c r="E246" s="4"/>
      <c r="F246" s="4"/>
      <c r="G246" s="2">
        <f t="shared" si="18"/>
        <v>8.09</v>
      </c>
      <c r="H246" s="11" t="str">
        <f t="shared" si="19"/>
        <v>2.955E-2</v>
      </c>
      <c r="I246" s="2">
        <f t="shared" si="20"/>
        <v>65.4</v>
      </c>
      <c r="J246" s="4">
        <f t="shared" si="21"/>
        <v>8.09</v>
      </c>
      <c r="K246" s="9">
        <f t="shared" si="22"/>
        <v>-14.6</v>
      </c>
      <c r="L246" s="1">
        <f t="shared" si="23"/>
        <v>-30.9</v>
      </c>
    </row>
    <row r="247" s="1" customFormat="1" spans="1:12">
      <c r="A247" s="2">
        <v>8.157</v>
      </c>
      <c r="B247" s="10" t="s">
        <v>787</v>
      </c>
      <c r="C247" s="4">
        <v>8.157</v>
      </c>
      <c r="D247" s="5">
        <v>64.6</v>
      </c>
      <c r="E247" s="4"/>
      <c r="F247" s="4"/>
      <c r="G247" s="2">
        <f t="shared" si="18"/>
        <v>8.123</v>
      </c>
      <c r="H247" s="11" t="str">
        <f t="shared" si="19"/>
        <v>2.925E-2</v>
      </c>
      <c r="I247" s="2">
        <f t="shared" si="20"/>
        <v>65</v>
      </c>
      <c r="J247" s="4">
        <f t="shared" si="21"/>
        <v>8.123</v>
      </c>
      <c r="K247" s="9">
        <f t="shared" si="22"/>
        <v>-17.6</v>
      </c>
      <c r="L247" s="1">
        <f t="shared" si="23"/>
        <v>-30.9</v>
      </c>
    </row>
    <row r="248" s="1" customFormat="1" spans="1:12">
      <c r="A248" s="2">
        <v>8.19</v>
      </c>
      <c r="B248" s="10" t="s">
        <v>748</v>
      </c>
      <c r="C248" s="4">
        <v>8.19</v>
      </c>
      <c r="D248" s="5">
        <v>64.1</v>
      </c>
      <c r="E248" s="4"/>
      <c r="F248" s="4"/>
      <c r="G248" s="2">
        <f t="shared" si="18"/>
        <v>8.157</v>
      </c>
      <c r="H248" s="11" t="str">
        <f t="shared" si="19"/>
        <v>2.900E-2</v>
      </c>
      <c r="I248" s="2">
        <f t="shared" si="20"/>
        <v>64.6</v>
      </c>
      <c r="J248" s="4">
        <f t="shared" si="21"/>
        <v>8.157</v>
      </c>
      <c r="K248" s="9">
        <f t="shared" si="22"/>
        <v>-20.1</v>
      </c>
      <c r="L248" s="1">
        <f t="shared" si="23"/>
        <v>-30.9</v>
      </c>
    </row>
    <row r="249" s="1" customFormat="1" spans="1:12">
      <c r="A249" s="2">
        <v>8.224</v>
      </c>
      <c r="B249" s="10" t="s">
        <v>776</v>
      </c>
      <c r="C249" s="4">
        <v>8.224</v>
      </c>
      <c r="D249" s="5">
        <v>63</v>
      </c>
      <c r="E249" s="4"/>
      <c r="F249" s="4"/>
      <c r="G249" s="2">
        <f t="shared" si="18"/>
        <v>8.19</v>
      </c>
      <c r="H249" s="11" t="str">
        <f t="shared" si="19"/>
        <v>2.875E-2</v>
      </c>
      <c r="I249" s="2">
        <f t="shared" si="20"/>
        <v>64.1</v>
      </c>
      <c r="J249" s="4">
        <f t="shared" si="21"/>
        <v>8.19</v>
      </c>
      <c r="K249" s="9">
        <f t="shared" si="22"/>
        <v>-22.6</v>
      </c>
      <c r="L249" s="1">
        <f t="shared" si="23"/>
        <v>-30.9</v>
      </c>
    </row>
    <row r="250" s="1" customFormat="1" spans="1:12">
      <c r="A250" s="2">
        <v>8.257</v>
      </c>
      <c r="B250" s="10" t="s">
        <v>788</v>
      </c>
      <c r="C250" s="4">
        <v>8.257</v>
      </c>
      <c r="D250" s="5">
        <v>62.3</v>
      </c>
      <c r="E250" s="4"/>
      <c r="F250" s="4"/>
      <c r="G250" s="2">
        <f t="shared" si="18"/>
        <v>8.224</v>
      </c>
      <c r="H250" s="11" t="str">
        <f t="shared" si="19"/>
        <v>2.858E-2</v>
      </c>
      <c r="I250" s="2">
        <f t="shared" si="20"/>
        <v>63</v>
      </c>
      <c r="J250" s="4">
        <f t="shared" si="21"/>
        <v>8.224</v>
      </c>
      <c r="K250" s="9">
        <f t="shared" si="22"/>
        <v>-24.3</v>
      </c>
      <c r="L250" s="1">
        <f t="shared" si="23"/>
        <v>-30.9</v>
      </c>
    </row>
    <row r="251" s="1" customFormat="1" spans="1:12">
      <c r="A251" s="2">
        <v>8.291</v>
      </c>
      <c r="B251" s="10" t="s">
        <v>789</v>
      </c>
      <c r="C251" s="4">
        <v>8.291</v>
      </c>
      <c r="D251" s="5">
        <v>61.2</v>
      </c>
      <c r="E251" s="4"/>
      <c r="F251" s="4"/>
      <c r="G251" s="2">
        <f t="shared" si="18"/>
        <v>8.257</v>
      </c>
      <c r="H251" s="11" t="str">
        <f t="shared" si="19"/>
        <v>2.842E-2</v>
      </c>
      <c r="I251" s="2">
        <f t="shared" si="20"/>
        <v>62.3</v>
      </c>
      <c r="J251" s="4">
        <f t="shared" si="21"/>
        <v>8.257</v>
      </c>
      <c r="K251" s="9">
        <f t="shared" si="22"/>
        <v>-25.9</v>
      </c>
      <c r="L251" s="1">
        <f t="shared" si="23"/>
        <v>-30.9</v>
      </c>
    </row>
    <row r="252" s="1" customFormat="1" spans="1:12">
      <c r="A252" s="2">
        <v>8.324</v>
      </c>
      <c r="B252" s="10" t="s">
        <v>790</v>
      </c>
      <c r="C252" s="4">
        <v>8.324</v>
      </c>
      <c r="D252" s="5">
        <v>61</v>
      </c>
      <c r="E252" s="4"/>
      <c r="F252" s="4"/>
      <c r="G252" s="2">
        <f t="shared" si="18"/>
        <v>8.291</v>
      </c>
      <c r="H252" s="11" t="str">
        <f t="shared" si="19"/>
        <v>2.824E-2</v>
      </c>
      <c r="I252" s="2">
        <f t="shared" si="20"/>
        <v>61.2</v>
      </c>
      <c r="J252" s="4">
        <f t="shared" si="21"/>
        <v>8.291</v>
      </c>
      <c r="K252" s="9">
        <f t="shared" si="22"/>
        <v>-27.7</v>
      </c>
      <c r="L252" s="1">
        <f t="shared" si="23"/>
        <v>-30.9</v>
      </c>
    </row>
    <row r="253" s="1" customFormat="1" spans="1:12">
      <c r="A253" s="2">
        <v>8.357</v>
      </c>
      <c r="B253" s="10" t="s">
        <v>774</v>
      </c>
      <c r="C253" s="4">
        <v>8.357</v>
      </c>
      <c r="D253" s="5">
        <v>60.4</v>
      </c>
      <c r="E253" s="4"/>
      <c r="F253" s="4"/>
      <c r="G253" s="2">
        <f t="shared" si="18"/>
        <v>8.324</v>
      </c>
      <c r="H253" s="11" t="str">
        <f t="shared" si="19"/>
        <v>2.816E-2</v>
      </c>
      <c r="I253" s="2">
        <f t="shared" si="20"/>
        <v>61</v>
      </c>
      <c r="J253" s="4">
        <f t="shared" si="21"/>
        <v>8.324</v>
      </c>
      <c r="K253" s="9">
        <f t="shared" si="22"/>
        <v>-28.5</v>
      </c>
      <c r="L253" s="1">
        <f t="shared" si="23"/>
        <v>-30.9</v>
      </c>
    </row>
    <row r="254" s="1" customFormat="1" spans="1:12">
      <c r="A254" s="2">
        <v>8.391</v>
      </c>
      <c r="B254" s="10" t="s">
        <v>791</v>
      </c>
      <c r="C254" s="4">
        <v>8.391</v>
      </c>
      <c r="D254" s="5">
        <v>59.6</v>
      </c>
      <c r="E254" s="4"/>
      <c r="F254" s="4"/>
      <c r="G254" s="2">
        <f t="shared" si="18"/>
        <v>8.357</v>
      </c>
      <c r="H254" s="11" t="str">
        <f t="shared" si="19"/>
        <v>2.815E-2</v>
      </c>
      <c r="I254" s="2">
        <f t="shared" si="20"/>
        <v>60.4</v>
      </c>
      <c r="J254" s="4">
        <f t="shared" si="21"/>
        <v>8.357</v>
      </c>
      <c r="K254" s="9">
        <f t="shared" si="22"/>
        <v>-28.6</v>
      </c>
      <c r="L254" s="1">
        <f t="shared" si="23"/>
        <v>-30.9</v>
      </c>
    </row>
    <row r="255" s="1" customFormat="1" spans="1:12">
      <c r="A255" s="2">
        <v>8.424</v>
      </c>
      <c r="B255" s="10" t="s">
        <v>792</v>
      </c>
      <c r="C255" s="4">
        <v>8.424</v>
      </c>
      <c r="D255" s="5">
        <v>58.8</v>
      </c>
      <c r="E255" s="4"/>
      <c r="F255" s="4"/>
      <c r="G255" s="2">
        <f t="shared" si="18"/>
        <v>8.391</v>
      </c>
      <c r="H255" s="11" t="str">
        <f t="shared" si="19"/>
        <v>2.817E-2</v>
      </c>
      <c r="I255" s="2">
        <f t="shared" si="20"/>
        <v>59.6</v>
      </c>
      <c r="J255" s="4">
        <f t="shared" si="21"/>
        <v>8.391</v>
      </c>
      <c r="K255" s="9">
        <f t="shared" si="22"/>
        <v>-28.4</v>
      </c>
      <c r="L255" s="1">
        <f t="shared" si="23"/>
        <v>-30.9</v>
      </c>
    </row>
    <row r="256" s="1" customFormat="1" spans="1:12">
      <c r="A256" s="2">
        <v>8.458</v>
      </c>
      <c r="B256" s="10" t="s">
        <v>793</v>
      </c>
      <c r="C256" s="4">
        <v>8.458</v>
      </c>
      <c r="D256" s="5">
        <v>58.7</v>
      </c>
      <c r="E256" s="4"/>
      <c r="F256" s="4"/>
      <c r="G256" s="2">
        <f t="shared" si="18"/>
        <v>8.424</v>
      </c>
      <c r="H256" s="11" t="str">
        <f t="shared" si="19"/>
        <v>2.822E-2</v>
      </c>
      <c r="I256" s="2">
        <f t="shared" si="20"/>
        <v>58.8</v>
      </c>
      <c r="J256" s="4">
        <f t="shared" si="21"/>
        <v>8.424</v>
      </c>
      <c r="K256" s="9">
        <f t="shared" si="22"/>
        <v>-27.9</v>
      </c>
      <c r="L256" s="1">
        <f t="shared" si="23"/>
        <v>-30.9</v>
      </c>
    </row>
    <row r="257" s="1" customFormat="1" spans="1:12">
      <c r="A257" s="2">
        <v>8.491</v>
      </c>
      <c r="B257" s="10" t="s">
        <v>794</v>
      </c>
      <c r="C257" s="4">
        <v>8.491</v>
      </c>
      <c r="D257" s="5">
        <v>58.4</v>
      </c>
      <c r="E257" s="4"/>
      <c r="F257" s="4"/>
      <c r="G257" s="2">
        <f t="shared" si="18"/>
        <v>8.458</v>
      </c>
      <c r="H257" s="11" t="str">
        <f t="shared" si="19"/>
        <v>2.828E-2</v>
      </c>
      <c r="I257" s="2">
        <f t="shared" si="20"/>
        <v>58.7</v>
      </c>
      <c r="J257" s="4">
        <f t="shared" si="21"/>
        <v>8.458</v>
      </c>
      <c r="K257" s="9">
        <f t="shared" si="22"/>
        <v>-27.3</v>
      </c>
      <c r="L257" s="1">
        <f t="shared" si="23"/>
        <v>-30.9</v>
      </c>
    </row>
    <row r="258" s="1" customFormat="1" spans="1:12">
      <c r="A258" s="2">
        <v>8.525</v>
      </c>
      <c r="B258" s="10" t="s">
        <v>795</v>
      </c>
      <c r="C258" s="4">
        <v>8.525</v>
      </c>
      <c r="D258" s="5">
        <v>57.2</v>
      </c>
      <c r="E258" s="4"/>
      <c r="F258" s="4"/>
      <c r="G258" s="2">
        <f t="shared" si="18"/>
        <v>8.491</v>
      </c>
      <c r="H258" s="11" t="str">
        <f t="shared" si="19"/>
        <v>2.837E-2</v>
      </c>
      <c r="I258" s="2">
        <f t="shared" si="20"/>
        <v>58.4</v>
      </c>
      <c r="J258" s="4">
        <f t="shared" si="21"/>
        <v>8.491</v>
      </c>
      <c r="K258" s="9">
        <f t="shared" si="22"/>
        <v>-26.4</v>
      </c>
      <c r="L258" s="1">
        <f t="shared" si="23"/>
        <v>-30.9</v>
      </c>
    </row>
    <row r="259" s="1" customFormat="1" spans="1:12">
      <c r="A259" s="2">
        <v>8.558</v>
      </c>
      <c r="B259" s="10" t="s">
        <v>796</v>
      </c>
      <c r="C259" s="4">
        <v>8.558</v>
      </c>
      <c r="D259" s="5">
        <v>57</v>
      </c>
      <c r="E259" s="4"/>
      <c r="F259" s="4"/>
      <c r="G259" s="2">
        <f t="shared" si="18"/>
        <v>8.525</v>
      </c>
      <c r="H259" s="11" t="str">
        <f t="shared" si="19"/>
        <v>2.852E-2</v>
      </c>
      <c r="I259" s="2">
        <f t="shared" si="20"/>
        <v>57.2</v>
      </c>
      <c r="J259" s="4">
        <f t="shared" si="21"/>
        <v>8.525</v>
      </c>
      <c r="K259" s="9">
        <f t="shared" si="22"/>
        <v>-24.9</v>
      </c>
      <c r="L259" s="1">
        <f t="shared" si="23"/>
        <v>-30.9</v>
      </c>
    </row>
    <row r="260" s="1" customFormat="1" spans="1:12">
      <c r="A260" s="2">
        <v>8.591</v>
      </c>
      <c r="B260" s="10" t="s">
        <v>797</v>
      </c>
      <c r="C260" s="4">
        <v>8.591</v>
      </c>
      <c r="D260" s="5">
        <v>56.7</v>
      </c>
      <c r="E260" s="4"/>
      <c r="F260" s="4"/>
      <c r="G260" s="2">
        <f t="shared" ref="G260:G323" si="24">A259</f>
        <v>8.558</v>
      </c>
      <c r="H260" s="11" t="str">
        <f t="shared" ref="H260:H323" si="25">B259</f>
        <v>2.871E-2</v>
      </c>
      <c r="I260" s="2">
        <f t="shared" ref="I260:I323" si="26">D259</f>
        <v>57</v>
      </c>
      <c r="J260" s="4">
        <f t="shared" ref="J260:J323" si="27">G260</f>
        <v>8.558</v>
      </c>
      <c r="K260" s="9">
        <f t="shared" ref="K260:K323" si="28">(H260-$H$4)*10000</f>
        <v>-23</v>
      </c>
      <c r="L260" s="1">
        <f t="shared" ref="L260:L323" si="29">IF(I260&lt;230,MIN(K:K),MAX(K:K))</f>
        <v>-30.9</v>
      </c>
    </row>
    <row r="261" s="1" customFormat="1" spans="1:12">
      <c r="A261" s="2">
        <v>8.625</v>
      </c>
      <c r="B261" s="10" t="s">
        <v>754</v>
      </c>
      <c r="C261" s="4">
        <v>8.625</v>
      </c>
      <c r="D261" s="5">
        <v>56.4</v>
      </c>
      <c r="E261" s="4"/>
      <c r="F261" s="4"/>
      <c r="G261" s="2">
        <f t="shared" si="24"/>
        <v>8.591</v>
      </c>
      <c r="H261" s="11" t="str">
        <f t="shared" si="25"/>
        <v>2.888E-2</v>
      </c>
      <c r="I261" s="2">
        <f t="shared" si="26"/>
        <v>56.7</v>
      </c>
      <c r="J261" s="4">
        <f t="shared" si="27"/>
        <v>8.591</v>
      </c>
      <c r="K261" s="9">
        <f t="shared" si="28"/>
        <v>-21.3</v>
      </c>
      <c r="L261" s="1">
        <f t="shared" si="29"/>
        <v>-30.9</v>
      </c>
    </row>
    <row r="262" s="1" customFormat="1" spans="1:12">
      <c r="A262" s="2">
        <v>8.658</v>
      </c>
      <c r="B262" s="10" t="s">
        <v>798</v>
      </c>
      <c r="C262" s="4">
        <v>8.658</v>
      </c>
      <c r="D262" s="5">
        <v>55.2</v>
      </c>
      <c r="E262" s="4"/>
      <c r="F262" s="4"/>
      <c r="G262" s="2">
        <f t="shared" si="24"/>
        <v>8.625</v>
      </c>
      <c r="H262" s="11" t="str">
        <f t="shared" si="25"/>
        <v>2.917E-2</v>
      </c>
      <c r="I262" s="2">
        <f t="shared" si="26"/>
        <v>56.4</v>
      </c>
      <c r="J262" s="4">
        <f t="shared" si="27"/>
        <v>8.625</v>
      </c>
      <c r="K262" s="9">
        <f t="shared" si="28"/>
        <v>-18.4</v>
      </c>
      <c r="L262" s="1">
        <f t="shared" si="29"/>
        <v>-30.9</v>
      </c>
    </row>
    <row r="263" s="1" customFormat="1" spans="1:12">
      <c r="A263" s="2">
        <v>8.692</v>
      </c>
      <c r="B263" s="10" t="s">
        <v>538</v>
      </c>
      <c r="C263" s="4">
        <v>8.692</v>
      </c>
      <c r="D263" s="5">
        <v>55.3</v>
      </c>
      <c r="E263" s="4"/>
      <c r="F263" s="4"/>
      <c r="G263" s="2">
        <f t="shared" si="24"/>
        <v>8.658</v>
      </c>
      <c r="H263" s="11" t="str">
        <f t="shared" si="25"/>
        <v>2.945E-2</v>
      </c>
      <c r="I263" s="2">
        <f t="shared" si="26"/>
        <v>55.2</v>
      </c>
      <c r="J263" s="4">
        <f t="shared" si="27"/>
        <v>8.658</v>
      </c>
      <c r="K263" s="9">
        <f t="shared" si="28"/>
        <v>-15.6</v>
      </c>
      <c r="L263" s="1">
        <f t="shared" si="29"/>
        <v>-30.9</v>
      </c>
    </row>
    <row r="264" s="1" customFormat="1" spans="1:12">
      <c r="A264" s="2">
        <v>8.725</v>
      </c>
      <c r="B264" s="10" t="s">
        <v>560</v>
      </c>
      <c r="C264" s="4">
        <v>8.725</v>
      </c>
      <c r="D264" s="5">
        <v>54.8</v>
      </c>
      <c r="E264" s="4"/>
      <c r="F264" s="4"/>
      <c r="G264" s="2">
        <f t="shared" si="24"/>
        <v>8.692</v>
      </c>
      <c r="H264" s="11" t="str">
        <f t="shared" si="25"/>
        <v>2.975E-2</v>
      </c>
      <c r="I264" s="2">
        <f t="shared" si="26"/>
        <v>55.3</v>
      </c>
      <c r="J264" s="4">
        <f t="shared" si="27"/>
        <v>8.692</v>
      </c>
      <c r="K264" s="9">
        <f t="shared" si="28"/>
        <v>-12.6</v>
      </c>
      <c r="L264" s="1">
        <f t="shared" si="29"/>
        <v>-30.9</v>
      </c>
    </row>
    <row r="265" s="1" customFormat="1" spans="1:12">
      <c r="A265" s="2">
        <v>8.759</v>
      </c>
      <c r="B265" s="10" t="s">
        <v>549</v>
      </c>
      <c r="C265" s="4">
        <v>8.759</v>
      </c>
      <c r="D265" s="5">
        <v>53.7</v>
      </c>
      <c r="E265" s="4"/>
      <c r="F265" s="4"/>
      <c r="G265" s="2">
        <f t="shared" si="24"/>
        <v>8.725</v>
      </c>
      <c r="H265" s="11" t="str">
        <f t="shared" si="25"/>
        <v>3.006E-2</v>
      </c>
      <c r="I265" s="2">
        <f t="shared" si="26"/>
        <v>54.8</v>
      </c>
      <c r="J265" s="4">
        <f t="shared" si="27"/>
        <v>8.725</v>
      </c>
      <c r="K265" s="9">
        <f t="shared" si="28"/>
        <v>-9.49999999999999</v>
      </c>
      <c r="L265" s="1">
        <f t="shared" si="29"/>
        <v>-30.9</v>
      </c>
    </row>
    <row r="266" s="1" customFormat="1" spans="1:12">
      <c r="A266" s="2">
        <v>8.792</v>
      </c>
      <c r="B266" s="10" t="s">
        <v>653</v>
      </c>
      <c r="C266" s="4">
        <v>8.792</v>
      </c>
      <c r="D266" s="5">
        <v>52.6</v>
      </c>
      <c r="E266" s="4"/>
      <c r="F266" s="4"/>
      <c r="G266" s="2">
        <f t="shared" si="24"/>
        <v>8.759</v>
      </c>
      <c r="H266" s="11" t="str">
        <f t="shared" si="25"/>
        <v>3.034E-2</v>
      </c>
      <c r="I266" s="2">
        <f t="shared" si="26"/>
        <v>53.7</v>
      </c>
      <c r="J266" s="4">
        <f t="shared" si="27"/>
        <v>8.759</v>
      </c>
      <c r="K266" s="9">
        <f t="shared" si="28"/>
        <v>-6.7</v>
      </c>
      <c r="L266" s="1">
        <f t="shared" si="29"/>
        <v>-30.9</v>
      </c>
    </row>
    <row r="267" s="1" customFormat="1" spans="1:12">
      <c r="A267" s="2">
        <v>8.825</v>
      </c>
      <c r="B267" s="10" t="s">
        <v>724</v>
      </c>
      <c r="C267" s="4">
        <v>8.825</v>
      </c>
      <c r="D267" s="5">
        <v>52.3</v>
      </c>
      <c r="E267" s="4"/>
      <c r="F267" s="4"/>
      <c r="G267" s="2">
        <f t="shared" si="24"/>
        <v>8.792</v>
      </c>
      <c r="H267" s="11" t="str">
        <f t="shared" si="25"/>
        <v>3.069E-2</v>
      </c>
      <c r="I267" s="2">
        <f t="shared" si="26"/>
        <v>52.6</v>
      </c>
      <c r="J267" s="4">
        <f t="shared" si="27"/>
        <v>8.792</v>
      </c>
      <c r="K267" s="9">
        <f t="shared" si="28"/>
        <v>-3.20000000000001</v>
      </c>
      <c r="L267" s="1">
        <f t="shared" si="29"/>
        <v>-30.9</v>
      </c>
    </row>
    <row r="268" s="1" customFormat="1" spans="1:12">
      <c r="A268" s="2">
        <v>8.859</v>
      </c>
      <c r="B268" s="10" t="s">
        <v>799</v>
      </c>
      <c r="C268" s="4">
        <v>8.859</v>
      </c>
      <c r="D268" s="5">
        <v>52.5</v>
      </c>
      <c r="E268" s="4"/>
      <c r="F268" s="4"/>
      <c r="G268" s="2">
        <f t="shared" si="24"/>
        <v>8.825</v>
      </c>
      <c r="H268" s="11" t="str">
        <f t="shared" si="25"/>
        <v>3.098E-2</v>
      </c>
      <c r="I268" s="2">
        <f t="shared" si="26"/>
        <v>52.3</v>
      </c>
      <c r="J268" s="4">
        <f t="shared" si="27"/>
        <v>8.825</v>
      </c>
      <c r="K268" s="9">
        <f t="shared" si="28"/>
        <v>-0.299999999999988</v>
      </c>
      <c r="L268" s="1">
        <f t="shared" si="29"/>
        <v>-30.9</v>
      </c>
    </row>
    <row r="269" s="1" customFormat="1" spans="1:12">
      <c r="A269" s="2">
        <v>8.892</v>
      </c>
      <c r="B269" s="10" t="s">
        <v>650</v>
      </c>
      <c r="C269" s="4">
        <v>8.892</v>
      </c>
      <c r="D269" s="5">
        <v>51.2</v>
      </c>
      <c r="E269" s="4"/>
      <c r="F269" s="4"/>
      <c r="G269" s="2">
        <f t="shared" si="24"/>
        <v>8.859</v>
      </c>
      <c r="H269" s="11" t="str">
        <f t="shared" si="25"/>
        <v>3.118E-2</v>
      </c>
      <c r="I269" s="2">
        <f t="shared" si="26"/>
        <v>52.5</v>
      </c>
      <c r="J269" s="4">
        <f t="shared" si="27"/>
        <v>8.859</v>
      </c>
      <c r="K269" s="9">
        <f t="shared" si="28"/>
        <v>1.7</v>
      </c>
      <c r="L269" s="1">
        <f t="shared" si="29"/>
        <v>-30.9</v>
      </c>
    </row>
    <row r="270" s="1" customFormat="1" spans="1:12">
      <c r="A270" s="2">
        <v>8.926</v>
      </c>
      <c r="B270" s="10" t="s">
        <v>800</v>
      </c>
      <c r="C270" s="4">
        <v>8.926</v>
      </c>
      <c r="D270" s="5">
        <v>51.3</v>
      </c>
      <c r="E270" s="4"/>
      <c r="F270" s="4"/>
      <c r="G270" s="2">
        <f t="shared" si="24"/>
        <v>8.892</v>
      </c>
      <c r="H270" s="11" t="str">
        <f t="shared" si="25"/>
        <v>3.138E-2</v>
      </c>
      <c r="I270" s="2">
        <f t="shared" si="26"/>
        <v>51.2</v>
      </c>
      <c r="J270" s="4">
        <f t="shared" si="27"/>
        <v>8.892</v>
      </c>
      <c r="K270" s="9">
        <f t="shared" si="28"/>
        <v>3.69999999999999</v>
      </c>
      <c r="L270" s="1">
        <f t="shared" si="29"/>
        <v>-30.9</v>
      </c>
    </row>
    <row r="271" s="1" customFormat="1" spans="1:12">
      <c r="A271" s="2">
        <v>8.959</v>
      </c>
      <c r="B271" s="10" t="s">
        <v>705</v>
      </c>
      <c r="C271" s="4">
        <v>8.959</v>
      </c>
      <c r="D271" s="5">
        <v>51.3</v>
      </c>
      <c r="E271" s="4"/>
      <c r="F271" s="4"/>
      <c r="G271" s="2">
        <f t="shared" si="24"/>
        <v>8.926</v>
      </c>
      <c r="H271" s="11" t="str">
        <f t="shared" si="25"/>
        <v>3.155E-2</v>
      </c>
      <c r="I271" s="2">
        <f t="shared" si="26"/>
        <v>51.3</v>
      </c>
      <c r="J271" s="4">
        <f t="shared" si="27"/>
        <v>8.926</v>
      </c>
      <c r="K271" s="9">
        <f t="shared" si="28"/>
        <v>5.40000000000002</v>
      </c>
      <c r="L271" s="1">
        <f t="shared" si="29"/>
        <v>-30.9</v>
      </c>
    </row>
    <row r="272" s="1" customFormat="1" spans="1:12">
      <c r="A272" s="2">
        <v>8.993</v>
      </c>
      <c r="B272" s="10" t="s">
        <v>801</v>
      </c>
      <c r="C272" s="4">
        <v>8.993</v>
      </c>
      <c r="D272" s="5">
        <v>50.6</v>
      </c>
      <c r="E272" s="4"/>
      <c r="F272" s="4"/>
      <c r="G272" s="2">
        <f t="shared" si="24"/>
        <v>8.959</v>
      </c>
      <c r="H272" s="11" t="str">
        <f t="shared" si="25"/>
        <v>3.170E-2</v>
      </c>
      <c r="I272" s="2">
        <f t="shared" si="26"/>
        <v>51.3</v>
      </c>
      <c r="J272" s="4">
        <f t="shared" si="27"/>
        <v>8.959</v>
      </c>
      <c r="K272" s="9">
        <f t="shared" si="28"/>
        <v>6.9</v>
      </c>
      <c r="L272" s="1">
        <f t="shared" si="29"/>
        <v>-30.9</v>
      </c>
    </row>
    <row r="273" s="1" customFormat="1" spans="1:12">
      <c r="A273" s="2">
        <v>9.026</v>
      </c>
      <c r="B273" s="10" t="s">
        <v>601</v>
      </c>
      <c r="C273" s="4">
        <v>9.026</v>
      </c>
      <c r="D273" s="5">
        <v>50.2</v>
      </c>
      <c r="E273" s="4"/>
      <c r="F273" s="4"/>
      <c r="G273" s="2">
        <f t="shared" si="24"/>
        <v>8.993</v>
      </c>
      <c r="H273" s="11" t="str">
        <f t="shared" si="25"/>
        <v>3.177E-2</v>
      </c>
      <c r="I273" s="2">
        <f t="shared" si="26"/>
        <v>50.6</v>
      </c>
      <c r="J273" s="4">
        <f t="shared" si="27"/>
        <v>8.993</v>
      </c>
      <c r="K273" s="9">
        <f t="shared" si="28"/>
        <v>7.6</v>
      </c>
      <c r="L273" s="1">
        <f t="shared" si="29"/>
        <v>-30.9</v>
      </c>
    </row>
    <row r="274" s="1" customFormat="1" spans="1:12">
      <c r="A274" s="2">
        <v>9.06</v>
      </c>
      <c r="B274" s="10" t="s">
        <v>600</v>
      </c>
      <c r="C274" s="4">
        <v>9.06</v>
      </c>
      <c r="D274" s="5">
        <v>49.8</v>
      </c>
      <c r="E274" s="4"/>
      <c r="F274" s="4"/>
      <c r="G274" s="2">
        <f t="shared" si="24"/>
        <v>9.026</v>
      </c>
      <c r="H274" s="11" t="str">
        <f t="shared" si="25"/>
        <v>3.186E-2</v>
      </c>
      <c r="I274" s="2">
        <f t="shared" si="26"/>
        <v>50.2</v>
      </c>
      <c r="J274" s="4">
        <f t="shared" si="27"/>
        <v>9.026</v>
      </c>
      <c r="K274" s="9">
        <f t="shared" si="28"/>
        <v>8.5</v>
      </c>
      <c r="L274" s="1">
        <f t="shared" si="29"/>
        <v>-30.9</v>
      </c>
    </row>
    <row r="275" s="1" customFormat="1" spans="1:12">
      <c r="A275" s="2">
        <v>9.093</v>
      </c>
      <c r="B275" s="10" t="s">
        <v>601</v>
      </c>
      <c r="C275" s="4">
        <v>9.093</v>
      </c>
      <c r="D275" s="5">
        <v>49.6</v>
      </c>
      <c r="E275" s="4"/>
      <c r="F275" s="4"/>
      <c r="G275" s="2">
        <f t="shared" si="24"/>
        <v>9.06</v>
      </c>
      <c r="H275" s="11" t="str">
        <f t="shared" si="25"/>
        <v>3.189E-2</v>
      </c>
      <c r="I275" s="2">
        <f t="shared" si="26"/>
        <v>49.8</v>
      </c>
      <c r="J275" s="4">
        <f t="shared" si="27"/>
        <v>9.06</v>
      </c>
      <c r="K275" s="9">
        <f t="shared" si="28"/>
        <v>8.80000000000002</v>
      </c>
      <c r="L275" s="1">
        <f t="shared" si="29"/>
        <v>-30.9</v>
      </c>
    </row>
    <row r="276" s="1" customFormat="1" spans="1:12">
      <c r="A276" s="2">
        <v>9.126</v>
      </c>
      <c r="B276" s="10" t="s">
        <v>802</v>
      </c>
      <c r="C276" s="4">
        <v>9.126</v>
      </c>
      <c r="D276" s="5">
        <v>48.9</v>
      </c>
      <c r="E276" s="4"/>
      <c r="F276" s="4"/>
      <c r="G276" s="2">
        <f t="shared" si="24"/>
        <v>9.093</v>
      </c>
      <c r="H276" s="11" t="str">
        <f t="shared" si="25"/>
        <v>3.186E-2</v>
      </c>
      <c r="I276" s="2">
        <f t="shared" si="26"/>
        <v>49.6</v>
      </c>
      <c r="J276" s="4">
        <f t="shared" si="27"/>
        <v>9.093</v>
      </c>
      <c r="K276" s="9">
        <f t="shared" si="28"/>
        <v>8.5</v>
      </c>
      <c r="L276" s="1">
        <f t="shared" si="29"/>
        <v>-30.9</v>
      </c>
    </row>
    <row r="277" s="1" customFormat="1" spans="1:12">
      <c r="A277" s="2">
        <v>9.16</v>
      </c>
      <c r="B277" s="10" t="s">
        <v>705</v>
      </c>
      <c r="C277" s="4">
        <v>9.16</v>
      </c>
      <c r="D277" s="5">
        <v>49</v>
      </c>
      <c r="E277" s="4"/>
      <c r="F277" s="4"/>
      <c r="G277" s="2">
        <f t="shared" si="24"/>
        <v>9.126</v>
      </c>
      <c r="H277" s="11" t="str">
        <f t="shared" si="25"/>
        <v>3.181E-2</v>
      </c>
      <c r="I277" s="2">
        <f t="shared" si="26"/>
        <v>48.9</v>
      </c>
      <c r="J277" s="4">
        <f t="shared" si="27"/>
        <v>9.126</v>
      </c>
      <c r="K277" s="9">
        <f t="shared" si="28"/>
        <v>7.99999999999999</v>
      </c>
      <c r="L277" s="1">
        <f t="shared" si="29"/>
        <v>-30.9</v>
      </c>
    </row>
    <row r="278" s="1" customFormat="1" spans="1:12">
      <c r="A278" s="2">
        <v>9.193</v>
      </c>
      <c r="B278" s="10" t="s">
        <v>803</v>
      </c>
      <c r="C278" s="4">
        <v>9.193</v>
      </c>
      <c r="D278" s="5">
        <v>48.2</v>
      </c>
      <c r="E278" s="4"/>
      <c r="F278" s="4"/>
      <c r="G278" s="2">
        <f t="shared" si="24"/>
        <v>9.16</v>
      </c>
      <c r="H278" s="11" t="str">
        <f t="shared" si="25"/>
        <v>3.170E-2</v>
      </c>
      <c r="I278" s="2">
        <f t="shared" si="26"/>
        <v>49</v>
      </c>
      <c r="J278" s="4">
        <f t="shared" si="27"/>
        <v>9.16</v>
      </c>
      <c r="K278" s="9">
        <f t="shared" si="28"/>
        <v>6.9</v>
      </c>
      <c r="L278" s="1">
        <f t="shared" si="29"/>
        <v>-30.9</v>
      </c>
    </row>
    <row r="279" s="1" customFormat="1" spans="1:12">
      <c r="A279" s="2">
        <v>9.227</v>
      </c>
      <c r="B279" s="10" t="s">
        <v>804</v>
      </c>
      <c r="C279" s="4">
        <v>9.227</v>
      </c>
      <c r="D279" s="5">
        <v>48</v>
      </c>
      <c r="E279" s="4"/>
      <c r="F279" s="4"/>
      <c r="G279" s="2">
        <f t="shared" si="24"/>
        <v>9.193</v>
      </c>
      <c r="H279" s="11" t="str">
        <f t="shared" si="25"/>
        <v>3.150E-2</v>
      </c>
      <c r="I279" s="2">
        <f t="shared" si="26"/>
        <v>48.2</v>
      </c>
      <c r="J279" s="4">
        <f t="shared" si="27"/>
        <v>9.193</v>
      </c>
      <c r="K279" s="9">
        <f t="shared" si="28"/>
        <v>4.90000000000001</v>
      </c>
      <c r="L279" s="1">
        <f t="shared" si="29"/>
        <v>-30.9</v>
      </c>
    </row>
    <row r="280" s="1" customFormat="1" spans="1:12">
      <c r="A280" s="2">
        <v>9.26</v>
      </c>
      <c r="B280" s="10" t="s">
        <v>632</v>
      </c>
      <c r="C280" s="4">
        <v>9.26</v>
      </c>
      <c r="D280" s="5">
        <v>48.1</v>
      </c>
      <c r="E280" s="4"/>
      <c r="F280" s="4"/>
      <c r="G280" s="2">
        <f t="shared" si="24"/>
        <v>9.227</v>
      </c>
      <c r="H280" s="11" t="str">
        <f t="shared" si="25"/>
        <v>3.132E-2</v>
      </c>
      <c r="I280" s="2">
        <f t="shared" si="26"/>
        <v>48</v>
      </c>
      <c r="J280" s="4">
        <f t="shared" si="27"/>
        <v>9.227</v>
      </c>
      <c r="K280" s="9">
        <f t="shared" si="28"/>
        <v>3.10000000000001</v>
      </c>
      <c r="L280" s="1">
        <f t="shared" si="29"/>
        <v>-30.9</v>
      </c>
    </row>
    <row r="281" s="1" customFormat="1" spans="1:12">
      <c r="A281" s="2">
        <v>9.294</v>
      </c>
      <c r="B281" s="10" t="s">
        <v>677</v>
      </c>
      <c r="C281" s="4">
        <v>9.294</v>
      </c>
      <c r="D281" s="5">
        <v>47.3</v>
      </c>
      <c r="E281" s="4"/>
      <c r="F281" s="4"/>
      <c r="G281" s="2">
        <f t="shared" si="24"/>
        <v>9.26</v>
      </c>
      <c r="H281" s="11" t="str">
        <f t="shared" si="25"/>
        <v>3.109E-2</v>
      </c>
      <c r="I281" s="2">
        <f t="shared" si="26"/>
        <v>48.1</v>
      </c>
      <c r="J281" s="4">
        <f t="shared" si="27"/>
        <v>9.26</v>
      </c>
      <c r="K281" s="9">
        <f t="shared" si="28"/>
        <v>0.800000000000002</v>
      </c>
      <c r="L281" s="1">
        <f t="shared" si="29"/>
        <v>-30.9</v>
      </c>
    </row>
    <row r="282" s="1" customFormat="1" spans="1:12">
      <c r="A282" s="2">
        <v>9.327</v>
      </c>
      <c r="B282" s="10" t="s">
        <v>805</v>
      </c>
      <c r="C282" s="4">
        <v>9.327</v>
      </c>
      <c r="D282" s="5">
        <v>47.4</v>
      </c>
      <c r="E282" s="4"/>
      <c r="F282" s="4"/>
      <c r="G282" s="2">
        <f t="shared" si="24"/>
        <v>9.294</v>
      </c>
      <c r="H282" s="11" t="str">
        <f t="shared" si="25"/>
        <v>3.081E-2</v>
      </c>
      <c r="I282" s="2">
        <f t="shared" si="26"/>
        <v>47.3</v>
      </c>
      <c r="J282" s="4">
        <f t="shared" si="27"/>
        <v>9.294</v>
      </c>
      <c r="K282" s="9">
        <f t="shared" si="28"/>
        <v>-1.99999999999999</v>
      </c>
      <c r="L282" s="1">
        <f t="shared" si="29"/>
        <v>-30.9</v>
      </c>
    </row>
    <row r="283" s="1" customFormat="1" spans="1:12">
      <c r="A283" s="2">
        <v>9.36</v>
      </c>
      <c r="B283" s="10" t="s">
        <v>563</v>
      </c>
      <c r="C283" s="4">
        <v>9.36</v>
      </c>
      <c r="D283" s="5">
        <v>46.5</v>
      </c>
      <c r="E283" s="4"/>
      <c r="F283" s="4"/>
      <c r="G283" s="2">
        <f t="shared" si="24"/>
        <v>9.327</v>
      </c>
      <c r="H283" s="11" t="str">
        <f t="shared" si="25"/>
        <v>3.046E-2</v>
      </c>
      <c r="I283" s="2">
        <f t="shared" si="26"/>
        <v>47.4</v>
      </c>
      <c r="J283" s="4">
        <f t="shared" si="27"/>
        <v>9.327</v>
      </c>
      <c r="K283" s="9">
        <f t="shared" si="28"/>
        <v>-5.49999999999998</v>
      </c>
      <c r="L283" s="1">
        <f t="shared" si="29"/>
        <v>-30.9</v>
      </c>
    </row>
    <row r="284" s="1" customFormat="1" spans="1:12">
      <c r="A284" s="2">
        <v>9.394</v>
      </c>
      <c r="B284" s="10" t="s">
        <v>501</v>
      </c>
      <c r="C284" s="4">
        <v>9.394</v>
      </c>
      <c r="D284" s="5">
        <v>47</v>
      </c>
      <c r="E284" s="4"/>
      <c r="F284" s="4"/>
      <c r="G284" s="2">
        <f t="shared" si="24"/>
        <v>9.36</v>
      </c>
      <c r="H284" s="11" t="str">
        <f t="shared" si="25"/>
        <v>3.019E-2</v>
      </c>
      <c r="I284" s="2">
        <f t="shared" si="26"/>
        <v>46.5</v>
      </c>
      <c r="J284" s="4">
        <f t="shared" si="27"/>
        <v>9.36</v>
      </c>
      <c r="K284" s="9">
        <f t="shared" si="28"/>
        <v>-8.19999999999998</v>
      </c>
      <c r="L284" s="1">
        <f t="shared" si="29"/>
        <v>-30.9</v>
      </c>
    </row>
    <row r="285" s="1" customFormat="1" spans="1:12">
      <c r="A285" s="2">
        <v>9.427</v>
      </c>
      <c r="B285" s="10" t="s">
        <v>510</v>
      </c>
      <c r="C285" s="4">
        <v>9.427</v>
      </c>
      <c r="D285" s="5">
        <v>46.5</v>
      </c>
      <c r="E285" s="4"/>
      <c r="F285" s="4"/>
      <c r="G285" s="2">
        <f t="shared" si="24"/>
        <v>9.394</v>
      </c>
      <c r="H285" s="11" t="str">
        <f t="shared" si="25"/>
        <v>2.986E-2</v>
      </c>
      <c r="I285" s="2">
        <f t="shared" si="26"/>
        <v>47</v>
      </c>
      <c r="J285" s="4">
        <f t="shared" si="27"/>
        <v>9.394</v>
      </c>
      <c r="K285" s="9">
        <f t="shared" si="28"/>
        <v>-11.5</v>
      </c>
      <c r="L285" s="1">
        <f t="shared" si="29"/>
        <v>-30.9</v>
      </c>
    </row>
    <row r="286" s="1" customFormat="1" spans="1:12">
      <c r="A286" s="2">
        <v>9.461</v>
      </c>
      <c r="B286" s="10" t="s">
        <v>806</v>
      </c>
      <c r="C286" s="4">
        <v>9.461</v>
      </c>
      <c r="D286" s="5">
        <v>46.1</v>
      </c>
      <c r="E286" s="4"/>
      <c r="F286" s="4"/>
      <c r="G286" s="2">
        <f t="shared" si="24"/>
        <v>9.427</v>
      </c>
      <c r="H286" s="11" t="str">
        <f t="shared" si="25"/>
        <v>2.958E-2</v>
      </c>
      <c r="I286" s="2">
        <f t="shared" si="26"/>
        <v>46.5</v>
      </c>
      <c r="J286" s="4">
        <f t="shared" si="27"/>
        <v>9.427</v>
      </c>
      <c r="K286" s="9">
        <f t="shared" si="28"/>
        <v>-14.3</v>
      </c>
      <c r="L286" s="1">
        <f t="shared" si="29"/>
        <v>-30.9</v>
      </c>
    </row>
    <row r="287" s="1" customFormat="1" spans="1:12">
      <c r="A287" s="2">
        <v>9.494</v>
      </c>
      <c r="B287" s="10" t="s">
        <v>743</v>
      </c>
      <c r="C287" s="4">
        <v>9.494</v>
      </c>
      <c r="D287" s="5">
        <v>46.6</v>
      </c>
      <c r="E287" s="4"/>
      <c r="F287" s="4"/>
      <c r="G287" s="2">
        <f t="shared" si="24"/>
        <v>9.461</v>
      </c>
      <c r="H287" s="11" t="str">
        <f t="shared" si="25"/>
        <v>2.932E-2</v>
      </c>
      <c r="I287" s="2">
        <f t="shared" si="26"/>
        <v>46.1</v>
      </c>
      <c r="J287" s="4">
        <f t="shared" si="27"/>
        <v>9.461</v>
      </c>
      <c r="K287" s="9">
        <f t="shared" si="28"/>
        <v>-16.9</v>
      </c>
      <c r="L287" s="1">
        <f t="shared" si="29"/>
        <v>-30.9</v>
      </c>
    </row>
    <row r="288" s="1" customFormat="1" spans="1:12">
      <c r="A288" s="2">
        <v>9.528</v>
      </c>
      <c r="B288" s="10" t="s">
        <v>807</v>
      </c>
      <c r="C288" s="4">
        <v>9.528</v>
      </c>
      <c r="D288" s="5">
        <v>46.4</v>
      </c>
      <c r="E288" s="4"/>
      <c r="F288" s="4"/>
      <c r="G288" s="2">
        <f t="shared" si="24"/>
        <v>9.494</v>
      </c>
      <c r="H288" s="11" t="str">
        <f t="shared" si="25"/>
        <v>2.907E-2</v>
      </c>
      <c r="I288" s="2">
        <f t="shared" si="26"/>
        <v>46.6</v>
      </c>
      <c r="J288" s="4">
        <f t="shared" si="27"/>
        <v>9.494</v>
      </c>
      <c r="K288" s="9">
        <f t="shared" si="28"/>
        <v>-19.4</v>
      </c>
      <c r="L288" s="1">
        <f t="shared" si="29"/>
        <v>-30.9</v>
      </c>
    </row>
    <row r="289" s="1" customFormat="1" spans="1:12">
      <c r="A289" s="2">
        <v>9.561</v>
      </c>
      <c r="B289" s="10" t="s">
        <v>808</v>
      </c>
      <c r="C289" s="4">
        <v>9.561</v>
      </c>
      <c r="D289" s="5">
        <v>46.4</v>
      </c>
      <c r="E289" s="4"/>
      <c r="F289" s="4"/>
      <c r="G289" s="2">
        <f t="shared" si="24"/>
        <v>9.528</v>
      </c>
      <c r="H289" s="11" t="str">
        <f t="shared" si="25"/>
        <v>2.889E-2</v>
      </c>
      <c r="I289" s="2">
        <f t="shared" si="26"/>
        <v>46.4</v>
      </c>
      <c r="J289" s="4">
        <f t="shared" si="27"/>
        <v>9.528</v>
      </c>
      <c r="K289" s="9">
        <f t="shared" si="28"/>
        <v>-21.2</v>
      </c>
      <c r="L289" s="1">
        <f t="shared" si="29"/>
        <v>-30.9</v>
      </c>
    </row>
    <row r="290" s="1" customFormat="1" spans="1:12">
      <c r="A290" s="2">
        <v>9.594</v>
      </c>
      <c r="B290" s="10" t="s">
        <v>809</v>
      </c>
      <c r="C290" s="4">
        <v>9.594</v>
      </c>
      <c r="D290" s="5">
        <v>46.3</v>
      </c>
      <c r="E290" s="4"/>
      <c r="F290" s="4"/>
      <c r="G290" s="2">
        <f t="shared" si="24"/>
        <v>9.561</v>
      </c>
      <c r="H290" s="11" t="str">
        <f t="shared" si="25"/>
        <v>2.872E-2</v>
      </c>
      <c r="I290" s="2">
        <f t="shared" si="26"/>
        <v>46.4</v>
      </c>
      <c r="J290" s="4">
        <f t="shared" si="27"/>
        <v>9.561</v>
      </c>
      <c r="K290" s="9">
        <f t="shared" si="28"/>
        <v>-22.9</v>
      </c>
      <c r="L290" s="1">
        <f t="shared" si="29"/>
        <v>-30.9</v>
      </c>
    </row>
    <row r="291" s="1" customFormat="1" spans="1:12">
      <c r="A291" s="2">
        <v>9.628</v>
      </c>
      <c r="B291" s="10" t="s">
        <v>810</v>
      </c>
      <c r="C291" s="4">
        <v>9.628</v>
      </c>
      <c r="D291" s="5">
        <v>45.8</v>
      </c>
      <c r="E291" s="4"/>
      <c r="F291" s="4"/>
      <c r="G291" s="2">
        <f t="shared" si="24"/>
        <v>9.594</v>
      </c>
      <c r="H291" s="11" t="str">
        <f t="shared" si="25"/>
        <v>2.855E-2</v>
      </c>
      <c r="I291" s="2">
        <f t="shared" si="26"/>
        <v>46.3</v>
      </c>
      <c r="J291" s="4">
        <f t="shared" si="27"/>
        <v>9.594</v>
      </c>
      <c r="K291" s="9">
        <f t="shared" si="28"/>
        <v>-24.6</v>
      </c>
      <c r="L291" s="1">
        <f t="shared" si="29"/>
        <v>-30.9</v>
      </c>
    </row>
    <row r="292" s="1" customFormat="1" spans="1:12">
      <c r="A292" s="2">
        <v>9.661</v>
      </c>
      <c r="B292" s="10" t="s">
        <v>811</v>
      </c>
      <c r="C292" s="4">
        <v>9.661</v>
      </c>
      <c r="D292" s="5">
        <v>45.5</v>
      </c>
      <c r="E292" s="4"/>
      <c r="F292" s="4"/>
      <c r="G292" s="2">
        <f t="shared" si="24"/>
        <v>9.628</v>
      </c>
      <c r="H292" s="11" t="str">
        <f t="shared" si="25"/>
        <v>2.848E-2</v>
      </c>
      <c r="I292" s="2">
        <f t="shared" si="26"/>
        <v>45.8</v>
      </c>
      <c r="J292" s="4">
        <f t="shared" si="27"/>
        <v>9.628</v>
      </c>
      <c r="K292" s="9">
        <f t="shared" si="28"/>
        <v>-25.3</v>
      </c>
      <c r="L292" s="1">
        <f t="shared" si="29"/>
        <v>-30.9</v>
      </c>
    </row>
    <row r="293" s="1" customFormat="1" spans="1:12">
      <c r="A293" s="2">
        <v>9.695</v>
      </c>
      <c r="B293" s="10" t="s">
        <v>810</v>
      </c>
      <c r="C293" s="4">
        <v>9.695</v>
      </c>
      <c r="D293" s="5">
        <v>46.1</v>
      </c>
      <c r="E293" s="4"/>
      <c r="F293" s="4"/>
      <c r="G293" s="2">
        <f t="shared" si="24"/>
        <v>9.661</v>
      </c>
      <c r="H293" s="11" t="str">
        <f t="shared" si="25"/>
        <v>2.846E-2</v>
      </c>
      <c r="I293" s="2">
        <f t="shared" si="26"/>
        <v>45.5</v>
      </c>
      <c r="J293" s="4">
        <f t="shared" si="27"/>
        <v>9.661</v>
      </c>
      <c r="K293" s="9">
        <f t="shared" si="28"/>
        <v>-25.5</v>
      </c>
      <c r="L293" s="1">
        <f t="shared" si="29"/>
        <v>-30.9</v>
      </c>
    </row>
    <row r="294" s="1" customFormat="1" spans="1:12">
      <c r="A294" s="2">
        <v>9.728</v>
      </c>
      <c r="B294" s="10" t="s">
        <v>812</v>
      </c>
      <c r="C294" s="4">
        <v>9.728</v>
      </c>
      <c r="D294" s="5">
        <v>45.7</v>
      </c>
      <c r="E294" s="4"/>
      <c r="F294" s="4"/>
      <c r="G294" s="2">
        <f t="shared" si="24"/>
        <v>9.695</v>
      </c>
      <c r="H294" s="11" t="str">
        <f t="shared" si="25"/>
        <v>2.848E-2</v>
      </c>
      <c r="I294" s="2">
        <f t="shared" si="26"/>
        <v>46.1</v>
      </c>
      <c r="J294" s="4">
        <f t="shared" si="27"/>
        <v>9.695</v>
      </c>
      <c r="K294" s="9">
        <f t="shared" si="28"/>
        <v>-25.3</v>
      </c>
      <c r="L294" s="1">
        <f t="shared" si="29"/>
        <v>-30.9</v>
      </c>
    </row>
    <row r="295" s="1" customFormat="1" spans="1:12">
      <c r="A295" s="2">
        <v>9.762</v>
      </c>
      <c r="B295" s="10" t="s">
        <v>813</v>
      </c>
      <c r="C295" s="4">
        <v>9.762</v>
      </c>
      <c r="D295" s="5">
        <v>46.4</v>
      </c>
      <c r="E295" s="4"/>
      <c r="F295" s="4"/>
      <c r="G295" s="2">
        <f t="shared" si="24"/>
        <v>9.728</v>
      </c>
      <c r="H295" s="11" t="str">
        <f t="shared" si="25"/>
        <v>2.851E-2</v>
      </c>
      <c r="I295" s="2">
        <f t="shared" si="26"/>
        <v>45.7</v>
      </c>
      <c r="J295" s="4">
        <f t="shared" si="27"/>
        <v>9.728</v>
      </c>
      <c r="K295" s="9">
        <f t="shared" si="28"/>
        <v>-25</v>
      </c>
      <c r="L295" s="1">
        <f t="shared" si="29"/>
        <v>-30.9</v>
      </c>
    </row>
    <row r="296" s="1" customFormat="1" spans="1:12">
      <c r="A296" s="2">
        <v>9.795</v>
      </c>
      <c r="B296" s="10" t="s">
        <v>814</v>
      </c>
      <c r="C296" s="4">
        <v>9.795</v>
      </c>
      <c r="D296" s="5">
        <v>45.5</v>
      </c>
      <c r="E296" s="4"/>
      <c r="F296" s="4"/>
      <c r="G296" s="2">
        <f t="shared" si="24"/>
        <v>9.762</v>
      </c>
      <c r="H296" s="11" t="str">
        <f t="shared" si="25"/>
        <v>2.857E-2</v>
      </c>
      <c r="I296" s="2">
        <f t="shared" si="26"/>
        <v>46.4</v>
      </c>
      <c r="J296" s="4">
        <f t="shared" si="27"/>
        <v>9.762</v>
      </c>
      <c r="K296" s="9">
        <f t="shared" si="28"/>
        <v>-24.4</v>
      </c>
      <c r="L296" s="1">
        <f t="shared" si="29"/>
        <v>-30.9</v>
      </c>
    </row>
    <row r="297" s="1" customFormat="1" spans="1:12">
      <c r="A297" s="2">
        <v>9.828</v>
      </c>
      <c r="B297" s="10" t="s">
        <v>748</v>
      </c>
      <c r="C297" s="4">
        <v>9.828</v>
      </c>
      <c r="D297" s="5">
        <v>45.7</v>
      </c>
      <c r="E297" s="4"/>
      <c r="F297" s="4"/>
      <c r="G297" s="2">
        <f t="shared" si="24"/>
        <v>9.795</v>
      </c>
      <c r="H297" s="11" t="str">
        <f t="shared" si="25"/>
        <v>2.865E-2</v>
      </c>
      <c r="I297" s="2">
        <f t="shared" si="26"/>
        <v>45.5</v>
      </c>
      <c r="J297" s="4">
        <f t="shared" si="27"/>
        <v>9.795</v>
      </c>
      <c r="K297" s="9">
        <f t="shared" si="28"/>
        <v>-23.6</v>
      </c>
      <c r="L297" s="1">
        <f t="shared" si="29"/>
        <v>-30.9</v>
      </c>
    </row>
    <row r="298" s="1" customFormat="1" spans="1:12">
      <c r="A298" s="2">
        <v>9.862</v>
      </c>
      <c r="B298" s="10" t="s">
        <v>815</v>
      </c>
      <c r="C298" s="4">
        <v>9.862</v>
      </c>
      <c r="D298" s="5">
        <v>46</v>
      </c>
      <c r="E298" s="4"/>
      <c r="F298" s="4"/>
      <c r="G298" s="2">
        <f t="shared" si="24"/>
        <v>9.828</v>
      </c>
      <c r="H298" s="11" t="str">
        <f t="shared" si="25"/>
        <v>2.875E-2</v>
      </c>
      <c r="I298" s="2">
        <f t="shared" si="26"/>
        <v>45.7</v>
      </c>
      <c r="J298" s="4">
        <f t="shared" si="27"/>
        <v>9.828</v>
      </c>
      <c r="K298" s="9">
        <f t="shared" si="28"/>
        <v>-22.6</v>
      </c>
      <c r="L298" s="1">
        <f t="shared" si="29"/>
        <v>-30.9</v>
      </c>
    </row>
    <row r="299" s="1" customFormat="1" spans="1:12">
      <c r="A299" s="2">
        <v>9.895</v>
      </c>
      <c r="B299" s="10" t="s">
        <v>816</v>
      </c>
      <c r="C299" s="4">
        <v>9.895</v>
      </c>
      <c r="D299" s="5">
        <v>45.6</v>
      </c>
      <c r="E299" s="4"/>
      <c r="F299" s="4"/>
      <c r="G299" s="2">
        <f t="shared" si="24"/>
        <v>9.862</v>
      </c>
      <c r="H299" s="11" t="str">
        <f t="shared" si="25"/>
        <v>2.896E-2</v>
      </c>
      <c r="I299" s="2">
        <f t="shared" si="26"/>
        <v>46</v>
      </c>
      <c r="J299" s="4">
        <f t="shared" si="27"/>
        <v>9.862</v>
      </c>
      <c r="K299" s="9">
        <f t="shared" si="28"/>
        <v>-20.5</v>
      </c>
      <c r="L299" s="1">
        <f t="shared" si="29"/>
        <v>-30.9</v>
      </c>
    </row>
    <row r="300" s="1" customFormat="1" spans="1:12">
      <c r="A300" s="2">
        <v>9.929</v>
      </c>
      <c r="B300" s="10" t="s">
        <v>817</v>
      </c>
      <c r="C300" s="4">
        <v>9.929</v>
      </c>
      <c r="D300" s="5">
        <v>45.8</v>
      </c>
      <c r="E300" s="4"/>
      <c r="F300" s="4"/>
      <c r="G300" s="2">
        <f t="shared" si="24"/>
        <v>9.895</v>
      </c>
      <c r="H300" s="11" t="str">
        <f t="shared" si="25"/>
        <v>2.915E-2</v>
      </c>
      <c r="I300" s="2">
        <f t="shared" si="26"/>
        <v>45.6</v>
      </c>
      <c r="J300" s="4">
        <f t="shared" si="27"/>
        <v>9.895</v>
      </c>
      <c r="K300" s="9">
        <f t="shared" si="28"/>
        <v>-18.6</v>
      </c>
      <c r="L300" s="1">
        <f t="shared" si="29"/>
        <v>-30.9</v>
      </c>
    </row>
    <row r="301" s="1" customFormat="1" spans="1:12">
      <c r="A301" s="2">
        <v>9.962</v>
      </c>
      <c r="B301" s="10" t="s">
        <v>526</v>
      </c>
      <c r="C301" s="4">
        <v>9.962</v>
      </c>
      <c r="D301" s="5">
        <v>46</v>
      </c>
      <c r="E301" s="4"/>
      <c r="F301" s="4"/>
      <c r="G301" s="2">
        <f t="shared" si="24"/>
        <v>9.929</v>
      </c>
      <c r="H301" s="11" t="str">
        <f t="shared" si="25"/>
        <v>2.942E-2</v>
      </c>
      <c r="I301" s="2">
        <f t="shared" si="26"/>
        <v>45.8</v>
      </c>
      <c r="J301" s="4">
        <f t="shared" si="27"/>
        <v>9.929</v>
      </c>
      <c r="K301" s="9">
        <f t="shared" si="28"/>
        <v>-15.9</v>
      </c>
      <c r="L301" s="1">
        <f t="shared" si="29"/>
        <v>-30.9</v>
      </c>
    </row>
    <row r="302" s="1" customFormat="1" spans="1:12">
      <c r="A302" s="2">
        <v>9.996</v>
      </c>
      <c r="B302" s="10" t="s">
        <v>492</v>
      </c>
      <c r="C302" s="4">
        <v>9.996</v>
      </c>
      <c r="D302" s="5">
        <v>46</v>
      </c>
      <c r="E302" s="4"/>
      <c r="F302" s="4"/>
      <c r="G302" s="2">
        <f t="shared" si="24"/>
        <v>9.962</v>
      </c>
      <c r="H302" s="11" t="str">
        <f t="shared" si="25"/>
        <v>2.970E-2</v>
      </c>
      <c r="I302" s="2">
        <f t="shared" si="26"/>
        <v>46</v>
      </c>
      <c r="J302" s="4">
        <f t="shared" si="27"/>
        <v>9.962</v>
      </c>
      <c r="K302" s="9">
        <f t="shared" si="28"/>
        <v>-13.1</v>
      </c>
      <c r="L302" s="1">
        <f t="shared" si="29"/>
        <v>-30.9</v>
      </c>
    </row>
    <row r="303" s="1" customFormat="1" spans="1:12">
      <c r="A303" s="2">
        <v>10.029</v>
      </c>
      <c r="B303" s="10" t="s">
        <v>548</v>
      </c>
      <c r="C303" s="4">
        <v>10.029</v>
      </c>
      <c r="D303" s="5">
        <v>45.9</v>
      </c>
      <c r="E303" s="4"/>
      <c r="F303" s="4"/>
      <c r="G303" s="2">
        <f t="shared" si="24"/>
        <v>9.996</v>
      </c>
      <c r="H303" s="11" t="str">
        <f t="shared" si="25"/>
        <v>3.000E-2</v>
      </c>
      <c r="I303" s="2">
        <f t="shared" si="26"/>
        <v>46</v>
      </c>
      <c r="J303" s="4">
        <f t="shared" si="27"/>
        <v>9.996</v>
      </c>
      <c r="K303" s="9">
        <f t="shared" si="28"/>
        <v>-10.1</v>
      </c>
      <c r="L303" s="1">
        <f t="shared" si="29"/>
        <v>-30.9</v>
      </c>
    </row>
    <row r="304" s="1" customFormat="1" spans="1:12">
      <c r="A304" s="2">
        <v>10.062</v>
      </c>
      <c r="B304" s="10" t="s">
        <v>780</v>
      </c>
      <c r="C304" s="4">
        <v>10.062</v>
      </c>
      <c r="D304" s="5">
        <v>45.7</v>
      </c>
      <c r="E304" s="4"/>
      <c r="F304" s="4"/>
      <c r="G304" s="2">
        <f t="shared" si="24"/>
        <v>10.029</v>
      </c>
      <c r="H304" s="11" t="str">
        <f t="shared" si="25"/>
        <v>3.032E-2</v>
      </c>
      <c r="I304" s="2">
        <f t="shared" si="26"/>
        <v>45.9</v>
      </c>
      <c r="J304" s="4">
        <f t="shared" si="27"/>
        <v>10.029</v>
      </c>
      <c r="K304" s="9">
        <f t="shared" si="28"/>
        <v>-6.9</v>
      </c>
      <c r="L304" s="1">
        <f t="shared" si="29"/>
        <v>-30.9</v>
      </c>
    </row>
    <row r="305" s="1" customFormat="1" spans="1:12">
      <c r="A305" s="2">
        <v>10.096</v>
      </c>
      <c r="B305" s="10" t="s">
        <v>726</v>
      </c>
      <c r="C305" s="4">
        <v>10.096</v>
      </c>
      <c r="D305" s="5">
        <v>45.7</v>
      </c>
      <c r="E305" s="4"/>
      <c r="F305" s="4"/>
      <c r="G305" s="2">
        <f t="shared" si="24"/>
        <v>10.062</v>
      </c>
      <c r="H305" s="11" t="str">
        <f t="shared" si="25"/>
        <v>3.063E-2</v>
      </c>
      <c r="I305" s="2">
        <f t="shared" si="26"/>
        <v>45.7</v>
      </c>
      <c r="J305" s="4">
        <f t="shared" si="27"/>
        <v>10.062</v>
      </c>
      <c r="K305" s="9">
        <f t="shared" si="28"/>
        <v>-3.79999999999998</v>
      </c>
      <c r="L305" s="1">
        <f t="shared" si="29"/>
        <v>-30.9</v>
      </c>
    </row>
    <row r="306" s="1" customFormat="1" spans="1:12">
      <c r="A306" s="2">
        <v>10.129</v>
      </c>
      <c r="B306" s="10" t="s">
        <v>818</v>
      </c>
      <c r="C306" s="4">
        <v>10.129</v>
      </c>
      <c r="D306" s="5">
        <v>45.6</v>
      </c>
      <c r="E306" s="4"/>
      <c r="F306" s="4"/>
      <c r="G306" s="2">
        <f t="shared" si="24"/>
        <v>10.096</v>
      </c>
      <c r="H306" s="11" t="str">
        <f t="shared" si="25"/>
        <v>3.095E-2</v>
      </c>
      <c r="I306" s="2">
        <f t="shared" si="26"/>
        <v>45.7</v>
      </c>
      <c r="J306" s="4">
        <f t="shared" si="27"/>
        <v>10.096</v>
      </c>
      <c r="K306" s="9">
        <f t="shared" si="28"/>
        <v>-0.60000000000001</v>
      </c>
      <c r="L306" s="1">
        <f t="shared" si="29"/>
        <v>-30.9</v>
      </c>
    </row>
    <row r="307" s="1" customFormat="1" spans="1:12">
      <c r="A307" s="2">
        <v>10.163</v>
      </c>
      <c r="B307" s="10" t="s">
        <v>722</v>
      </c>
      <c r="C307" s="4">
        <v>10.163</v>
      </c>
      <c r="D307" s="5">
        <v>45.3</v>
      </c>
      <c r="E307" s="4"/>
      <c r="F307" s="4"/>
      <c r="G307" s="2">
        <f t="shared" si="24"/>
        <v>10.129</v>
      </c>
      <c r="H307" s="11" t="str">
        <f t="shared" si="25"/>
        <v>3.116E-2</v>
      </c>
      <c r="I307" s="2">
        <f t="shared" si="26"/>
        <v>45.6</v>
      </c>
      <c r="J307" s="4">
        <f t="shared" si="27"/>
        <v>10.129</v>
      </c>
      <c r="K307" s="9">
        <f t="shared" si="28"/>
        <v>1.50000000000001</v>
      </c>
      <c r="L307" s="1">
        <f t="shared" si="29"/>
        <v>-30.9</v>
      </c>
    </row>
    <row r="308" s="1" customFormat="1" spans="1:12">
      <c r="A308" s="2">
        <v>10.196</v>
      </c>
      <c r="B308" s="10" t="s">
        <v>819</v>
      </c>
      <c r="C308" s="4">
        <v>10.196</v>
      </c>
      <c r="D308" s="5">
        <v>45.4</v>
      </c>
      <c r="E308" s="4"/>
      <c r="F308" s="4"/>
      <c r="G308" s="2">
        <f t="shared" si="24"/>
        <v>10.163</v>
      </c>
      <c r="H308" s="11" t="str">
        <f t="shared" si="25"/>
        <v>3.136E-2</v>
      </c>
      <c r="I308" s="2">
        <f t="shared" si="26"/>
        <v>45.3</v>
      </c>
      <c r="J308" s="4">
        <f t="shared" si="27"/>
        <v>10.163</v>
      </c>
      <c r="K308" s="9">
        <f t="shared" si="28"/>
        <v>3.5</v>
      </c>
      <c r="L308" s="1">
        <f t="shared" si="29"/>
        <v>-30.9</v>
      </c>
    </row>
    <row r="309" s="1" customFormat="1" spans="1:12">
      <c r="A309" s="2">
        <v>10.23</v>
      </c>
      <c r="B309" s="10" t="s">
        <v>801</v>
      </c>
      <c r="C309" s="4">
        <v>10.23</v>
      </c>
      <c r="D309" s="5">
        <v>46.1</v>
      </c>
      <c r="E309" s="4"/>
      <c r="F309" s="4"/>
      <c r="G309" s="2">
        <f t="shared" si="24"/>
        <v>10.196</v>
      </c>
      <c r="H309" s="11" t="str">
        <f t="shared" si="25"/>
        <v>3.153E-2</v>
      </c>
      <c r="I309" s="2">
        <f t="shared" si="26"/>
        <v>45.4</v>
      </c>
      <c r="J309" s="4">
        <f t="shared" si="27"/>
        <v>10.196</v>
      </c>
      <c r="K309" s="9">
        <f t="shared" si="28"/>
        <v>5.20000000000003</v>
      </c>
      <c r="L309" s="1">
        <f t="shared" si="29"/>
        <v>-30.9</v>
      </c>
    </row>
    <row r="310" s="1" customFormat="1" spans="1:12">
      <c r="A310" s="2">
        <v>10.263</v>
      </c>
      <c r="B310" s="10" t="s">
        <v>604</v>
      </c>
      <c r="C310" s="4">
        <v>10.263</v>
      </c>
      <c r="D310" s="5">
        <v>45.4</v>
      </c>
      <c r="E310" s="4"/>
      <c r="F310" s="4"/>
      <c r="G310" s="2">
        <f t="shared" si="24"/>
        <v>10.23</v>
      </c>
      <c r="H310" s="11" t="str">
        <f t="shared" si="25"/>
        <v>3.177E-2</v>
      </c>
      <c r="I310" s="2">
        <f t="shared" si="26"/>
        <v>46.1</v>
      </c>
      <c r="J310" s="4">
        <f t="shared" si="27"/>
        <v>10.23</v>
      </c>
      <c r="K310" s="9">
        <f t="shared" si="28"/>
        <v>7.6</v>
      </c>
      <c r="L310" s="1">
        <f t="shared" si="29"/>
        <v>-30.9</v>
      </c>
    </row>
    <row r="311" s="1" customFormat="1" spans="1:12">
      <c r="A311" s="2">
        <v>10.296</v>
      </c>
      <c r="B311" s="10" t="s">
        <v>605</v>
      </c>
      <c r="C311" s="4">
        <v>10.296</v>
      </c>
      <c r="D311" s="5">
        <v>45.6</v>
      </c>
      <c r="E311" s="4"/>
      <c r="F311" s="4"/>
      <c r="G311" s="2">
        <f t="shared" si="24"/>
        <v>10.263</v>
      </c>
      <c r="H311" s="11" t="str">
        <f t="shared" si="25"/>
        <v>3.191E-2</v>
      </c>
      <c r="I311" s="2">
        <f t="shared" si="26"/>
        <v>45.4</v>
      </c>
      <c r="J311" s="4">
        <f t="shared" si="27"/>
        <v>10.263</v>
      </c>
      <c r="K311" s="9">
        <f t="shared" si="28"/>
        <v>9.00000000000001</v>
      </c>
      <c r="L311" s="1">
        <f t="shared" si="29"/>
        <v>-30.9</v>
      </c>
    </row>
    <row r="312" s="1" customFormat="1" spans="1:12">
      <c r="A312" s="2">
        <v>10.33</v>
      </c>
      <c r="B312" s="10" t="s">
        <v>719</v>
      </c>
      <c r="C312" s="4">
        <v>10.33</v>
      </c>
      <c r="D312" s="5">
        <v>45.7</v>
      </c>
      <c r="E312" s="4"/>
      <c r="F312" s="4"/>
      <c r="G312" s="2">
        <f t="shared" si="24"/>
        <v>10.296</v>
      </c>
      <c r="H312" s="11" t="str">
        <f t="shared" si="25"/>
        <v>3.198E-2</v>
      </c>
      <c r="I312" s="2">
        <f t="shared" si="26"/>
        <v>45.6</v>
      </c>
      <c r="J312" s="4">
        <f t="shared" si="27"/>
        <v>10.296</v>
      </c>
      <c r="K312" s="9">
        <f t="shared" si="28"/>
        <v>9.70000000000002</v>
      </c>
      <c r="L312" s="1">
        <f t="shared" si="29"/>
        <v>-30.9</v>
      </c>
    </row>
    <row r="313" s="1" customFormat="1" spans="1:12">
      <c r="A313" s="2">
        <v>10.363</v>
      </c>
      <c r="B313" s="10" t="s">
        <v>820</v>
      </c>
      <c r="C313" s="4">
        <v>10.363</v>
      </c>
      <c r="D313" s="5">
        <v>45.7</v>
      </c>
      <c r="E313" s="4"/>
      <c r="F313" s="4"/>
      <c r="G313" s="2">
        <f t="shared" si="24"/>
        <v>10.33</v>
      </c>
      <c r="H313" s="11" t="str">
        <f t="shared" si="25"/>
        <v>3.202E-2</v>
      </c>
      <c r="I313" s="2">
        <f t="shared" si="26"/>
        <v>45.7</v>
      </c>
      <c r="J313" s="4">
        <f t="shared" si="27"/>
        <v>10.33</v>
      </c>
      <c r="K313" s="9">
        <f t="shared" si="28"/>
        <v>10.1</v>
      </c>
      <c r="L313" s="1">
        <f t="shared" si="29"/>
        <v>-30.9</v>
      </c>
    </row>
    <row r="314" s="1" customFormat="1" spans="1:12">
      <c r="A314" s="2">
        <v>10.397</v>
      </c>
      <c r="B314" s="10" t="s">
        <v>821</v>
      </c>
      <c r="C314" s="4">
        <v>10.397</v>
      </c>
      <c r="D314" s="5">
        <v>45.6</v>
      </c>
      <c r="E314" s="4"/>
      <c r="F314" s="4"/>
      <c r="G314" s="2">
        <f t="shared" si="24"/>
        <v>10.363</v>
      </c>
      <c r="H314" s="11" t="str">
        <f t="shared" si="25"/>
        <v>3.199E-2</v>
      </c>
      <c r="I314" s="2">
        <f t="shared" si="26"/>
        <v>45.7</v>
      </c>
      <c r="J314" s="4">
        <f t="shared" si="27"/>
        <v>10.363</v>
      </c>
      <c r="K314" s="9">
        <f t="shared" si="28"/>
        <v>9.79999999999998</v>
      </c>
      <c r="L314" s="1">
        <f t="shared" si="29"/>
        <v>-30.9</v>
      </c>
    </row>
    <row r="315" s="1" customFormat="1" spans="1:12">
      <c r="A315" s="2">
        <v>10.43</v>
      </c>
      <c r="B315" s="10" t="s">
        <v>822</v>
      </c>
      <c r="C315" s="4">
        <v>10.43</v>
      </c>
      <c r="D315" s="5">
        <v>45.8</v>
      </c>
      <c r="E315" s="4"/>
      <c r="F315" s="4"/>
      <c r="G315" s="2">
        <f t="shared" si="24"/>
        <v>10.397</v>
      </c>
      <c r="H315" s="11" t="str">
        <f t="shared" si="25"/>
        <v>3.196E-2</v>
      </c>
      <c r="I315" s="2">
        <f t="shared" si="26"/>
        <v>45.6</v>
      </c>
      <c r="J315" s="4">
        <f t="shared" si="27"/>
        <v>10.397</v>
      </c>
      <c r="K315" s="9">
        <f t="shared" si="28"/>
        <v>9.50000000000003</v>
      </c>
      <c r="L315" s="1">
        <f t="shared" si="29"/>
        <v>-30.9</v>
      </c>
    </row>
    <row r="316" s="1" customFormat="1" spans="1:12">
      <c r="A316" s="2">
        <v>10.464</v>
      </c>
      <c r="B316" s="10" t="s">
        <v>823</v>
      </c>
      <c r="C316" s="4">
        <v>10.464</v>
      </c>
      <c r="D316" s="5">
        <v>45.8</v>
      </c>
      <c r="E316" s="4"/>
      <c r="F316" s="4"/>
      <c r="G316" s="2">
        <f t="shared" si="24"/>
        <v>10.43</v>
      </c>
      <c r="H316" s="11" t="str">
        <f t="shared" si="25"/>
        <v>3.190E-2</v>
      </c>
      <c r="I316" s="2">
        <f t="shared" si="26"/>
        <v>45.8</v>
      </c>
      <c r="J316" s="4">
        <f t="shared" si="27"/>
        <v>10.43</v>
      </c>
      <c r="K316" s="9">
        <f t="shared" si="28"/>
        <v>8.89999999999998</v>
      </c>
      <c r="L316" s="1">
        <f t="shared" si="29"/>
        <v>-30.9</v>
      </c>
    </row>
    <row r="317" s="1" customFormat="1" spans="1:12">
      <c r="A317" s="2">
        <v>10.497</v>
      </c>
      <c r="B317" s="10" t="s">
        <v>824</v>
      </c>
      <c r="C317" s="4">
        <v>10.497</v>
      </c>
      <c r="D317" s="5">
        <v>45.5</v>
      </c>
      <c r="E317" s="4"/>
      <c r="F317" s="4"/>
      <c r="G317" s="2">
        <f t="shared" si="24"/>
        <v>10.464</v>
      </c>
      <c r="H317" s="11" t="str">
        <f t="shared" si="25"/>
        <v>3.183E-2</v>
      </c>
      <c r="I317" s="2">
        <f t="shared" si="26"/>
        <v>45.8</v>
      </c>
      <c r="J317" s="4">
        <f t="shared" si="27"/>
        <v>10.464</v>
      </c>
      <c r="K317" s="9">
        <f t="shared" si="28"/>
        <v>8.19999999999998</v>
      </c>
      <c r="L317" s="1">
        <f t="shared" si="29"/>
        <v>-30.9</v>
      </c>
    </row>
    <row r="318" s="1" customFormat="1" spans="1:12">
      <c r="A318" s="2">
        <v>10.53</v>
      </c>
      <c r="B318" s="10" t="s">
        <v>629</v>
      </c>
      <c r="C318" s="4">
        <v>10.53</v>
      </c>
      <c r="D318" s="5">
        <v>45.7</v>
      </c>
      <c r="E318" s="4"/>
      <c r="F318" s="4"/>
      <c r="G318" s="2">
        <f t="shared" si="24"/>
        <v>10.497</v>
      </c>
      <c r="H318" s="11" t="str">
        <f t="shared" si="25"/>
        <v>3.169E-2</v>
      </c>
      <c r="I318" s="2">
        <f t="shared" si="26"/>
        <v>45.5</v>
      </c>
      <c r="J318" s="4">
        <f t="shared" si="27"/>
        <v>10.497</v>
      </c>
      <c r="K318" s="9">
        <f t="shared" si="28"/>
        <v>6.80000000000004</v>
      </c>
      <c r="L318" s="1">
        <f t="shared" si="29"/>
        <v>-30.9</v>
      </c>
    </row>
    <row r="319" s="1" customFormat="1" spans="1:12">
      <c r="A319" s="2">
        <v>10.564</v>
      </c>
      <c r="B319" s="10" t="s">
        <v>799</v>
      </c>
      <c r="C319" s="4">
        <v>10.564</v>
      </c>
      <c r="D319" s="5">
        <v>45.9</v>
      </c>
      <c r="E319" s="4"/>
      <c r="F319" s="4"/>
      <c r="G319" s="2">
        <f t="shared" si="24"/>
        <v>10.53</v>
      </c>
      <c r="H319" s="11" t="str">
        <f t="shared" si="25"/>
        <v>3.146E-2</v>
      </c>
      <c r="I319" s="2">
        <f t="shared" si="26"/>
        <v>45.7</v>
      </c>
      <c r="J319" s="4">
        <f t="shared" si="27"/>
        <v>10.53</v>
      </c>
      <c r="K319" s="9">
        <f t="shared" si="28"/>
        <v>4.50000000000002</v>
      </c>
      <c r="L319" s="1">
        <f t="shared" si="29"/>
        <v>-30.9</v>
      </c>
    </row>
    <row r="320" s="1" customFormat="1" spans="1:12">
      <c r="A320" s="2">
        <v>10.597</v>
      </c>
      <c r="B320" s="10" t="s">
        <v>723</v>
      </c>
      <c r="C320" s="4">
        <v>10.597</v>
      </c>
      <c r="D320" s="5">
        <v>44.9</v>
      </c>
      <c r="E320" s="4"/>
      <c r="F320" s="4"/>
      <c r="G320" s="2">
        <f t="shared" si="24"/>
        <v>10.564</v>
      </c>
      <c r="H320" s="11" t="str">
        <f t="shared" si="25"/>
        <v>3.118E-2</v>
      </c>
      <c r="I320" s="2">
        <f t="shared" si="26"/>
        <v>45.9</v>
      </c>
      <c r="J320" s="4">
        <f t="shared" si="27"/>
        <v>10.564</v>
      </c>
      <c r="K320" s="9">
        <f t="shared" si="28"/>
        <v>1.7</v>
      </c>
      <c r="L320" s="1">
        <f t="shared" si="29"/>
        <v>-30.9</v>
      </c>
    </row>
    <row r="321" s="1" customFormat="1" spans="1:12">
      <c r="A321" s="2">
        <v>10.631</v>
      </c>
      <c r="B321" s="10" t="s">
        <v>825</v>
      </c>
      <c r="C321" s="4">
        <v>10.631</v>
      </c>
      <c r="D321" s="5">
        <v>45.9</v>
      </c>
      <c r="E321" s="4"/>
      <c r="F321" s="4"/>
      <c r="G321" s="2">
        <f t="shared" si="24"/>
        <v>10.597</v>
      </c>
      <c r="H321" s="11" t="str">
        <f t="shared" si="25"/>
        <v>3.101E-2</v>
      </c>
      <c r="I321" s="2">
        <f t="shared" si="26"/>
        <v>44.9</v>
      </c>
      <c r="J321" s="4">
        <f t="shared" si="27"/>
        <v>10.597</v>
      </c>
      <c r="K321" s="9">
        <f t="shared" si="28"/>
        <v>0</v>
      </c>
      <c r="L321" s="1">
        <f t="shared" si="29"/>
        <v>-30.9</v>
      </c>
    </row>
    <row r="322" s="1" customFormat="1" spans="1:12">
      <c r="A322" s="2">
        <v>10.664</v>
      </c>
      <c r="B322" s="10" t="s">
        <v>826</v>
      </c>
      <c r="C322" s="4">
        <v>10.664</v>
      </c>
      <c r="D322" s="5">
        <v>45.6</v>
      </c>
      <c r="E322" s="4"/>
      <c r="F322" s="4"/>
      <c r="G322" s="2">
        <f t="shared" si="24"/>
        <v>10.631</v>
      </c>
      <c r="H322" s="11" t="str">
        <f t="shared" si="25"/>
        <v>3.074E-2</v>
      </c>
      <c r="I322" s="2">
        <f t="shared" si="26"/>
        <v>45.9</v>
      </c>
      <c r="J322" s="4">
        <f t="shared" si="27"/>
        <v>10.631</v>
      </c>
      <c r="K322" s="9">
        <f t="shared" si="28"/>
        <v>-2.69999999999999</v>
      </c>
      <c r="L322" s="1">
        <f t="shared" si="29"/>
        <v>-30.9</v>
      </c>
    </row>
    <row r="323" s="1" customFormat="1" spans="1:12">
      <c r="A323" s="2">
        <v>10.698</v>
      </c>
      <c r="B323" s="10" t="s">
        <v>565</v>
      </c>
      <c r="C323" s="4">
        <v>10.698</v>
      </c>
      <c r="D323" s="5">
        <v>45.7</v>
      </c>
      <c r="E323" s="4"/>
      <c r="F323" s="4"/>
      <c r="G323" s="2">
        <f t="shared" si="24"/>
        <v>10.664</v>
      </c>
      <c r="H323" s="11" t="str">
        <f t="shared" si="25"/>
        <v>3.044E-2</v>
      </c>
      <c r="I323" s="2">
        <f t="shared" si="26"/>
        <v>45.6</v>
      </c>
      <c r="J323" s="4">
        <f t="shared" si="27"/>
        <v>10.664</v>
      </c>
      <c r="K323" s="9">
        <f t="shared" si="28"/>
        <v>-5.70000000000001</v>
      </c>
      <c r="L323" s="1">
        <f t="shared" si="29"/>
        <v>-30.9</v>
      </c>
    </row>
    <row r="324" s="1" customFormat="1" spans="1:12">
      <c r="A324" s="2">
        <v>10.731</v>
      </c>
      <c r="B324" s="10" t="s">
        <v>495</v>
      </c>
      <c r="C324" s="4">
        <v>10.731</v>
      </c>
      <c r="D324" s="5">
        <v>45.3</v>
      </c>
      <c r="E324" s="4"/>
      <c r="F324" s="4"/>
      <c r="G324" s="2">
        <f t="shared" ref="G324:G345" si="30">A323</f>
        <v>10.698</v>
      </c>
      <c r="H324" s="11" t="str">
        <f t="shared" ref="H324:H345" si="31">B323</f>
        <v>3.016E-2</v>
      </c>
      <c r="I324" s="2">
        <f t="shared" ref="I324:I345" si="32">D323</f>
        <v>45.7</v>
      </c>
      <c r="J324" s="4">
        <f t="shared" ref="J324:J345" si="33">G324</f>
        <v>10.698</v>
      </c>
      <c r="K324" s="9">
        <f t="shared" ref="K324:K345" si="34">(H324-$H$4)*10000</f>
        <v>-8.5</v>
      </c>
      <c r="L324" s="1">
        <f t="shared" ref="L324:L345" si="35">IF(I324&lt;230,MIN(K:K),MAX(K:K))</f>
        <v>-30.9</v>
      </c>
    </row>
    <row r="325" s="1" customFormat="1" spans="1:12">
      <c r="A325" s="2">
        <v>10.764</v>
      </c>
      <c r="B325" s="10" t="s">
        <v>510</v>
      </c>
      <c r="C325" s="4">
        <v>10.764</v>
      </c>
      <c r="D325" s="5">
        <v>45.6</v>
      </c>
      <c r="E325" s="4"/>
      <c r="F325" s="4"/>
      <c r="G325" s="2">
        <f t="shared" si="30"/>
        <v>10.731</v>
      </c>
      <c r="H325" s="11" t="str">
        <f t="shared" si="31"/>
        <v>2.987E-2</v>
      </c>
      <c r="I325" s="2">
        <f t="shared" si="32"/>
        <v>45.3</v>
      </c>
      <c r="J325" s="4">
        <f t="shared" si="33"/>
        <v>10.731</v>
      </c>
      <c r="K325" s="9">
        <f t="shared" si="34"/>
        <v>-11.4</v>
      </c>
      <c r="L325" s="1">
        <f t="shared" si="35"/>
        <v>-30.9</v>
      </c>
    </row>
    <row r="326" s="1" customFormat="1" spans="1:12">
      <c r="A326" s="2">
        <v>10.798</v>
      </c>
      <c r="B326" s="10" t="s">
        <v>827</v>
      </c>
      <c r="C326" s="4">
        <v>10.798</v>
      </c>
      <c r="D326" s="5">
        <v>45.8</v>
      </c>
      <c r="E326" s="4"/>
      <c r="F326" s="4"/>
      <c r="G326" s="2">
        <f t="shared" si="30"/>
        <v>10.764</v>
      </c>
      <c r="H326" s="11" t="str">
        <f t="shared" si="31"/>
        <v>2.958E-2</v>
      </c>
      <c r="I326" s="2">
        <f t="shared" si="32"/>
        <v>45.6</v>
      </c>
      <c r="J326" s="4">
        <f t="shared" si="33"/>
        <v>10.764</v>
      </c>
      <c r="K326" s="9">
        <f t="shared" si="34"/>
        <v>-14.3</v>
      </c>
      <c r="L326" s="1">
        <f t="shared" si="35"/>
        <v>-30.9</v>
      </c>
    </row>
    <row r="327" s="1" customFormat="1" spans="1:12">
      <c r="A327" s="2">
        <v>10.831</v>
      </c>
      <c r="B327" s="10" t="s">
        <v>828</v>
      </c>
      <c r="C327" s="4">
        <v>10.831</v>
      </c>
      <c r="D327" s="5">
        <v>46</v>
      </c>
      <c r="E327" s="4"/>
      <c r="F327" s="4"/>
      <c r="G327" s="2">
        <f t="shared" si="30"/>
        <v>10.798</v>
      </c>
      <c r="H327" s="11" t="str">
        <f t="shared" si="31"/>
        <v>2.933E-2</v>
      </c>
      <c r="I327" s="2">
        <f t="shared" si="32"/>
        <v>45.8</v>
      </c>
      <c r="J327" s="4">
        <f t="shared" si="33"/>
        <v>10.798</v>
      </c>
      <c r="K327" s="9">
        <f t="shared" si="34"/>
        <v>-16.8</v>
      </c>
      <c r="L327" s="1">
        <f t="shared" si="35"/>
        <v>-30.9</v>
      </c>
    </row>
    <row r="328" s="1" customFormat="1" spans="1:12">
      <c r="A328" s="2">
        <v>10.865</v>
      </c>
      <c r="B328" s="10" t="s">
        <v>752</v>
      </c>
      <c r="C328" s="4">
        <v>10.865</v>
      </c>
      <c r="D328" s="5">
        <v>45.8</v>
      </c>
      <c r="E328" s="4"/>
      <c r="F328" s="4"/>
      <c r="G328" s="2">
        <f t="shared" si="30"/>
        <v>10.831</v>
      </c>
      <c r="H328" s="11" t="str">
        <f t="shared" si="31"/>
        <v>2.909E-2</v>
      </c>
      <c r="I328" s="2">
        <f t="shared" si="32"/>
        <v>46</v>
      </c>
      <c r="J328" s="4">
        <f t="shared" si="33"/>
        <v>10.831</v>
      </c>
      <c r="K328" s="9">
        <f t="shared" si="34"/>
        <v>-19.2</v>
      </c>
      <c r="L328" s="1">
        <f t="shared" si="35"/>
        <v>-30.9</v>
      </c>
    </row>
    <row r="329" s="1" customFormat="1" spans="1:12">
      <c r="A329" s="2">
        <v>10.898</v>
      </c>
      <c r="B329" s="10" t="s">
        <v>749</v>
      </c>
      <c r="C329" s="4">
        <v>10.898</v>
      </c>
      <c r="D329" s="5">
        <v>45.9</v>
      </c>
      <c r="E329" s="4"/>
      <c r="F329" s="4"/>
      <c r="G329" s="2">
        <f t="shared" si="30"/>
        <v>10.865</v>
      </c>
      <c r="H329" s="11" t="str">
        <f t="shared" si="31"/>
        <v>2.892E-2</v>
      </c>
      <c r="I329" s="2">
        <f t="shared" si="32"/>
        <v>45.8</v>
      </c>
      <c r="J329" s="4">
        <f t="shared" si="33"/>
        <v>10.865</v>
      </c>
      <c r="K329" s="9">
        <f t="shared" si="34"/>
        <v>-20.9</v>
      </c>
      <c r="L329" s="1">
        <f t="shared" si="35"/>
        <v>-30.9</v>
      </c>
    </row>
    <row r="330" s="1" customFormat="1" spans="1:12">
      <c r="A330" s="2">
        <v>10.932</v>
      </c>
      <c r="B330" s="10" t="s">
        <v>748</v>
      </c>
      <c r="C330" s="4">
        <v>10.932</v>
      </c>
      <c r="D330" s="5">
        <v>45.5</v>
      </c>
      <c r="E330" s="4"/>
      <c r="F330" s="4"/>
      <c r="G330" s="2">
        <f t="shared" si="30"/>
        <v>10.898</v>
      </c>
      <c r="H330" s="11" t="str">
        <f t="shared" si="31"/>
        <v>2.878E-2</v>
      </c>
      <c r="I330" s="2">
        <f t="shared" si="32"/>
        <v>45.9</v>
      </c>
      <c r="J330" s="4">
        <f t="shared" si="33"/>
        <v>10.898</v>
      </c>
      <c r="K330" s="9">
        <f t="shared" si="34"/>
        <v>-22.3</v>
      </c>
      <c r="L330" s="1">
        <f t="shared" si="35"/>
        <v>-30.9</v>
      </c>
    </row>
    <row r="331" s="1" customFormat="1" spans="1:12">
      <c r="A331" s="2">
        <v>10.965</v>
      </c>
      <c r="B331" s="10" t="s">
        <v>808</v>
      </c>
      <c r="C331" s="4">
        <v>10.965</v>
      </c>
      <c r="D331" s="5">
        <v>45.8</v>
      </c>
      <c r="E331" s="4"/>
      <c r="F331" s="4"/>
      <c r="G331" s="2">
        <f t="shared" si="30"/>
        <v>10.932</v>
      </c>
      <c r="H331" s="11" t="str">
        <f t="shared" si="31"/>
        <v>2.875E-2</v>
      </c>
      <c r="I331" s="2">
        <f t="shared" si="32"/>
        <v>45.5</v>
      </c>
      <c r="J331" s="4">
        <f t="shared" si="33"/>
        <v>10.932</v>
      </c>
      <c r="K331" s="9">
        <f t="shared" si="34"/>
        <v>-22.6</v>
      </c>
      <c r="L331" s="1">
        <f t="shared" si="35"/>
        <v>-30.9</v>
      </c>
    </row>
    <row r="332" s="1" customFormat="1" spans="1:12">
      <c r="A332" s="2">
        <v>10.998</v>
      </c>
      <c r="B332" s="10" t="s">
        <v>829</v>
      </c>
      <c r="C332" s="4">
        <v>10.998</v>
      </c>
      <c r="D332" s="5">
        <v>45.9</v>
      </c>
      <c r="E332" s="4"/>
      <c r="F332" s="4"/>
      <c r="G332" s="2">
        <f t="shared" si="30"/>
        <v>10.965</v>
      </c>
      <c r="H332" s="11" t="str">
        <f t="shared" si="31"/>
        <v>2.872E-2</v>
      </c>
      <c r="I332" s="2">
        <f t="shared" si="32"/>
        <v>45.8</v>
      </c>
      <c r="J332" s="4">
        <f t="shared" si="33"/>
        <v>10.965</v>
      </c>
      <c r="K332" s="9">
        <f t="shared" si="34"/>
        <v>-22.9</v>
      </c>
      <c r="L332" s="1">
        <f t="shared" si="35"/>
        <v>-30.9</v>
      </c>
    </row>
    <row r="333" s="1" customFormat="1" spans="1:12">
      <c r="A333" s="2">
        <v>11.032</v>
      </c>
      <c r="B333" s="10" t="s">
        <v>829</v>
      </c>
      <c r="C333" s="4">
        <v>11.032</v>
      </c>
      <c r="D333" s="5">
        <v>45.8</v>
      </c>
      <c r="E333" s="4"/>
      <c r="F333" s="4"/>
      <c r="G333" s="2">
        <f t="shared" si="30"/>
        <v>10.998</v>
      </c>
      <c r="H333" s="11" t="str">
        <f t="shared" si="31"/>
        <v>2.863E-2</v>
      </c>
      <c r="I333" s="2">
        <f t="shared" si="32"/>
        <v>45.9</v>
      </c>
      <c r="J333" s="4">
        <f t="shared" si="33"/>
        <v>10.998</v>
      </c>
      <c r="K333" s="9">
        <f t="shared" si="34"/>
        <v>-23.8</v>
      </c>
      <c r="L333" s="1">
        <f t="shared" si="35"/>
        <v>-30.9</v>
      </c>
    </row>
    <row r="334" s="1" customFormat="1" spans="1:12">
      <c r="A334" s="2">
        <v>11.065</v>
      </c>
      <c r="B334" s="10" t="s">
        <v>830</v>
      </c>
      <c r="C334" s="4">
        <v>11.065</v>
      </c>
      <c r="D334" s="4">
        <v>44.9</v>
      </c>
      <c r="E334" s="4"/>
      <c r="F334" s="4"/>
      <c r="G334" s="2">
        <f t="shared" si="30"/>
        <v>11.032</v>
      </c>
      <c r="H334" s="11" t="str">
        <f t="shared" si="31"/>
        <v>2.863E-2</v>
      </c>
      <c r="I334" s="2">
        <f t="shared" si="32"/>
        <v>45.8</v>
      </c>
      <c r="J334" s="4">
        <f t="shared" si="33"/>
        <v>11.032</v>
      </c>
      <c r="K334" s="9">
        <f t="shared" si="34"/>
        <v>-23.8</v>
      </c>
      <c r="L334" s="1">
        <f t="shared" si="35"/>
        <v>-30.9</v>
      </c>
    </row>
    <row r="335" spans="1:12">
      <c r="A335" s="2">
        <v>11.099</v>
      </c>
      <c r="B335" s="10" t="s">
        <v>796</v>
      </c>
      <c r="C335" s="4">
        <v>11.099</v>
      </c>
      <c r="D335" s="4">
        <v>45.6</v>
      </c>
      <c r="G335" s="2">
        <f t="shared" si="30"/>
        <v>11.065</v>
      </c>
      <c r="H335" s="11" t="str">
        <f t="shared" si="31"/>
        <v>2.866E-2</v>
      </c>
      <c r="I335" s="2">
        <f t="shared" si="32"/>
        <v>44.9</v>
      </c>
      <c r="J335" s="4">
        <f t="shared" si="33"/>
        <v>11.065</v>
      </c>
      <c r="K335" s="9">
        <f t="shared" si="34"/>
        <v>-23.5</v>
      </c>
      <c r="L335" s="1">
        <f t="shared" si="35"/>
        <v>-30.9</v>
      </c>
    </row>
    <row r="336" spans="1:12">
      <c r="A336" s="2">
        <v>11.132</v>
      </c>
      <c r="B336" s="10" t="s">
        <v>777</v>
      </c>
      <c r="C336" s="4">
        <v>11.132</v>
      </c>
      <c r="D336" s="4">
        <v>45.3</v>
      </c>
      <c r="G336" s="2">
        <f t="shared" si="30"/>
        <v>11.099</v>
      </c>
      <c r="H336" s="11" t="str">
        <f t="shared" si="31"/>
        <v>2.871E-2</v>
      </c>
      <c r="I336" s="2">
        <f t="shared" si="32"/>
        <v>45.6</v>
      </c>
      <c r="J336" s="4">
        <f t="shared" si="33"/>
        <v>11.099</v>
      </c>
      <c r="K336" s="9">
        <f t="shared" si="34"/>
        <v>-23</v>
      </c>
      <c r="L336" s="1">
        <f t="shared" si="35"/>
        <v>-30.9</v>
      </c>
    </row>
    <row r="337" spans="1:12">
      <c r="A337" s="2">
        <v>11.166</v>
      </c>
      <c r="B337" s="10" t="s">
        <v>831</v>
      </c>
      <c r="C337" s="4">
        <v>11.166</v>
      </c>
      <c r="D337" s="4">
        <v>45.9</v>
      </c>
      <c r="G337" s="2">
        <f t="shared" si="30"/>
        <v>11.132</v>
      </c>
      <c r="H337" s="11" t="str">
        <f t="shared" si="31"/>
        <v>2.879E-2</v>
      </c>
      <c r="I337" s="2">
        <f t="shared" si="32"/>
        <v>45.3</v>
      </c>
      <c r="J337" s="4">
        <f t="shared" si="33"/>
        <v>11.132</v>
      </c>
      <c r="K337" s="9">
        <f t="shared" si="34"/>
        <v>-22.2</v>
      </c>
      <c r="L337" s="1">
        <f t="shared" si="35"/>
        <v>-30.9</v>
      </c>
    </row>
    <row r="338" spans="1:12">
      <c r="A338" s="2">
        <v>11.199</v>
      </c>
      <c r="B338" s="10" t="s">
        <v>832</v>
      </c>
      <c r="C338" s="4">
        <v>11.199</v>
      </c>
      <c r="D338" s="4">
        <v>45.9</v>
      </c>
      <c r="G338" s="2">
        <f t="shared" si="30"/>
        <v>11.166</v>
      </c>
      <c r="H338" s="11" t="str">
        <f t="shared" si="31"/>
        <v>2.899E-2</v>
      </c>
      <c r="I338" s="2">
        <f t="shared" si="32"/>
        <v>45.9</v>
      </c>
      <c r="J338" s="4">
        <f t="shared" si="33"/>
        <v>11.166</v>
      </c>
      <c r="K338" s="9">
        <f t="shared" si="34"/>
        <v>-20.2</v>
      </c>
      <c r="L338" s="1">
        <f t="shared" si="35"/>
        <v>-30.9</v>
      </c>
    </row>
    <row r="339" spans="1:12">
      <c r="A339" s="2">
        <v>11.232</v>
      </c>
      <c r="B339" s="10" t="s">
        <v>833</v>
      </c>
      <c r="C339" s="4">
        <v>11.232</v>
      </c>
      <c r="D339" s="4">
        <v>45.5</v>
      </c>
      <c r="G339" s="2">
        <f t="shared" si="30"/>
        <v>11.199</v>
      </c>
      <c r="H339" s="11" t="str">
        <f t="shared" si="31"/>
        <v>2.918E-2</v>
      </c>
      <c r="I339" s="2">
        <f t="shared" si="32"/>
        <v>45.9</v>
      </c>
      <c r="J339" s="4">
        <f t="shared" si="33"/>
        <v>11.199</v>
      </c>
      <c r="K339" s="9">
        <f t="shared" si="34"/>
        <v>-18.3</v>
      </c>
      <c r="L339" s="1">
        <f t="shared" si="35"/>
        <v>-30.9</v>
      </c>
    </row>
    <row r="340" spans="1:12">
      <c r="A340" s="2">
        <v>11.266</v>
      </c>
      <c r="B340" s="10" t="s">
        <v>536</v>
      </c>
      <c r="C340" s="4">
        <v>11.266</v>
      </c>
      <c r="D340" s="4">
        <v>45.5</v>
      </c>
      <c r="G340" s="2">
        <f t="shared" si="30"/>
        <v>11.232</v>
      </c>
      <c r="H340" s="11" t="str">
        <f t="shared" si="31"/>
        <v>2.943E-2</v>
      </c>
      <c r="I340" s="2">
        <f t="shared" si="32"/>
        <v>45.5</v>
      </c>
      <c r="J340" s="4">
        <f t="shared" si="33"/>
        <v>11.232</v>
      </c>
      <c r="K340" s="9">
        <f t="shared" si="34"/>
        <v>-15.8</v>
      </c>
      <c r="L340" s="1">
        <f t="shared" si="35"/>
        <v>-30.9</v>
      </c>
    </row>
    <row r="341" spans="1:12">
      <c r="A341" s="2">
        <v>11.299</v>
      </c>
      <c r="B341" s="10" t="s">
        <v>504</v>
      </c>
      <c r="C341" s="4">
        <v>11.299</v>
      </c>
      <c r="D341" s="4">
        <v>45.8</v>
      </c>
      <c r="G341" s="2">
        <f t="shared" si="30"/>
        <v>11.266</v>
      </c>
      <c r="H341" s="11" t="str">
        <f t="shared" si="31"/>
        <v>2.974E-2</v>
      </c>
      <c r="I341" s="2">
        <f t="shared" si="32"/>
        <v>45.5</v>
      </c>
      <c r="J341" s="4">
        <f t="shared" si="33"/>
        <v>11.266</v>
      </c>
      <c r="K341" s="9">
        <f t="shared" si="34"/>
        <v>-12.7</v>
      </c>
      <c r="L341" s="1">
        <f t="shared" si="35"/>
        <v>-30.9</v>
      </c>
    </row>
    <row r="342" spans="1:12">
      <c r="A342" s="2">
        <v>11.333</v>
      </c>
      <c r="B342" s="10" t="s">
        <v>548</v>
      </c>
      <c r="C342" s="4">
        <v>11.333</v>
      </c>
      <c r="D342" s="4">
        <v>45.4</v>
      </c>
      <c r="G342" s="2">
        <f t="shared" si="30"/>
        <v>11.299</v>
      </c>
      <c r="H342" s="11" t="str">
        <f t="shared" si="31"/>
        <v>3.002E-2</v>
      </c>
      <c r="I342" s="2">
        <f t="shared" si="32"/>
        <v>45.8</v>
      </c>
      <c r="J342" s="4">
        <f t="shared" si="33"/>
        <v>11.299</v>
      </c>
      <c r="K342" s="9">
        <f t="shared" si="34"/>
        <v>-9.89999999999998</v>
      </c>
      <c r="L342" s="1">
        <f t="shared" si="35"/>
        <v>-30.9</v>
      </c>
    </row>
    <row r="343" spans="1:12">
      <c r="A343" s="2">
        <v>11.366</v>
      </c>
      <c r="B343" s="10" t="s">
        <v>676</v>
      </c>
      <c r="C343" s="4">
        <v>11.366</v>
      </c>
      <c r="D343" s="4">
        <v>45.6</v>
      </c>
      <c r="G343" s="2">
        <f t="shared" si="30"/>
        <v>11.333</v>
      </c>
      <c r="H343" s="11" t="str">
        <f t="shared" si="31"/>
        <v>3.032E-2</v>
      </c>
      <c r="I343" s="2">
        <f t="shared" si="32"/>
        <v>45.4</v>
      </c>
      <c r="J343" s="4">
        <f t="shared" si="33"/>
        <v>11.333</v>
      </c>
      <c r="K343" s="9">
        <f t="shared" si="34"/>
        <v>-6.9</v>
      </c>
      <c r="L343" s="1">
        <f t="shared" si="35"/>
        <v>-30.9</v>
      </c>
    </row>
    <row r="344" spans="1:12">
      <c r="A344" s="2">
        <v>11.4</v>
      </c>
      <c r="B344" s="10" t="s">
        <v>726</v>
      </c>
      <c r="C344" s="4">
        <v>11.4</v>
      </c>
      <c r="D344" s="4">
        <v>45.6</v>
      </c>
      <c r="G344" s="2">
        <f t="shared" si="30"/>
        <v>11.366</v>
      </c>
      <c r="H344" s="11" t="str">
        <f t="shared" si="31"/>
        <v>3.062E-2</v>
      </c>
      <c r="I344" s="2">
        <f t="shared" si="32"/>
        <v>45.6</v>
      </c>
      <c r="J344" s="4">
        <f t="shared" si="33"/>
        <v>11.366</v>
      </c>
      <c r="K344" s="9">
        <f t="shared" si="34"/>
        <v>-3.89999999999998</v>
      </c>
      <c r="L344" s="1">
        <f t="shared" si="35"/>
        <v>-30.9</v>
      </c>
    </row>
    <row r="345" spans="1:12">
      <c r="A345" s="2">
        <v>11.433</v>
      </c>
      <c r="B345" s="10" t="s">
        <v>631</v>
      </c>
      <c r="C345" s="4">
        <v>11.433</v>
      </c>
      <c r="D345" s="4">
        <v>45.5</v>
      </c>
      <c r="G345" s="2">
        <f t="shared" si="30"/>
        <v>11.4</v>
      </c>
      <c r="H345" s="11" t="str">
        <f t="shared" si="31"/>
        <v>3.095E-2</v>
      </c>
      <c r="I345" s="2">
        <f t="shared" si="32"/>
        <v>45.6</v>
      </c>
      <c r="J345" s="4">
        <f t="shared" si="33"/>
        <v>11.4</v>
      </c>
      <c r="K345" s="9">
        <f t="shared" si="34"/>
        <v>-0.60000000000001</v>
      </c>
      <c r="L345" s="1">
        <f t="shared" si="35"/>
        <v>-30.9</v>
      </c>
    </row>
    <row r="346" spans="1:12">
      <c r="A346" s="2">
        <v>11.466</v>
      </c>
      <c r="B346" s="10" t="s">
        <v>834</v>
      </c>
      <c r="C346" s="4">
        <v>11.466</v>
      </c>
      <c r="D346" s="4">
        <v>45.9</v>
      </c>
      <c r="G346" s="2">
        <f t="shared" ref="G346:G377" si="36">A345</f>
        <v>11.433</v>
      </c>
      <c r="H346" s="11" t="str">
        <f t="shared" ref="H346:H377" si="37">B345</f>
        <v>3.117E-2</v>
      </c>
      <c r="I346" s="2">
        <f t="shared" ref="I346:I377" si="38">D345</f>
        <v>45.5</v>
      </c>
      <c r="J346" s="4">
        <f t="shared" ref="J346:J377" si="39">G346</f>
        <v>11.433</v>
      </c>
      <c r="K346" s="9">
        <f t="shared" ref="K346:K377" si="40">(H346-$H$4)*10000</f>
        <v>1.6</v>
      </c>
      <c r="L346" s="1">
        <f t="shared" ref="L346:L377" si="41">IF(I346&lt;230,MIN(K:K),MAX(K:K))</f>
        <v>-30.9</v>
      </c>
    </row>
    <row r="347" spans="1:12">
      <c r="A347" s="2">
        <v>11.5</v>
      </c>
      <c r="B347" s="10" t="s">
        <v>835</v>
      </c>
      <c r="C347" s="4">
        <v>11.5</v>
      </c>
      <c r="D347" s="4">
        <v>45.5</v>
      </c>
      <c r="G347" s="2">
        <f t="shared" si="36"/>
        <v>11.466</v>
      </c>
      <c r="H347" s="11" t="str">
        <f t="shared" si="37"/>
        <v>3.141E-2</v>
      </c>
      <c r="I347" s="2">
        <f t="shared" si="38"/>
        <v>45.9</v>
      </c>
      <c r="J347" s="4">
        <f t="shared" si="39"/>
        <v>11.466</v>
      </c>
      <c r="K347" s="9">
        <f t="shared" si="40"/>
        <v>4.00000000000001</v>
      </c>
      <c r="L347" s="1">
        <f t="shared" si="41"/>
        <v>-30.9</v>
      </c>
    </row>
    <row r="348" spans="1:12">
      <c r="A348" s="2">
        <v>11.533</v>
      </c>
      <c r="B348" s="10" t="s">
        <v>801</v>
      </c>
      <c r="C348" s="4">
        <v>11.533</v>
      </c>
      <c r="D348" s="4">
        <v>45.8</v>
      </c>
      <c r="G348" s="2">
        <f t="shared" si="36"/>
        <v>11.5</v>
      </c>
      <c r="H348" s="11" t="str">
        <f t="shared" si="37"/>
        <v>3.160E-2</v>
      </c>
      <c r="I348" s="2">
        <f t="shared" si="38"/>
        <v>45.5</v>
      </c>
      <c r="J348" s="4">
        <f t="shared" si="39"/>
        <v>11.5</v>
      </c>
      <c r="K348" s="9">
        <f t="shared" si="40"/>
        <v>5.90000000000004</v>
      </c>
      <c r="L348" s="1">
        <f t="shared" si="41"/>
        <v>-30.9</v>
      </c>
    </row>
    <row r="349" spans="1:12">
      <c r="A349" s="2">
        <v>11.567</v>
      </c>
      <c r="B349" s="10" t="s">
        <v>836</v>
      </c>
      <c r="C349" s="4">
        <v>11.567</v>
      </c>
      <c r="D349" s="4">
        <v>45.8</v>
      </c>
      <c r="G349" s="2">
        <f t="shared" si="36"/>
        <v>11.533</v>
      </c>
      <c r="H349" s="11" t="str">
        <f t="shared" si="37"/>
        <v>3.177E-2</v>
      </c>
      <c r="I349" s="2">
        <f t="shared" si="38"/>
        <v>45.8</v>
      </c>
      <c r="J349" s="4">
        <f t="shared" si="39"/>
        <v>11.533</v>
      </c>
      <c r="K349" s="9">
        <f t="shared" si="40"/>
        <v>7.6</v>
      </c>
      <c r="L349" s="1">
        <f t="shared" si="41"/>
        <v>-30.9</v>
      </c>
    </row>
    <row r="350" spans="1:12">
      <c r="A350" s="2">
        <v>11.6</v>
      </c>
      <c r="B350" s="10" t="s">
        <v>719</v>
      </c>
      <c r="C350" s="4">
        <v>11.6</v>
      </c>
      <c r="D350" s="4">
        <v>45.8</v>
      </c>
      <c r="G350" s="2">
        <f t="shared" si="36"/>
        <v>11.567</v>
      </c>
      <c r="H350" s="11" t="str">
        <f t="shared" si="37"/>
        <v>3.193E-2</v>
      </c>
      <c r="I350" s="2">
        <f t="shared" si="38"/>
        <v>45.8</v>
      </c>
      <c r="J350" s="4">
        <f t="shared" si="39"/>
        <v>11.567</v>
      </c>
      <c r="K350" s="9">
        <f t="shared" si="40"/>
        <v>9.20000000000001</v>
      </c>
      <c r="L350" s="1">
        <f t="shared" si="41"/>
        <v>-30.9</v>
      </c>
    </row>
    <row r="351" spans="1:12">
      <c r="A351" s="2">
        <v>11.634</v>
      </c>
      <c r="B351" s="10" t="s">
        <v>598</v>
      </c>
      <c r="C351" s="4">
        <v>11.634</v>
      </c>
      <c r="D351" s="4">
        <v>45.7</v>
      </c>
      <c r="G351" s="2">
        <f t="shared" si="36"/>
        <v>11.6</v>
      </c>
      <c r="H351" s="11" t="str">
        <f t="shared" si="37"/>
        <v>3.202E-2</v>
      </c>
      <c r="I351" s="2">
        <f t="shared" si="38"/>
        <v>45.8</v>
      </c>
      <c r="J351" s="4">
        <f t="shared" si="39"/>
        <v>11.6</v>
      </c>
      <c r="K351" s="9">
        <f t="shared" si="40"/>
        <v>10.1</v>
      </c>
      <c r="L351" s="1">
        <f t="shared" si="41"/>
        <v>-30.9</v>
      </c>
    </row>
    <row r="352" spans="1:12">
      <c r="A352" s="2">
        <v>11.667</v>
      </c>
      <c r="B352" s="10" t="s">
        <v>837</v>
      </c>
      <c r="C352" s="4">
        <v>11.667</v>
      </c>
      <c r="D352" s="4">
        <v>45.6</v>
      </c>
      <c r="G352" s="2">
        <f t="shared" si="36"/>
        <v>11.634</v>
      </c>
      <c r="H352" s="11" t="str">
        <f t="shared" si="37"/>
        <v>3.204E-2</v>
      </c>
      <c r="I352" s="2">
        <f t="shared" si="38"/>
        <v>45.7</v>
      </c>
      <c r="J352" s="4">
        <f t="shared" si="39"/>
        <v>11.634</v>
      </c>
      <c r="K352" s="9">
        <f t="shared" si="40"/>
        <v>10.3</v>
      </c>
      <c r="L352" s="1">
        <f t="shared" si="41"/>
        <v>-30.9</v>
      </c>
    </row>
    <row r="353" spans="1:12">
      <c r="A353" s="2">
        <v>11.7</v>
      </c>
      <c r="B353" s="10" t="s">
        <v>649</v>
      </c>
      <c r="C353" s="4">
        <v>11.7</v>
      </c>
      <c r="D353" s="4">
        <v>45.4</v>
      </c>
      <c r="G353" s="2">
        <f t="shared" si="36"/>
        <v>11.667</v>
      </c>
      <c r="H353" s="11" t="str">
        <f t="shared" si="37"/>
        <v>3.201E-2</v>
      </c>
      <c r="I353" s="2">
        <f t="shared" si="38"/>
        <v>45.6</v>
      </c>
      <c r="J353" s="4">
        <f t="shared" si="39"/>
        <v>11.667</v>
      </c>
      <c r="K353" s="9">
        <f t="shared" si="40"/>
        <v>9.99999999999997</v>
      </c>
      <c r="L353" s="1">
        <f t="shared" si="41"/>
        <v>-30.9</v>
      </c>
    </row>
    <row r="354" spans="1:12">
      <c r="A354" s="2">
        <v>11.734</v>
      </c>
      <c r="B354" s="10" t="s">
        <v>838</v>
      </c>
      <c r="C354" s="4">
        <v>11.734</v>
      </c>
      <c r="D354" s="4">
        <v>45.2</v>
      </c>
      <c r="G354" s="2">
        <f t="shared" si="36"/>
        <v>11.7</v>
      </c>
      <c r="H354" s="11" t="str">
        <f t="shared" si="37"/>
        <v>3.197E-2</v>
      </c>
      <c r="I354" s="2">
        <f t="shared" si="38"/>
        <v>45.4</v>
      </c>
      <c r="J354" s="4">
        <f t="shared" si="39"/>
        <v>11.7</v>
      </c>
      <c r="K354" s="9">
        <f t="shared" si="40"/>
        <v>9.59999999999999</v>
      </c>
      <c r="L354" s="1">
        <f t="shared" si="41"/>
        <v>-30.9</v>
      </c>
    </row>
    <row r="355" spans="1:12">
      <c r="A355" s="2">
        <v>11.767</v>
      </c>
      <c r="B355" s="10" t="s">
        <v>680</v>
      </c>
      <c r="C355" s="4">
        <v>11.767</v>
      </c>
      <c r="D355" s="4">
        <v>45.3</v>
      </c>
      <c r="G355" s="2">
        <f t="shared" si="36"/>
        <v>11.734</v>
      </c>
      <c r="H355" s="11" t="str">
        <f t="shared" si="37"/>
        <v>3.192E-2</v>
      </c>
      <c r="I355" s="2">
        <f t="shared" si="38"/>
        <v>45.2</v>
      </c>
      <c r="J355" s="4">
        <f t="shared" si="39"/>
        <v>11.734</v>
      </c>
      <c r="K355" s="9">
        <f t="shared" si="40"/>
        <v>9.09999999999998</v>
      </c>
      <c r="L355" s="1">
        <f t="shared" si="41"/>
        <v>-30.9</v>
      </c>
    </row>
    <row r="356" spans="1:12">
      <c r="A356" s="2">
        <v>11.801</v>
      </c>
      <c r="B356" s="10" t="s">
        <v>720</v>
      </c>
      <c r="C356" s="4">
        <v>11.801</v>
      </c>
      <c r="D356" s="4">
        <v>45.7</v>
      </c>
      <c r="G356" s="2">
        <f t="shared" si="36"/>
        <v>11.767</v>
      </c>
      <c r="H356" s="11" t="str">
        <f t="shared" si="37"/>
        <v>3.184E-2</v>
      </c>
      <c r="I356" s="2">
        <f t="shared" si="38"/>
        <v>45.3</v>
      </c>
      <c r="J356" s="4">
        <f t="shared" si="39"/>
        <v>11.767</v>
      </c>
      <c r="K356" s="9">
        <f t="shared" si="40"/>
        <v>8.30000000000001</v>
      </c>
      <c r="L356" s="1">
        <f t="shared" si="41"/>
        <v>-30.9</v>
      </c>
    </row>
    <row r="357" spans="1:12">
      <c r="A357" s="2">
        <v>11.834</v>
      </c>
      <c r="B357" s="10" t="s">
        <v>713</v>
      </c>
      <c r="C357" s="4">
        <v>11.834</v>
      </c>
      <c r="D357" s="4">
        <v>46</v>
      </c>
      <c r="G357" s="2">
        <f t="shared" si="36"/>
        <v>11.801</v>
      </c>
      <c r="H357" s="11" t="str">
        <f t="shared" si="37"/>
        <v>3.178E-2</v>
      </c>
      <c r="I357" s="2">
        <f t="shared" si="38"/>
        <v>45.7</v>
      </c>
      <c r="J357" s="4">
        <f t="shared" si="39"/>
        <v>11.801</v>
      </c>
      <c r="K357" s="9">
        <f t="shared" si="40"/>
        <v>7.70000000000003</v>
      </c>
      <c r="L357" s="1">
        <f t="shared" si="41"/>
        <v>-30.9</v>
      </c>
    </row>
    <row r="358" spans="1:12">
      <c r="A358" s="2">
        <v>11.868</v>
      </c>
      <c r="B358" s="10" t="s">
        <v>650</v>
      </c>
      <c r="C358" s="4">
        <v>11.868</v>
      </c>
      <c r="D358" s="4">
        <v>45.9</v>
      </c>
      <c r="G358" s="2">
        <f t="shared" si="36"/>
        <v>11.834</v>
      </c>
      <c r="H358" s="11" t="str">
        <f t="shared" si="37"/>
        <v>3.159E-2</v>
      </c>
      <c r="I358" s="2">
        <f t="shared" si="38"/>
        <v>46</v>
      </c>
      <c r="J358" s="4">
        <f t="shared" si="39"/>
        <v>11.834</v>
      </c>
      <c r="K358" s="9">
        <f t="shared" si="40"/>
        <v>5.80000000000001</v>
      </c>
      <c r="L358" s="1">
        <f t="shared" si="41"/>
        <v>-30.9</v>
      </c>
    </row>
    <row r="359" spans="1:12">
      <c r="A359" s="2">
        <v>11.901</v>
      </c>
      <c r="B359" s="10" t="s">
        <v>839</v>
      </c>
      <c r="C359" s="4">
        <v>11.901</v>
      </c>
      <c r="D359" s="4">
        <v>45.4</v>
      </c>
      <c r="G359" s="2">
        <f t="shared" si="36"/>
        <v>11.868</v>
      </c>
      <c r="H359" s="11" t="str">
        <f t="shared" si="37"/>
        <v>3.138E-2</v>
      </c>
      <c r="I359" s="2">
        <f t="shared" si="38"/>
        <v>45.9</v>
      </c>
      <c r="J359" s="4">
        <f t="shared" si="39"/>
        <v>11.868</v>
      </c>
      <c r="K359" s="9">
        <f t="shared" si="40"/>
        <v>3.69999999999999</v>
      </c>
      <c r="L359" s="1">
        <f t="shared" si="41"/>
        <v>-30.9</v>
      </c>
    </row>
    <row r="360" spans="1:12">
      <c r="A360" s="2">
        <v>11.934</v>
      </c>
      <c r="B360" s="10" t="s">
        <v>840</v>
      </c>
      <c r="C360" s="4">
        <v>11.934</v>
      </c>
      <c r="D360" s="4">
        <v>45.8</v>
      </c>
      <c r="G360" s="2">
        <f t="shared" si="36"/>
        <v>11.901</v>
      </c>
      <c r="H360" s="11" t="str">
        <f t="shared" si="37"/>
        <v>3.111E-2</v>
      </c>
      <c r="I360" s="2">
        <f t="shared" si="38"/>
        <v>45.4</v>
      </c>
      <c r="J360" s="4">
        <f t="shared" si="39"/>
        <v>11.901</v>
      </c>
      <c r="K360" s="9">
        <f t="shared" si="40"/>
        <v>0.999999999999994</v>
      </c>
      <c r="L360" s="1">
        <f t="shared" si="41"/>
        <v>-30.9</v>
      </c>
    </row>
    <row r="361" spans="1:12">
      <c r="A361" s="2">
        <v>11.968</v>
      </c>
      <c r="B361" s="10" t="s">
        <v>841</v>
      </c>
      <c r="C361" s="4">
        <v>11.968</v>
      </c>
      <c r="D361" s="4">
        <v>46.3</v>
      </c>
      <c r="G361" s="2">
        <f t="shared" si="36"/>
        <v>11.934</v>
      </c>
      <c r="H361" s="11" t="str">
        <f t="shared" si="37"/>
        <v>3.087E-2</v>
      </c>
      <c r="I361" s="2">
        <f t="shared" si="38"/>
        <v>45.8</v>
      </c>
      <c r="J361" s="4">
        <f t="shared" si="39"/>
        <v>11.934</v>
      </c>
      <c r="K361" s="9">
        <f t="shared" si="40"/>
        <v>-1.39999999999998</v>
      </c>
      <c r="L361" s="1">
        <f t="shared" si="41"/>
        <v>-30.9</v>
      </c>
    </row>
    <row r="362" spans="1:12">
      <c r="A362" s="2">
        <v>12.001</v>
      </c>
      <c r="B362" s="10" t="s">
        <v>550</v>
      </c>
      <c r="C362" s="4">
        <v>12.001</v>
      </c>
      <c r="D362" s="4">
        <v>45.6</v>
      </c>
      <c r="G362" s="2">
        <f t="shared" si="36"/>
        <v>11.968</v>
      </c>
      <c r="H362" s="11" t="str">
        <f t="shared" si="37"/>
        <v>3.059E-2</v>
      </c>
      <c r="I362" s="2">
        <f t="shared" si="38"/>
        <v>46.3</v>
      </c>
      <c r="J362" s="4">
        <f t="shared" si="39"/>
        <v>11.968</v>
      </c>
      <c r="K362" s="9">
        <f t="shared" si="40"/>
        <v>-4.2</v>
      </c>
      <c r="L362" s="1">
        <f t="shared" si="41"/>
        <v>-30.9</v>
      </c>
    </row>
    <row r="363" spans="1:12">
      <c r="A363" s="2">
        <v>12.035</v>
      </c>
      <c r="B363" s="10" t="s">
        <v>559</v>
      </c>
      <c r="C363" s="4">
        <v>12.035</v>
      </c>
      <c r="D363" s="4">
        <v>45.3</v>
      </c>
      <c r="G363" s="2">
        <f t="shared" si="36"/>
        <v>12.001</v>
      </c>
      <c r="H363" s="11" t="str">
        <f t="shared" si="37"/>
        <v>3.035E-2</v>
      </c>
      <c r="I363" s="2">
        <f t="shared" si="38"/>
        <v>45.6</v>
      </c>
      <c r="J363" s="4">
        <f t="shared" si="39"/>
        <v>12.001</v>
      </c>
      <c r="K363" s="9">
        <f t="shared" si="40"/>
        <v>-6.60000000000001</v>
      </c>
      <c r="L363" s="1">
        <f t="shared" si="41"/>
        <v>-30.9</v>
      </c>
    </row>
    <row r="364" spans="1:12">
      <c r="A364" s="2">
        <v>12.068</v>
      </c>
      <c r="B364" s="10" t="s">
        <v>497</v>
      </c>
      <c r="C364" s="4">
        <v>12.068</v>
      </c>
      <c r="D364" s="4">
        <v>45.8</v>
      </c>
      <c r="G364" s="2">
        <f t="shared" si="36"/>
        <v>12.035</v>
      </c>
      <c r="H364" s="11" t="str">
        <f t="shared" si="37"/>
        <v>3.011E-2</v>
      </c>
      <c r="I364" s="2">
        <f t="shared" si="38"/>
        <v>45.3</v>
      </c>
      <c r="J364" s="4">
        <f t="shared" si="39"/>
        <v>12.035</v>
      </c>
      <c r="K364" s="9">
        <f t="shared" si="40"/>
        <v>-8.99999999999998</v>
      </c>
      <c r="L364" s="1">
        <f t="shared" si="41"/>
        <v>-30.9</v>
      </c>
    </row>
    <row r="365" spans="1:12">
      <c r="A365" s="2">
        <v>12.102</v>
      </c>
      <c r="B365" s="10" t="s">
        <v>533</v>
      </c>
      <c r="C365" s="4">
        <v>12.102</v>
      </c>
      <c r="D365" s="4">
        <v>45.8</v>
      </c>
      <c r="G365" s="2">
        <f t="shared" si="36"/>
        <v>12.068</v>
      </c>
      <c r="H365" s="11" t="str">
        <f t="shared" si="37"/>
        <v>2.982E-2</v>
      </c>
      <c r="I365" s="2">
        <f t="shared" si="38"/>
        <v>45.8</v>
      </c>
      <c r="J365" s="4">
        <f t="shared" si="39"/>
        <v>12.068</v>
      </c>
      <c r="K365" s="9">
        <f t="shared" si="40"/>
        <v>-11.9</v>
      </c>
      <c r="L365" s="1">
        <f t="shared" si="41"/>
        <v>-30.9</v>
      </c>
    </row>
    <row r="366" spans="1:12">
      <c r="A366" s="2">
        <v>12.135</v>
      </c>
      <c r="B366" s="10" t="s">
        <v>842</v>
      </c>
      <c r="C366" s="4">
        <v>12.135</v>
      </c>
      <c r="D366" s="4">
        <v>45.9</v>
      </c>
      <c r="G366" s="2">
        <f t="shared" si="36"/>
        <v>12.102</v>
      </c>
      <c r="H366" s="11" t="str">
        <f t="shared" si="37"/>
        <v>2.957E-2</v>
      </c>
      <c r="I366" s="2">
        <f t="shared" si="38"/>
        <v>45.8</v>
      </c>
      <c r="J366" s="4">
        <f t="shared" si="39"/>
        <v>12.102</v>
      </c>
      <c r="K366" s="9">
        <f t="shared" si="40"/>
        <v>-14.4</v>
      </c>
      <c r="L366" s="1">
        <f t="shared" si="41"/>
        <v>-30.9</v>
      </c>
    </row>
    <row r="367" spans="1:12">
      <c r="A367" s="2">
        <v>12.168</v>
      </c>
      <c r="B367" s="10" t="s">
        <v>832</v>
      </c>
      <c r="C367" s="4">
        <v>12.168</v>
      </c>
      <c r="D367" s="4">
        <v>45.4</v>
      </c>
      <c r="G367" s="2">
        <f t="shared" si="36"/>
        <v>12.135</v>
      </c>
      <c r="H367" s="11" t="str">
        <f t="shared" si="37"/>
        <v>2.934E-2</v>
      </c>
      <c r="I367" s="2">
        <f t="shared" si="38"/>
        <v>45.9</v>
      </c>
      <c r="J367" s="4">
        <f t="shared" si="39"/>
        <v>12.135</v>
      </c>
      <c r="K367" s="9">
        <f t="shared" si="40"/>
        <v>-16.7</v>
      </c>
      <c r="L367" s="1">
        <f t="shared" si="41"/>
        <v>-30.9</v>
      </c>
    </row>
    <row r="368" spans="1:12">
      <c r="A368" s="2">
        <v>12.202</v>
      </c>
      <c r="B368" s="10" t="s">
        <v>753</v>
      </c>
      <c r="C368" s="4">
        <v>12.202</v>
      </c>
      <c r="D368" s="4">
        <v>45.9</v>
      </c>
      <c r="G368" s="2">
        <f t="shared" si="36"/>
        <v>12.168</v>
      </c>
      <c r="H368" s="11" t="str">
        <f t="shared" si="37"/>
        <v>2.918E-2</v>
      </c>
      <c r="I368" s="2">
        <f t="shared" si="38"/>
        <v>45.4</v>
      </c>
      <c r="J368" s="4">
        <f t="shared" si="39"/>
        <v>12.168</v>
      </c>
      <c r="K368" s="9">
        <f t="shared" si="40"/>
        <v>-18.3</v>
      </c>
      <c r="L368" s="1">
        <f t="shared" si="41"/>
        <v>-30.9</v>
      </c>
    </row>
    <row r="369" spans="1:12">
      <c r="A369" s="2">
        <v>12.235</v>
      </c>
      <c r="B369" s="10" t="s">
        <v>843</v>
      </c>
      <c r="C369" s="4">
        <v>12.235</v>
      </c>
      <c r="D369" s="4">
        <v>45.5</v>
      </c>
      <c r="G369" s="2">
        <f t="shared" si="36"/>
        <v>12.202</v>
      </c>
      <c r="H369" s="11" t="str">
        <f t="shared" si="37"/>
        <v>2.903E-2</v>
      </c>
      <c r="I369" s="2">
        <f t="shared" si="38"/>
        <v>45.9</v>
      </c>
      <c r="J369" s="4">
        <f t="shared" si="39"/>
        <v>12.202</v>
      </c>
      <c r="K369" s="9">
        <f t="shared" si="40"/>
        <v>-19.8</v>
      </c>
      <c r="L369" s="1">
        <f t="shared" si="41"/>
        <v>-30.9</v>
      </c>
    </row>
    <row r="370" spans="1:12">
      <c r="A370" s="2">
        <v>12.269</v>
      </c>
      <c r="B370" s="10" t="s">
        <v>797</v>
      </c>
      <c r="C370" s="4">
        <v>12.269</v>
      </c>
      <c r="D370" s="4">
        <v>45.7</v>
      </c>
      <c r="G370" s="2">
        <f t="shared" si="36"/>
        <v>12.235</v>
      </c>
      <c r="H370" s="11" t="str">
        <f t="shared" si="37"/>
        <v>2.895E-2</v>
      </c>
      <c r="I370" s="2">
        <f t="shared" si="38"/>
        <v>45.5</v>
      </c>
      <c r="J370" s="4">
        <f t="shared" si="39"/>
        <v>12.235</v>
      </c>
      <c r="K370" s="9">
        <f t="shared" si="40"/>
        <v>-20.6</v>
      </c>
      <c r="L370" s="1">
        <f t="shared" si="41"/>
        <v>-30.9</v>
      </c>
    </row>
    <row r="371" spans="1:12">
      <c r="A371" s="2">
        <v>12.302</v>
      </c>
      <c r="B371" s="10" t="s">
        <v>844</v>
      </c>
      <c r="C371" s="4">
        <v>12.302</v>
      </c>
      <c r="D371" s="4">
        <v>45.7</v>
      </c>
      <c r="G371" s="2">
        <f t="shared" si="36"/>
        <v>12.269</v>
      </c>
      <c r="H371" s="11" t="str">
        <f t="shared" si="37"/>
        <v>2.888E-2</v>
      </c>
      <c r="I371" s="2">
        <f t="shared" si="38"/>
        <v>45.7</v>
      </c>
      <c r="J371" s="4">
        <f t="shared" si="39"/>
        <v>12.269</v>
      </c>
      <c r="K371" s="9">
        <f t="shared" si="40"/>
        <v>-21.3</v>
      </c>
      <c r="L371" s="1">
        <f t="shared" si="41"/>
        <v>-30.9</v>
      </c>
    </row>
    <row r="372" spans="1:12">
      <c r="A372" s="2">
        <v>12.336</v>
      </c>
      <c r="B372" s="10" t="s">
        <v>751</v>
      </c>
      <c r="C372" s="4">
        <v>12.336</v>
      </c>
      <c r="D372" s="4">
        <v>45.5</v>
      </c>
      <c r="G372" s="2">
        <f t="shared" si="36"/>
        <v>12.302</v>
      </c>
      <c r="H372" s="11" t="str">
        <f t="shared" si="37"/>
        <v>2.884E-2</v>
      </c>
      <c r="I372" s="2">
        <f t="shared" si="38"/>
        <v>45.7</v>
      </c>
      <c r="J372" s="4">
        <f t="shared" si="39"/>
        <v>12.302</v>
      </c>
      <c r="K372" s="9">
        <f t="shared" si="40"/>
        <v>-21.7</v>
      </c>
      <c r="L372" s="1">
        <f t="shared" si="41"/>
        <v>-30.9</v>
      </c>
    </row>
    <row r="373" spans="1:12">
      <c r="A373" s="2">
        <v>12.369</v>
      </c>
      <c r="B373" s="10" t="s">
        <v>807</v>
      </c>
      <c r="C373" s="4">
        <v>12.369</v>
      </c>
      <c r="D373" s="4">
        <v>46</v>
      </c>
      <c r="G373" s="2">
        <f t="shared" si="36"/>
        <v>12.336</v>
      </c>
      <c r="H373" s="11" t="str">
        <f t="shared" si="37"/>
        <v>2.886E-2</v>
      </c>
      <c r="I373" s="2">
        <f t="shared" si="38"/>
        <v>45.5</v>
      </c>
      <c r="J373" s="4">
        <f t="shared" si="39"/>
        <v>12.336</v>
      </c>
      <c r="K373" s="9">
        <f t="shared" si="40"/>
        <v>-21.5</v>
      </c>
      <c r="L373" s="1">
        <f t="shared" si="41"/>
        <v>-30.9</v>
      </c>
    </row>
    <row r="374" spans="1:12">
      <c r="A374" s="2">
        <v>12.402</v>
      </c>
      <c r="B374" s="10" t="s">
        <v>744</v>
      </c>
      <c r="C374" s="4">
        <v>12.402</v>
      </c>
      <c r="D374" s="4">
        <v>45.7</v>
      </c>
      <c r="G374" s="2">
        <f t="shared" si="36"/>
        <v>12.369</v>
      </c>
      <c r="H374" s="11" t="str">
        <f t="shared" si="37"/>
        <v>2.889E-2</v>
      </c>
      <c r="I374" s="2">
        <f t="shared" si="38"/>
        <v>46</v>
      </c>
      <c r="J374" s="4">
        <f t="shared" si="39"/>
        <v>12.369</v>
      </c>
      <c r="K374" s="9">
        <f t="shared" si="40"/>
        <v>-21.2</v>
      </c>
      <c r="L374" s="1">
        <f t="shared" si="41"/>
        <v>-30.9</v>
      </c>
    </row>
    <row r="375" spans="1:12">
      <c r="A375" s="2">
        <v>12.436</v>
      </c>
      <c r="B375" s="10" t="s">
        <v>753</v>
      </c>
      <c r="C375" s="4">
        <v>12.436</v>
      </c>
      <c r="D375" s="4">
        <v>45.8</v>
      </c>
      <c r="G375" s="2">
        <f t="shared" si="36"/>
        <v>12.402</v>
      </c>
      <c r="H375" s="11" t="str">
        <f t="shared" si="37"/>
        <v>2.894E-2</v>
      </c>
      <c r="I375" s="2">
        <f t="shared" si="38"/>
        <v>45.7</v>
      </c>
      <c r="J375" s="4">
        <f t="shared" si="39"/>
        <v>12.402</v>
      </c>
      <c r="K375" s="9">
        <f t="shared" si="40"/>
        <v>-20.7</v>
      </c>
      <c r="L375" s="1">
        <f t="shared" si="41"/>
        <v>-30.9</v>
      </c>
    </row>
    <row r="376" spans="1:12">
      <c r="A376" s="2">
        <v>12.469</v>
      </c>
      <c r="B376" s="10" t="s">
        <v>754</v>
      </c>
      <c r="C376" s="4">
        <v>12.469</v>
      </c>
      <c r="D376" s="4">
        <v>45.8</v>
      </c>
      <c r="G376" s="2">
        <f t="shared" si="36"/>
        <v>12.436</v>
      </c>
      <c r="H376" s="11" t="str">
        <f t="shared" si="37"/>
        <v>2.903E-2</v>
      </c>
      <c r="I376" s="2">
        <f t="shared" si="38"/>
        <v>45.8</v>
      </c>
      <c r="J376" s="4">
        <f t="shared" si="39"/>
        <v>12.436</v>
      </c>
      <c r="K376" s="9">
        <f t="shared" si="40"/>
        <v>-19.8</v>
      </c>
      <c r="L376" s="1">
        <f t="shared" si="41"/>
        <v>-30.9</v>
      </c>
    </row>
    <row r="377" spans="1:12">
      <c r="A377" s="2">
        <v>12.503</v>
      </c>
      <c r="B377" s="10" t="s">
        <v>845</v>
      </c>
      <c r="C377" s="4">
        <v>12.503</v>
      </c>
      <c r="D377" s="4">
        <v>45</v>
      </c>
      <c r="G377" s="2">
        <f t="shared" si="36"/>
        <v>12.469</v>
      </c>
      <c r="H377" s="11" t="str">
        <f t="shared" si="37"/>
        <v>2.917E-2</v>
      </c>
      <c r="I377" s="2">
        <f t="shared" si="38"/>
        <v>45.8</v>
      </c>
      <c r="J377" s="4">
        <f t="shared" si="39"/>
        <v>12.469</v>
      </c>
      <c r="K377" s="9">
        <f t="shared" si="40"/>
        <v>-18.4</v>
      </c>
      <c r="L377" s="1">
        <f t="shared" si="41"/>
        <v>-30.9</v>
      </c>
    </row>
    <row r="378" spans="1:12">
      <c r="A378" s="2">
        <v>12.536</v>
      </c>
      <c r="B378" s="10" t="s">
        <v>522</v>
      </c>
      <c r="C378" s="4">
        <v>12.536</v>
      </c>
      <c r="D378" s="4">
        <v>45.5</v>
      </c>
      <c r="G378" s="2">
        <f t="shared" ref="G378:G409" si="42">A377</f>
        <v>12.503</v>
      </c>
      <c r="H378" s="11" t="str">
        <f t="shared" ref="H378:H409" si="43">B377</f>
        <v>2.937E-2</v>
      </c>
      <c r="I378" s="2">
        <f t="shared" ref="I378:I409" si="44">D377</f>
        <v>45</v>
      </c>
      <c r="J378" s="4">
        <f t="shared" ref="J378:J409" si="45">G378</f>
        <v>12.503</v>
      </c>
      <c r="K378" s="9">
        <f t="shared" ref="K378:K409" si="46">(H378-$H$4)*10000</f>
        <v>-16.4</v>
      </c>
      <c r="L378" s="1">
        <f t="shared" ref="L378:L409" si="47">IF(I378&lt;230,MIN(K:K),MAX(K:K))</f>
        <v>-30.9</v>
      </c>
    </row>
    <row r="379" spans="1:12">
      <c r="A379" s="2">
        <v>12.57</v>
      </c>
      <c r="B379" s="10" t="s">
        <v>503</v>
      </c>
      <c r="C379" s="4">
        <v>12.57</v>
      </c>
      <c r="D379" s="4">
        <v>45.8</v>
      </c>
      <c r="G379" s="2">
        <f t="shared" si="42"/>
        <v>12.536</v>
      </c>
      <c r="H379" s="11" t="str">
        <f t="shared" si="43"/>
        <v>2.967E-2</v>
      </c>
      <c r="I379" s="2">
        <f t="shared" si="44"/>
        <v>45.5</v>
      </c>
      <c r="J379" s="4">
        <f t="shared" si="45"/>
        <v>12.536</v>
      </c>
      <c r="K379" s="9">
        <f t="shared" si="46"/>
        <v>-13.4</v>
      </c>
      <c r="L379" s="1">
        <f t="shared" si="47"/>
        <v>-30.9</v>
      </c>
    </row>
    <row r="380" spans="1:12">
      <c r="A380" s="2">
        <v>12.603</v>
      </c>
      <c r="B380" s="10" t="s">
        <v>557</v>
      </c>
      <c r="C380" s="4">
        <v>12.603</v>
      </c>
      <c r="D380" s="4">
        <v>45.9</v>
      </c>
      <c r="G380" s="2">
        <f t="shared" si="42"/>
        <v>12.57</v>
      </c>
      <c r="H380" s="11" t="str">
        <f t="shared" si="43"/>
        <v>2.994E-2</v>
      </c>
      <c r="I380" s="2">
        <f t="shared" si="44"/>
        <v>45.8</v>
      </c>
      <c r="J380" s="4">
        <f t="shared" si="45"/>
        <v>12.57</v>
      </c>
      <c r="K380" s="9">
        <f t="shared" si="46"/>
        <v>-10.7</v>
      </c>
      <c r="L380" s="1">
        <f t="shared" si="47"/>
        <v>-30.9</v>
      </c>
    </row>
    <row r="381" spans="1:12">
      <c r="A381" s="2">
        <v>12.637</v>
      </c>
      <c r="B381" s="10" t="s">
        <v>826</v>
      </c>
      <c r="C381" s="4">
        <v>12.637</v>
      </c>
      <c r="D381" s="4">
        <v>45.8</v>
      </c>
      <c r="G381" s="2">
        <f t="shared" si="42"/>
        <v>12.603</v>
      </c>
      <c r="H381" s="11" t="str">
        <f t="shared" si="43"/>
        <v>3.017E-2</v>
      </c>
      <c r="I381" s="2">
        <f t="shared" si="44"/>
        <v>45.9</v>
      </c>
      <c r="J381" s="4">
        <f t="shared" si="45"/>
        <v>12.603</v>
      </c>
      <c r="K381" s="9">
        <f t="shared" si="46"/>
        <v>-8.4</v>
      </c>
      <c r="L381" s="1">
        <f t="shared" si="47"/>
        <v>-30.9</v>
      </c>
    </row>
    <row r="382" spans="1:12">
      <c r="A382" s="2">
        <v>12.67</v>
      </c>
      <c r="B382" s="10" t="s">
        <v>711</v>
      </c>
      <c r="C382" s="4">
        <v>12.67</v>
      </c>
      <c r="D382" s="4">
        <v>45.9</v>
      </c>
      <c r="G382" s="2">
        <f t="shared" si="42"/>
        <v>12.637</v>
      </c>
      <c r="H382" s="11" t="str">
        <f t="shared" si="43"/>
        <v>3.044E-2</v>
      </c>
      <c r="I382" s="2">
        <f t="shared" si="44"/>
        <v>45.8</v>
      </c>
      <c r="J382" s="4">
        <f t="shared" si="45"/>
        <v>12.637</v>
      </c>
      <c r="K382" s="9">
        <f t="shared" si="46"/>
        <v>-5.70000000000001</v>
      </c>
      <c r="L382" s="1">
        <f t="shared" si="47"/>
        <v>-30.9</v>
      </c>
    </row>
    <row r="383" spans="1:12">
      <c r="A383" s="2">
        <v>12.703</v>
      </c>
      <c r="B383" s="10" t="s">
        <v>637</v>
      </c>
      <c r="C383" s="4">
        <v>12.703</v>
      </c>
      <c r="D383" s="4">
        <v>45.9</v>
      </c>
      <c r="G383" s="2">
        <f t="shared" si="42"/>
        <v>12.67</v>
      </c>
      <c r="H383" s="11" t="str">
        <f t="shared" si="43"/>
        <v>3.076E-2</v>
      </c>
      <c r="I383" s="2">
        <f t="shared" si="44"/>
        <v>45.9</v>
      </c>
      <c r="J383" s="4">
        <f t="shared" si="45"/>
        <v>12.67</v>
      </c>
      <c r="K383" s="9">
        <f t="shared" si="46"/>
        <v>-2.5</v>
      </c>
      <c r="L383" s="1">
        <f t="shared" si="47"/>
        <v>-30.9</v>
      </c>
    </row>
    <row r="384" spans="1:12">
      <c r="A384" s="2">
        <v>12.737</v>
      </c>
      <c r="B384" s="10" t="s">
        <v>758</v>
      </c>
      <c r="C384" s="4">
        <v>12.737</v>
      </c>
      <c r="D384" s="4">
        <v>45.6</v>
      </c>
      <c r="G384" s="2">
        <f t="shared" si="42"/>
        <v>12.703</v>
      </c>
      <c r="H384" s="11" t="str">
        <f t="shared" si="43"/>
        <v>3.100E-2</v>
      </c>
      <c r="I384" s="2">
        <f t="shared" si="44"/>
        <v>45.9</v>
      </c>
      <c r="J384" s="4">
        <f t="shared" si="45"/>
        <v>12.703</v>
      </c>
      <c r="K384" s="9">
        <f t="shared" si="46"/>
        <v>-0.0999999999999959</v>
      </c>
      <c r="L384" s="1">
        <f t="shared" si="47"/>
        <v>-30.9</v>
      </c>
    </row>
    <row r="385" spans="1:12">
      <c r="A385" s="2">
        <v>12.77</v>
      </c>
      <c r="B385" s="10" t="s">
        <v>641</v>
      </c>
      <c r="C385" s="4">
        <v>12.77</v>
      </c>
      <c r="D385" s="4">
        <v>45.1</v>
      </c>
      <c r="G385" s="2">
        <f t="shared" si="42"/>
        <v>12.737</v>
      </c>
      <c r="H385" s="11" t="str">
        <f t="shared" si="43"/>
        <v>3.119E-2</v>
      </c>
      <c r="I385" s="2">
        <f t="shared" si="44"/>
        <v>45.6</v>
      </c>
      <c r="J385" s="4">
        <f t="shared" si="45"/>
        <v>12.737</v>
      </c>
      <c r="K385" s="9">
        <f t="shared" si="46"/>
        <v>1.8</v>
      </c>
      <c r="L385" s="1">
        <f t="shared" si="47"/>
        <v>-30.9</v>
      </c>
    </row>
    <row r="386" spans="1:12">
      <c r="A386" s="2">
        <v>12.804</v>
      </c>
      <c r="B386" s="10" t="s">
        <v>695</v>
      </c>
      <c r="C386" s="4">
        <v>12.804</v>
      </c>
      <c r="D386" s="4">
        <v>45.4</v>
      </c>
      <c r="G386" s="2">
        <f t="shared" si="42"/>
        <v>12.77</v>
      </c>
      <c r="H386" s="11" t="str">
        <f t="shared" si="43"/>
        <v>3.144E-2</v>
      </c>
      <c r="I386" s="2">
        <f t="shared" si="44"/>
        <v>45.1</v>
      </c>
      <c r="J386" s="4">
        <f t="shared" si="45"/>
        <v>12.77</v>
      </c>
      <c r="K386" s="9">
        <f t="shared" si="46"/>
        <v>4.30000000000003</v>
      </c>
      <c r="L386" s="1">
        <f t="shared" si="47"/>
        <v>-30.9</v>
      </c>
    </row>
    <row r="387" spans="1:12">
      <c r="A387" s="2">
        <v>12.837</v>
      </c>
      <c r="B387" s="10" t="s">
        <v>801</v>
      </c>
      <c r="C387" s="4">
        <v>12.837</v>
      </c>
      <c r="D387" s="4">
        <v>45.2</v>
      </c>
      <c r="G387" s="2">
        <f t="shared" si="42"/>
        <v>12.804</v>
      </c>
      <c r="H387" s="11" t="str">
        <f t="shared" si="43"/>
        <v>3.166E-2</v>
      </c>
      <c r="I387" s="2">
        <f t="shared" si="44"/>
        <v>45.4</v>
      </c>
      <c r="J387" s="4">
        <f t="shared" si="45"/>
        <v>12.804</v>
      </c>
      <c r="K387" s="9">
        <f t="shared" si="46"/>
        <v>6.50000000000001</v>
      </c>
      <c r="L387" s="1">
        <f t="shared" si="47"/>
        <v>-30.9</v>
      </c>
    </row>
    <row r="388" spans="1:12">
      <c r="A388" s="2">
        <v>12.871</v>
      </c>
      <c r="B388" s="10" t="s">
        <v>836</v>
      </c>
      <c r="C388" s="4">
        <v>12.871</v>
      </c>
      <c r="D388" s="4">
        <v>45.7</v>
      </c>
      <c r="G388" s="2">
        <f t="shared" si="42"/>
        <v>12.837</v>
      </c>
      <c r="H388" s="11" t="str">
        <f t="shared" si="43"/>
        <v>3.177E-2</v>
      </c>
      <c r="I388" s="2">
        <f t="shared" si="44"/>
        <v>45.2</v>
      </c>
      <c r="J388" s="4">
        <f t="shared" si="45"/>
        <v>12.837</v>
      </c>
      <c r="K388" s="9">
        <f t="shared" si="46"/>
        <v>7.6</v>
      </c>
      <c r="L388" s="1">
        <f t="shared" si="47"/>
        <v>-30.9</v>
      </c>
    </row>
    <row r="389" spans="1:12">
      <c r="A389" s="2">
        <v>12.904</v>
      </c>
      <c r="B389" s="10" t="s">
        <v>719</v>
      </c>
      <c r="C389" s="4">
        <v>12.904</v>
      </c>
      <c r="D389" s="4">
        <v>45.4</v>
      </c>
      <c r="G389" s="2">
        <f t="shared" si="42"/>
        <v>12.871</v>
      </c>
      <c r="H389" s="11" t="str">
        <f t="shared" si="43"/>
        <v>3.193E-2</v>
      </c>
      <c r="I389" s="2">
        <f t="shared" si="44"/>
        <v>45.7</v>
      </c>
      <c r="J389" s="4">
        <f t="shared" si="45"/>
        <v>12.871</v>
      </c>
      <c r="K389" s="9">
        <f t="shared" si="46"/>
        <v>9.20000000000001</v>
      </c>
      <c r="L389" s="1">
        <f t="shared" si="47"/>
        <v>-30.9</v>
      </c>
    </row>
    <row r="390" spans="1:12">
      <c r="A390" s="2">
        <v>12.937</v>
      </c>
      <c r="B390" s="10" t="s">
        <v>846</v>
      </c>
      <c r="C390" s="4">
        <v>12.937</v>
      </c>
      <c r="D390" s="4">
        <v>45.5</v>
      </c>
      <c r="G390" s="2">
        <f t="shared" si="42"/>
        <v>12.904</v>
      </c>
      <c r="H390" s="11" t="str">
        <f t="shared" si="43"/>
        <v>3.202E-2</v>
      </c>
      <c r="I390" s="2">
        <f t="shared" si="44"/>
        <v>45.4</v>
      </c>
      <c r="J390" s="4">
        <f t="shared" si="45"/>
        <v>12.904</v>
      </c>
      <c r="K390" s="9">
        <f t="shared" si="46"/>
        <v>10.1</v>
      </c>
      <c r="L390" s="1">
        <f t="shared" si="47"/>
        <v>-30.9</v>
      </c>
    </row>
    <row r="391" spans="1:12">
      <c r="A391" s="2">
        <v>12.971</v>
      </c>
      <c r="B391" s="10" t="s">
        <v>606</v>
      </c>
      <c r="C391" s="4">
        <v>12.971</v>
      </c>
      <c r="D391" s="4">
        <v>45.6</v>
      </c>
      <c r="G391" s="2">
        <f t="shared" si="42"/>
        <v>12.937</v>
      </c>
      <c r="H391" s="11" t="str">
        <f t="shared" si="43"/>
        <v>3.205E-2</v>
      </c>
      <c r="I391" s="2">
        <f t="shared" si="44"/>
        <v>45.5</v>
      </c>
      <c r="J391" s="4">
        <f t="shared" si="45"/>
        <v>12.937</v>
      </c>
      <c r="K391" s="9">
        <f t="shared" si="46"/>
        <v>10.4</v>
      </c>
      <c r="L391" s="1">
        <f t="shared" si="47"/>
        <v>-30.9</v>
      </c>
    </row>
    <row r="392" spans="1:12">
      <c r="A392" s="2">
        <v>13.004</v>
      </c>
      <c r="B392" s="10" t="s">
        <v>820</v>
      </c>
      <c r="C392" s="4">
        <v>13.004</v>
      </c>
      <c r="D392" s="4">
        <v>45.4</v>
      </c>
      <c r="G392" s="2">
        <f t="shared" si="42"/>
        <v>12.971</v>
      </c>
      <c r="H392" s="11" t="str">
        <f t="shared" si="43"/>
        <v>3.203E-2</v>
      </c>
      <c r="I392" s="2">
        <f t="shared" si="44"/>
        <v>45.6</v>
      </c>
      <c r="J392" s="4">
        <f t="shared" si="45"/>
        <v>12.971</v>
      </c>
      <c r="K392" s="9">
        <f t="shared" si="46"/>
        <v>10.2</v>
      </c>
      <c r="L392" s="1">
        <f t="shared" si="47"/>
        <v>-30.9</v>
      </c>
    </row>
    <row r="393" spans="1:12">
      <c r="A393" s="2">
        <v>13.038</v>
      </c>
      <c r="B393" s="10" t="s">
        <v>836</v>
      </c>
      <c r="C393" s="4">
        <v>13.038</v>
      </c>
      <c r="D393" s="4">
        <v>45.3</v>
      </c>
      <c r="G393" s="2">
        <f t="shared" si="42"/>
        <v>13.004</v>
      </c>
      <c r="H393" s="11" t="str">
        <f t="shared" si="43"/>
        <v>3.199E-2</v>
      </c>
      <c r="I393" s="2">
        <f t="shared" si="44"/>
        <v>45.4</v>
      </c>
      <c r="J393" s="4">
        <f t="shared" si="45"/>
        <v>13.004</v>
      </c>
      <c r="K393" s="9">
        <f t="shared" si="46"/>
        <v>9.79999999999998</v>
      </c>
      <c r="L393" s="1">
        <f t="shared" si="47"/>
        <v>-30.9</v>
      </c>
    </row>
    <row r="394" spans="1:12">
      <c r="A394" s="2">
        <v>13.071</v>
      </c>
      <c r="B394" s="10" t="s">
        <v>603</v>
      </c>
      <c r="C394" s="4">
        <v>13.071</v>
      </c>
      <c r="D394" s="4">
        <v>45.6</v>
      </c>
      <c r="G394" s="2">
        <f t="shared" si="42"/>
        <v>13.038</v>
      </c>
      <c r="H394" s="11" t="str">
        <f t="shared" si="43"/>
        <v>3.193E-2</v>
      </c>
      <c r="I394" s="2">
        <f t="shared" si="44"/>
        <v>45.3</v>
      </c>
      <c r="J394" s="4">
        <f t="shared" si="45"/>
        <v>13.038</v>
      </c>
      <c r="K394" s="9">
        <f t="shared" si="46"/>
        <v>9.20000000000001</v>
      </c>
      <c r="L394" s="1">
        <f t="shared" si="47"/>
        <v>-30.9</v>
      </c>
    </row>
    <row r="395" spans="1:12">
      <c r="A395" s="2">
        <v>13.105</v>
      </c>
      <c r="B395" s="10" t="s">
        <v>720</v>
      </c>
      <c r="C395" s="4">
        <v>13.105</v>
      </c>
      <c r="D395" s="4">
        <v>45.6</v>
      </c>
      <c r="G395" s="2">
        <f t="shared" si="42"/>
        <v>13.071</v>
      </c>
      <c r="H395" s="11" t="str">
        <f t="shared" si="43"/>
        <v>3.187E-2</v>
      </c>
      <c r="I395" s="2">
        <f t="shared" si="44"/>
        <v>45.6</v>
      </c>
      <c r="J395" s="4">
        <f t="shared" si="45"/>
        <v>13.071</v>
      </c>
      <c r="K395" s="9">
        <f t="shared" si="46"/>
        <v>8.60000000000003</v>
      </c>
      <c r="L395" s="1">
        <f t="shared" si="47"/>
        <v>-30.9</v>
      </c>
    </row>
    <row r="396" spans="1:12">
      <c r="A396" s="2">
        <v>13.138</v>
      </c>
      <c r="B396" s="10" t="s">
        <v>642</v>
      </c>
      <c r="C396" s="4">
        <v>13.138</v>
      </c>
      <c r="D396" s="4">
        <v>45.8</v>
      </c>
      <c r="G396" s="2">
        <f t="shared" si="42"/>
        <v>13.105</v>
      </c>
      <c r="H396" s="11" t="str">
        <f t="shared" si="43"/>
        <v>3.178E-2</v>
      </c>
      <c r="I396" s="2">
        <f t="shared" si="44"/>
        <v>45.6</v>
      </c>
      <c r="J396" s="4">
        <f t="shared" si="45"/>
        <v>13.105</v>
      </c>
      <c r="K396" s="9">
        <f t="shared" si="46"/>
        <v>7.70000000000003</v>
      </c>
      <c r="L396" s="1">
        <f t="shared" si="47"/>
        <v>-30.9</v>
      </c>
    </row>
    <row r="397" spans="1:12">
      <c r="A397" s="2">
        <v>13.171</v>
      </c>
      <c r="B397" s="10" t="s">
        <v>834</v>
      </c>
      <c r="C397" s="4">
        <v>13.171</v>
      </c>
      <c r="D397" s="4">
        <v>45.6</v>
      </c>
      <c r="G397" s="2">
        <f t="shared" si="42"/>
        <v>13.138</v>
      </c>
      <c r="H397" s="11" t="str">
        <f t="shared" si="43"/>
        <v>3.165E-2</v>
      </c>
      <c r="I397" s="2">
        <f t="shared" si="44"/>
        <v>45.8</v>
      </c>
      <c r="J397" s="4">
        <f t="shared" si="45"/>
        <v>13.138</v>
      </c>
      <c r="K397" s="9">
        <f t="shared" si="46"/>
        <v>6.39999999999998</v>
      </c>
      <c r="L397" s="1">
        <f t="shared" si="47"/>
        <v>-30.9</v>
      </c>
    </row>
    <row r="398" spans="1:12">
      <c r="A398" s="2">
        <v>13.205</v>
      </c>
      <c r="B398" s="10" t="s">
        <v>818</v>
      </c>
      <c r="C398" s="4">
        <v>13.205</v>
      </c>
      <c r="D398" s="4">
        <v>45.7</v>
      </c>
      <c r="G398" s="2">
        <f t="shared" si="42"/>
        <v>13.171</v>
      </c>
      <c r="H398" s="11" t="str">
        <f t="shared" si="43"/>
        <v>3.141E-2</v>
      </c>
      <c r="I398" s="2">
        <f t="shared" si="44"/>
        <v>45.6</v>
      </c>
      <c r="J398" s="4">
        <f t="shared" si="45"/>
        <v>13.171</v>
      </c>
      <c r="K398" s="9">
        <f t="shared" si="46"/>
        <v>4.00000000000001</v>
      </c>
      <c r="L398" s="1">
        <f t="shared" si="47"/>
        <v>-30.9</v>
      </c>
    </row>
    <row r="399" spans="1:12">
      <c r="A399" s="2">
        <v>13.238</v>
      </c>
      <c r="B399" s="10" t="s">
        <v>635</v>
      </c>
      <c r="C399" s="4">
        <v>13.238</v>
      </c>
      <c r="D399" s="4">
        <v>45.8</v>
      </c>
      <c r="G399" s="2">
        <f t="shared" si="42"/>
        <v>13.205</v>
      </c>
      <c r="H399" s="11" t="str">
        <f t="shared" si="43"/>
        <v>3.116E-2</v>
      </c>
      <c r="I399" s="2">
        <f t="shared" si="44"/>
        <v>45.7</v>
      </c>
      <c r="J399" s="4">
        <f t="shared" si="45"/>
        <v>13.205</v>
      </c>
      <c r="K399" s="9">
        <f t="shared" si="46"/>
        <v>1.50000000000001</v>
      </c>
      <c r="L399" s="1">
        <f t="shared" si="47"/>
        <v>-30.9</v>
      </c>
    </row>
    <row r="400" spans="1:12">
      <c r="A400" s="2">
        <v>13.272</v>
      </c>
      <c r="B400" s="10" t="s">
        <v>709</v>
      </c>
      <c r="C400" s="4">
        <v>13.272</v>
      </c>
      <c r="D400" s="4">
        <v>45.6</v>
      </c>
      <c r="G400" s="2">
        <f t="shared" si="42"/>
        <v>13.238</v>
      </c>
      <c r="H400" s="11" t="str">
        <f t="shared" si="43"/>
        <v>3.091E-2</v>
      </c>
      <c r="I400" s="2">
        <f t="shared" si="44"/>
        <v>45.8</v>
      </c>
      <c r="J400" s="4">
        <f t="shared" si="45"/>
        <v>13.238</v>
      </c>
      <c r="K400" s="9">
        <f t="shared" si="46"/>
        <v>-0.999999999999994</v>
      </c>
      <c r="L400" s="1">
        <f t="shared" si="47"/>
        <v>-30.9</v>
      </c>
    </row>
    <row r="401" spans="1:12">
      <c r="A401" s="2">
        <v>13.305</v>
      </c>
      <c r="B401" s="10" t="s">
        <v>673</v>
      </c>
      <c r="C401" s="4">
        <v>13.305</v>
      </c>
      <c r="D401" s="4">
        <v>45.8</v>
      </c>
      <c r="G401" s="2">
        <f t="shared" si="42"/>
        <v>13.272</v>
      </c>
      <c r="H401" s="11" t="str">
        <f t="shared" si="43"/>
        <v>3.067E-2</v>
      </c>
      <c r="I401" s="2">
        <f t="shared" si="44"/>
        <v>45.6</v>
      </c>
      <c r="J401" s="4">
        <f t="shared" si="45"/>
        <v>13.272</v>
      </c>
      <c r="K401" s="9">
        <f t="shared" si="46"/>
        <v>-3.4</v>
      </c>
      <c r="L401" s="1">
        <f t="shared" si="47"/>
        <v>-30.9</v>
      </c>
    </row>
    <row r="402" spans="1:12">
      <c r="A402" s="2">
        <v>13.339</v>
      </c>
      <c r="B402" s="10" t="s">
        <v>558</v>
      </c>
      <c r="C402" s="4">
        <v>13.339</v>
      </c>
      <c r="D402" s="4">
        <v>45.8</v>
      </c>
      <c r="G402" s="2">
        <f t="shared" si="42"/>
        <v>13.305</v>
      </c>
      <c r="H402" s="11" t="str">
        <f t="shared" si="43"/>
        <v>3.039E-2</v>
      </c>
      <c r="I402" s="2">
        <f t="shared" si="44"/>
        <v>45.8</v>
      </c>
      <c r="J402" s="4">
        <f t="shared" si="45"/>
        <v>13.305</v>
      </c>
      <c r="K402" s="9">
        <f t="shared" si="46"/>
        <v>-6.19999999999999</v>
      </c>
      <c r="L402" s="1">
        <f t="shared" si="47"/>
        <v>-30.9</v>
      </c>
    </row>
    <row r="403" spans="1:12">
      <c r="A403" s="2">
        <v>13.372</v>
      </c>
      <c r="B403" s="10" t="s">
        <v>495</v>
      </c>
      <c r="C403" s="4">
        <v>13.372</v>
      </c>
      <c r="D403" s="4">
        <v>46.4</v>
      </c>
      <c r="G403" s="2">
        <f t="shared" si="42"/>
        <v>13.339</v>
      </c>
      <c r="H403" s="11" t="str">
        <f t="shared" si="43"/>
        <v>3.013E-2</v>
      </c>
      <c r="I403" s="2">
        <f t="shared" si="44"/>
        <v>45.8</v>
      </c>
      <c r="J403" s="4">
        <f t="shared" si="45"/>
        <v>13.339</v>
      </c>
      <c r="K403" s="9">
        <f t="shared" si="46"/>
        <v>-8.79999999999999</v>
      </c>
      <c r="L403" s="1">
        <f t="shared" si="47"/>
        <v>-30.9</v>
      </c>
    </row>
    <row r="404" spans="1:12">
      <c r="A404" s="2">
        <v>13.405</v>
      </c>
      <c r="B404" s="10" t="s">
        <v>519</v>
      </c>
      <c r="C404" s="4">
        <v>13.405</v>
      </c>
      <c r="D404" s="4">
        <v>46</v>
      </c>
      <c r="G404" s="2">
        <f t="shared" si="42"/>
        <v>13.372</v>
      </c>
      <c r="H404" s="11" t="str">
        <f t="shared" si="43"/>
        <v>2.987E-2</v>
      </c>
      <c r="I404" s="2">
        <f t="shared" si="44"/>
        <v>46.4</v>
      </c>
      <c r="J404" s="4">
        <f t="shared" si="45"/>
        <v>13.372</v>
      </c>
      <c r="K404" s="9">
        <f t="shared" si="46"/>
        <v>-11.4</v>
      </c>
      <c r="L404" s="1">
        <f t="shared" si="47"/>
        <v>-30.9</v>
      </c>
    </row>
    <row r="405" spans="1:12">
      <c r="A405" s="2">
        <v>13.439</v>
      </c>
      <c r="B405" s="10" t="s">
        <v>847</v>
      </c>
      <c r="C405" s="4">
        <v>13.439</v>
      </c>
      <c r="D405" s="4">
        <v>45.6</v>
      </c>
      <c r="G405" s="2">
        <f t="shared" si="42"/>
        <v>13.405</v>
      </c>
      <c r="H405" s="11" t="str">
        <f t="shared" si="43"/>
        <v>2.960E-2</v>
      </c>
      <c r="I405" s="2">
        <f t="shared" si="44"/>
        <v>46</v>
      </c>
      <c r="J405" s="4">
        <f t="shared" si="45"/>
        <v>13.405</v>
      </c>
      <c r="K405" s="9">
        <f t="shared" si="46"/>
        <v>-14.1</v>
      </c>
      <c r="L405" s="1">
        <f t="shared" si="47"/>
        <v>-30.9</v>
      </c>
    </row>
    <row r="406" spans="1:12">
      <c r="A406" s="2">
        <v>13.472</v>
      </c>
      <c r="B406" s="10" t="s">
        <v>848</v>
      </c>
      <c r="C406" s="4">
        <v>13.472</v>
      </c>
      <c r="D406" s="4">
        <v>45.4</v>
      </c>
      <c r="G406" s="2">
        <f t="shared" si="42"/>
        <v>13.439</v>
      </c>
      <c r="H406" s="11" t="str">
        <f t="shared" si="43"/>
        <v>2.935E-2</v>
      </c>
      <c r="I406" s="2">
        <f t="shared" si="44"/>
        <v>45.6</v>
      </c>
      <c r="J406" s="4">
        <f t="shared" si="45"/>
        <v>13.439</v>
      </c>
      <c r="K406" s="9">
        <f t="shared" si="46"/>
        <v>-16.6</v>
      </c>
      <c r="L406" s="1">
        <f t="shared" si="47"/>
        <v>-30.9</v>
      </c>
    </row>
    <row r="407" spans="1:12">
      <c r="A407" s="2">
        <v>13.506</v>
      </c>
      <c r="B407" s="10" t="s">
        <v>849</v>
      </c>
      <c r="C407" s="4">
        <v>13.506</v>
      </c>
      <c r="D407" s="4">
        <v>45.6</v>
      </c>
      <c r="G407" s="2">
        <f t="shared" si="42"/>
        <v>13.472</v>
      </c>
      <c r="H407" s="11" t="str">
        <f t="shared" si="43"/>
        <v>2.923E-2</v>
      </c>
      <c r="I407" s="2">
        <f t="shared" si="44"/>
        <v>45.4</v>
      </c>
      <c r="J407" s="4">
        <f t="shared" si="45"/>
        <v>13.472</v>
      </c>
      <c r="K407" s="9">
        <f t="shared" si="46"/>
        <v>-17.8</v>
      </c>
      <c r="L407" s="1">
        <f t="shared" si="47"/>
        <v>-30.9</v>
      </c>
    </row>
    <row r="408" spans="1:12">
      <c r="A408" s="2">
        <v>13.539</v>
      </c>
      <c r="B408" s="10" t="s">
        <v>831</v>
      </c>
      <c r="C408" s="4">
        <v>13.539</v>
      </c>
      <c r="D408" s="4">
        <v>45.8</v>
      </c>
      <c r="G408" s="2">
        <f t="shared" si="42"/>
        <v>13.506</v>
      </c>
      <c r="H408" s="11" t="str">
        <f t="shared" si="43"/>
        <v>2.908E-2</v>
      </c>
      <c r="I408" s="2">
        <f t="shared" si="44"/>
        <v>45.6</v>
      </c>
      <c r="J408" s="4">
        <f t="shared" si="45"/>
        <v>13.506</v>
      </c>
      <c r="K408" s="9">
        <f t="shared" si="46"/>
        <v>-19.3</v>
      </c>
      <c r="L408" s="1">
        <f t="shared" si="47"/>
        <v>-30.9</v>
      </c>
    </row>
    <row r="409" spans="1:12">
      <c r="A409" s="2">
        <v>13.573</v>
      </c>
      <c r="B409" s="10" t="s">
        <v>797</v>
      </c>
      <c r="C409" s="4">
        <v>13.573</v>
      </c>
      <c r="D409" s="4">
        <v>45.8</v>
      </c>
      <c r="G409" s="2">
        <f t="shared" si="42"/>
        <v>13.539</v>
      </c>
      <c r="H409" s="11" t="str">
        <f t="shared" si="43"/>
        <v>2.899E-2</v>
      </c>
      <c r="I409" s="2">
        <f t="shared" si="44"/>
        <v>45.8</v>
      </c>
      <c r="J409" s="4">
        <f t="shared" si="45"/>
        <v>13.539</v>
      </c>
      <c r="K409" s="9">
        <f t="shared" si="46"/>
        <v>-20.2</v>
      </c>
      <c r="L409" s="1">
        <f t="shared" si="47"/>
        <v>-30.9</v>
      </c>
    </row>
    <row r="410" spans="1:12">
      <c r="A410" s="2">
        <v>13.606</v>
      </c>
      <c r="B410" s="10" t="s">
        <v>850</v>
      </c>
      <c r="C410" s="4">
        <v>13.606</v>
      </c>
      <c r="D410" s="4">
        <v>45.6</v>
      </c>
      <c r="G410" s="2">
        <f t="shared" ref="G410:G441" si="48">A409</f>
        <v>13.573</v>
      </c>
      <c r="H410" s="11" t="str">
        <f t="shared" ref="H410:H441" si="49">B409</f>
        <v>2.888E-2</v>
      </c>
      <c r="I410" s="2">
        <f t="shared" ref="I410:I441" si="50">D409</f>
        <v>45.8</v>
      </c>
      <c r="J410" s="4">
        <f t="shared" ref="J410:J441" si="51">G410</f>
        <v>13.573</v>
      </c>
      <c r="K410" s="9">
        <f t="shared" ref="K410:K441" si="52">(H410-$H$4)*10000</f>
        <v>-21.3</v>
      </c>
      <c r="L410" s="1">
        <f t="shared" ref="L410:L441" si="53">IF(I410&lt;230,MIN(K:K),MAX(K:K))</f>
        <v>-30.9</v>
      </c>
    </row>
    <row r="411" spans="1:12">
      <c r="A411" s="2">
        <v>13.639</v>
      </c>
      <c r="B411" s="10" t="s">
        <v>851</v>
      </c>
      <c r="C411" s="4">
        <v>13.639</v>
      </c>
      <c r="D411" s="4">
        <v>45.9</v>
      </c>
      <c r="G411" s="2">
        <f t="shared" si="48"/>
        <v>13.606</v>
      </c>
      <c r="H411" s="11" t="str">
        <f t="shared" si="49"/>
        <v>2.885E-2</v>
      </c>
      <c r="I411" s="2">
        <f t="shared" si="50"/>
        <v>45.6</v>
      </c>
      <c r="J411" s="4">
        <f t="shared" si="51"/>
        <v>13.606</v>
      </c>
      <c r="K411" s="9">
        <f t="shared" si="52"/>
        <v>-21.6</v>
      </c>
      <c r="L411" s="1">
        <f t="shared" si="53"/>
        <v>-30.9</v>
      </c>
    </row>
    <row r="412" spans="1:12">
      <c r="A412" s="2">
        <v>13.673</v>
      </c>
      <c r="B412" s="10" t="s">
        <v>852</v>
      </c>
      <c r="C412" s="4">
        <v>13.673</v>
      </c>
      <c r="D412" s="4">
        <v>45.5</v>
      </c>
      <c r="G412" s="2">
        <f t="shared" si="48"/>
        <v>13.639</v>
      </c>
      <c r="H412" s="11" t="str">
        <f t="shared" si="49"/>
        <v>2.887E-2</v>
      </c>
      <c r="I412" s="2">
        <f t="shared" si="50"/>
        <v>45.9</v>
      </c>
      <c r="J412" s="4">
        <f t="shared" si="51"/>
        <v>13.639</v>
      </c>
      <c r="K412" s="9">
        <f t="shared" si="52"/>
        <v>-21.4</v>
      </c>
      <c r="L412" s="1">
        <f t="shared" si="53"/>
        <v>-30.9</v>
      </c>
    </row>
    <row r="413" spans="1:12">
      <c r="A413" s="2">
        <v>13.706</v>
      </c>
      <c r="B413" s="10" t="s">
        <v>815</v>
      </c>
      <c r="C413" s="4">
        <v>13.706</v>
      </c>
      <c r="D413" s="4">
        <v>45.5</v>
      </c>
      <c r="G413" s="2">
        <f t="shared" si="48"/>
        <v>13.673</v>
      </c>
      <c r="H413" s="11" t="str">
        <f t="shared" si="49"/>
        <v>2.890E-2</v>
      </c>
      <c r="I413" s="2">
        <f t="shared" si="50"/>
        <v>45.5</v>
      </c>
      <c r="J413" s="4">
        <f t="shared" si="51"/>
        <v>13.673</v>
      </c>
      <c r="K413" s="9">
        <f t="shared" si="52"/>
        <v>-21.1</v>
      </c>
      <c r="L413" s="1">
        <f t="shared" si="53"/>
        <v>-30.9</v>
      </c>
    </row>
    <row r="414" spans="1:12">
      <c r="A414" s="2">
        <v>13.74</v>
      </c>
      <c r="B414" s="10" t="s">
        <v>753</v>
      </c>
      <c r="C414" s="4">
        <v>13.74</v>
      </c>
      <c r="D414" s="4">
        <v>46.1</v>
      </c>
      <c r="G414" s="2">
        <f t="shared" si="48"/>
        <v>13.706</v>
      </c>
      <c r="H414" s="11" t="str">
        <f t="shared" si="49"/>
        <v>2.896E-2</v>
      </c>
      <c r="I414" s="2">
        <f t="shared" si="50"/>
        <v>45.5</v>
      </c>
      <c r="J414" s="4">
        <f t="shared" si="51"/>
        <v>13.706</v>
      </c>
      <c r="K414" s="9">
        <f t="shared" si="52"/>
        <v>-20.5</v>
      </c>
      <c r="L414" s="1">
        <f t="shared" si="53"/>
        <v>-30.9</v>
      </c>
    </row>
    <row r="415" spans="1:12">
      <c r="A415" s="2">
        <v>13.773</v>
      </c>
      <c r="B415" s="10" t="s">
        <v>853</v>
      </c>
      <c r="C415" s="4">
        <v>13.773</v>
      </c>
      <c r="D415" s="4">
        <v>45.9</v>
      </c>
      <c r="G415" s="2">
        <f t="shared" si="48"/>
        <v>13.74</v>
      </c>
      <c r="H415" s="11" t="str">
        <f t="shared" si="49"/>
        <v>2.903E-2</v>
      </c>
      <c r="I415" s="2">
        <f t="shared" si="50"/>
        <v>46.1</v>
      </c>
      <c r="J415" s="4">
        <f t="shared" si="51"/>
        <v>13.74</v>
      </c>
      <c r="K415" s="9">
        <f t="shared" si="52"/>
        <v>-19.8</v>
      </c>
      <c r="L415" s="1">
        <f t="shared" si="53"/>
        <v>-30.9</v>
      </c>
    </row>
    <row r="416" spans="1:12">
      <c r="A416" s="2">
        <v>13.807</v>
      </c>
      <c r="B416" s="10" t="s">
        <v>833</v>
      </c>
      <c r="C416" s="4">
        <v>13.807</v>
      </c>
      <c r="D416" s="4">
        <v>45.7</v>
      </c>
      <c r="G416" s="2">
        <f t="shared" si="48"/>
        <v>13.773</v>
      </c>
      <c r="H416" s="11" t="str">
        <f t="shared" si="49"/>
        <v>2.924E-2</v>
      </c>
      <c r="I416" s="2">
        <f t="shared" si="50"/>
        <v>45.9</v>
      </c>
      <c r="J416" s="4">
        <f t="shared" si="51"/>
        <v>13.773</v>
      </c>
      <c r="K416" s="9">
        <f t="shared" si="52"/>
        <v>-17.7</v>
      </c>
      <c r="L416" s="1">
        <f t="shared" si="53"/>
        <v>-30.9</v>
      </c>
    </row>
    <row r="417" spans="1:12">
      <c r="A417" s="2">
        <v>13.84</v>
      </c>
      <c r="B417" s="10" t="s">
        <v>521</v>
      </c>
      <c r="C417" s="4">
        <v>13.84</v>
      </c>
      <c r="D417" s="4">
        <v>45.9</v>
      </c>
      <c r="G417" s="2">
        <f t="shared" si="48"/>
        <v>13.807</v>
      </c>
      <c r="H417" s="11" t="str">
        <f t="shared" si="49"/>
        <v>2.943E-2</v>
      </c>
      <c r="I417" s="2">
        <f t="shared" si="50"/>
        <v>45.7</v>
      </c>
      <c r="J417" s="4">
        <f t="shared" si="51"/>
        <v>13.807</v>
      </c>
      <c r="K417" s="9">
        <f t="shared" si="52"/>
        <v>-15.8</v>
      </c>
      <c r="L417" s="1">
        <f t="shared" si="53"/>
        <v>-30.9</v>
      </c>
    </row>
    <row r="418" spans="1:12">
      <c r="A418" s="2">
        <v>13.873</v>
      </c>
      <c r="B418" s="10" t="s">
        <v>488</v>
      </c>
      <c r="C418" s="4">
        <v>13.873</v>
      </c>
      <c r="D418" s="4">
        <v>46.1</v>
      </c>
      <c r="G418" s="2">
        <f t="shared" si="48"/>
        <v>13.84</v>
      </c>
      <c r="H418" s="11" t="str">
        <f t="shared" si="49"/>
        <v>2.966E-2</v>
      </c>
      <c r="I418" s="2">
        <f t="shared" si="50"/>
        <v>45.9</v>
      </c>
      <c r="J418" s="4">
        <f t="shared" si="51"/>
        <v>13.84</v>
      </c>
      <c r="K418" s="9">
        <f t="shared" si="52"/>
        <v>-13.5</v>
      </c>
      <c r="L418" s="1">
        <f t="shared" si="53"/>
        <v>-30.9</v>
      </c>
    </row>
    <row r="419" spans="1:12">
      <c r="A419" s="2">
        <v>13.907</v>
      </c>
      <c r="B419" s="10" t="s">
        <v>541</v>
      </c>
      <c r="C419" s="4">
        <v>13.907</v>
      </c>
      <c r="D419" s="4">
        <v>45.3</v>
      </c>
      <c r="G419" s="2">
        <f t="shared" si="48"/>
        <v>13.873</v>
      </c>
      <c r="H419" s="11" t="str">
        <f t="shared" si="49"/>
        <v>2.995E-2</v>
      </c>
      <c r="I419" s="2">
        <f t="shared" si="50"/>
        <v>46.1</v>
      </c>
      <c r="J419" s="4">
        <f t="shared" si="51"/>
        <v>13.873</v>
      </c>
      <c r="K419" s="9">
        <f t="shared" si="52"/>
        <v>-10.6</v>
      </c>
      <c r="L419" s="1">
        <f t="shared" si="53"/>
        <v>-30.9</v>
      </c>
    </row>
    <row r="420" spans="1:12">
      <c r="A420" s="2">
        <v>13.94</v>
      </c>
      <c r="B420" s="10" t="s">
        <v>671</v>
      </c>
      <c r="C420" s="4">
        <v>13.94</v>
      </c>
      <c r="D420" s="4">
        <v>46.1</v>
      </c>
      <c r="G420" s="2">
        <f t="shared" si="48"/>
        <v>13.907</v>
      </c>
      <c r="H420" s="11" t="str">
        <f t="shared" si="49"/>
        <v>3.026E-2</v>
      </c>
      <c r="I420" s="2">
        <f t="shared" si="50"/>
        <v>45.3</v>
      </c>
      <c r="J420" s="4">
        <f t="shared" si="51"/>
        <v>13.907</v>
      </c>
      <c r="K420" s="9">
        <f t="shared" si="52"/>
        <v>-7.50000000000001</v>
      </c>
      <c r="L420" s="1">
        <f t="shared" si="53"/>
        <v>-30.9</v>
      </c>
    </row>
    <row r="421" spans="1:12">
      <c r="A421" s="2">
        <v>13.974</v>
      </c>
      <c r="B421" s="10" t="s">
        <v>854</v>
      </c>
      <c r="C421" s="4">
        <v>13.974</v>
      </c>
      <c r="D421" s="4">
        <v>46.2</v>
      </c>
      <c r="G421" s="2">
        <f t="shared" si="48"/>
        <v>13.94</v>
      </c>
      <c r="H421" s="11" t="str">
        <f t="shared" si="49"/>
        <v>3.051E-2</v>
      </c>
      <c r="I421" s="2">
        <f t="shared" si="50"/>
        <v>46.1</v>
      </c>
      <c r="J421" s="4">
        <f t="shared" si="51"/>
        <v>13.94</v>
      </c>
      <c r="K421" s="9">
        <f t="shared" si="52"/>
        <v>-5</v>
      </c>
      <c r="L421" s="1">
        <f t="shared" si="53"/>
        <v>-30.9</v>
      </c>
    </row>
    <row r="422" spans="1:12">
      <c r="A422" s="2">
        <v>14.007</v>
      </c>
      <c r="B422" s="10" t="s">
        <v>706</v>
      </c>
      <c r="C422" s="4">
        <v>14.007</v>
      </c>
      <c r="D422" s="4">
        <v>45.6</v>
      </c>
      <c r="G422" s="2">
        <f t="shared" si="48"/>
        <v>13.974</v>
      </c>
      <c r="H422" s="11" t="str">
        <f t="shared" si="49"/>
        <v>3.079E-2</v>
      </c>
      <c r="I422" s="2">
        <f t="shared" si="50"/>
        <v>46.2</v>
      </c>
      <c r="J422" s="4">
        <f t="shared" si="51"/>
        <v>13.974</v>
      </c>
      <c r="K422" s="9">
        <f t="shared" si="52"/>
        <v>-2.19999999999998</v>
      </c>
      <c r="L422" s="1">
        <f t="shared" si="53"/>
        <v>-30.9</v>
      </c>
    </row>
    <row r="423" spans="1:12">
      <c r="A423" s="2">
        <v>14.041</v>
      </c>
      <c r="B423" s="10" t="s">
        <v>640</v>
      </c>
      <c r="C423" s="4">
        <v>14.041</v>
      </c>
      <c r="D423" s="4">
        <v>45.8</v>
      </c>
      <c r="G423" s="2">
        <f t="shared" si="48"/>
        <v>14.007</v>
      </c>
      <c r="H423" s="11" t="str">
        <f t="shared" si="49"/>
        <v>3.104E-2</v>
      </c>
      <c r="I423" s="2">
        <f t="shared" si="50"/>
        <v>45.6</v>
      </c>
      <c r="J423" s="4">
        <f t="shared" si="51"/>
        <v>14.007</v>
      </c>
      <c r="K423" s="9">
        <f t="shared" si="52"/>
        <v>0.300000000000022</v>
      </c>
      <c r="L423" s="1">
        <f t="shared" si="53"/>
        <v>-30.9</v>
      </c>
    </row>
    <row r="424" spans="1:12">
      <c r="A424" s="2">
        <v>14.074</v>
      </c>
      <c r="B424" s="10" t="s">
        <v>855</v>
      </c>
      <c r="C424" s="4">
        <v>14.074</v>
      </c>
      <c r="D424" s="4">
        <v>45.9</v>
      </c>
      <c r="G424" s="2">
        <f t="shared" si="48"/>
        <v>14.041</v>
      </c>
      <c r="H424" s="11" t="str">
        <f t="shared" si="49"/>
        <v>3.125E-2</v>
      </c>
      <c r="I424" s="2">
        <f t="shared" si="50"/>
        <v>45.8</v>
      </c>
      <c r="J424" s="4">
        <f t="shared" si="51"/>
        <v>14.041</v>
      </c>
      <c r="K424" s="9">
        <f t="shared" si="52"/>
        <v>2.40000000000001</v>
      </c>
      <c r="L424" s="1">
        <f t="shared" si="53"/>
        <v>-30.9</v>
      </c>
    </row>
    <row r="425" spans="1:12">
      <c r="A425" s="2">
        <v>14.107</v>
      </c>
      <c r="B425" s="10" t="s">
        <v>688</v>
      </c>
      <c r="C425" s="4">
        <v>14.107</v>
      </c>
      <c r="D425" s="4">
        <v>45.9</v>
      </c>
      <c r="G425" s="2">
        <f t="shared" si="48"/>
        <v>14.074</v>
      </c>
      <c r="H425" s="11" t="str">
        <f t="shared" si="49"/>
        <v>3.148E-2</v>
      </c>
      <c r="I425" s="2">
        <f t="shared" si="50"/>
        <v>45.9</v>
      </c>
      <c r="J425" s="4">
        <f t="shared" si="51"/>
        <v>14.074</v>
      </c>
      <c r="K425" s="9">
        <f t="shared" si="52"/>
        <v>4.70000000000002</v>
      </c>
      <c r="L425" s="1">
        <f t="shared" si="53"/>
        <v>-30.9</v>
      </c>
    </row>
    <row r="426" spans="1:12">
      <c r="A426" s="2">
        <v>14.141</v>
      </c>
      <c r="B426" s="10" t="s">
        <v>680</v>
      </c>
      <c r="C426" s="4">
        <v>14.141</v>
      </c>
      <c r="D426" s="4">
        <v>46.1</v>
      </c>
      <c r="G426" s="2">
        <f t="shared" si="48"/>
        <v>14.107</v>
      </c>
      <c r="H426" s="11" t="str">
        <f t="shared" si="49"/>
        <v>3.172E-2</v>
      </c>
      <c r="I426" s="2">
        <f t="shared" si="50"/>
        <v>45.9</v>
      </c>
      <c r="J426" s="4">
        <f t="shared" si="51"/>
        <v>14.107</v>
      </c>
      <c r="K426" s="9">
        <f t="shared" si="52"/>
        <v>7.09999999999999</v>
      </c>
      <c r="L426" s="1">
        <f t="shared" si="53"/>
        <v>-30.9</v>
      </c>
    </row>
    <row r="427" spans="1:12">
      <c r="A427" s="2">
        <v>14.174</v>
      </c>
      <c r="B427" s="10" t="s">
        <v>820</v>
      </c>
      <c r="C427" s="4">
        <v>14.174</v>
      </c>
      <c r="D427" s="4">
        <v>45.7</v>
      </c>
      <c r="G427" s="2">
        <f t="shared" si="48"/>
        <v>14.141</v>
      </c>
      <c r="H427" s="11" t="str">
        <f t="shared" si="49"/>
        <v>3.184E-2</v>
      </c>
      <c r="I427" s="2">
        <f t="shared" si="50"/>
        <v>46.1</v>
      </c>
      <c r="J427" s="4">
        <f t="shared" si="51"/>
        <v>14.141</v>
      </c>
      <c r="K427" s="9">
        <f t="shared" si="52"/>
        <v>8.30000000000001</v>
      </c>
      <c r="L427" s="1">
        <f t="shared" si="53"/>
        <v>-30.9</v>
      </c>
    </row>
    <row r="428" spans="1:12">
      <c r="A428" s="2">
        <v>14.208</v>
      </c>
      <c r="B428" s="10" t="s">
        <v>626</v>
      </c>
      <c r="C428" s="4">
        <v>14.208</v>
      </c>
      <c r="D428" s="4">
        <v>45.8</v>
      </c>
      <c r="G428" s="2">
        <f t="shared" si="48"/>
        <v>14.174</v>
      </c>
      <c r="H428" s="11" t="str">
        <f t="shared" si="49"/>
        <v>3.199E-2</v>
      </c>
      <c r="I428" s="2">
        <f t="shared" si="50"/>
        <v>45.7</v>
      </c>
      <c r="J428" s="4">
        <f t="shared" si="51"/>
        <v>14.174</v>
      </c>
      <c r="K428" s="9">
        <f t="shared" si="52"/>
        <v>9.79999999999998</v>
      </c>
      <c r="L428" s="1">
        <f t="shared" si="53"/>
        <v>-30.9</v>
      </c>
    </row>
    <row r="429" spans="1:12">
      <c r="A429" s="2">
        <v>14.241</v>
      </c>
      <c r="B429" s="10" t="s">
        <v>856</v>
      </c>
      <c r="C429" s="4">
        <v>14.241</v>
      </c>
      <c r="D429" s="4">
        <v>46</v>
      </c>
      <c r="G429" s="2">
        <f t="shared" si="48"/>
        <v>14.208</v>
      </c>
      <c r="H429" s="11" t="str">
        <f t="shared" si="49"/>
        <v>3.206E-2</v>
      </c>
      <c r="I429" s="2">
        <f t="shared" si="50"/>
        <v>45.8</v>
      </c>
      <c r="J429" s="4">
        <f t="shared" si="51"/>
        <v>14.208</v>
      </c>
      <c r="K429" s="9">
        <f t="shared" si="52"/>
        <v>10.5</v>
      </c>
      <c r="L429" s="1">
        <f t="shared" si="53"/>
        <v>-30.9</v>
      </c>
    </row>
    <row r="430" spans="1:12">
      <c r="A430" s="2">
        <v>14.275</v>
      </c>
      <c r="B430" s="10" t="s">
        <v>664</v>
      </c>
      <c r="C430" s="4">
        <v>14.275</v>
      </c>
      <c r="D430" s="4">
        <v>45.2</v>
      </c>
      <c r="G430" s="2">
        <f t="shared" si="48"/>
        <v>14.241</v>
      </c>
      <c r="H430" s="11" t="str">
        <f t="shared" si="49"/>
        <v>3.207E-2</v>
      </c>
      <c r="I430" s="2">
        <f t="shared" si="50"/>
        <v>46</v>
      </c>
      <c r="J430" s="4">
        <f t="shared" si="51"/>
        <v>14.241</v>
      </c>
      <c r="K430" s="9">
        <f t="shared" si="52"/>
        <v>10.6</v>
      </c>
      <c r="L430" s="1">
        <f t="shared" si="53"/>
        <v>-30.9</v>
      </c>
    </row>
    <row r="431" spans="1:12">
      <c r="A431" s="2">
        <v>14.308</v>
      </c>
      <c r="B431" s="10" t="s">
        <v>857</v>
      </c>
      <c r="C431" s="4">
        <v>14.308</v>
      </c>
      <c r="D431" s="4">
        <v>45.5</v>
      </c>
      <c r="G431" s="2">
        <f t="shared" si="48"/>
        <v>14.275</v>
      </c>
      <c r="H431" s="11" t="str">
        <f t="shared" si="49"/>
        <v>3.214E-2</v>
      </c>
      <c r="I431" s="2">
        <f t="shared" si="50"/>
        <v>45.2</v>
      </c>
      <c r="J431" s="4">
        <f t="shared" si="51"/>
        <v>14.275</v>
      </c>
      <c r="K431" s="9">
        <f t="shared" si="52"/>
        <v>11.3</v>
      </c>
      <c r="L431" s="1">
        <f t="shared" si="53"/>
        <v>-30.9</v>
      </c>
    </row>
    <row r="432" spans="1:12">
      <c r="A432" s="2">
        <v>14.341</v>
      </c>
      <c r="B432" s="10" t="s">
        <v>607</v>
      </c>
      <c r="C432" s="4">
        <v>14.341</v>
      </c>
      <c r="D432" s="4">
        <v>46.1</v>
      </c>
      <c r="G432" s="2">
        <f t="shared" si="48"/>
        <v>14.308</v>
      </c>
      <c r="H432" s="11" t="str">
        <f t="shared" si="49"/>
        <v>3.217E-2</v>
      </c>
      <c r="I432" s="2">
        <f t="shared" si="50"/>
        <v>45.5</v>
      </c>
      <c r="J432" s="4">
        <f t="shared" si="51"/>
        <v>14.308</v>
      </c>
      <c r="K432" s="9">
        <f t="shared" si="52"/>
        <v>11.6</v>
      </c>
      <c r="L432" s="1">
        <f t="shared" si="53"/>
        <v>-30.9</v>
      </c>
    </row>
    <row r="433" spans="1:12">
      <c r="A433" s="2">
        <v>14.375</v>
      </c>
      <c r="B433" s="10" t="s">
        <v>856</v>
      </c>
      <c r="C433" s="4">
        <v>14.375</v>
      </c>
      <c r="D433" s="4">
        <v>45.9</v>
      </c>
      <c r="G433" s="2">
        <f t="shared" si="48"/>
        <v>14.341</v>
      </c>
      <c r="H433" s="11" t="str">
        <f t="shared" si="49"/>
        <v>3.213E-2</v>
      </c>
      <c r="I433" s="2">
        <f t="shared" si="50"/>
        <v>46.1</v>
      </c>
      <c r="J433" s="4">
        <f t="shared" si="51"/>
        <v>14.341</v>
      </c>
      <c r="K433" s="9">
        <f t="shared" si="52"/>
        <v>11.2</v>
      </c>
      <c r="L433" s="1">
        <f t="shared" si="53"/>
        <v>-30.9</v>
      </c>
    </row>
    <row r="434" spans="1:12">
      <c r="A434" s="2">
        <v>14.408</v>
      </c>
      <c r="B434" s="10" t="s">
        <v>820</v>
      </c>
      <c r="C434" s="4">
        <v>14.408</v>
      </c>
      <c r="D434" s="4">
        <v>45.3</v>
      </c>
      <c r="G434" s="2">
        <f t="shared" si="48"/>
        <v>14.375</v>
      </c>
      <c r="H434" s="11" t="str">
        <f t="shared" si="49"/>
        <v>3.207E-2</v>
      </c>
      <c r="I434" s="2">
        <f t="shared" si="50"/>
        <v>45.9</v>
      </c>
      <c r="J434" s="4">
        <f t="shared" si="51"/>
        <v>14.375</v>
      </c>
      <c r="K434" s="9">
        <f t="shared" si="52"/>
        <v>10.6</v>
      </c>
      <c r="L434" s="1">
        <f t="shared" si="53"/>
        <v>-30.9</v>
      </c>
    </row>
    <row r="435" spans="1:12">
      <c r="A435" s="2">
        <v>14.442</v>
      </c>
      <c r="B435" s="10" t="s">
        <v>823</v>
      </c>
      <c r="C435" s="4">
        <v>14.442</v>
      </c>
      <c r="D435" s="4">
        <v>46</v>
      </c>
      <c r="G435" s="2">
        <f t="shared" si="48"/>
        <v>14.408</v>
      </c>
      <c r="H435" s="11" t="str">
        <f t="shared" si="49"/>
        <v>3.199E-2</v>
      </c>
      <c r="I435" s="2">
        <f t="shared" si="50"/>
        <v>45.3</v>
      </c>
      <c r="J435" s="4">
        <f t="shared" si="51"/>
        <v>14.408</v>
      </c>
      <c r="K435" s="9">
        <f t="shared" si="52"/>
        <v>9.79999999999998</v>
      </c>
      <c r="L435" s="1">
        <f t="shared" si="53"/>
        <v>-30.9</v>
      </c>
    </row>
    <row r="436" spans="1:12">
      <c r="A436" s="2">
        <v>14.475</v>
      </c>
      <c r="B436" s="10" t="s">
        <v>858</v>
      </c>
      <c r="C436" s="4">
        <v>14.475</v>
      </c>
      <c r="D436" s="4">
        <v>45.9</v>
      </c>
      <c r="G436" s="2">
        <f t="shared" si="48"/>
        <v>14.442</v>
      </c>
      <c r="H436" s="11" t="str">
        <f t="shared" si="49"/>
        <v>3.183E-2</v>
      </c>
      <c r="I436" s="2">
        <f t="shared" si="50"/>
        <v>46</v>
      </c>
      <c r="J436" s="4">
        <f t="shared" si="51"/>
        <v>14.442</v>
      </c>
      <c r="K436" s="9">
        <f t="shared" si="52"/>
        <v>8.19999999999998</v>
      </c>
      <c r="L436" s="1">
        <f t="shared" si="53"/>
        <v>-30.9</v>
      </c>
    </row>
    <row r="437" spans="1:12">
      <c r="A437" s="2">
        <v>14.509</v>
      </c>
      <c r="B437" s="10" t="s">
        <v>859</v>
      </c>
      <c r="C437" s="4">
        <v>14.509</v>
      </c>
      <c r="D437" s="4">
        <v>46</v>
      </c>
      <c r="G437" s="2">
        <f t="shared" si="48"/>
        <v>14.475</v>
      </c>
      <c r="H437" s="11" t="str">
        <f t="shared" si="49"/>
        <v>3.163E-2</v>
      </c>
      <c r="I437" s="2">
        <f t="shared" si="50"/>
        <v>45.9</v>
      </c>
      <c r="J437" s="4">
        <f t="shared" si="51"/>
        <v>14.475</v>
      </c>
      <c r="K437" s="9">
        <f t="shared" si="52"/>
        <v>6.19999999999999</v>
      </c>
      <c r="L437" s="1">
        <f t="shared" si="53"/>
        <v>-30.9</v>
      </c>
    </row>
    <row r="438" spans="1:12">
      <c r="A438" s="2">
        <v>14.542</v>
      </c>
      <c r="B438" s="10" t="s">
        <v>694</v>
      </c>
      <c r="C438" s="4">
        <v>14.542</v>
      </c>
      <c r="D438" s="4">
        <v>45.7</v>
      </c>
      <c r="G438" s="2">
        <f t="shared" si="48"/>
        <v>14.509</v>
      </c>
      <c r="H438" s="11" t="str">
        <f t="shared" si="49"/>
        <v>3.137E-2</v>
      </c>
      <c r="I438" s="2">
        <f t="shared" si="50"/>
        <v>46</v>
      </c>
      <c r="J438" s="4">
        <f t="shared" si="51"/>
        <v>14.509</v>
      </c>
      <c r="K438" s="9">
        <f t="shared" si="52"/>
        <v>3.60000000000003</v>
      </c>
      <c r="L438" s="1">
        <f t="shared" si="53"/>
        <v>-30.9</v>
      </c>
    </row>
    <row r="439" spans="1:12">
      <c r="A439" s="2">
        <v>14.575</v>
      </c>
      <c r="B439" s="10" t="s">
        <v>668</v>
      </c>
      <c r="C439" s="4">
        <v>14.575</v>
      </c>
      <c r="D439" s="4">
        <v>45.6</v>
      </c>
      <c r="G439" s="2">
        <f t="shared" si="48"/>
        <v>14.542</v>
      </c>
      <c r="H439" s="11" t="str">
        <f t="shared" si="49"/>
        <v>3.115E-2</v>
      </c>
      <c r="I439" s="2">
        <f t="shared" si="50"/>
        <v>45.7</v>
      </c>
      <c r="J439" s="4">
        <f t="shared" si="51"/>
        <v>14.542</v>
      </c>
      <c r="K439" s="9">
        <f t="shared" si="52"/>
        <v>1.40000000000001</v>
      </c>
      <c r="L439" s="1">
        <f t="shared" si="53"/>
        <v>-30.9</v>
      </c>
    </row>
    <row r="440" spans="1:12">
      <c r="A440" s="2">
        <v>14.609</v>
      </c>
      <c r="B440" s="10" t="s">
        <v>691</v>
      </c>
      <c r="C440" s="4">
        <v>14.609</v>
      </c>
      <c r="D440" s="4">
        <v>45.5</v>
      </c>
      <c r="G440" s="2">
        <f t="shared" si="48"/>
        <v>14.575</v>
      </c>
      <c r="H440" s="11" t="str">
        <f t="shared" si="49"/>
        <v>3.086E-2</v>
      </c>
      <c r="I440" s="2">
        <f t="shared" si="50"/>
        <v>45.6</v>
      </c>
      <c r="J440" s="4">
        <f t="shared" si="51"/>
        <v>14.575</v>
      </c>
      <c r="K440" s="9">
        <f t="shared" si="52"/>
        <v>-1.50000000000001</v>
      </c>
      <c r="L440" s="1">
        <f t="shared" si="53"/>
        <v>-30.9</v>
      </c>
    </row>
    <row r="441" spans="1:12">
      <c r="A441" s="2">
        <v>14.642</v>
      </c>
      <c r="B441" s="10" t="s">
        <v>551</v>
      </c>
      <c r="C441" s="4">
        <v>14.642</v>
      </c>
      <c r="D441" s="4">
        <v>45.8</v>
      </c>
      <c r="G441" s="2">
        <f t="shared" si="48"/>
        <v>14.609</v>
      </c>
      <c r="H441" s="11" t="str">
        <f t="shared" si="49"/>
        <v>3.058E-2</v>
      </c>
      <c r="I441" s="2">
        <f t="shared" si="50"/>
        <v>45.5</v>
      </c>
      <c r="J441" s="4">
        <f t="shared" si="51"/>
        <v>14.609</v>
      </c>
      <c r="K441" s="9">
        <f t="shared" si="52"/>
        <v>-4.3</v>
      </c>
      <c r="L441" s="1">
        <f t="shared" si="53"/>
        <v>-30.9</v>
      </c>
    </row>
    <row r="442" spans="1:12">
      <c r="A442" s="2">
        <v>14.676</v>
      </c>
      <c r="B442" s="10" t="s">
        <v>577</v>
      </c>
      <c r="C442" s="4">
        <v>14.676</v>
      </c>
      <c r="D442" s="4">
        <v>45.5</v>
      </c>
      <c r="G442" s="2">
        <f t="shared" ref="G442:G473" si="54">A441</f>
        <v>14.642</v>
      </c>
      <c r="H442" s="11" t="str">
        <f t="shared" ref="H442:H473" si="55">B441</f>
        <v>3.036E-2</v>
      </c>
      <c r="I442" s="2">
        <f t="shared" ref="I442:I473" si="56">D441</f>
        <v>45.8</v>
      </c>
      <c r="J442" s="4">
        <f t="shared" ref="J442:J473" si="57">G442</f>
        <v>14.642</v>
      </c>
      <c r="K442" s="9">
        <f t="shared" ref="K442:K473" si="58">(H442-$H$4)*10000</f>
        <v>-6.49999999999998</v>
      </c>
      <c r="L442" s="1">
        <f t="shared" ref="L442:L473" si="59">IF(I442&lt;230,MIN(K:K),MAX(K:K))</f>
        <v>-30.9</v>
      </c>
    </row>
    <row r="443" spans="1:12">
      <c r="A443" s="2">
        <v>14.709</v>
      </c>
      <c r="B443" s="10" t="s">
        <v>501</v>
      </c>
      <c r="C443" s="4">
        <v>14.709</v>
      </c>
      <c r="D443" s="4">
        <v>45.7</v>
      </c>
      <c r="G443" s="2">
        <f t="shared" si="54"/>
        <v>14.676</v>
      </c>
      <c r="H443" s="11" t="str">
        <f t="shared" si="55"/>
        <v>3.012E-2</v>
      </c>
      <c r="I443" s="2">
        <f t="shared" si="56"/>
        <v>45.5</v>
      </c>
      <c r="J443" s="4">
        <f t="shared" si="57"/>
        <v>14.676</v>
      </c>
      <c r="K443" s="9">
        <f t="shared" si="58"/>
        <v>-8.89999999999998</v>
      </c>
      <c r="L443" s="1">
        <f t="shared" si="59"/>
        <v>-30.9</v>
      </c>
    </row>
    <row r="444" spans="1:12">
      <c r="A444" s="2">
        <v>14.743</v>
      </c>
      <c r="B444" s="10" t="s">
        <v>528</v>
      </c>
      <c r="C444" s="4">
        <v>14.743</v>
      </c>
      <c r="D444" s="4">
        <v>45.6</v>
      </c>
      <c r="G444" s="2">
        <f t="shared" si="54"/>
        <v>14.709</v>
      </c>
      <c r="H444" s="11" t="str">
        <f t="shared" si="55"/>
        <v>2.986E-2</v>
      </c>
      <c r="I444" s="2">
        <f t="shared" si="56"/>
        <v>45.7</v>
      </c>
      <c r="J444" s="4">
        <f t="shared" si="57"/>
        <v>14.709</v>
      </c>
      <c r="K444" s="9">
        <f t="shared" si="58"/>
        <v>-11.5</v>
      </c>
      <c r="L444" s="1">
        <f t="shared" si="59"/>
        <v>-30.9</v>
      </c>
    </row>
    <row r="445" spans="1:12">
      <c r="A445" s="2">
        <v>14.776</v>
      </c>
      <c r="B445" s="10" t="s">
        <v>860</v>
      </c>
      <c r="C445" s="4">
        <v>14.776</v>
      </c>
      <c r="D445" s="4">
        <v>45.8</v>
      </c>
      <c r="G445" s="2">
        <f t="shared" si="54"/>
        <v>14.743</v>
      </c>
      <c r="H445" s="11" t="str">
        <f t="shared" si="55"/>
        <v>2.963E-2</v>
      </c>
      <c r="I445" s="2">
        <f t="shared" si="56"/>
        <v>45.6</v>
      </c>
      <c r="J445" s="4">
        <f t="shared" si="57"/>
        <v>14.743</v>
      </c>
      <c r="K445" s="9">
        <f t="shared" si="58"/>
        <v>-13.8</v>
      </c>
      <c r="L445" s="1">
        <f t="shared" si="59"/>
        <v>-30.9</v>
      </c>
    </row>
    <row r="446" spans="1:12">
      <c r="A446" s="2">
        <v>14.809</v>
      </c>
      <c r="B446" s="10" t="s">
        <v>861</v>
      </c>
      <c r="C446" s="4">
        <v>14.809</v>
      </c>
      <c r="D446" s="4">
        <v>45.4</v>
      </c>
      <c r="G446" s="2">
        <f t="shared" si="54"/>
        <v>14.776</v>
      </c>
      <c r="H446" s="11" t="str">
        <f t="shared" si="55"/>
        <v>2.941E-2</v>
      </c>
      <c r="I446" s="2">
        <f t="shared" si="56"/>
        <v>45.8</v>
      </c>
      <c r="J446" s="4">
        <f t="shared" si="57"/>
        <v>14.776</v>
      </c>
      <c r="K446" s="9">
        <f t="shared" si="58"/>
        <v>-16</v>
      </c>
      <c r="L446" s="1">
        <f t="shared" si="59"/>
        <v>-30.9</v>
      </c>
    </row>
    <row r="447" spans="1:12">
      <c r="A447" s="2">
        <v>14.843</v>
      </c>
      <c r="B447" s="10" t="s">
        <v>816</v>
      </c>
      <c r="C447" s="4">
        <v>14.843</v>
      </c>
      <c r="D447" s="4">
        <v>45.7</v>
      </c>
      <c r="G447" s="2">
        <f t="shared" si="54"/>
        <v>14.809</v>
      </c>
      <c r="H447" s="11" t="str">
        <f t="shared" si="55"/>
        <v>2.931E-2</v>
      </c>
      <c r="I447" s="2">
        <f t="shared" si="56"/>
        <v>45.4</v>
      </c>
      <c r="J447" s="4">
        <f t="shared" si="57"/>
        <v>14.809</v>
      </c>
      <c r="K447" s="9">
        <f t="shared" si="58"/>
        <v>-17</v>
      </c>
      <c r="L447" s="1">
        <f t="shared" si="59"/>
        <v>-30.9</v>
      </c>
    </row>
    <row r="448" spans="1:12">
      <c r="A448" s="2">
        <v>14.876</v>
      </c>
      <c r="B448" s="10" t="s">
        <v>849</v>
      </c>
      <c r="C448" s="4">
        <v>14.876</v>
      </c>
      <c r="D448" s="4">
        <v>45.5</v>
      </c>
      <c r="G448" s="2">
        <f t="shared" si="54"/>
        <v>14.843</v>
      </c>
      <c r="H448" s="11" t="str">
        <f t="shared" si="55"/>
        <v>2.915E-2</v>
      </c>
      <c r="I448" s="2">
        <f t="shared" si="56"/>
        <v>45.7</v>
      </c>
      <c r="J448" s="4">
        <f t="shared" si="57"/>
        <v>14.843</v>
      </c>
      <c r="K448" s="9">
        <f t="shared" si="58"/>
        <v>-18.6</v>
      </c>
      <c r="L448" s="1">
        <f t="shared" si="59"/>
        <v>-30.9</v>
      </c>
    </row>
    <row r="449" spans="1:12">
      <c r="A449" s="2">
        <v>14.91</v>
      </c>
      <c r="B449" s="10" t="s">
        <v>743</v>
      </c>
      <c r="C449" s="4">
        <v>14.91</v>
      </c>
      <c r="D449" s="4">
        <v>45.6</v>
      </c>
      <c r="G449" s="2">
        <f t="shared" si="54"/>
        <v>14.876</v>
      </c>
      <c r="H449" s="11" t="str">
        <f t="shared" si="55"/>
        <v>2.908E-2</v>
      </c>
      <c r="I449" s="2">
        <f t="shared" si="56"/>
        <v>45.5</v>
      </c>
      <c r="J449" s="4">
        <f t="shared" si="57"/>
        <v>14.876</v>
      </c>
      <c r="K449" s="9">
        <f t="shared" si="58"/>
        <v>-19.3</v>
      </c>
      <c r="L449" s="1">
        <f t="shared" si="59"/>
        <v>-30.9</v>
      </c>
    </row>
    <row r="450" spans="1:12">
      <c r="A450" s="2">
        <v>14.943</v>
      </c>
      <c r="B450" s="10" t="s">
        <v>778</v>
      </c>
      <c r="C450" s="4">
        <v>14.943</v>
      </c>
      <c r="D450" s="4">
        <v>45.3</v>
      </c>
      <c r="G450" s="2">
        <f t="shared" si="54"/>
        <v>14.91</v>
      </c>
      <c r="H450" s="11" t="str">
        <f t="shared" si="55"/>
        <v>2.907E-2</v>
      </c>
      <c r="I450" s="2">
        <f t="shared" si="56"/>
        <v>45.6</v>
      </c>
      <c r="J450" s="4">
        <f t="shared" si="57"/>
        <v>14.91</v>
      </c>
      <c r="K450" s="9">
        <f t="shared" si="58"/>
        <v>-19.4</v>
      </c>
      <c r="L450" s="1">
        <f t="shared" si="59"/>
        <v>-30.9</v>
      </c>
    </row>
    <row r="451" spans="1:12">
      <c r="A451" s="2">
        <v>14.977</v>
      </c>
      <c r="B451" s="10" t="s">
        <v>816</v>
      </c>
      <c r="C451" s="4">
        <v>14.977</v>
      </c>
      <c r="D451" s="4">
        <v>45.8</v>
      </c>
      <c r="G451" s="2">
        <f t="shared" si="54"/>
        <v>14.943</v>
      </c>
      <c r="H451" s="11" t="str">
        <f t="shared" si="55"/>
        <v>2.910E-2</v>
      </c>
      <c r="I451" s="2">
        <f t="shared" si="56"/>
        <v>45.3</v>
      </c>
      <c r="J451" s="4">
        <f t="shared" si="57"/>
        <v>14.943</v>
      </c>
      <c r="K451" s="9">
        <f t="shared" si="58"/>
        <v>-19.1</v>
      </c>
      <c r="L451" s="1">
        <f t="shared" si="59"/>
        <v>-30.9</v>
      </c>
    </row>
    <row r="452" spans="1:12">
      <c r="A452" s="2">
        <v>15.01</v>
      </c>
      <c r="B452" s="10" t="s">
        <v>848</v>
      </c>
      <c r="C452" s="4">
        <v>15.01</v>
      </c>
      <c r="D452" s="4">
        <v>45.5</v>
      </c>
      <c r="G452" s="2">
        <f t="shared" si="54"/>
        <v>14.977</v>
      </c>
      <c r="H452" s="11" t="str">
        <f t="shared" si="55"/>
        <v>2.915E-2</v>
      </c>
      <c r="I452" s="2">
        <f t="shared" si="56"/>
        <v>45.8</v>
      </c>
      <c r="J452" s="4">
        <f t="shared" si="57"/>
        <v>14.977</v>
      </c>
      <c r="K452" s="9">
        <f t="shared" si="58"/>
        <v>-18.6</v>
      </c>
      <c r="L452" s="1">
        <f t="shared" si="59"/>
        <v>-30.9</v>
      </c>
    </row>
    <row r="453" spans="1:12">
      <c r="A453" s="2">
        <v>15.043</v>
      </c>
      <c r="B453" s="10" t="s">
        <v>862</v>
      </c>
      <c r="C453" s="4">
        <v>15.043</v>
      </c>
      <c r="D453" s="4">
        <v>45.6</v>
      </c>
      <c r="G453" s="2">
        <f t="shared" si="54"/>
        <v>15.01</v>
      </c>
      <c r="H453" s="11" t="str">
        <f t="shared" si="55"/>
        <v>2.923E-2</v>
      </c>
      <c r="I453" s="2">
        <f t="shared" si="56"/>
        <v>45.5</v>
      </c>
      <c r="J453" s="4">
        <f t="shared" si="57"/>
        <v>15.01</v>
      </c>
      <c r="K453" s="9">
        <f t="shared" si="58"/>
        <v>-17.8</v>
      </c>
      <c r="L453" s="1">
        <f t="shared" si="59"/>
        <v>-30.9</v>
      </c>
    </row>
    <row r="454" spans="1:12">
      <c r="A454" s="2">
        <v>15.077</v>
      </c>
      <c r="B454" s="10" t="s">
        <v>863</v>
      </c>
      <c r="C454" s="4">
        <v>15.077</v>
      </c>
      <c r="D454" s="4">
        <v>45.9</v>
      </c>
      <c r="G454" s="2">
        <f t="shared" si="54"/>
        <v>15.043</v>
      </c>
      <c r="H454" s="11" t="str">
        <f t="shared" si="55"/>
        <v>2.930E-2</v>
      </c>
      <c r="I454" s="2">
        <f t="shared" si="56"/>
        <v>45.6</v>
      </c>
      <c r="J454" s="4">
        <f t="shared" si="57"/>
        <v>15.043</v>
      </c>
      <c r="K454" s="9">
        <f t="shared" si="58"/>
        <v>-17.1</v>
      </c>
      <c r="L454" s="1">
        <f t="shared" si="59"/>
        <v>-30.9</v>
      </c>
    </row>
    <row r="455" spans="1:12">
      <c r="A455" s="2">
        <v>15.11</v>
      </c>
      <c r="B455" s="10" t="s">
        <v>528</v>
      </c>
      <c r="C455" s="4">
        <v>15.11</v>
      </c>
      <c r="D455" s="4">
        <v>46.1</v>
      </c>
      <c r="G455" s="2">
        <f t="shared" si="54"/>
        <v>15.077</v>
      </c>
      <c r="H455" s="11" t="str">
        <f t="shared" si="55"/>
        <v>2.940E-2</v>
      </c>
      <c r="I455" s="2">
        <f t="shared" si="56"/>
        <v>45.9</v>
      </c>
      <c r="J455" s="4">
        <f t="shared" si="57"/>
        <v>15.077</v>
      </c>
      <c r="K455" s="9">
        <f t="shared" si="58"/>
        <v>-16.1</v>
      </c>
      <c r="L455" s="1">
        <f t="shared" si="59"/>
        <v>-30.9</v>
      </c>
    </row>
    <row r="456" spans="1:12">
      <c r="A456" s="2">
        <v>15.144</v>
      </c>
      <c r="B456" s="10" t="s">
        <v>507</v>
      </c>
      <c r="C456" s="4">
        <v>15.144</v>
      </c>
      <c r="D456" s="4">
        <v>45.9</v>
      </c>
      <c r="G456" s="2">
        <f t="shared" si="54"/>
        <v>15.11</v>
      </c>
      <c r="H456" s="11" t="str">
        <f t="shared" si="55"/>
        <v>2.963E-2</v>
      </c>
      <c r="I456" s="2">
        <f t="shared" si="56"/>
        <v>46.1</v>
      </c>
      <c r="J456" s="4">
        <f t="shared" si="57"/>
        <v>15.11</v>
      </c>
      <c r="K456" s="9">
        <f t="shared" si="58"/>
        <v>-13.8</v>
      </c>
      <c r="L456" s="1">
        <f t="shared" si="59"/>
        <v>-30.9</v>
      </c>
    </row>
    <row r="457" spans="1:12">
      <c r="A457" s="2">
        <v>15.177</v>
      </c>
      <c r="B457" s="10" t="s">
        <v>574</v>
      </c>
      <c r="C457" s="4">
        <v>15.177</v>
      </c>
      <c r="D457" s="4">
        <v>46.1</v>
      </c>
      <c r="G457" s="2">
        <f t="shared" si="54"/>
        <v>15.144</v>
      </c>
      <c r="H457" s="11" t="str">
        <f t="shared" si="55"/>
        <v>2.979E-2</v>
      </c>
      <c r="I457" s="2">
        <f t="shared" si="56"/>
        <v>45.9</v>
      </c>
      <c r="J457" s="4">
        <f t="shared" si="57"/>
        <v>15.144</v>
      </c>
      <c r="K457" s="9">
        <f t="shared" si="58"/>
        <v>-12.2</v>
      </c>
      <c r="L457" s="1">
        <f t="shared" si="59"/>
        <v>-30.9</v>
      </c>
    </row>
    <row r="458" spans="1:12">
      <c r="A458" s="2">
        <v>15.211</v>
      </c>
      <c r="B458" s="10" t="s">
        <v>554</v>
      </c>
      <c r="C458" s="4">
        <v>15.211</v>
      </c>
      <c r="D458" s="4">
        <v>45.6</v>
      </c>
      <c r="G458" s="2">
        <f t="shared" si="54"/>
        <v>15.177</v>
      </c>
      <c r="H458" s="11" t="str">
        <f t="shared" si="55"/>
        <v>3.004E-2</v>
      </c>
      <c r="I458" s="2">
        <f t="shared" si="56"/>
        <v>46.1</v>
      </c>
      <c r="J458" s="4">
        <f t="shared" si="57"/>
        <v>15.177</v>
      </c>
      <c r="K458" s="9">
        <f t="shared" si="58"/>
        <v>-9.69999999999999</v>
      </c>
      <c r="L458" s="1">
        <f t="shared" si="59"/>
        <v>-30.9</v>
      </c>
    </row>
    <row r="459" spans="1:12">
      <c r="A459" s="2">
        <v>15.244</v>
      </c>
      <c r="B459" s="10" t="s">
        <v>691</v>
      </c>
      <c r="C459" s="4">
        <v>15.244</v>
      </c>
      <c r="D459" s="4">
        <v>45.4</v>
      </c>
      <c r="G459" s="2">
        <f t="shared" si="54"/>
        <v>15.211</v>
      </c>
      <c r="H459" s="11" t="str">
        <f t="shared" si="55"/>
        <v>3.033E-2</v>
      </c>
      <c r="I459" s="2">
        <f t="shared" si="56"/>
        <v>45.6</v>
      </c>
      <c r="J459" s="4">
        <f t="shared" si="57"/>
        <v>15.211</v>
      </c>
      <c r="K459" s="9">
        <f t="shared" si="58"/>
        <v>-6.8</v>
      </c>
      <c r="L459" s="1">
        <f t="shared" si="59"/>
        <v>-30.9</v>
      </c>
    </row>
    <row r="460" spans="1:12">
      <c r="A460" s="2">
        <v>15.277</v>
      </c>
      <c r="B460" s="10" t="s">
        <v>635</v>
      </c>
      <c r="C460" s="4">
        <v>15.277</v>
      </c>
      <c r="D460" s="4">
        <v>45.5</v>
      </c>
      <c r="G460" s="2">
        <f t="shared" si="54"/>
        <v>15.244</v>
      </c>
      <c r="H460" s="11" t="str">
        <f t="shared" si="55"/>
        <v>3.058E-2</v>
      </c>
      <c r="I460" s="2">
        <f t="shared" si="56"/>
        <v>45.4</v>
      </c>
      <c r="J460" s="4">
        <f t="shared" si="57"/>
        <v>15.244</v>
      </c>
      <c r="K460" s="9">
        <f t="shared" si="58"/>
        <v>-4.3</v>
      </c>
      <c r="L460" s="1">
        <f t="shared" si="59"/>
        <v>-30.9</v>
      </c>
    </row>
    <row r="461" spans="1:12">
      <c r="A461" s="2">
        <v>15.311</v>
      </c>
      <c r="B461" s="10" t="s">
        <v>818</v>
      </c>
      <c r="C461" s="4">
        <v>15.311</v>
      </c>
      <c r="D461" s="4">
        <v>46.4</v>
      </c>
      <c r="G461" s="2">
        <f t="shared" si="54"/>
        <v>15.277</v>
      </c>
      <c r="H461" s="11" t="str">
        <f t="shared" si="55"/>
        <v>3.091E-2</v>
      </c>
      <c r="I461" s="2">
        <f t="shared" si="56"/>
        <v>45.5</v>
      </c>
      <c r="J461" s="4">
        <f t="shared" si="57"/>
        <v>15.277</v>
      </c>
      <c r="K461" s="9">
        <f t="shared" si="58"/>
        <v>-0.999999999999994</v>
      </c>
      <c r="L461" s="1">
        <f t="shared" si="59"/>
        <v>-30.9</v>
      </c>
    </row>
    <row r="462" spans="1:12">
      <c r="A462" s="2">
        <v>15.344</v>
      </c>
      <c r="B462" s="10" t="s">
        <v>650</v>
      </c>
      <c r="C462" s="4">
        <v>15.344</v>
      </c>
      <c r="D462" s="4">
        <v>45.6</v>
      </c>
      <c r="G462" s="2">
        <f t="shared" si="54"/>
        <v>15.311</v>
      </c>
      <c r="H462" s="11" t="str">
        <f t="shared" si="55"/>
        <v>3.116E-2</v>
      </c>
      <c r="I462" s="2">
        <f t="shared" si="56"/>
        <v>46.4</v>
      </c>
      <c r="J462" s="4">
        <f t="shared" si="57"/>
        <v>15.311</v>
      </c>
      <c r="K462" s="9">
        <f t="shared" si="58"/>
        <v>1.50000000000001</v>
      </c>
      <c r="L462" s="1">
        <f t="shared" si="59"/>
        <v>-30.9</v>
      </c>
    </row>
    <row r="463" spans="1:12">
      <c r="A463" s="2">
        <v>15.378</v>
      </c>
      <c r="B463" s="10" t="s">
        <v>835</v>
      </c>
      <c r="C463" s="4">
        <v>15.378</v>
      </c>
      <c r="D463" s="4">
        <v>45.6</v>
      </c>
      <c r="G463" s="2">
        <f t="shared" si="54"/>
        <v>15.344</v>
      </c>
      <c r="H463" s="11" t="str">
        <f t="shared" si="55"/>
        <v>3.138E-2</v>
      </c>
      <c r="I463" s="2">
        <f t="shared" si="56"/>
        <v>45.6</v>
      </c>
      <c r="J463" s="4">
        <f t="shared" si="57"/>
        <v>15.344</v>
      </c>
      <c r="K463" s="9">
        <f t="shared" si="58"/>
        <v>3.69999999999999</v>
      </c>
      <c r="L463" s="1">
        <f t="shared" si="59"/>
        <v>-30.9</v>
      </c>
    </row>
    <row r="464" spans="1:12">
      <c r="A464" s="2">
        <v>15.411</v>
      </c>
      <c r="B464" s="10" t="s">
        <v>658</v>
      </c>
      <c r="C464" s="4">
        <v>15.411</v>
      </c>
      <c r="D464" s="4">
        <v>45.9</v>
      </c>
      <c r="G464" s="2">
        <f t="shared" si="54"/>
        <v>15.378</v>
      </c>
      <c r="H464" s="11" t="str">
        <f t="shared" si="55"/>
        <v>3.160E-2</v>
      </c>
      <c r="I464" s="2">
        <f t="shared" si="56"/>
        <v>45.6</v>
      </c>
      <c r="J464" s="4">
        <f t="shared" si="57"/>
        <v>15.378</v>
      </c>
      <c r="K464" s="9">
        <f t="shared" si="58"/>
        <v>5.90000000000004</v>
      </c>
      <c r="L464" s="1">
        <f t="shared" si="59"/>
        <v>-30.9</v>
      </c>
    </row>
    <row r="465" spans="1:12">
      <c r="A465" s="2">
        <v>15.445</v>
      </c>
      <c r="B465" s="10" t="s">
        <v>820</v>
      </c>
      <c r="C465" s="4">
        <v>15.445</v>
      </c>
      <c r="D465" s="4">
        <v>45.8</v>
      </c>
      <c r="G465" s="2">
        <f t="shared" si="54"/>
        <v>15.411</v>
      </c>
      <c r="H465" s="11" t="str">
        <f t="shared" si="55"/>
        <v>3.180E-2</v>
      </c>
      <c r="I465" s="2">
        <f t="shared" si="56"/>
        <v>45.9</v>
      </c>
      <c r="J465" s="4">
        <f t="shared" si="57"/>
        <v>15.411</v>
      </c>
      <c r="K465" s="9">
        <f t="shared" si="58"/>
        <v>7.90000000000003</v>
      </c>
      <c r="L465" s="1">
        <f t="shared" si="59"/>
        <v>-30.9</v>
      </c>
    </row>
    <row r="466" spans="1:12">
      <c r="A466" s="2">
        <v>15.478</v>
      </c>
      <c r="B466" s="10" t="s">
        <v>626</v>
      </c>
      <c r="C466" s="4">
        <v>15.478</v>
      </c>
      <c r="D466" s="4">
        <v>45.8</v>
      </c>
      <c r="G466" s="2">
        <f t="shared" si="54"/>
        <v>15.445</v>
      </c>
      <c r="H466" s="11" t="str">
        <f t="shared" si="55"/>
        <v>3.199E-2</v>
      </c>
      <c r="I466" s="2">
        <f t="shared" si="56"/>
        <v>45.8</v>
      </c>
      <c r="J466" s="4">
        <f t="shared" si="57"/>
        <v>15.445</v>
      </c>
      <c r="K466" s="9">
        <f t="shared" si="58"/>
        <v>9.79999999999998</v>
      </c>
      <c r="L466" s="1">
        <f t="shared" si="59"/>
        <v>-30.9</v>
      </c>
    </row>
    <row r="467" spans="1:12">
      <c r="A467" s="2">
        <v>15.511</v>
      </c>
      <c r="B467" s="10" t="s">
        <v>607</v>
      </c>
      <c r="C467" s="4">
        <v>15.511</v>
      </c>
      <c r="D467" s="4">
        <v>46.1</v>
      </c>
      <c r="G467" s="2">
        <f t="shared" si="54"/>
        <v>15.478</v>
      </c>
      <c r="H467" s="11" t="str">
        <f t="shared" si="55"/>
        <v>3.206E-2</v>
      </c>
      <c r="I467" s="2">
        <f t="shared" si="56"/>
        <v>45.8</v>
      </c>
      <c r="J467" s="4">
        <f t="shared" si="57"/>
        <v>15.478</v>
      </c>
      <c r="K467" s="9">
        <f t="shared" si="58"/>
        <v>10.5</v>
      </c>
      <c r="L467" s="1">
        <f t="shared" si="59"/>
        <v>-30.9</v>
      </c>
    </row>
    <row r="468" spans="1:12">
      <c r="A468" s="2">
        <v>15.545</v>
      </c>
      <c r="B468" s="10" t="s">
        <v>864</v>
      </c>
      <c r="C468" s="4">
        <v>15.545</v>
      </c>
      <c r="D468" s="4">
        <v>46.2</v>
      </c>
      <c r="G468" s="2">
        <f t="shared" si="54"/>
        <v>15.511</v>
      </c>
      <c r="H468" s="11" t="str">
        <f t="shared" si="55"/>
        <v>3.213E-2</v>
      </c>
      <c r="I468" s="2">
        <f t="shared" si="56"/>
        <v>46.1</v>
      </c>
      <c r="J468" s="4">
        <f t="shared" si="57"/>
        <v>15.511</v>
      </c>
      <c r="K468" s="9">
        <f t="shared" si="58"/>
        <v>11.2</v>
      </c>
      <c r="L468" s="1">
        <f t="shared" si="59"/>
        <v>-30.9</v>
      </c>
    </row>
    <row r="469" spans="1:12">
      <c r="A469" s="2">
        <v>15.578</v>
      </c>
      <c r="B469" s="10" t="s">
        <v>865</v>
      </c>
      <c r="C469" s="4">
        <v>15.578</v>
      </c>
      <c r="D469" s="4">
        <v>45.9</v>
      </c>
      <c r="G469" s="2">
        <f t="shared" si="54"/>
        <v>15.545</v>
      </c>
      <c r="H469" s="11" t="str">
        <f t="shared" si="55"/>
        <v>3.221E-2</v>
      </c>
      <c r="I469" s="2">
        <f t="shared" si="56"/>
        <v>46.2</v>
      </c>
      <c r="J469" s="4">
        <f t="shared" si="57"/>
        <v>15.545</v>
      </c>
      <c r="K469" s="9">
        <f t="shared" si="58"/>
        <v>12</v>
      </c>
      <c r="L469" s="1">
        <f t="shared" si="59"/>
        <v>-30.9</v>
      </c>
    </row>
    <row r="470" spans="1:12">
      <c r="A470" s="2">
        <v>15.612</v>
      </c>
      <c r="B470" s="10" t="s">
        <v>864</v>
      </c>
      <c r="C470" s="4">
        <v>15.612</v>
      </c>
      <c r="D470" s="4">
        <v>45.7</v>
      </c>
      <c r="G470" s="2">
        <f t="shared" si="54"/>
        <v>15.578</v>
      </c>
      <c r="H470" s="11" t="str">
        <f t="shared" si="55"/>
        <v>3.222E-2</v>
      </c>
      <c r="I470" s="2">
        <f t="shared" si="56"/>
        <v>45.9</v>
      </c>
      <c r="J470" s="4">
        <f t="shared" si="57"/>
        <v>15.578</v>
      </c>
      <c r="K470" s="9">
        <f t="shared" si="58"/>
        <v>12.1</v>
      </c>
      <c r="L470" s="1">
        <f t="shared" si="59"/>
        <v>-30.9</v>
      </c>
    </row>
    <row r="471" spans="1:12">
      <c r="A471" s="2">
        <v>15.645</v>
      </c>
      <c r="B471" s="10" t="s">
        <v>696</v>
      </c>
      <c r="C471" s="4">
        <v>15.645</v>
      </c>
      <c r="D471" s="4">
        <v>45.8</v>
      </c>
      <c r="G471" s="2">
        <f t="shared" si="54"/>
        <v>15.612</v>
      </c>
      <c r="H471" s="11" t="str">
        <f t="shared" si="55"/>
        <v>3.221E-2</v>
      </c>
      <c r="I471" s="2">
        <f t="shared" si="56"/>
        <v>45.7</v>
      </c>
      <c r="J471" s="4">
        <f t="shared" si="57"/>
        <v>15.612</v>
      </c>
      <c r="K471" s="9">
        <f t="shared" si="58"/>
        <v>12</v>
      </c>
      <c r="L471" s="1">
        <f t="shared" si="59"/>
        <v>-30.9</v>
      </c>
    </row>
    <row r="472" spans="1:12">
      <c r="A472" s="2">
        <v>15.679</v>
      </c>
      <c r="B472" s="10" t="s">
        <v>866</v>
      </c>
      <c r="C472" s="4">
        <v>15.679</v>
      </c>
      <c r="D472" s="4">
        <v>45.5</v>
      </c>
      <c r="G472" s="2">
        <f t="shared" si="54"/>
        <v>15.645</v>
      </c>
      <c r="H472" s="11" t="str">
        <f t="shared" si="55"/>
        <v>3.218E-2</v>
      </c>
      <c r="I472" s="2">
        <f t="shared" si="56"/>
        <v>45.8</v>
      </c>
      <c r="J472" s="4">
        <f t="shared" si="57"/>
        <v>15.645</v>
      </c>
      <c r="K472" s="9">
        <f t="shared" si="58"/>
        <v>11.7</v>
      </c>
      <c r="L472" s="1">
        <f t="shared" si="59"/>
        <v>-30.9</v>
      </c>
    </row>
    <row r="473" spans="1:12">
      <c r="A473" s="2">
        <v>15.712</v>
      </c>
      <c r="B473" s="10" t="s">
        <v>606</v>
      </c>
      <c r="C473" s="4">
        <v>15.712</v>
      </c>
      <c r="D473" s="4">
        <v>46</v>
      </c>
      <c r="G473" s="2">
        <f t="shared" si="54"/>
        <v>15.679</v>
      </c>
      <c r="H473" s="11" t="str">
        <f t="shared" si="55"/>
        <v>3.211E-2</v>
      </c>
      <c r="I473" s="2">
        <f t="shared" si="56"/>
        <v>45.5</v>
      </c>
      <c r="J473" s="4">
        <f t="shared" si="57"/>
        <v>15.679</v>
      </c>
      <c r="K473" s="9">
        <f t="shared" si="58"/>
        <v>11</v>
      </c>
      <c r="L473" s="1">
        <f t="shared" si="59"/>
        <v>-30.9</v>
      </c>
    </row>
    <row r="474" spans="1:12">
      <c r="A474" s="2">
        <v>15.745</v>
      </c>
      <c r="B474" s="10" t="s">
        <v>603</v>
      </c>
      <c r="C474" s="4">
        <v>15.745</v>
      </c>
      <c r="D474" s="4">
        <v>45.9</v>
      </c>
      <c r="G474" s="2">
        <f t="shared" ref="G474:G505" si="60">A473</f>
        <v>15.712</v>
      </c>
      <c r="H474" s="11" t="str">
        <f t="shared" ref="H474:H505" si="61">B473</f>
        <v>3.203E-2</v>
      </c>
      <c r="I474" s="2">
        <f t="shared" ref="I474:I505" si="62">D473</f>
        <v>46</v>
      </c>
      <c r="J474" s="4">
        <f t="shared" ref="J474:J505" si="63">G474</f>
        <v>15.712</v>
      </c>
      <c r="K474" s="9">
        <f t="shared" ref="K474:K505" si="64">(H474-$H$4)*10000</f>
        <v>10.2</v>
      </c>
      <c r="L474" s="1">
        <f t="shared" ref="L474:L505" si="65">IF(I474&lt;230,MIN(K:K),MAX(K:K))</f>
        <v>-30.9</v>
      </c>
    </row>
    <row r="475" spans="1:12">
      <c r="A475" s="2">
        <v>15.779</v>
      </c>
      <c r="B475" s="10" t="s">
        <v>858</v>
      </c>
      <c r="C475" s="4">
        <v>15.779</v>
      </c>
      <c r="D475" s="4">
        <v>45.7</v>
      </c>
      <c r="G475" s="2">
        <f t="shared" si="60"/>
        <v>15.745</v>
      </c>
      <c r="H475" s="11" t="str">
        <f t="shared" si="61"/>
        <v>3.187E-2</v>
      </c>
      <c r="I475" s="2">
        <f t="shared" si="62"/>
        <v>45.9</v>
      </c>
      <c r="J475" s="4">
        <f t="shared" si="63"/>
        <v>15.745</v>
      </c>
      <c r="K475" s="9">
        <f t="shared" si="64"/>
        <v>8.60000000000003</v>
      </c>
      <c r="L475" s="1">
        <f t="shared" si="65"/>
        <v>-30.9</v>
      </c>
    </row>
    <row r="476" spans="1:12">
      <c r="A476" s="2">
        <v>15.812</v>
      </c>
      <c r="B476" s="10" t="s">
        <v>834</v>
      </c>
      <c r="C476" s="4">
        <v>15.812</v>
      </c>
      <c r="D476" s="4">
        <v>45.5</v>
      </c>
      <c r="G476" s="2">
        <f t="shared" si="60"/>
        <v>15.779</v>
      </c>
      <c r="H476" s="11" t="str">
        <f t="shared" si="61"/>
        <v>3.163E-2</v>
      </c>
      <c r="I476" s="2">
        <f t="shared" si="62"/>
        <v>45.7</v>
      </c>
      <c r="J476" s="4">
        <f t="shared" si="63"/>
        <v>15.779</v>
      </c>
      <c r="K476" s="9">
        <f t="shared" si="64"/>
        <v>6.19999999999999</v>
      </c>
      <c r="L476" s="1">
        <f t="shared" si="65"/>
        <v>-30.9</v>
      </c>
    </row>
    <row r="477" spans="1:12">
      <c r="A477" s="2">
        <v>15.846</v>
      </c>
      <c r="B477" s="10" t="s">
        <v>818</v>
      </c>
      <c r="C477" s="4">
        <v>15.846</v>
      </c>
      <c r="D477" s="4">
        <v>46</v>
      </c>
      <c r="G477" s="2">
        <f t="shared" si="60"/>
        <v>15.812</v>
      </c>
      <c r="H477" s="11" t="str">
        <f t="shared" si="61"/>
        <v>3.141E-2</v>
      </c>
      <c r="I477" s="2">
        <f t="shared" si="62"/>
        <v>45.5</v>
      </c>
      <c r="J477" s="4">
        <f t="shared" si="63"/>
        <v>15.812</v>
      </c>
      <c r="K477" s="9">
        <f t="shared" si="64"/>
        <v>4.00000000000001</v>
      </c>
      <c r="L477" s="1">
        <f t="shared" si="65"/>
        <v>-30.9</v>
      </c>
    </row>
    <row r="478" spans="1:12">
      <c r="A478" s="2">
        <v>15.879</v>
      </c>
      <c r="B478" s="10" t="s">
        <v>635</v>
      </c>
      <c r="C478" s="4">
        <v>15.879</v>
      </c>
      <c r="D478" s="4">
        <v>45.6</v>
      </c>
      <c r="G478" s="2">
        <f t="shared" si="60"/>
        <v>15.846</v>
      </c>
      <c r="H478" s="11" t="str">
        <f t="shared" si="61"/>
        <v>3.116E-2</v>
      </c>
      <c r="I478" s="2">
        <f t="shared" si="62"/>
        <v>46</v>
      </c>
      <c r="J478" s="4">
        <f t="shared" si="63"/>
        <v>15.846</v>
      </c>
      <c r="K478" s="9">
        <f t="shared" si="64"/>
        <v>1.50000000000001</v>
      </c>
      <c r="L478" s="1">
        <f t="shared" si="65"/>
        <v>-30.9</v>
      </c>
    </row>
    <row r="479" spans="1:12">
      <c r="A479" s="2">
        <v>15.913</v>
      </c>
      <c r="B479" s="10" t="s">
        <v>780</v>
      </c>
      <c r="C479" s="4">
        <v>15.913</v>
      </c>
      <c r="D479" s="4">
        <v>45.4</v>
      </c>
      <c r="G479" s="2">
        <f t="shared" si="60"/>
        <v>15.879</v>
      </c>
      <c r="H479" s="11" t="str">
        <f t="shared" si="61"/>
        <v>3.091E-2</v>
      </c>
      <c r="I479" s="2">
        <f t="shared" si="62"/>
        <v>45.6</v>
      </c>
      <c r="J479" s="4">
        <f t="shared" si="63"/>
        <v>15.879</v>
      </c>
      <c r="K479" s="9">
        <f t="shared" si="64"/>
        <v>-0.999999999999994</v>
      </c>
      <c r="L479" s="1">
        <f t="shared" si="65"/>
        <v>-30.9</v>
      </c>
    </row>
    <row r="480" spans="1:12">
      <c r="A480" s="2">
        <v>15.946</v>
      </c>
      <c r="B480" s="10" t="s">
        <v>674</v>
      </c>
      <c r="C480" s="4">
        <v>15.946</v>
      </c>
      <c r="D480" s="4">
        <v>45.5</v>
      </c>
      <c r="G480" s="2">
        <f t="shared" si="60"/>
        <v>15.913</v>
      </c>
      <c r="H480" s="11" t="str">
        <f t="shared" si="61"/>
        <v>3.063E-2</v>
      </c>
      <c r="I480" s="2">
        <f t="shared" si="62"/>
        <v>45.4</v>
      </c>
      <c r="J480" s="4">
        <f t="shared" si="63"/>
        <v>15.913</v>
      </c>
      <c r="K480" s="9">
        <f t="shared" si="64"/>
        <v>-3.79999999999998</v>
      </c>
      <c r="L480" s="1">
        <f t="shared" si="65"/>
        <v>-30.9</v>
      </c>
    </row>
    <row r="481" spans="1:12">
      <c r="A481" s="2">
        <v>15.979</v>
      </c>
      <c r="B481" s="10" t="s">
        <v>570</v>
      </c>
      <c r="C481" s="4">
        <v>15.979</v>
      </c>
      <c r="D481" s="4">
        <v>45.8</v>
      </c>
      <c r="G481" s="2">
        <f t="shared" si="60"/>
        <v>15.946</v>
      </c>
      <c r="H481" s="11" t="str">
        <f t="shared" si="61"/>
        <v>3.040E-2</v>
      </c>
      <c r="I481" s="2">
        <f t="shared" si="62"/>
        <v>45.5</v>
      </c>
      <c r="J481" s="4">
        <f t="shared" si="63"/>
        <v>15.946</v>
      </c>
      <c r="K481" s="9">
        <f t="shared" si="64"/>
        <v>-6.09999999999999</v>
      </c>
      <c r="L481" s="1">
        <f t="shared" si="65"/>
        <v>-30.9</v>
      </c>
    </row>
    <row r="482" spans="1:12">
      <c r="A482" s="2">
        <v>16.013</v>
      </c>
      <c r="B482" s="10" t="s">
        <v>502</v>
      </c>
      <c r="C482" s="4">
        <v>16.013</v>
      </c>
      <c r="D482" s="4">
        <v>45.5</v>
      </c>
      <c r="G482" s="2">
        <f t="shared" si="60"/>
        <v>15.979</v>
      </c>
      <c r="H482" s="11" t="str">
        <f t="shared" si="61"/>
        <v>3.014E-2</v>
      </c>
      <c r="I482" s="2">
        <f t="shared" si="62"/>
        <v>45.8</v>
      </c>
      <c r="J482" s="4">
        <f t="shared" si="63"/>
        <v>15.979</v>
      </c>
      <c r="K482" s="9">
        <f t="shared" si="64"/>
        <v>-8.69999999999999</v>
      </c>
      <c r="L482" s="1">
        <f t="shared" si="65"/>
        <v>-30.9</v>
      </c>
    </row>
    <row r="483" spans="1:12">
      <c r="A483" s="2">
        <v>16.046</v>
      </c>
      <c r="B483" s="10" t="s">
        <v>523</v>
      </c>
      <c r="C483" s="4">
        <v>16.046</v>
      </c>
      <c r="D483" s="4">
        <v>46.1</v>
      </c>
      <c r="G483" s="2">
        <f t="shared" si="60"/>
        <v>16.013</v>
      </c>
      <c r="H483" s="11" t="str">
        <f t="shared" si="61"/>
        <v>2.988E-2</v>
      </c>
      <c r="I483" s="2">
        <f t="shared" si="62"/>
        <v>45.5</v>
      </c>
      <c r="J483" s="4">
        <f t="shared" si="63"/>
        <v>16.013</v>
      </c>
      <c r="K483" s="9">
        <f t="shared" si="64"/>
        <v>-11.3</v>
      </c>
      <c r="L483" s="1">
        <f t="shared" si="65"/>
        <v>-30.9</v>
      </c>
    </row>
    <row r="484" spans="1:12">
      <c r="A484" s="2">
        <v>16.08</v>
      </c>
      <c r="B484" s="10" t="s">
        <v>511</v>
      </c>
      <c r="C484" s="4">
        <v>16.08</v>
      </c>
      <c r="D484" s="4">
        <v>45.4</v>
      </c>
      <c r="G484" s="2">
        <f t="shared" si="60"/>
        <v>16.046</v>
      </c>
      <c r="H484" s="11" t="str">
        <f t="shared" si="61"/>
        <v>2.968E-2</v>
      </c>
      <c r="I484" s="2">
        <f t="shared" si="62"/>
        <v>46.1</v>
      </c>
      <c r="J484" s="4">
        <f t="shared" si="63"/>
        <v>16.046</v>
      </c>
      <c r="K484" s="9">
        <f t="shared" si="64"/>
        <v>-13.3</v>
      </c>
      <c r="L484" s="1">
        <f t="shared" si="65"/>
        <v>-30.9</v>
      </c>
    </row>
    <row r="485" spans="1:12">
      <c r="A485" s="2">
        <v>16.113</v>
      </c>
      <c r="B485" s="10" t="s">
        <v>845</v>
      </c>
      <c r="C485" s="4">
        <v>16.113</v>
      </c>
      <c r="D485" s="4">
        <v>45.7</v>
      </c>
      <c r="G485" s="2">
        <f t="shared" si="60"/>
        <v>16.08</v>
      </c>
      <c r="H485" s="11" t="str">
        <f t="shared" si="61"/>
        <v>2.953E-2</v>
      </c>
      <c r="I485" s="2">
        <f t="shared" si="62"/>
        <v>45.4</v>
      </c>
      <c r="J485" s="4">
        <f t="shared" si="63"/>
        <v>16.08</v>
      </c>
      <c r="K485" s="9">
        <f t="shared" si="64"/>
        <v>-14.8</v>
      </c>
      <c r="L485" s="1">
        <f t="shared" si="65"/>
        <v>-30.9</v>
      </c>
    </row>
    <row r="486" spans="1:12">
      <c r="A486" s="2">
        <v>16.147</v>
      </c>
      <c r="B486" s="10" t="s">
        <v>862</v>
      </c>
      <c r="C486" s="4">
        <v>16.147</v>
      </c>
      <c r="D486" s="4">
        <v>45.7</v>
      </c>
      <c r="G486" s="2">
        <f t="shared" si="60"/>
        <v>16.113</v>
      </c>
      <c r="H486" s="11" t="str">
        <f t="shared" si="61"/>
        <v>2.937E-2</v>
      </c>
      <c r="I486" s="2">
        <f t="shared" si="62"/>
        <v>45.7</v>
      </c>
      <c r="J486" s="4">
        <f t="shared" si="63"/>
        <v>16.113</v>
      </c>
      <c r="K486" s="9">
        <f t="shared" si="64"/>
        <v>-16.4</v>
      </c>
      <c r="L486" s="1">
        <f t="shared" si="65"/>
        <v>-30.9</v>
      </c>
    </row>
    <row r="487" spans="1:12">
      <c r="A487" s="2">
        <v>16.18</v>
      </c>
      <c r="B487" s="10" t="s">
        <v>754</v>
      </c>
      <c r="C487" s="4">
        <v>16.18</v>
      </c>
      <c r="D487" s="4">
        <v>45.6</v>
      </c>
      <c r="G487" s="2">
        <f t="shared" si="60"/>
        <v>16.147</v>
      </c>
      <c r="H487" s="11" t="str">
        <f t="shared" si="61"/>
        <v>2.930E-2</v>
      </c>
      <c r="I487" s="2">
        <f t="shared" si="62"/>
        <v>45.7</v>
      </c>
      <c r="J487" s="4">
        <f t="shared" si="63"/>
        <v>16.147</v>
      </c>
      <c r="K487" s="9">
        <f t="shared" si="64"/>
        <v>-17.1</v>
      </c>
      <c r="L487" s="1">
        <f t="shared" si="65"/>
        <v>-30.9</v>
      </c>
    </row>
    <row r="488" spans="1:12">
      <c r="A488" s="2">
        <v>16.214</v>
      </c>
      <c r="B488" s="10" t="s">
        <v>867</v>
      </c>
      <c r="C488" s="4">
        <v>16.214</v>
      </c>
      <c r="D488" s="4">
        <v>45.2</v>
      </c>
      <c r="G488" s="2">
        <f t="shared" si="60"/>
        <v>16.18</v>
      </c>
      <c r="H488" s="11" t="str">
        <f t="shared" si="61"/>
        <v>2.917E-2</v>
      </c>
      <c r="I488" s="2">
        <f t="shared" si="62"/>
        <v>45.6</v>
      </c>
      <c r="J488" s="4">
        <f t="shared" si="63"/>
        <v>16.18</v>
      </c>
      <c r="K488" s="9">
        <f t="shared" si="64"/>
        <v>-18.4</v>
      </c>
      <c r="L488" s="1">
        <f t="shared" si="65"/>
        <v>-30.9</v>
      </c>
    </row>
    <row r="489" spans="1:12">
      <c r="A489" s="2">
        <v>16.247</v>
      </c>
      <c r="B489" s="10" t="s">
        <v>867</v>
      </c>
      <c r="C489" s="4">
        <v>16.247</v>
      </c>
      <c r="D489" s="4">
        <v>45.8</v>
      </c>
      <c r="G489" s="2">
        <f t="shared" si="60"/>
        <v>16.214</v>
      </c>
      <c r="H489" s="11" t="str">
        <f t="shared" si="61"/>
        <v>2.914E-2</v>
      </c>
      <c r="I489" s="2">
        <f t="shared" si="62"/>
        <v>45.2</v>
      </c>
      <c r="J489" s="4">
        <f t="shared" si="63"/>
        <v>16.214</v>
      </c>
      <c r="K489" s="9">
        <f t="shared" si="64"/>
        <v>-18.7</v>
      </c>
      <c r="L489" s="1">
        <f t="shared" si="65"/>
        <v>-30.9</v>
      </c>
    </row>
    <row r="490" spans="1:12">
      <c r="A490" s="2">
        <v>16.28</v>
      </c>
      <c r="B490" s="10" t="s">
        <v>754</v>
      </c>
      <c r="C490" s="4">
        <v>16.28</v>
      </c>
      <c r="D490" s="4">
        <v>45.3</v>
      </c>
      <c r="G490" s="2">
        <f t="shared" si="60"/>
        <v>16.247</v>
      </c>
      <c r="H490" s="11" t="str">
        <f t="shared" si="61"/>
        <v>2.914E-2</v>
      </c>
      <c r="I490" s="2">
        <f t="shared" si="62"/>
        <v>45.8</v>
      </c>
      <c r="J490" s="4">
        <f t="shared" si="63"/>
        <v>16.247</v>
      </c>
      <c r="K490" s="9">
        <f t="shared" si="64"/>
        <v>-18.7</v>
      </c>
      <c r="L490" s="1">
        <f t="shared" si="65"/>
        <v>-30.9</v>
      </c>
    </row>
    <row r="491" spans="1:12">
      <c r="A491" s="2">
        <v>16.314</v>
      </c>
      <c r="B491" s="10" t="s">
        <v>848</v>
      </c>
      <c r="C491" s="4">
        <v>16.314</v>
      </c>
      <c r="D491" s="4">
        <v>45.8</v>
      </c>
      <c r="G491" s="2">
        <f t="shared" si="60"/>
        <v>16.28</v>
      </c>
      <c r="H491" s="11" t="str">
        <f t="shared" si="61"/>
        <v>2.917E-2</v>
      </c>
      <c r="I491" s="2">
        <f t="shared" si="62"/>
        <v>45.3</v>
      </c>
      <c r="J491" s="4">
        <f t="shared" si="63"/>
        <v>16.28</v>
      </c>
      <c r="K491" s="9">
        <f t="shared" si="64"/>
        <v>-18.4</v>
      </c>
      <c r="L491" s="1">
        <f t="shared" si="65"/>
        <v>-30.9</v>
      </c>
    </row>
    <row r="492" spans="1:12">
      <c r="A492" s="2">
        <v>16.347</v>
      </c>
      <c r="B492" s="10" t="s">
        <v>861</v>
      </c>
      <c r="C492" s="4">
        <v>16.347</v>
      </c>
      <c r="D492" s="4">
        <v>45.8</v>
      </c>
      <c r="G492" s="2">
        <f t="shared" si="60"/>
        <v>16.314</v>
      </c>
      <c r="H492" s="11" t="str">
        <f t="shared" si="61"/>
        <v>2.923E-2</v>
      </c>
      <c r="I492" s="2">
        <f t="shared" si="62"/>
        <v>45.8</v>
      </c>
      <c r="J492" s="4">
        <f t="shared" si="63"/>
        <v>16.314</v>
      </c>
      <c r="K492" s="9">
        <f t="shared" si="64"/>
        <v>-17.8</v>
      </c>
      <c r="L492" s="1">
        <f t="shared" si="65"/>
        <v>-30.9</v>
      </c>
    </row>
    <row r="493" spans="1:12">
      <c r="A493" s="2">
        <v>16.381</v>
      </c>
      <c r="B493" s="10" t="s">
        <v>817</v>
      </c>
      <c r="C493" s="4">
        <v>16.381</v>
      </c>
      <c r="D493" s="4">
        <v>45.4</v>
      </c>
      <c r="G493" s="2">
        <f t="shared" si="60"/>
        <v>16.347</v>
      </c>
      <c r="H493" s="11" t="str">
        <f t="shared" si="61"/>
        <v>2.931E-2</v>
      </c>
      <c r="I493" s="2">
        <f t="shared" si="62"/>
        <v>45.8</v>
      </c>
      <c r="J493" s="4">
        <f t="shared" si="63"/>
        <v>16.347</v>
      </c>
      <c r="K493" s="9">
        <f t="shared" si="64"/>
        <v>-17</v>
      </c>
      <c r="L493" s="1">
        <f t="shared" si="65"/>
        <v>-30.9</v>
      </c>
    </row>
    <row r="494" spans="1:12">
      <c r="A494" s="2">
        <v>16.414</v>
      </c>
      <c r="B494" s="10" t="s">
        <v>528</v>
      </c>
      <c r="C494" s="4">
        <v>16.414</v>
      </c>
      <c r="D494" s="4">
        <v>45.7</v>
      </c>
      <c r="G494" s="2">
        <f t="shared" si="60"/>
        <v>16.381</v>
      </c>
      <c r="H494" s="11" t="str">
        <f t="shared" si="61"/>
        <v>2.942E-2</v>
      </c>
      <c r="I494" s="2">
        <f t="shared" si="62"/>
        <v>45.4</v>
      </c>
      <c r="J494" s="4">
        <f t="shared" si="63"/>
        <v>16.381</v>
      </c>
      <c r="K494" s="9">
        <f t="shared" si="64"/>
        <v>-15.9</v>
      </c>
      <c r="L494" s="1">
        <f t="shared" si="65"/>
        <v>-30.9</v>
      </c>
    </row>
    <row r="495" spans="1:12">
      <c r="A495" s="2">
        <v>16.448</v>
      </c>
      <c r="B495" s="10" t="s">
        <v>498</v>
      </c>
      <c r="C495" s="4">
        <v>16.448</v>
      </c>
      <c r="D495" s="4">
        <v>45.7</v>
      </c>
      <c r="G495" s="2">
        <f t="shared" si="60"/>
        <v>16.414</v>
      </c>
      <c r="H495" s="11" t="str">
        <f t="shared" si="61"/>
        <v>2.963E-2</v>
      </c>
      <c r="I495" s="2">
        <f t="shared" si="62"/>
        <v>45.7</v>
      </c>
      <c r="J495" s="4">
        <f t="shared" si="63"/>
        <v>16.414</v>
      </c>
      <c r="K495" s="9">
        <f t="shared" si="64"/>
        <v>-13.8</v>
      </c>
      <c r="L495" s="1">
        <f t="shared" si="65"/>
        <v>-30.9</v>
      </c>
    </row>
    <row r="496" spans="1:12">
      <c r="A496" s="2">
        <v>16.481</v>
      </c>
      <c r="B496" s="10" t="s">
        <v>574</v>
      </c>
      <c r="C496" s="4">
        <v>16.481</v>
      </c>
      <c r="D496" s="4">
        <v>45</v>
      </c>
      <c r="G496" s="2">
        <f t="shared" si="60"/>
        <v>16.448</v>
      </c>
      <c r="H496" s="11" t="str">
        <f t="shared" si="61"/>
        <v>2.980E-2</v>
      </c>
      <c r="I496" s="2">
        <f t="shared" si="62"/>
        <v>45.7</v>
      </c>
      <c r="J496" s="4">
        <f t="shared" si="63"/>
        <v>16.448</v>
      </c>
      <c r="K496" s="9">
        <f t="shared" si="64"/>
        <v>-12.1</v>
      </c>
      <c r="L496" s="1">
        <f t="shared" si="65"/>
        <v>-30.9</v>
      </c>
    </row>
    <row r="497" spans="1:12">
      <c r="A497" s="2">
        <v>16.514</v>
      </c>
      <c r="B497" s="10" t="s">
        <v>573</v>
      </c>
      <c r="C497" s="4">
        <v>16.514</v>
      </c>
      <c r="D497" s="4">
        <v>46.2</v>
      </c>
      <c r="G497" s="2">
        <f t="shared" si="60"/>
        <v>16.481</v>
      </c>
      <c r="H497" s="11" t="str">
        <f t="shared" si="61"/>
        <v>3.004E-2</v>
      </c>
      <c r="I497" s="2">
        <f t="shared" si="62"/>
        <v>45</v>
      </c>
      <c r="J497" s="4">
        <f t="shared" si="63"/>
        <v>16.481</v>
      </c>
      <c r="K497" s="9">
        <f t="shared" si="64"/>
        <v>-9.69999999999999</v>
      </c>
      <c r="L497" s="1">
        <f t="shared" si="65"/>
        <v>-30.9</v>
      </c>
    </row>
    <row r="498" spans="1:12">
      <c r="A498" s="2">
        <v>16.548</v>
      </c>
      <c r="B498" s="10" t="s">
        <v>693</v>
      </c>
      <c r="C498" s="4">
        <v>16.548</v>
      </c>
      <c r="D498" s="4">
        <v>45.8</v>
      </c>
      <c r="G498" s="2">
        <f t="shared" si="60"/>
        <v>16.514</v>
      </c>
      <c r="H498" s="11" t="str">
        <f t="shared" si="61"/>
        <v>3.031E-2</v>
      </c>
      <c r="I498" s="2">
        <f t="shared" si="62"/>
        <v>46.2</v>
      </c>
      <c r="J498" s="4">
        <f t="shared" si="63"/>
        <v>16.514</v>
      </c>
      <c r="K498" s="9">
        <f t="shared" si="64"/>
        <v>-6.99999999999999</v>
      </c>
      <c r="L498" s="1">
        <f t="shared" si="65"/>
        <v>-30.9</v>
      </c>
    </row>
    <row r="499" spans="1:12">
      <c r="A499" s="2">
        <v>16.581</v>
      </c>
      <c r="B499" s="10" t="s">
        <v>733</v>
      </c>
      <c r="C499" s="4">
        <v>16.581</v>
      </c>
      <c r="D499" s="4">
        <v>45.8</v>
      </c>
      <c r="G499" s="2">
        <f t="shared" si="60"/>
        <v>16.548</v>
      </c>
      <c r="H499" s="11" t="str">
        <f t="shared" si="61"/>
        <v>3.056E-2</v>
      </c>
      <c r="I499" s="2">
        <f t="shared" si="62"/>
        <v>45.8</v>
      </c>
      <c r="J499" s="4">
        <f t="shared" si="63"/>
        <v>16.548</v>
      </c>
      <c r="K499" s="9">
        <f t="shared" si="64"/>
        <v>-4.49999999999999</v>
      </c>
      <c r="L499" s="1">
        <f t="shared" si="65"/>
        <v>-30.9</v>
      </c>
    </row>
    <row r="500" spans="1:12">
      <c r="A500" s="2">
        <v>16.615</v>
      </c>
      <c r="B500" s="10" t="s">
        <v>694</v>
      </c>
      <c r="C500" s="4">
        <v>16.615</v>
      </c>
      <c r="D500" s="4">
        <v>46.1</v>
      </c>
      <c r="G500" s="2">
        <f t="shared" si="60"/>
        <v>16.581</v>
      </c>
      <c r="H500" s="11" t="str">
        <f t="shared" si="61"/>
        <v>3.090E-2</v>
      </c>
      <c r="I500" s="2">
        <f t="shared" si="62"/>
        <v>45.8</v>
      </c>
      <c r="J500" s="4">
        <f t="shared" si="63"/>
        <v>16.581</v>
      </c>
      <c r="K500" s="9">
        <f t="shared" si="64"/>
        <v>-1.09999999999999</v>
      </c>
      <c r="L500" s="1">
        <f t="shared" si="65"/>
        <v>-30.9</v>
      </c>
    </row>
    <row r="501" spans="1:12">
      <c r="A501" s="2">
        <v>16.648</v>
      </c>
      <c r="B501" s="10" t="s">
        <v>804</v>
      </c>
      <c r="C501" s="4">
        <v>16.648</v>
      </c>
      <c r="D501" s="4">
        <v>45.7</v>
      </c>
      <c r="G501" s="2">
        <f t="shared" si="60"/>
        <v>16.615</v>
      </c>
      <c r="H501" s="11" t="str">
        <f t="shared" si="61"/>
        <v>3.115E-2</v>
      </c>
      <c r="I501" s="2">
        <f t="shared" si="62"/>
        <v>46.1</v>
      </c>
      <c r="J501" s="4">
        <f t="shared" si="63"/>
        <v>16.615</v>
      </c>
      <c r="K501" s="9">
        <f t="shared" si="64"/>
        <v>1.40000000000001</v>
      </c>
      <c r="L501" s="1">
        <f t="shared" si="65"/>
        <v>-30.9</v>
      </c>
    </row>
    <row r="502" spans="1:12">
      <c r="A502" s="2">
        <v>16.682</v>
      </c>
      <c r="B502" s="10" t="s">
        <v>657</v>
      </c>
      <c r="C502" s="4">
        <v>16.682</v>
      </c>
      <c r="D502" s="4">
        <v>45.9</v>
      </c>
      <c r="G502" s="2">
        <f t="shared" si="60"/>
        <v>16.648</v>
      </c>
      <c r="H502" s="11" t="str">
        <f t="shared" si="61"/>
        <v>3.132E-2</v>
      </c>
      <c r="I502" s="2">
        <f t="shared" si="62"/>
        <v>45.7</v>
      </c>
      <c r="J502" s="4">
        <f t="shared" si="63"/>
        <v>16.648</v>
      </c>
      <c r="K502" s="9">
        <f t="shared" si="64"/>
        <v>3.10000000000001</v>
      </c>
      <c r="L502" s="1">
        <f t="shared" si="65"/>
        <v>-30.9</v>
      </c>
    </row>
    <row r="503" spans="1:12">
      <c r="A503" s="2">
        <v>16.715</v>
      </c>
      <c r="B503" s="10" t="s">
        <v>868</v>
      </c>
      <c r="C503" s="4">
        <v>16.715</v>
      </c>
      <c r="D503" s="4">
        <v>45.2</v>
      </c>
      <c r="G503" s="2">
        <f t="shared" si="60"/>
        <v>16.682</v>
      </c>
      <c r="H503" s="11" t="str">
        <f t="shared" si="61"/>
        <v>3.152E-2</v>
      </c>
      <c r="I503" s="2">
        <f t="shared" si="62"/>
        <v>45.9</v>
      </c>
      <c r="J503" s="4">
        <f t="shared" si="63"/>
        <v>16.682</v>
      </c>
      <c r="K503" s="9">
        <f t="shared" si="64"/>
        <v>5.1</v>
      </c>
      <c r="L503" s="1">
        <f t="shared" si="65"/>
        <v>-30.9</v>
      </c>
    </row>
    <row r="504" spans="1:12">
      <c r="A504" s="2">
        <v>16.748</v>
      </c>
      <c r="B504" s="10" t="s">
        <v>601</v>
      </c>
      <c r="C504" s="4">
        <v>16.748</v>
      </c>
      <c r="D504" s="4">
        <v>45.7</v>
      </c>
      <c r="G504" s="2">
        <f t="shared" si="60"/>
        <v>16.715</v>
      </c>
      <c r="H504" s="11" t="str">
        <f t="shared" si="61"/>
        <v>3.175E-2</v>
      </c>
      <c r="I504" s="2">
        <f t="shared" si="62"/>
        <v>45.2</v>
      </c>
      <c r="J504" s="4">
        <f t="shared" si="63"/>
        <v>16.715</v>
      </c>
      <c r="K504" s="9">
        <f t="shared" si="64"/>
        <v>7.40000000000001</v>
      </c>
      <c r="L504" s="1">
        <f t="shared" si="65"/>
        <v>-30.9</v>
      </c>
    </row>
    <row r="505" spans="1:12">
      <c r="A505" s="2">
        <v>16.782</v>
      </c>
      <c r="B505" s="10" t="s">
        <v>869</v>
      </c>
      <c r="C505" s="4">
        <v>16.782</v>
      </c>
      <c r="D505" s="4">
        <v>45.4</v>
      </c>
      <c r="G505" s="2">
        <f t="shared" si="60"/>
        <v>16.748</v>
      </c>
      <c r="H505" s="11" t="str">
        <f t="shared" si="61"/>
        <v>3.186E-2</v>
      </c>
      <c r="I505" s="2">
        <f t="shared" si="62"/>
        <v>45.7</v>
      </c>
      <c r="J505" s="4">
        <f t="shared" si="63"/>
        <v>16.748</v>
      </c>
      <c r="K505" s="9">
        <f t="shared" si="64"/>
        <v>8.5</v>
      </c>
      <c r="L505" s="1">
        <f t="shared" si="65"/>
        <v>-30.9</v>
      </c>
    </row>
    <row r="506" spans="1:12">
      <c r="A506" s="2">
        <v>16.815</v>
      </c>
      <c r="B506" s="10" t="s">
        <v>856</v>
      </c>
      <c r="C506" s="4">
        <v>16.815</v>
      </c>
      <c r="D506" s="4">
        <v>45.4</v>
      </c>
      <c r="G506" s="2">
        <f t="shared" ref="G506:G529" si="66">A505</f>
        <v>16.782</v>
      </c>
      <c r="H506" s="11" t="str">
        <f t="shared" ref="H506:H529" si="67">B505</f>
        <v>3.200E-2</v>
      </c>
      <c r="I506" s="2">
        <f t="shared" ref="I506:I529" si="68">D505</f>
        <v>45.4</v>
      </c>
      <c r="J506" s="4">
        <f t="shared" ref="J506:J529" si="69">G506</f>
        <v>16.782</v>
      </c>
      <c r="K506" s="9">
        <f t="shared" ref="K506:K529" si="70">(H506-$H$4)*10000</f>
        <v>9.90000000000001</v>
      </c>
      <c r="L506" s="1">
        <f t="shared" ref="L506:L529" si="71">IF(I506&lt;230,MIN(K:K),MAX(K:K))</f>
        <v>-30.9</v>
      </c>
    </row>
    <row r="507" spans="1:12">
      <c r="A507" s="2">
        <v>16.849</v>
      </c>
      <c r="B507" s="10" t="s">
        <v>643</v>
      </c>
      <c r="C507" s="4">
        <v>16.849</v>
      </c>
      <c r="D507" s="4">
        <v>45.6</v>
      </c>
      <c r="G507" s="2">
        <f t="shared" si="66"/>
        <v>16.815</v>
      </c>
      <c r="H507" s="11" t="str">
        <f t="shared" si="67"/>
        <v>3.207E-2</v>
      </c>
      <c r="I507" s="2">
        <f t="shared" si="68"/>
        <v>45.4</v>
      </c>
      <c r="J507" s="4">
        <f t="shared" si="69"/>
        <v>16.815</v>
      </c>
      <c r="K507" s="9">
        <f t="shared" si="70"/>
        <v>10.6</v>
      </c>
      <c r="L507" s="1">
        <f t="shared" si="71"/>
        <v>-30.9</v>
      </c>
    </row>
    <row r="508" spans="1:12">
      <c r="A508" s="2">
        <v>16.882</v>
      </c>
      <c r="B508" s="10" t="s">
        <v>870</v>
      </c>
      <c r="C508" s="4">
        <v>16.882</v>
      </c>
      <c r="D508" s="4">
        <v>46</v>
      </c>
      <c r="G508" s="2">
        <f t="shared" si="66"/>
        <v>16.849</v>
      </c>
      <c r="H508" s="11" t="str">
        <f t="shared" si="67"/>
        <v>3.210E-2</v>
      </c>
      <c r="I508" s="2">
        <f t="shared" si="68"/>
        <v>45.6</v>
      </c>
      <c r="J508" s="4">
        <f t="shared" si="69"/>
        <v>16.849</v>
      </c>
      <c r="K508" s="9">
        <f t="shared" si="70"/>
        <v>10.9</v>
      </c>
      <c r="L508" s="1">
        <f t="shared" si="71"/>
        <v>-30.9</v>
      </c>
    </row>
    <row r="509" spans="1:12">
      <c r="A509" s="2">
        <v>16.916</v>
      </c>
      <c r="B509" s="10" t="s">
        <v>871</v>
      </c>
      <c r="C509" s="4">
        <v>16.916</v>
      </c>
      <c r="D509" s="4">
        <v>44.9</v>
      </c>
      <c r="G509" s="2">
        <f t="shared" si="66"/>
        <v>16.882</v>
      </c>
      <c r="H509" s="11" t="str">
        <f t="shared" si="67"/>
        <v>3.215E-2</v>
      </c>
      <c r="I509" s="2">
        <f t="shared" si="68"/>
        <v>46</v>
      </c>
      <c r="J509" s="4">
        <f t="shared" si="69"/>
        <v>16.882</v>
      </c>
      <c r="K509" s="9">
        <f t="shared" si="70"/>
        <v>11.4</v>
      </c>
      <c r="L509" s="1">
        <f t="shared" si="71"/>
        <v>-30.9</v>
      </c>
    </row>
    <row r="510" spans="1:12">
      <c r="A510" s="2">
        <v>16.949</v>
      </c>
      <c r="B510" s="10" t="s">
        <v>664</v>
      </c>
      <c r="C510" s="4">
        <v>16.949</v>
      </c>
      <c r="D510" s="4">
        <v>45.8</v>
      </c>
      <c r="G510" s="2">
        <f t="shared" si="66"/>
        <v>16.916</v>
      </c>
      <c r="H510" s="11" t="str">
        <f t="shared" si="67"/>
        <v>3.216E-2</v>
      </c>
      <c r="I510" s="2">
        <f t="shared" si="68"/>
        <v>44.9</v>
      </c>
      <c r="J510" s="4">
        <f t="shared" si="69"/>
        <v>16.916</v>
      </c>
      <c r="K510" s="9">
        <f t="shared" si="70"/>
        <v>11.5</v>
      </c>
      <c r="L510" s="1">
        <f t="shared" si="71"/>
        <v>-30.9</v>
      </c>
    </row>
    <row r="511" spans="1:12">
      <c r="A511" s="2">
        <v>16.982</v>
      </c>
      <c r="B511" s="10" t="s">
        <v>872</v>
      </c>
      <c r="C511" s="4">
        <v>16.982</v>
      </c>
      <c r="D511" s="4">
        <v>45.5</v>
      </c>
      <c r="G511" s="2">
        <f t="shared" si="66"/>
        <v>16.949</v>
      </c>
      <c r="H511" s="11" t="str">
        <f t="shared" si="67"/>
        <v>3.214E-2</v>
      </c>
      <c r="I511" s="2">
        <f t="shared" si="68"/>
        <v>45.8</v>
      </c>
      <c r="J511" s="4">
        <f t="shared" si="69"/>
        <v>16.949</v>
      </c>
      <c r="K511" s="9">
        <f t="shared" si="70"/>
        <v>11.3</v>
      </c>
      <c r="L511" s="1">
        <f t="shared" si="71"/>
        <v>-30.9</v>
      </c>
    </row>
    <row r="512" spans="1:12">
      <c r="A512" s="2">
        <v>17.016</v>
      </c>
      <c r="B512" s="10" t="s">
        <v>820</v>
      </c>
      <c r="C512" s="4">
        <v>17.016</v>
      </c>
      <c r="D512" s="4">
        <v>45.8</v>
      </c>
      <c r="G512" s="2">
        <f t="shared" si="66"/>
        <v>16.982</v>
      </c>
      <c r="H512" s="11" t="str">
        <f t="shared" si="67"/>
        <v>3.209E-2</v>
      </c>
      <c r="I512" s="2">
        <f t="shared" si="68"/>
        <v>45.5</v>
      </c>
      <c r="J512" s="4">
        <f t="shared" si="69"/>
        <v>16.982</v>
      </c>
      <c r="K512" s="9">
        <f t="shared" si="70"/>
        <v>10.8</v>
      </c>
      <c r="L512" s="1">
        <f t="shared" si="71"/>
        <v>-30.9</v>
      </c>
    </row>
    <row r="513" spans="1:12">
      <c r="A513" s="2">
        <v>17.049</v>
      </c>
      <c r="B513" s="10" t="s">
        <v>602</v>
      </c>
      <c r="C513" s="4">
        <v>17.049</v>
      </c>
      <c r="D513" s="4">
        <v>45.9</v>
      </c>
      <c r="G513" s="2">
        <f t="shared" si="66"/>
        <v>17.016</v>
      </c>
      <c r="H513" s="11" t="str">
        <f t="shared" si="67"/>
        <v>3.199E-2</v>
      </c>
      <c r="I513" s="2">
        <f t="shared" si="68"/>
        <v>45.8</v>
      </c>
      <c r="J513" s="4">
        <f t="shared" si="69"/>
        <v>17.016</v>
      </c>
      <c r="K513" s="9">
        <f t="shared" si="70"/>
        <v>9.79999999999998</v>
      </c>
      <c r="L513" s="1">
        <f t="shared" si="71"/>
        <v>-30.9</v>
      </c>
    </row>
    <row r="514" spans="1:12">
      <c r="A514" s="2">
        <v>17.083</v>
      </c>
      <c r="B514" s="10" t="s">
        <v>873</v>
      </c>
      <c r="C514" s="4">
        <v>17.083</v>
      </c>
      <c r="D514" s="4">
        <v>45.4</v>
      </c>
      <c r="G514" s="2">
        <f t="shared" si="66"/>
        <v>17.049</v>
      </c>
      <c r="H514" s="11" t="str">
        <f t="shared" si="67"/>
        <v>3.185E-2</v>
      </c>
      <c r="I514" s="2">
        <f t="shared" si="68"/>
        <v>45.9</v>
      </c>
      <c r="J514" s="4">
        <f t="shared" si="69"/>
        <v>17.049</v>
      </c>
      <c r="K514" s="9">
        <f t="shared" si="70"/>
        <v>8.40000000000004</v>
      </c>
      <c r="L514" s="1">
        <f t="shared" si="71"/>
        <v>-30.9</v>
      </c>
    </row>
    <row r="515" spans="1:12">
      <c r="A515" s="2">
        <v>17.116</v>
      </c>
      <c r="B515" s="10" t="s">
        <v>874</v>
      </c>
      <c r="C515" s="4">
        <v>17.116</v>
      </c>
      <c r="D515" s="4">
        <v>45.3</v>
      </c>
      <c r="G515" s="2">
        <f t="shared" si="66"/>
        <v>17.083</v>
      </c>
      <c r="H515" s="11" t="str">
        <f t="shared" si="67"/>
        <v>3.164E-2</v>
      </c>
      <c r="I515" s="2">
        <f t="shared" si="68"/>
        <v>45.4</v>
      </c>
      <c r="J515" s="4">
        <f t="shared" si="69"/>
        <v>17.083</v>
      </c>
      <c r="K515" s="9">
        <f t="shared" si="70"/>
        <v>6.30000000000002</v>
      </c>
      <c r="L515" s="1">
        <f t="shared" si="71"/>
        <v>-30.9</v>
      </c>
    </row>
    <row r="516" spans="1:12">
      <c r="A516" s="2">
        <v>17.15</v>
      </c>
      <c r="B516" s="10" t="s">
        <v>799</v>
      </c>
      <c r="C516" s="4">
        <v>17.15</v>
      </c>
      <c r="D516" s="4">
        <v>45.5</v>
      </c>
      <c r="G516" s="2">
        <f t="shared" si="66"/>
        <v>17.116</v>
      </c>
      <c r="H516" s="11" t="str">
        <f t="shared" si="67"/>
        <v>3.145E-2</v>
      </c>
      <c r="I516" s="2">
        <f t="shared" si="68"/>
        <v>45.3</v>
      </c>
      <c r="J516" s="4">
        <f t="shared" si="69"/>
        <v>17.116</v>
      </c>
      <c r="K516" s="9">
        <f t="shared" si="70"/>
        <v>4.39999999999999</v>
      </c>
      <c r="L516" s="1">
        <f t="shared" si="71"/>
        <v>-30.9</v>
      </c>
    </row>
    <row r="517" spans="1:12">
      <c r="A517" s="2">
        <v>17.183</v>
      </c>
      <c r="B517" s="10" t="s">
        <v>724</v>
      </c>
      <c r="C517" s="4">
        <v>17.183</v>
      </c>
      <c r="D517" s="4">
        <v>45.5</v>
      </c>
      <c r="G517" s="2">
        <f t="shared" si="66"/>
        <v>17.15</v>
      </c>
      <c r="H517" s="11" t="str">
        <f t="shared" si="67"/>
        <v>3.118E-2</v>
      </c>
      <c r="I517" s="2">
        <f t="shared" si="68"/>
        <v>45.5</v>
      </c>
      <c r="J517" s="4">
        <f t="shared" si="69"/>
        <v>17.15</v>
      </c>
      <c r="K517" s="9">
        <f t="shared" si="70"/>
        <v>1.7</v>
      </c>
      <c r="L517" s="1">
        <f t="shared" si="71"/>
        <v>-30.9</v>
      </c>
    </row>
    <row r="518" spans="1:12">
      <c r="A518" s="2">
        <v>17.216</v>
      </c>
      <c r="B518" s="10" t="s">
        <v>875</v>
      </c>
      <c r="C518" s="4">
        <v>17.216</v>
      </c>
      <c r="D518" s="4">
        <v>45.8</v>
      </c>
      <c r="G518" s="2">
        <f t="shared" si="66"/>
        <v>17.183</v>
      </c>
      <c r="H518" s="11" t="str">
        <f t="shared" si="67"/>
        <v>3.098E-2</v>
      </c>
      <c r="I518" s="2">
        <f t="shared" si="68"/>
        <v>45.5</v>
      </c>
      <c r="J518" s="4">
        <f t="shared" si="69"/>
        <v>17.183</v>
      </c>
      <c r="K518" s="9">
        <f t="shared" si="70"/>
        <v>-0.299999999999988</v>
      </c>
      <c r="L518" s="1">
        <f t="shared" si="71"/>
        <v>-30.9</v>
      </c>
    </row>
    <row r="519" spans="1:12">
      <c r="A519" s="2">
        <v>17.25</v>
      </c>
      <c r="B519" s="10" t="s">
        <v>876</v>
      </c>
      <c r="C519" s="4">
        <v>17.25</v>
      </c>
      <c r="D519" s="4">
        <v>45.6</v>
      </c>
      <c r="G519" s="2">
        <f t="shared" si="66"/>
        <v>17.216</v>
      </c>
      <c r="H519" s="11" t="str">
        <f t="shared" si="67"/>
        <v>3.070E-2</v>
      </c>
      <c r="I519" s="2">
        <f t="shared" si="68"/>
        <v>45.8</v>
      </c>
      <c r="J519" s="4">
        <f t="shared" si="69"/>
        <v>17.216</v>
      </c>
      <c r="K519" s="9">
        <f t="shared" si="70"/>
        <v>-3.09999999999998</v>
      </c>
      <c r="L519" s="1">
        <f t="shared" si="71"/>
        <v>-30.9</v>
      </c>
    </row>
    <row r="520" spans="1:12">
      <c r="A520" s="2">
        <v>17.283</v>
      </c>
      <c r="B520" s="10" t="s">
        <v>563</v>
      </c>
      <c r="C520" s="4">
        <v>17.283</v>
      </c>
      <c r="D520" s="4">
        <v>45.5</v>
      </c>
      <c r="G520" s="2">
        <f t="shared" si="66"/>
        <v>17.25</v>
      </c>
      <c r="H520" s="11" t="str">
        <f t="shared" si="67"/>
        <v>3.043E-2</v>
      </c>
      <c r="I520" s="2">
        <f t="shared" si="68"/>
        <v>45.6</v>
      </c>
      <c r="J520" s="4">
        <f t="shared" si="69"/>
        <v>17.25</v>
      </c>
      <c r="K520" s="9">
        <f t="shared" si="70"/>
        <v>-5.80000000000001</v>
      </c>
      <c r="L520" s="1">
        <f t="shared" si="71"/>
        <v>-30.9</v>
      </c>
    </row>
    <row r="521" spans="1:12">
      <c r="A521" s="2">
        <v>17.317</v>
      </c>
      <c r="B521" s="10" t="s">
        <v>503</v>
      </c>
      <c r="C521" s="4">
        <v>17.317</v>
      </c>
      <c r="D521" s="4">
        <v>45.2</v>
      </c>
      <c r="G521" s="2">
        <f t="shared" si="66"/>
        <v>17.283</v>
      </c>
      <c r="H521" s="11" t="str">
        <f t="shared" si="67"/>
        <v>3.019E-2</v>
      </c>
      <c r="I521" s="2">
        <f t="shared" si="68"/>
        <v>45.5</v>
      </c>
      <c r="J521" s="4">
        <f t="shared" si="69"/>
        <v>17.283</v>
      </c>
      <c r="K521" s="9">
        <f t="shared" si="70"/>
        <v>-8.19999999999998</v>
      </c>
      <c r="L521" s="1">
        <f t="shared" si="71"/>
        <v>-30.9</v>
      </c>
    </row>
    <row r="522" spans="1:12">
      <c r="A522" s="2">
        <v>17.35</v>
      </c>
      <c r="B522" s="10" t="s">
        <v>525</v>
      </c>
      <c r="C522" s="4">
        <v>17.35</v>
      </c>
      <c r="D522" s="4">
        <v>45.3</v>
      </c>
      <c r="G522" s="2">
        <f t="shared" si="66"/>
        <v>17.317</v>
      </c>
      <c r="H522" s="11" t="str">
        <f t="shared" si="67"/>
        <v>2.994E-2</v>
      </c>
      <c r="I522" s="2">
        <f t="shared" si="68"/>
        <v>45.2</v>
      </c>
      <c r="J522" s="4">
        <f t="shared" si="69"/>
        <v>17.317</v>
      </c>
      <c r="K522" s="9">
        <f t="shared" si="70"/>
        <v>-10.7</v>
      </c>
      <c r="L522" s="1">
        <f t="shared" si="71"/>
        <v>-30.9</v>
      </c>
    </row>
    <row r="523" spans="1:12">
      <c r="A523" s="2">
        <v>17.384</v>
      </c>
      <c r="B523" s="10" t="s">
        <v>516</v>
      </c>
      <c r="C523" s="4">
        <v>17.384</v>
      </c>
      <c r="D523" s="4">
        <v>45.3</v>
      </c>
      <c r="G523" s="2">
        <f t="shared" si="66"/>
        <v>17.35</v>
      </c>
      <c r="H523" s="11" t="str">
        <f t="shared" si="67"/>
        <v>2.971E-2</v>
      </c>
      <c r="I523" s="2">
        <f t="shared" si="68"/>
        <v>45.3</v>
      </c>
      <c r="J523" s="4">
        <f t="shared" si="69"/>
        <v>17.35</v>
      </c>
      <c r="K523" s="9">
        <f t="shared" si="70"/>
        <v>-13</v>
      </c>
      <c r="L523" s="1">
        <f t="shared" si="71"/>
        <v>-30.9</v>
      </c>
    </row>
    <row r="524" spans="1:12">
      <c r="A524" s="2">
        <v>17.417</v>
      </c>
      <c r="B524" s="10" t="s">
        <v>860</v>
      </c>
      <c r="C524" s="4">
        <v>17.417</v>
      </c>
      <c r="D524" s="4">
        <v>45.3</v>
      </c>
      <c r="G524" s="2">
        <f t="shared" si="66"/>
        <v>17.384</v>
      </c>
      <c r="H524" s="11" t="str">
        <f t="shared" si="67"/>
        <v>2.955E-2</v>
      </c>
      <c r="I524" s="2">
        <f t="shared" si="68"/>
        <v>45.3</v>
      </c>
      <c r="J524" s="4">
        <f t="shared" si="69"/>
        <v>17.384</v>
      </c>
      <c r="K524" s="9">
        <f t="shared" si="70"/>
        <v>-14.6</v>
      </c>
      <c r="L524" s="1">
        <f t="shared" si="71"/>
        <v>-30.9</v>
      </c>
    </row>
    <row r="525" spans="1:12">
      <c r="A525" s="2">
        <v>17.45</v>
      </c>
      <c r="B525" s="10" t="s">
        <v>827</v>
      </c>
      <c r="C525" s="4">
        <v>17.45</v>
      </c>
      <c r="D525" s="4">
        <v>45.7</v>
      </c>
      <c r="G525" s="2">
        <f t="shared" si="66"/>
        <v>17.417</v>
      </c>
      <c r="H525" s="11" t="str">
        <f t="shared" si="67"/>
        <v>2.941E-2</v>
      </c>
      <c r="I525" s="2">
        <f t="shared" si="68"/>
        <v>45.3</v>
      </c>
      <c r="J525" s="4">
        <f t="shared" si="69"/>
        <v>17.417</v>
      </c>
      <c r="K525" s="9">
        <f t="shared" si="70"/>
        <v>-16</v>
      </c>
      <c r="L525" s="1">
        <f t="shared" si="71"/>
        <v>-30.9</v>
      </c>
    </row>
    <row r="526" spans="1:12">
      <c r="A526" s="2">
        <v>17.484</v>
      </c>
      <c r="B526" s="10" t="s">
        <v>832</v>
      </c>
      <c r="C526" s="4">
        <v>17.484</v>
      </c>
      <c r="D526" s="4">
        <v>45.5</v>
      </c>
      <c r="G526" s="2">
        <f t="shared" si="66"/>
        <v>17.45</v>
      </c>
      <c r="H526" s="11" t="str">
        <f t="shared" si="67"/>
        <v>2.933E-2</v>
      </c>
      <c r="I526" s="2">
        <f t="shared" si="68"/>
        <v>45.7</v>
      </c>
      <c r="J526" s="4">
        <f t="shared" si="69"/>
        <v>17.45</v>
      </c>
      <c r="K526" s="9">
        <f t="shared" si="70"/>
        <v>-16.8</v>
      </c>
      <c r="L526" s="1">
        <f t="shared" si="71"/>
        <v>-30.9</v>
      </c>
    </row>
    <row r="527" spans="1:12">
      <c r="A527" s="2">
        <v>17.517</v>
      </c>
      <c r="B527" s="10" t="s">
        <v>877</v>
      </c>
      <c r="C527" s="4">
        <v>17.517</v>
      </c>
      <c r="D527" s="4">
        <v>45.6</v>
      </c>
      <c r="G527" s="2">
        <f t="shared" si="66"/>
        <v>17.484</v>
      </c>
      <c r="H527" s="11" t="str">
        <f t="shared" si="67"/>
        <v>2.918E-2</v>
      </c>
      <c r="I527" s="2">
        <f t="shared" si="68"/>
        <v>45.5</v>
      </c>
      <c r="J527" s="4">
        <f t="shared" si="69"/>
        <v>17.484</v>
      </c>
      <c r="K527" s="9">
        <f t="shared" si="70"/>
        <v>-18.3</v>
      </c>
      <c r="L527" s="1">
        <f t="shared" si="71"/>
        <v>-30.9</v>
      </c>
    </row>
    <row r="528" spans="1:12">
      <c r="A528" s="2">
        <v>17.551</v>
      </c>
      <c r="B528" s="10" t="s">
        <v>877</v>
      </c>
      <c r="C528" s="4">
        <v>17.551</v>
      </c>
      <c r="D528" s="4">
        <v>45.7</v>
      </c>
      <c r="G528" s="2">
        <f t="shared" si="66"/>
        <v>17.517</v>
      </c>
      <c r="H528" s="11" t="str">
        <f t="shared" si="67"/>
        <v>2.916E-2</v>
      </c>
      <c r="I528" s="2">
        <f t="shared" si="68"/>
        <v>45.6</v>
      </c>
      <c r="J528" s="4">
        <f t="shared" si="69"/>
        <v>17.517</v>
      </c>
      <c r="K528" s="9">
        <f t="shared" si="70"/>
        <v>-18.5</v>
      </c>
      <c r="L528" s="1">
        <f t="shared" si="71"/>
        <v>-30.9</v>
      </c>
    </row>
    <row r="529" spans="1:12">
      <c r="A529" s="2">
        <v>17.584</v>
      </c>
      <c r="B529" s="10" t="s">
        <v>878</v>
      </c>
      <c r="C529" s="4">
        <v>17.584</v>
      </c>
      <c r="D529" s="4">
        <v>45.4</v>
      </c>
      <c r="G529" s="2">
        <f t="shared" si="66"/>
        <v>17.551</v>
      </c>
      <c r="H529" s="11" t="str">
        <f t="shared" si="67"/>
        <v>2.916E-2</v>
      </c>
      <c r="I529" s="2">
        <f t="shared" si="68"/>
        <v>45.7</v>
      </c>
      <c r="J529" s="4">
        <f t="shared" si="69"/>
        <v>17.551</v>
      </c>
      <c r="K529" s="9">
        <f t="shared" si="70"/>
        <v>-18.5</v>
      </c>
      <c r="L529" s="1">
        <f t="shared" si="71"/>
        <v>-30.9</v>
      </c>
    </row>
    <row r="530" spans="1:12">
      <c r="G530" s="2">
        <f>A529</f>
        <v>17.584</v>
      </c>
      <c r="H530" s="11" t="str">
        <f>B529</f>
        <v>2.920E-2</v>
      </c>
      <c r="I530" s="2">
        <f>D529</f>
        <v>45.4</v>
      </c>
      <c r="J530" s="4">
        <f>G530</f>
        <v>17.584</v>
      </c>
      <c r="K530" s="9">
        <f>(H530-$H$4)*10000</f>
        <v>-18.1</v>
      </c>
      <c r="L530" s="1">
        <f>IF(I530&lt;230,MIN(K:K),MAX(K:K))</f>
        <v>-30.9</v>
      </c>
    </row>
  </sheetData>
  <mergeCells count="2">
    <mergeCell ref="G1:I1"/>
    <mergeCell ref="J1:L1"/>
  </mergeCells>
  <conditionalFormatting sqref="C$1:C$1048576">
    <cfRule type="cellIs" dxfId="0" priority="4" operator="greaterThan">
      <formula>230</formula>
    </cfRule>
    <cfRule type="cellIs" dxfId="0" priority="5" operator="greaterThan">
      <formula>248</formula>
    </cfRule>
    <cfRule type="cellIs" dxfId="0" priority="7" operator="greaterThan">
      <formula>250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530">
    <cfRule type="cellIs" dxfId="0" priority="1" operator="greaterThan">
      <formula>230</formula>
    </cfRule>
    <cfRule type="cellIs" dxfId="0" priority="2" operator="greaterThan">
      <formula>248</formula>
    </cfRule>
    <cfRule type="cellIs" dxfId="0" priority="3" operator="greaterThan">
      <formula>250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A_09_45_33_A</vt:lpstr>
      <vt:lpstr>A_09_29_58_B</vt:lpstr>
      <vt:lpstr>A_09_16_04_B</vt:lpstr>
      <vt:lpstr>A_08_52_36_83_正</vt:lpstr>
      <vt:lpstr>A_10_14_37_3-0.4</vt:lpstr>
      <vt:lpstr>B_10_24_39_3-0.4</vt:lpstr>
      <vt:lpstr>A_11_34_05_转90</vt:lpstr>
      <vt:lpstr>B_11_42_37_转180</vt:lpstr>
      <vt:lpstr>B_12_04_32_20KPa</vt:lpstr>
      <vt:lpstr>A_13_58_43_Pro_20KPa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maco0tai</dc:creator>
  <cp:lastModifiedBy>胡运涛</cp:lastModifiedBy>
  <dcterms:created xsi:type="dcterms:W3CDTF">2026-04-27T01:55:35Z</dcterms:created>
  <dcterms:modified xsi:type="dcterms:W3CDTF">2026-04-27T06:43:55Z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34D6D6D5DB294093A1B248EBE2475576_11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